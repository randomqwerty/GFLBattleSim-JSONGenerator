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danny\Documents\GitHub\GFLBattleSim-JSONGenerator\"/>
    </mc:Choice>
  </mc:AlternateContent>
  <xr:revisionPtr revIDLastSave="0" documentId="13_ncr:1_{6F1AEA1E-A588-498C-8D99-8F3E52D22852}" xr6:coauthVersionLast="47" xr6:coauthVersionMax="47" xr10:uidLastSave="{00000000-0000-0000-0000-000000000000}"/>
  <bookViews>
    <workbookView xWindow="-108" yWindow="-108" windowWidth="23256" windowHeight="12456" tabRatio="518" xr2:uid="{8B59443F-0B2D-43B1-BB8E-EAEC613D5E34}"/>
  </bookViews>
  <sheets>
    <sheet name="Main" sheetId="1" r:id="rId1"/>
    <sheet name="Mapwide Buffs" sheetId="48" r:id="rId2"/>
    <sheet name="Vehicle Substats" sheetId="54" r:id="rId3"/>
    <sheet name="TargetTrain Lists" sheetId="47" r:id="rId4"/>
    <sheet name="Preset Teams" sheetId="28" r:id="rId5"/>
    <sheet name="Preset Teams SF" sheetId="46" r:id="rId6"/>
    <sheet name="Doll" sheetId="7" r:id="rId7"/>
    <sheet name="Equip" sheetId="12" r:id="rId8"/>
    <sheet name="Fairy" sheetId="13" r:id="rId9"/>
    <sheet name="HOC" sheetId="26" r:id="rId10"/>
    <sheet name="HOCChip" sheetId="55" r:id="rId11"/>
    <sheet name="Vehicle" sheetId="49" r:id="rId12"/>
    <sheet name="VehicleComp" sheetId="52" r:id="rId13"/>
    <sheet name="SF" sheetId="33" r:id="rId14"/>
    <sheet name="SF Chip" sheetId="42" r:id="rId15"/>
    <sheet name="SF Team" sheetId="43" r:id="rId16"/>
    <sheet name="Mission_Act_Info" sheetId="20" r:id="rId17"/>
    <sheet name="Spot_Act_Info_Day" sheetId="44" r:id="rId18"/>
    <sheet name="Spot_Act_Info_Night" sheetId="45" r:id="rId19"/>
    <sheet name="GFBattleSimulator" sheetId="24" r:id="rId20"/>
    <sheet name="VehicleRangeAtk" sheetId="53" r:id="rId21"/>
    <sheet name="G&amp;K Stat Calc" sheetId="3" state="hidden" r:id="rId22"/>
    <sheet name="SF Stat Calc" sheetId="36" state="hidden" r:id="rId23"/>
    <sheet name="Fairy Data" sheetId="16" state="hidden" r:id="rId24"/>
    <sheet name="Talent Data" sheetId="17" state="hidden" r:id="rId25"/>
    <sheet name="Strat Buff Data" sheetId="27" state="hidden" r:id="rId26"/>
    <sheet name="Equip Data" sheetId="11" state="hidden" r:id="rId27"/>
    <sheet name="Doll Data" sheetId="4" state="hidden" r:id="rId28"/>
    <sheet name="SF Data" sheetId="29" state="hidden" r:id="rId29"/>
    <sheet name="SF Chip Data" sheetId="32" state="hidden" r:id="rId30"/>
    <sheet name="Vehicle Comp Data" sheetId="51" state="hidden" r:id="rId31"/>
    <sheet name="HOC Chip Data" sheetId="56" state="hidden" r:id="rId32"/>
    <sheet name="SF Resolution" sheetId="41" state="hidden" r:id="rId33"/>
    <sheet name="Vehicle Tree" sheetId="50" state="hidden" r:id="rId34"/>
    <sheet name="Exp Tables" sheetId="5" state="hidden" r:id="rId35"/>
    <sheet name="Misc Inputs" sheetId="18" state="hidden" r:id="rId36"/>
    <sheet name="Dropdowns" sheetId="2" state="hidden" r:id="rId37"/>
  </sheets>
  <externalReferences>
    <externalReference r:id="rId38"/>
  </externalReferences>
  <definedNames>
    <definedName name="_xlnm._FilterDatabase" localSheetId="27" hidden="1">'Doll Data'!$A$1:$BD$429</definedName>
    <definedName name="_xlnm._FilterDatabase" localSheetId="26" hidden="1">'Equip Data'!$A$1:$AW$1</definedName>
    <definedName name="_xlnm._FilterDatabase" localSheetId="23" hidden="1">'Fairy Data'!$A$1:$K$38</definedName>
    <definedName name="_xlnm._FilterDatabase" localSheetId="1" hidden="1">'Mapwide Buffs'!$A$1:$F$187</definedName>
    <definedName name="_xlnm._FilterDatabase" localSheetId="4" hidden="1">'Preset Teams'!$AR$2:$AU$158</definedName>
    <definedName name="_xlnm._FilterDatabase" localSheetId="28" hidden="1">'SF Data'!$A$1:$BH$42</definedName>
    <definedName name="_xlnm._FilterDatabase" localSheetId="32" hidden="1">'SF Resolution'!$A$1:$X$245</definedName>
    <definedName name="_xlnm._FilterDatabase" localSheetId="17" hidden="1">Spot_Act_Info_Day!$G$13:$H$230</definedName>
    <definedName name="_xlnm._FilterDatabase" localSheetId="18" hidden="1">Spot_Act_Info_Night!$H$35:$H$756</definedName>
    <definedName name="_xlnm._FilterDatabase" localSheetId="24" hidden="1">'Talent Data'!$A$1:$C$18</definedName>
    <definedName name="_xlnm._FilterDatabase" localSheetId="33" hidden="1">'Vehicle Tree'!$A$1:$X$31</definedName>
    <definedName name="AllySelection">Main!$H$126:$I$128</definedName>
    <definedName name="BossHP" localSheetId="31">[1]Main!$E$8</definedName>
    <definedName name="BossHP">Main!$E$8</definedName>
    <definedName name="BuildingSelection">Main!$F$126:$G$128</definedName>
    <definedName name="ChipJSONPath">'Misc Inputs'!$C$47</definedName>
    <definedName name="CustomStatInput">Main!$Y$21:$AC$25</definedName>
    <definedName name="DayNight" localSheetId="31">[1]Main!$B$8</definedName>
    <definedName name="DayNight">Main!$B$8</definedName>
    <definedName name="Debuff1" localSheetId="31">'[1]Misc Inputs'!$L$9</definedName>
    <definedName name="Debuff1">'Misc Inputs'!$L$9</definedName>
    <definedName name="Debuff2" localSheetId="31">'[1]Misc Inputs'!$L$10</definedName>
    <definedName name="Debuff2">'Misc Inputs'!$L$10</definedName>
    <definedName name="Debuff3" localSheetId="31">'[1]Misc Inputs'!$L$11</definedName>
    <definedName name="Debuff3">'Misc Inputs'!$L$11</definedName>
    <definedName name="DebuffConfig1" localSheetId="31">'[1]Misc Inputs'!$M$9</definedName>
    <definedName name="DebuffConfig1">'Misc Inputs'!$M$9</definedName>
    <definedName name="DebuffConfig2" localSheetId="31">'[1]Misc Inputs'!$M$10</definedName>
    <definedName name="DebuffConfig2">'Misc Inputs'!$M$10</definedName>
    <definedName name="DebuffConfig3" localSheetId="31">'[1]Misc Inputs'!$M$11</definedName>
    <definedName name="DebuffConfig3">'Misc Inputs'!$M$11</definedName>
    <definedName name="DebuffSelection">Main!$D$126:$E$128</definedName>
    <definedName name="DebuffSL1" localSheetId="31">[1]Main!$C$130</definedName>
    <definedName name="DebuffSL1">Main!$E$126</definedName>
    <definedName name="DebuffSL2" localSheetId="31">[1]Main!$C$131</definedName>
    <definedName name="DebuffSL2">Main!$E$127</definedName>
    <definedName name="DebuffSL3" localSheetId="31">[1]Main!$C$132</definedName>
    <definedName name="DebuffSL3">Main!$E$128</definedName>
    <definedName name="DollJSONPath">'Misc Inputs'!$C$44</definedName>
    <definedName name="EchelonInput">Main!$B$21:$AC$25</definedName>
    <definedName name="EchType" localSheetId="31">[1]Main!$B$7</definedName>
    <definedName name="EchType">Main!$B$7</definedName>
    <definedName name="EnemyHPPercent" localSheetId="31">[1]Main!$E$9</definedName>
    <definedName name="EnemyHPPercent">Main!$E$9</definedName>
    <definedName name="EnemyID" localSheetId="31">[1]Main!$E$7</definedName>
    <definedName name="EnemyID">Main!$E$7</definedName>
    <definedName name="EquipJSONPath">'Misc Inputs'!$C$45</definedName>
    <definedName name="equipScript">'Misc Inputs'!$C$62</definedName>
    <definedName name="ExtraDollInput">Main!$B$35:$AC$49</definedName>
    <definedName name="FairyInput">Main!$B$30:$F$30</definedName>
    <definedName name="FairyJSONPath">'Misc Inputs'!$C$48</definedName>
    <definedName name="FairySkill" localSheetId="31">[1]Main!$E$10</definedName>
    <definedName name="FairySkill">Main!$E$10</definedName>
    <definedName name="gunScript">'Misc Inputs'!$C$61</definedName>
    <definedName name="HOCInput">Main!$D$99:$S$108</definedName>
    <definedName name="HOCJSONPath">'Misc Inputs'!$C$46</definedName>
    <definedName name="HOCSelection">Main!$A$99:$A$110</definedName>
    <definedName name="HOCSupport" localSheetId="31">[1]Main!$E$11</definedName>
    <definedName name="HOCSupport">Main!$E$11</definedName>
    <definedName name="ListOfPresets" localSheetId="31">'[1]Preset Teams'!$A$4:$A$1048576</definedName>
    <definedName name="ListOfPresets">'Preset Teams'!$A$4:$A$1048576</definedName>
    <definedName name="ListOfPresetsSF" localSheetId="31">'[1]Preset Teams SF'!$A$4:$A$1048576</definedName>
    <definedName name="ListOfPresetsSF">'Preset Teams SF'!$A$4:$A$1048576</definedName>
    <definedName name="MissionJSON">'Misc Inputs'!$C$49</definedName>
    <definedName name="NodeColor" localSheetId="31">[1]Main!$B$9</definedName>
    <definedName name="NodeColor">Main!$B$9</definedName>
    <definedName name="OneStack">'Misc Inputs'!$C$9</definedName>
    <definedName name="PositionInput">Main!$H$28:$J$30</definedName>
    <definedName name="Preset">Main!$B$16</definedName>
    <definedName name="PresetSF">Main!$B$54</definedName>
    <definedName name="SeedNum" localSheetId="31">[1]Main!$B$11</definedName>
    <definedName name="SeedNum">Main!$B$11</definedName>
    <definedName name="SFChipJSONPath">'Misc Inputs'!$C$52</definedName>
    <definedName name="SFCustomStatInput">Main!$Q$59:$Q$67</definedName>
    <definedName name="SFEchelonInput">Main!$C$59:$N$67</definedName>
    <definedName name="SFHOCInput">Main!$D$115:$N$120</definedName>
    <definedName name="SFHOCSelection">Main!$A$115:$A$120</definedName>
    <definedName name="SFJSONPath">'Misc Inputs'!$C$50</definedName>
    <definedName name="SFPositionInput">Main!$S$60:$U$62</definedName>
    <definedName name="sfResolScript">'Misc Inputs'!$C$64</definedName>
    <definedName name="sfScript">'Misc Inputs'!$C$63</definedName>
    <definedName name="SFTeamJSONPath">'Misc Inputs'!$C$51</definedName>
    <definedName name="SimJSON">'Misc Inputs'!$C$53</definedName>
    <definedName name="SpotDayJSON">'Misc Inputs'!$C$54</definedName>
    <definedName name="SpotNightJSON">'Misc Inputs'!$C$55</definedName>
    <definedName name="StratBuff1" localSheetId="31">'[1]Misc Inputs'!$G$9</definedName>
    <definedName name="StratBuff1">'Misc Inputs'!$G$9</definedName>
    <definedName name="StratBuff2" localSheetId="31">'[1]Misc Inputs'!$G$10</definedName>
    <definedName name="StratBuff2">'Misc Inputs'!$G$10</definedName>
    <definedName name="StratBuff3" localSheetId="31">'[1]Misc Inputs'!$G$11</definedName>
    <definedName name="StratBuff3">'Misc Inputs'!$G$11</definedName>
    <definedName name="StratConfig1" localSheetId="31">'[1]Misc Inputs'!$H$9</definedName>
    <definedName name="StratConfig1">'Misc Inputs'!$H$9</definedName>
    <definedName name="StratConfig2" localSheetId="31">'[1]Misc Inputs'!$H$10</definedName>
    <definedName name="StratConfig2">'Misc Inputs'!$H$10</definedName>
    <definedName name="StratConfig3" localSheetId="31">'[1]Misc Inputs'!$H$11</definedName>
    <definedName name="StratConfig3">'Misc Inputs'!$H$11</definedName>
    <definedName name="StrategyInput">Main!$B$126:$C$128</definedName>
    <definedName name="StratSL1" localSheetId="31">[1]Main!$C$124</definedName>
    <definedName name="StratSL1">Main!$C$126</definedName>
    <definedName name="StratSL2" localSheetId="31">[1]Main!$C$125</definedName>
    <definedName name="StratSL2">Main!$C$127</definedName>
    <definedName name="StratSL3" localSheetId="31">[1]Main!$C$126</definedName>
    <definedName name="StratSL3">Main!$C$128</definedName>
    <definedName name="ThreeStack">'Misc Inputs'!$C$11</definedName>
    <definedName name="TurnNum" localSheetId="31">[1]Main!$B$10</definedName>
    <definedName name="TurnNum">Main!$B$10</definedName>
    <definedName name="TwoStack">'Misc Inputs'!$C$10</definedName>
    <definedName name="UseCustomStats" localSheetId="31">[1]Main!$AC$19</definedName>
    <definedName name="UseCustomStats">Main!$AC$19</definedName>
    <definedName name="UseSFCustomHP" localSheetId="31">[1]Main!$Q$58</definedName>
    <definedName name="UseSFCustomHP">Main!$Q$58</definedName>
    <definedName name="VehicleCompInput">Main!$B$82:$S$85</definedName>
    <definedName name="VehicleCompInput2">Main!$B$89:$S$92</definedName>
    <definedName name="VehicleCompJSONPath">'Misc Inputs'!$C$57</definedName>
    <definedName name="VehicleInput">Main!$B$75:$M$76</definedName>
    <definedName name="VehicleJSONPath">'Misc Inputs'!$C$56</definedName>
    <definedName name="VehicleMode" localSheetId="31">[1]Main!$B$12</definedName>
    <definedName name="VehicleMode">Main!$B$12</definedName>
    <definedName name="VehicleRangeAtkJSON">'Misc Inputs'!$C$58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11" i="55" l="1"/>
  <c r="A110" i="55"/>
  <c r="A109" i="55"/>
  <c r="A108" i="55"/>
  <c r="A107" i="55"/>
  <c r="A106" i="55"/>
  <c r="A105" i="55"/>
  <c r="A104" i="55"/>
  <c r="A103" i="55"/>
  <c r="A102" i="55"/>
  <c r="A101" i="55"/>
  <c r="A100" i="55"/>
  <c r="A99" i="55"/>
  <c r="A98" i="55"/>
  <c r="A97" i="55"/>
  <c r="A96" i="55"/>
  <c r="A95" i="55"/>
  <c r="A94" i="55"/>
  <c r="A93" i="55"/>
  <c r="A92" i="55"/>
  <c r="A91" i="55"/>
  <c r="A90" i="55"/>
  <c r="A89" i="55"/>
  <c r="A88" i="55"/>
  <c r="A87" i="55"/>
  <c r="A86" i="55"/>
  <c r="A85" i="55"/>
  <c r="A84" i="55"/>
  <c r="A83" i="55"/>
  <c r="A82" i="55"/>
  <c r="A81" i="55"/>
  <c r="A80" i="55"/>
  <c r="A79" i="55"/>
  <c r="A78" i="55"/>
  <c r="A77" i="55"/>
  <c r="A76" i="55"/>
  <c r="A75" i="55"/>
  <c r="A74" i="55"/>
  <c r="A73" i="55"/>
  <c r="A72" i="55"/>
  <c r="A71" i="55"/>
  <c r="A70" i="55"/>
  <c r="A69" i="55"/>
  <c r="A68" i="55"/>
  <c r="A67" i="55"/>
  <c r="A66" i="55"/>
  <c r="A65" i="55"/>
  <c r="A64" i="55"/>
  <c r="A63" i="55"/>
  <c r="A62" i="55"/>
  <c r="A61" i="55"/>
  <c r="A60" i="55"/>
  <c r="A59" i="55"/>
  <c r="A58" i="55"/>
  <c r="A57" i="55"/>
  <c r="A56" i="55"/>
  <c r="A55" i="55"/>
  <c r="A54" i="55"/>
  <c r="A53" i="55"/>
  <c r="A52" i="55"/>
  <c r="A51" i="55"/>
  <c r="A50" i="55"/>
  <c r="A49" i="55"/>
  <c r="A48" i="55"/>
  <c r="A47" i="55"/>
  <c r="A46" i="55"/>
  <c r="A45" i="55"/>
  <c r="A44" i="55"/>
  <c r="A43" i="55"/>
  <c r="A42" i="55"/>
  <c r="A41" i="55"/>
  <c r="A40" i="55"/>
  <c r="A39" i="55"/>
  <c r="A38" i="55"/>
  <c r="A37" i="55"/>
  <c r="A36" i="55"/>
  <c r="A35" i="55"/>
  <c r="A34" i="55"/>
  <c r="A33" i="55"/>
  <c r="A32" i="55"/>
  <c r="A31" i="55"/>
  <c r="A30" i="55"/>
  <c r="A29" i="55"/>
  <c r="A28" i="55"/>
  <c r="A27" i="55"/>
  <c r="A26" i="55"/>
  <c r="A25" i="55"/>
  <c r="A24" i="55"/>
  <c r="A23" i="55"/>
  <c r="A22" i="55"/>
  <c r="A21" i="55"/>
  <c r="A20" i="55"/>
  <c r="A19" i="55"/>
  <c r="A18" i="55"/>
  <c r="A17" i="55"/>
  <c r="A16" i="55"/>
  <c r="A15" i="55"/>
  <c r="A14" i="55"/>
  <c r="A13" i="55"/>
  <c r="A12" i="55"/>
  <c r="A11" i="55"/>
  <c r="A10" i="55"/>
  <c r="A9" i="55"/>
  <c r="A8" i="55"/>
  <c r="A7" i="55"/>
  <c r="A6" i="55"/>
  <c r="A5" i="55"/>
  <c r="A4" i="55"/>
  <c r="A3" i="55"/>
  <c r="A2" i="55"/>
  <c r="D111" i="55"/>
  <c r="D110" i="55"/>
  <c r="D109" i="55"/>
  <c r="D108" i="55"/>
  <c r="D107" i="55"/>
  <c r="D106" i="55"/>
  <c r="D105" i="55"/>
  <c r="D104" i="55"/>
  <c r="D103" i="55"/>
  <c r="D102" i="55"/>
  <c r="D101" i="55"/>
  <c r="D100" i="55"/>
  <c r="D99" i="55"/>
  <c r="D98" i="55"/>
  <c r="D97" i="55"/>
  <c r="D96" i="55"/>
  <c r="D95" i="55"/>
  <c r="D94" i="55"/>
  <c r="D93" i="55"/>
  <c r="D92" i="55"/>
  <c r="D91" i="55"/>
  <c r="D90" i="55"/>
  <c r="D89" i="55"/>
  <c r="D88" i="55"/>
  <c r="D87" i="55"/>
  <c r="D86" i="55"/>
  <c r="D85" i="55"/>
  <c r="D84" i="55"/>
  <c r="D83" i="55"/>
  <c r="D82" i="55"/>
  <c r="D81" i="55"/>
  <c r="D80" i="55"/>
  <c r="D79" i="55"/>
  <c r="D78" i="55"/>
  <c r="D77" i="55"/>
  <c r="D76" i="55"/>
  <c r="D75" i="55"/>
  <c r="D74" i="55"/>
  <c r="D73" i="55"/>
  <c r="D72" i="55"/>
  <c r="D71" i="55"/>
  <c r="D70" i="55"/>
  <c r="D69" i="55"/>
  <c r="D68" i="55"/>
  <c r="D67" i="55"/>
  <c r="D66" i="55"/>
  <c r="D65" i="55"/>
  <c r="D64" i="55"/>
  <c r="D63" i="55"/>
  <c r="D62" i="55"/>
  <c r="D61" i="55"/>
  <c r="D60" i="55"/>
  <c r="D59" i="55"/>
  <c r="D58" i="55"/>
  <c r="D57" i="55"/>
  <c r="D56" i="55"/>
  <c r="D55" i="55"/>
  <c r="D54" i="55"/>
  <c r="D53" i="55"/>
  <c r="D52" i="55"/>
  <c r="D51" i="55"/>
  <c r="D50" i="55"/>
  <c r="D49" i="55"/>
  <c r="D48" i="55"/>
  <c r="D47" i="55"/>
  <c r="D46" i="55"/>
  <c r="D45" i="55"/>
  <c r="D44" i="55"/>
  <c r="D43" i="55"/>
  <c r="D42" i="55"/>
  <c r="D41" i="55"/>
  <c r="D40" i="55"/>
  <c r="D39" i="55"/>
  <c r="D38" i="55"/>
  <c r="D37" i="55"/>
  <c r="D36" i="55"/>
  <c r="D35" i="55"/>
  <c r="D34" i="55"/>
  <c r="D33" i="55"/>
  <c r="D32" i="55"/>
  <c r="D31" i="55"/>
  <c r="D30" i="55"/>
  <c r="D29" i="55"/>
  <c r="D28" i="55"/>
  <c r="D27" i="55"/>
  <c r="D26" i="55"/>
  <c r="D25" i="55"/>
  <c r="D24" i="55"/>
  <c r="D23" i="55"/>
  <c r="D22" i="55"/>
  <c r="D21" i="55"/>
  <c r="D20" i="55"/>
  <c r="D19" i="55"/>
  <c r="D18" i="55"/>
  <c r="D17" i="55"/>
  <c r="D16" i="55"/>
  <c r="D15" i="55"/>
  <c r="D14" i="55"/>
  <c r="D13" i="55"/>
  <c r="D12" i="55"/>
  <c r="D11" i="55"/>
  <c r="D10" i="55"/>
  <c r="D9" i="55"/>
  <c r="D8" i="55"/>
  <c r="D7" i="55"/>
  <c r="D6" i="55"/>
  <c r="D5" i="55"/>
  <c r="D4" i="55"/>
  <c r="D3" i="55"/>
  <c r="D2" i="55"/>
  <c r="B111" i="55"/>
  <c r="C111" i="55" s="1"/>
  <c r="B110" i="55"/>
  <c r="C110" i="55" s="1"/>
  <c r="B109" i="55"/>
  <c r="C109" i="55" s="1"/>
  <c r="B108" i="55"/>
  <c r="C108" i="55" s="1"/>
  <c r="B107" i="55"/>
  <c r="B106" i="55"/>
  <c r="B105" i="55"/>
  <c r="C105" i="55" s="1"/>
  <c r="B104" i="55"/>
  <c r="C104" i="55" s="1"/>
  <c r="B103" i="55"/>
  <c r="B102" i="55"/>
  <c r="A12" i="26"/>
  <c r="E12" i="26"/>
  <c r="D12" i="26" s="1"/>
  <c r="F12" i="26"/>
  <c r="G12" i="26"/>
  <c r="T12" i="26"/>
  <c r="U12" i="26"/>
  <c r="V12" i="26"/>
  <c r="AE7" i="52"/>
  <c r="AF7" i="52"/>
  <c r="AE10" i="52"/>
  <c r="AC10" i="52" s="1"/>
  <c r="AE11" i="52"/>
  <c r="AF11" i="52"/>
  <c r="AG12" i="52"/>
  <c r="AE13" i="52"/>
  <c r="AC13" i="52" s="1"/>
  <c r="AE18" i="52"/>
  <c r="AC18" i="52" s="1"/>
  <c r="AE19" i="52"/>
  <c r="AF19" i="52"/>
  <c r="AG2" i="52"/>
  <c r="AF2" i="52"/>
  <c r="AE2" i="52"/>
  <c r="AC2" i="52" s="1"/>
  <c r="J19" i="52"/>
  <c r="AG19" i="52" s="1"/>
  <c r="I19" i="52"/>
  <c r="H19" i="52"/>
  <c r="J18" i="52"/>
  <c r="AG18" i="52" s="1"/>
  <c r="I18" i="52"/>
  <c r="AF18" i="52" s="1"/>
  <c r="H18" i="52"/>
  <c r="J17" i="52"/>
  <c r="AG17" i="52" s="1"/>
  <c r="I17" i="52"/>
  <c r="AF17" i="52" s="1"/>
  <c r="H17" i="52"/>
  <c r="AE17" i="52" s="1"/>
  <c r="J16" i="52"/>
  <c r="AG16" i="52" s="1"/>
  <c r="I16" i="52"/>
  <c r="AF16" i="52" s="1"/>
  <c r="H16" i="52"/>
  <c r="AE16" i="52" s="1"/>
  <c r="J15" i="52"/>
  <c r="AG15" i="52" s="1"/>
  <c r="I15" i="52"/>
  <c r="AF15" i="52" s="1"/>
  <c r="H15" i="52"/>
  <c r="AE15" i="52" s="1"/>
  <c r="J14" i="52"/>
  <c r="AG14" i="52" s="1"/>
  <c r="I14" i="52"/>
  <c r="AF14" i="52" s="1"/>
  <c r="H14" i="52"/>
  <c r="AE14" i="52" s="1"/>
  <c r="J13" i="52"/>
  <c r="AG13" i="52" s="1"/>
  <c r="I13" i="52"/>
  <c r="AF13" i="52" s="1"/>
  <c r="H13" i="52"/>
  <c r="J12" i="52"/>
  <c r="I12" i="52"/>
  <c r="AF12" i="52" s="1"/>
  <c r="H12" i="52"/>
  <c r="AE12" i="52" s="1"/>
  <c r="AC12" i="52" s="1"/>
  <c r="J11" i="52"/>
  <c r="AG11" i="52" s="1"/>
  <c r="AC11" i="52" s="1"/>
  <c r="I11" i="52"/>
  <c r="H11" i="52"/>
  <c r="J10" i="52"/>
  <c r="AG10" i="52" s="1"/>
  <c r="I10" i="52"/>
  <c r="AF10" i="52" s="1"/>
  <c r="H10" i="52"/>
  <c r="J9" i="52"/>
  <c r="AG9" i="52" s="1"/>
  <c r="I9" i="52"/>
  <c r="AF9" i="52" s="1"/>
  <c r="H9" i="52"/>
  <c r="AE9" i="52" s="1"/>
  <c r="J8" i="52"/>
  <c r="AG8" i="52" s="1"/>
  <c r="I8" i="52"/>
  <c r="AF8" i="52" s="1"/>
  <c r="H8" i="52"/>
  <c r="AE8" i="52" s="1"/>
  <c r="J7" i="52"/>
  <c r="AG7" i="52" s="1"/>
  <c r="I7" i="52"/>
  <c r="H7" i="52"/>
  <c r="J6" i="52"/>
  <c r="AG6" i="52" s="1"/>
  <c r="I6" i="52"/>
  <c r="AF6" i="52" s="1"/>
  <c r="H6" i="52"/>
  <c r="AE6" i="52" s="1"/>
  <c r="J5" i="52"/>
  <c r="AG5" i="52" s="1"/>
  <c r="I5" i="52"/>
  <c r="AF5" i="52" s="1"/>
  <c r="H5" i="52"/>
  <c r="AE5" i="52" s="1"/>
  <c r="J4" i="52"/>
  <c r="AG4" i="52" s="1"/>
  <c r="I4" i="52"/>
  <c r="AF4" i="52" s="1"/>
  <c r="H4" i="52"/>
  <c r="AE4" i="52" s="1"/>
  <c r="J3" i="52"/>
  <c r="AG3" i="52" s="1"/>
  <c r="I3" i="52"/>
  <c r="AF3" i="52" s="1"/>
  <c r="H3" i="52"/>
  <c r="AE3" i="52" s="1"/>
  <c r="J2" i="52"/>
  <c r="I2" i="52"/>
  <c r="H2" i="52"/>
  <c r="H49" i="51"/>
  <c r="I49" i="51"/>
  <c r="J49" i="51"/>
  <c r="K49" i="51"/>
  <c r="L49" i="51"/>
  <c r="O49" i="51"/>
  <c r="P49" i="51"/>
  <c r="Q49" i="51"/>
  <c r="R49" i="51"/>
  <c r="S49" i="51"/>
  <c r="U49" i="51"/>
  <c r="H50" i="51"/>
  <c r="I50" i="51"/>
  <c r="J50" i="51"/>
  <c r="K50" i="51"/>
  <c r="L50" i="51"/>
  <c r="O50" i="51"/>
  <c r="P50" i="51"/>
  <c r="Q50" i="51"/>
  <c r="R50" i="51"/>
  <c r="S50" i="51"/>
  <c r="U50" i="51"/>
  <c r="H51" i="51"/>
  <c r="I51" i="51"/>
  <c r="J51" i="51"/>
  <c r="K51" i="51"/>
  <c r="L51" i="51"/>
  <c r="O51" i="51"/>
  <c r="P51" i="51"/>
  <c r="Q51" i="51"/>
  <c r="R51" i="51"/>
  <c r="S51" i="51"/>
  <c r="U51" i="51"/>
  <c r="H52" i="51"/>
  <c r="I52" i="51"/>
  <c r="J52" i="51"/>
  <c r="K52" i="51"/>
  <c r="L52" i="51"/>
  <c r="O52" i="51"/>
  <c r="P52" i="51"/>
  <c r="Q52" i="51"/>
  <c r="R52" i="51"/>
  <c r="S52" i="51"/>
  <c r="U52" i="51"/>
  <c r="H53" i="51"/>
  <c r="I53" i="51"/>
  <c r="J53" i="51"/>
  <c r="K53" i="51"/>
  <c r="L53" i="51"/>
  <c r="O53" i="51"/>
  <c r="P53" i="51"/>
  <c r="Q53" i="51"/>
  <c r="R53" i="51"/>
  <c r="S53" i="51"/>
  <c r="U53" i="51"/>
  <c r="H54" i="51"/>
  <c r="I54" i="51"/>
  <c r="J54" i="51"/>
  <c r="K54" i="51"/>
  <c r="L54" i="51"/>
  <c r="O54" i="51"/>
  <c r="P54" i="51"/>
  <c r="Q54" i="51"/>
  <c r="R54" i="51"/>
  <c r="S54" i="51"/>
  <c r="U54" i="51"/>
  <c r="H55" i="51"/>
  <c r="I55" i="51"/>
  <c r="J55" i="51"/>
  <c r="K55" i="51"/>
  <c r="L55" i="51"/>
  <c r="O55" i="51"/>
  <c r="P55" i="51"/>
  <c r="Q55" i="51"/>
  <c r="R55" i="51"/>
  <c r="S55" i="51"/>
  <c r="U55" i="51"/>
  <c r="H56" i="51"/>
  <c r="I56" i="51"/>
  <c r="J56" i="51"/>
  <c r="K56" i="51"/>
  <c r="L56" i="51"/>
  <c r="O56" i="51"/>
  <c r="P56" i="51"/>
  <c r="Q56" i="51"/>
  <c r="R56" i="51"/>
  <c r="S56" i="51"/>
  <c r="U56" i="51"/>
  <c r="H57" i="51"/>
  <c r="I57" i="51"/>
  <c r="J57" i="51"/>
  <c r="K57" i="51"/>
  <c r="L57" i="51"/>
  <c r="O57" i="51"/>
  <c r="P57" i="51"/>
  <c r="Q57" i="51"/>
  <c r="R57" i="51"/>
  <c r="S57" i="51"/>
  <c r="U57" i="51"/>
  <c r="H58" i="51"/>
  <c r="I58" i="51"/>
  <c r="J58" i="51"/>
  <c r="K58" i="51"/>
  <c r="L58" i="51"/>
  <c r="O58" i="51"/>
  <c r="P58" i="51"/>
  <c r="Q58" i="51"/>
  <c r="R58" i="51"/>
  <c r="S58" i="51"/>
  <c r="U58" i="51"/>
  <c r="H59" i="51"/>
  <c r="I59" i="51"/>
  <c r="J59" i="51"/>
  <c r="K59" i="51"/>
  <c r="L59" i="51"/>
  <c r="O59" i="51"/>
  <c r="P59" i="51"/>
  <c r="Q59" i="51"/>
  <c r="R59" i="51"/>
  <c r="S59" i="51"/>
  <c r="U59" i="51"/>
  <c r="C106" i="55" l="1"/>
  <c r="C107" i="55"/>
  <c r="C102" i="55"/>
  <c r="C103" i="55"/>
  <c r="AC15" i="52"/>
  <c r="AC4" i="52"/>
  <c r="AC8" i="52"/>
  <c r="AC16" i="52"/>
  <c r="AC14" i="52"/>
  <c r="AC19" i="52"/>
  <c r="AC9" i="52"/>
  <c r="AC7" i="52"/>
  <c r="AC5" i="52"/>
  <c r="AC17" i="52"/>
  <c r="AC6" i="52"/>
  <c r="AC3" i="52"/>
  <c r="H3" i="51"/>
  <c r="H4" i="51"/>
  <c r="H5" i="51"/>
  <c r="H6" i="51"/>
  <c r="H7" i="51"/>
  <c r="H8" i="51"/>
  <c r="H9" i="51"/>
  <c r="H10" i="51"/>
  <c r="H11" i="51"/>
  <c r="H12" i="51"/>
  <c r="H13" i="51"/>
  <c r="H14" i="51"/>
  <c r="H15" i="51"/>
  <c r="H16" i="51"/>
  <c r="H17" i="51"/>
  <c r="H18" i="51"/>
  <c r="H19" i="51"/>
  <c r="H20" i="51"/>
  <c r="H21" i="51"/>
  <c r="H22" i="51"/>
  <c r="H23" i="51"/>
  <c r="H24" i="51"/>
  <c r="H25" i="51"/>
  <c r="H26" i="51"/>
  <c r="H27" i="51"/>
  <c r="H28" i="51"/>
  <c r="H29" i="51"/>
  <c r="H30" i="51"/>
  <c r="H31" i="51"/>
  <c r="H32" i="51"/>
  <c r="H33" i="51"/>
  <c r="H34" i="51"/>
  <c r="H35" i="51"/>
  <c r="H36" i="51"/>
  <c r="H37" i="51"/>
  <c r="H38" i="51"/>
  <c r="H39" i="51"/>
  <c r="H40" i="51"/>
  <c r="H41" i="51"/>
  <c r="H42" i="51"/>
  <c r="H43" i="51"/>
  <c r="H44" i="51"/>
  <c r="H45" i="51"/>
  <c r="H46" i="51"/>
  <c r="H47" i="51"/>
  <c r="H48" i="51"/>
  <c r="H2" i="51"/>
  <c r="I3" i="51"/>
  <c r="J3" i="51"/>
  <c r="K3" i="51"/>
  <c r="L3" i="51"/>
  <c r="O3" i="51"/>
  <c r="P3" i="51"/>
  <c r="Q3" i="51"/>
  <c r="R3" i="51"/>
  <c r="S3" i="51"/>
  <c r="U3" i="51"/>
  <c r="I4" i="51"/>
  <c r="J4" i="51"/>
  <c r="K4" i="51"/>
  <c r="L4" i="51"/>
  <c r="O4" i="51"/>
  <c r="P4" i="51"/>
  <c r="Q4" i="51"/>
  <c r="R4" i="51"/>
  <c r="S4" i="51"/>
  <c r="U4" i="51"/>
  <c r="I5" i="51"/>
  <c r="J5" i="51"/>
  <c r="K5" i="51"/>
  <c r="L5" i="51"/>
  <c r="O5" i="51"/>
  <c r="P5" i="51"/>
  <c r="Q5" i="51"/>
  <c r="R5" i="51"/>
  <c r="S5" i="51"/>
  <c r="U5" i="51"/>
  <c r="I6" i="51"/>
  <c r="J6" i="51"/>
  <c r="K6" i="51"/>
  <c r="L6" i="51"/>
  <c r="O6" i="51"/>
  <c r="P6" i="51"/>
  <c r="Q6" i="51"/>
  <c r="R6" i="51"/>
  <c r="S6" i="51"/>
  <c r="U6" i="51"/>
  <c r="I7" i="51"/>
  <c r="J7" i="51"/>
  <c r="K7" i="51"/>
  <c r="L7" i="51"/>
  <c r="O7" i="51"/>
  <c r="P7" i="51"/>
  <c r="Q7" i="51"/>
  <c r="R7" i="51"/>
  <c r="S7" i="51"/>
  <c r="U7" i="51"/>
  <c r="I8" i="51"/>
  <c r="J8" i="51"/>
  <c r="K8" i="51"/>
  <c r="L8" i="51"/>
  <c r="O8" i="51"/>
  <c r="P8" i="51"/>
  <c r="Q8" i="51"/>
  <c r="R8" i="51"/>
  <c r="S8" i="51"/>
  <c r="U8" i="51"/>
  <c r="I9" i="51"/>
  <c r="J9" i="51"/>
  <c r="K9" i="51"/>
  <c r="L9" i="51"/>
  <c r="O9" i="51"/>
  <c r="P9" i="51"/>
  <c r="Q9" i="51"/>
  <c r="R9" i="51"/>
  <c r="S9" i="51"/>
  <c r="U9" i="51"/>
  <c r="I10" i="51"/>
  <c r="J10" i="51"/>
  <c r="K10" i="51"/>
  <c r="L10" i="51"/>
  <c r="O10" i="51"/>
  <c r="P10" i="51"/>
  <c r="Q10" i="51"/>
  <c r="R10" i="51"/>
  <c r="S10" i="51"/>
  <c r="U10" i="51"/>
  <c r="I11" i="51"/>
  <c r="J11" i="51"/>
  <c r="K11" i="51"/>
  <c r="L11" i="51"/>
  <c r="O11" i="51"/>
  <c r="P11" i="51"/>
  <c r="Q11" i="51"/>
  <c r="R11" i="51"/>
  <c r="S11" i="51"/>
  <c r="U11" i="51"/>
  <c r="I12" i="51"/>
  <c r="J12" i="51"/>
  <c r="K12" i="51"/>
  <c r="L12" i="51"/>
  <c r="O12" i="51"/>
  <c r="P12" i="51"/>
  <c r="Q12" i="51"/>
  <c r="R12" i="51"/>
  <c r="S12" i="51"/>
  <c r="U12" i="51"/>
  <c r="I13" i="51"/>
  <c r="J13" i="51"/>
  <c r="K13" i="51"/>
  <c r="L13" i="51"/>
  <c r="O13" i="51"/>
  <c r="P13" i="51"/>
  <c r="Q13" i="51"/>
  <c r="R13" i="51"/>
  <c r="S13" i="51"/>
  <c r="U13" i="51"/>
  <c r="I14" i="51"/>
  <c r="J14" i="51"/>
  <c r="K14" i="51"/>
  <c r="L14" i="51"/>
  <c r="O14" i="51"/>
  <c r="P14" i="51"/>
  <c r="Q14" i="51"/>
  <c r="R14" i="51"/>
  <c r="S14" i="51"/>
  <c r="U14" i="51"/>
  <c r="I15" i="51"/>
  <c r="J15" i="51"/>
  <c r="K15" i="51"/>
  <c r="L15" i="51"/>
  <c r="O15" i="51"/>
  <c r="P15" i="51"/>
  <c r="Q15" i="51"/>
  <c r="R15" i="51"/>
  <c r="S15" i="51"/>
  <c r="U15" i="51"/>
  <c r="I16" i="51"/>
  <c r="J16" i="51"/>
  <c r="K16" i="51"/>
  <c r="L16" i="51"/>
  <c r="O16" i="51"/>
  <c r="P16" i="51"/>
  <c r="Q16" i="51"/>
  <c r="R16" i="51"/>
  <c r="S16" i="51"/>
  <c r="U16" i="51"/>
  <c r="I17" i="51"/>
  <c r="J17" i="51"/>
  <c r="K17" i="51"/>
  <c r="L17" i="51"/>
  <c r="O17" i="51"/>
  <c r="P17" i="51"/>
  <c r="Q17" i="51"/>
  <c r="R17" i="51"/>
  <c r="S17" i="51"/>
  <c r="U17" i="51"/>
  <c r="I18" i="51"/>
  <c r="J18" i="51"/>
  <c r="K18" i="51"/>
  <c r="L18" i="51"/>
  <c r="O18" i="51"/>
  <c r="P18" i="51"/>
  <c r="Q18" i="51"/>
  <c r="R18" i="51"/>
  <c r="S18" i="51"/>
  <c r="U18" i="51"/>
  <c r="I19" i="51"/>
  <c r="J19" i="51"/>
  <c r="K19" i="51"/>
  <c r="L19" i="51"/>
  <c r="O19" i="51"/>
  <c r="P19" i="51"/>
  <c r="Q19" i="51"/>
  <c r="R19" i="51"/>
  <c r="S19" i="51"/>
  <c r="U19" i="51"/>
  <c r="I20" i="51"/>
  <c r="J20" i="51"/>
  <c r="K20" i="51"/>
  <c r="L20" i="51"/>
  <c r="O20" i="51"/>
  <c r="P20" i="51"/>
  <c r="Q20" i="51"/>
  <c r="R20" i="51"/>
  <c r="S20" i="51"/>
  <c r="U20" i="51"/>
  <c r="I21" i="51"/>
  <c r="J21" i="51"/>
  <c r="K21" i="51"/>
  <c r="L21" i="51"/>
  <c r="O21" i="51"/>
  <c r="P21" i="51"/>
  <c r="Q21" i="51"/>
  <c r="R21" i="51"/>
  <c r="S21" i="51"/>
  <c r="U21" i="51"/>
  <c r="I22" i="51"/>
  <c r="J22" i="51"/>
  <c r="K22" i="51"/>
  <c r="L22" i="51"/>
  <c r="O22" i="51"/>
  <c r="P22" i="51"/>
  <c r="Q22" i="51"/>
  <c r="R22" i="51"/>
  <c r="S22" i="51"/>
  <c r="U22" i="51"/>
  <c r="I23" i="51"/>
  <c r="J23" i="51"/>
  <c r="K23" i="51"/>
  <c r="L23" i="51"/>
  <c r="O23" i="51"/>
  <c r="P23" i="51"/>
  <c r="Q23" i="51"/>
  <c r="R23" i="51"/>
  <c r="S23" i="51"/>
  <c r="U23" i="51"/>
  <c r="I24" i="51"/>
  <c r="J24" i="51"/>
  <c r="K24" i="51"/>
  <c r="L24" i="51"/>
  <c r="O24" i="51"/>
  <c r="P24" i="51"/>
  <c r="Q24" i="51"/>
  <c r="R24" i="51"/>
  <c r="S24" i="51"/>
  <c r="U24" i="51"/>
  <c r="I25" i="51"/>
  <c r="J25" i="51"/>
  <c r="K25" i="51"/>
  <c r="L25" i="51"/>
  <c r="O25" i="51"/>
  <c r="P25" i="51"/>
  <c r="Q25" i="51"/>
  <c r="R25" i="51"/>
  <c r="S25" i="51"/>
  <c r="U25" i="51"/>
  <c r="I26" i="51"/>
  <c r="J26" i="51"/>
  <c r="K26" i="51"/>
  <c r="L26" i="51"/>
  <c r="O26" i="51"/>
  <c r="P26" i="51"/>
  <c r="Q26" i="51"/>
  <c r="R26" i="51"/>
  <c r="S26" i="51"/>
  <c r="U26" i="51"/>
  <c r="I27" i="51"/>
  <c r="J27" i="51"/>
  <c r="K27" i="51"/>
  <c r="L27" i="51"/>
  <c r="O27" i="51"/>
  <c r="P27" i="51"/>
  <c r="Q27" i="51"/>
  <c r="R27" i="51"/>
  <c r="S27" i="51"/>
  <c r="U27" i="51"/>
  <c r="I28" i="51"/>
  <c r="J28" i="51"/>
  <c r="K28" i="51"/>
  <c r="L28" i="51"/>
  <c r="O28" i="51"/>
  <c r="P28" i="51"/>
  <c r="Q28" i="51"/>
  <c r="R28" i="51"/>
  <c r="S28" i="51"/>
  <c r="U28" i="51"/>
  <c r="I29" i="51"/>
  <c r="J29" i="51"/>
  <c r="K29" i="51"/>
  <c r="L29" i="51"/>
  <c r="O29" i="51"/>
  <c r="P29" i="51"/>
  <c r="Q29" i="51"/>
  <c r="R29" i="51"/>
  <c r="S29" i="51"/>
  <c r="U29" i="51"/>
  <c r="I30" i="51"/>
  <c r="J30" i="51"/>
  <c r="K30" i="51"/>
  <c r="L30" i="51"/>
  <c r="O30" i="51"/>
  <c r="P30" i="51"/>
  <c r="Q30" i="51"/>
  <c r="R30" i="51"/>
  <c r="S30" i="51"/>
  <c r="U30" i="51"/>
  <c r="I31" i="51"/>
  <c r="J31" i="51"/>
  <c r="K31" i="51"/>
  <c r="L31" i="51"/>
  <c r="O31" i="51"/>
  <c r="P31" i="51"/>
  <c r="Q31" i="51"/>
  <c r="R31" i="51"/>
  <c r="S31" i="51"/>
  <c r="U31" i="51"/>
  <c r="I32" i="51"/>
  <c r="J32" i="51"/>
  <c r="K32" i="51"/>
  <c r="L32" i="51"/>
  <c r="O32" i="51"/>
  <c r="P32" i="51"/>
  <c r="Q32" i="51"/>
  <c r="R32" i="51"/>
  <c r="S32" i="51"/>
  <c r="U32" i="51"/>
  <c r="I33" i="51"/>
  <c r="J33" i="51"/>
  <c r="K33" i="51"/>
  <c r="L33" i="51"/>
  <c r="O33" i="51"/>
  <c r="P33" i="51"/>
  <c r="Q33" i="51"/>
  <c r="R33" i="51"/>
  <c r="S33" i="51"/>
  <c r="U33" i="51"/>
  <c r="I34" i="51"/>
  <c r="J34" i="51"/>
  <c r="K34" i="51"/>
  <c r="L34" i="51"/>
  <c r="O34" i="51"/>
  <c r="P34" i="51"/>
  <c r="Q34" i="51"/>
  <c r="R34" i="51"/>
  <c r="S34" i="51"/>
  <c r="U34" i="51"/>
  <c r="I35" i="51"/>
  <c r="J35" i="51"/>
  <c r="K35" i="51"/>
  <c r="L35" i="51"/>
  <c r="O35" i="51"/>
  <c r="P35" i="51"/>
  <c r="Q35" i="51"/>
  <c r="R35" i="51"/>
  <c r="S35" i="51"/>
  <c r="U35" i="51"/>
  <c r="I36" i="51"/>
  <c r="J36" i="51"/>
  <c r="K36" i="51"/>
  <c r="L36" i="51"/>
  <c r="O36" i="51"/>
  <c r="P36" i="51"/>
  <c r="Q36" i="51"/>
  <c r="R36" i="51"/>
  <c r="S36" i="51"/>
  <c r="U36" i="51"/>
  <c r="I37" i="51"/>
  <c r="J37" i="51"/>
  <c r="K37" i="51"/>
  <c r="L37" i="51"/>
  <c r="O37" i="51"/>
  <c r="P37" i="51"/>
  <c r="Q37" i="51"/>
  <c r="R37" i="51"/>
  <c r="S37" i="51"/>
  <c r="U37" i="51"/>
  <c r="I38" i="51"/>
  <c r="J38" i="51"/>
  <c r="K38" i="51"/>
  <c r="L38" i="51"/>
  <c r="O38" i="51"/>
  <c r="P38" i="51"/>
  <c r="Q38" i="51"/>
  <c r="R38" i="51"/>
  <c r="S38" i="51"/>
  <c r="U38" i="51"/>
  <c r="I39" i="51"/>
  <c r="J39" i="51"/>
  <c r="K39" i="51"/>
  <c r="L39" i="51"/>
  <c r="O39" i="51"/>
  <c r="P39" i="51"/>
  <c r="Q39" i="51"/>
  <c r="R39" i="51"/>
  <c r="S39" i="51"/>
  <c r="U39" i="51"/>
  <c r="I40" i="51"/>
  <c r="J40" i="51"/>
  <c r="K40" i="51"/>
  <c r="L40" i="51"/>
  <c r="O40" i="51"/>
  <c r="P40" i="51"/>
  <c r="Q40" i="51"/>
  <c r="R40" i="51"/>
  <c r="S40" i="51"/>
  <c r="U40" i="51"/>
  <c r="I41" i="51"/>
  <c r="J41" i="51"/>
  <c r="K41" i="51"/>
  <c r="L41" i="51"/>
  <c r="O41" i="51"/>
  <c r="P41" i="51"/>
  <c r="Q41" i="51"/>
  <c r="R41" i="51"/>
  <c r="S41" i="51"/>
  <c r="U41" i="51"/>
  <c r="I42" i="51"/>
  <c r="J42" i="51"/>
  <c r="K42" i="51"/>
  <c r="L42" i="51"/>
  <c r="O42" i="51"/>
  <c r="P42" i="51"/>
  <c r="Q42" i="51"/>
  <c r="R42" i="51"/>
  <c r="S42" i="51"/>
  <c r="U42" i="51"/>
  <c r="I43" i="51"/>
  <c r="J43" i="51"/>
  <c r="K43" i="51"/>
  <c r="L43" i="51"/>
  <c r="O43" i="51"/>
  <c r="P43" i="51"/>
  <c r="Q43" i="51"/>
  <c r="R43" i="51"/>
  <c r="S43" i="51"/>
  <c r="U43" i="51"/>
  <c r="I44" i="51"/>
  <c r="J44" i="51"/>
  <c r="K44" i="51"/>
  <c r="L44" i="51"/>
  <c r="O44" i="51"/>
  <c r="P44" i="51"/>
  <c r="Q44" i="51"/>
  <c r="R44" i="51"/>
  <c r="S44" i="51"/>
  <c r="U44" i="51"/>
  <c r="I45" i="51"/>
  <c r="J45" i="51"/>
  <c r="K45" i="51"/>
  <c r="L45" i="51"/>
  <c r="O45" i="51"/>
  <c r="P45" i="51"/>
  <c r="Q45" i="51"/>
  <c r="R45" i="51"/>
  <c r="S45" i="51"/>
  <c r="U45" i="51"/>
  <c r="I46" i="51"/>
  <c r="J46" i="51"/>
  <c r="K46" i="51"/>
  <c r="L46" i="51"/>
  <c r="O46" i="51"/>
  <c r="P46" i="51"/>
  <c r="Q46" i="51"/>
  <c r="R46" i="51"/>
  <c r="S46" i="51"/>
  <c r="U46" i="51"/>
  <c r="I47" i="51"/>
  <c r="J47" i="51"/>
  <c r="K47" i="51"/>
  <c r="L47" i="51"/>
  <c r="O47" i="51"/>
  <c r="P47" i="51"/>
  <c r="Q47" i="51"/>
  <c r="R47" i="51"/>
  <c r="S47" i="51"/>
  <c r="U47" i="51"/>
  <c r="I48" i="51"/>
  <c r="J48" i="51"/>
  <c r="K48" i="51"/>
  <c r="L48" i="51"/>
  <c r="O48" i="51"/>
  <c r="P48" i="51"/>
  <c r="Q48" i="51"/>
  <c r="R48" i="51"/>
  <c r="S48" i="51"/>
  <c r="U48" i="51"/>
  <c r="U2" i="51"/>
  <c r="S2" i="51"/>
  <c r="R2" i="51"/>
  <c r="Q2" i="51"/>
  <c r="P2" i="51"/>
  <c r="O2" i="51"/>
  <c r="L2" i="51"/>
  <c r="K2" i="51"/>
  <c r="J2" i="51"/>
  <c r="I2" i="51"/>
  <c r="B34" i="45" l="1"/>
  <c r="B35" i="45"/>
  <c r="B36" i="45"/>
  <c r="B37" i="45"/>
  <c r="B38" i="45"/>
  <c r="B39" i="45"/>
  <c r="B40" i="45"/>
  <c r="B41" i="45"/>
  <c r="B42" i="45"/>
  <c r="B43" i="45"/>
  <c r="B44" i="45"/>
  <c r="B45" i="45"/>
  <c r="B46" i="45"/>
  <c r="B47" i="45"/>
  <c r="B48" i="45"/>
  <c r="B49" i="45"/>
  <c r="B50" i="45"/>
  <c r="B51" i="45"/>
  <c r="B52" i="45"/>
  <c r="B53" i="45"/>
  <c r="B54" i="45"/>
  <c r="B55" i="45"/>
  <c r="B56" i="45"/>
  <c r="B57" i="45"/>
  <c r="B58" i="45"/>
  <c r="B59" i="45"/>
  <c r="B60" i="45"/>
  <c r="B61" i="45"/>
  <c r="B62" i="45"/>
  <c r="B33" i="45"/>
  <c r="B12" i="44"/>
  <c r="B13" i="44"/>
  <c r="B14" i="44"/>
  <c r="B15" i="44"/>
  <c r="B16" i="44"/>
  <c r="B17" i="44"/>
  <c r="B18" i="44"/>
  <c r="B11" i="44"/>
  <c r="E34" i="45" l="1"/>
  <c r="C34" i="45" s="1"/>
  <c r="E35" i="45"/>
  <c r="E36" i="45"/>
  <c r="C36" i="45" s="1"/>
  <c r="E37" i="45"/>
  <c r="C37" i="45" s="1"/>
  <c r="E38" i="45"/>
  <c r="E39" i="45"/>
  <c r="C39" i="45" s="1"/>
  <c r="E40" i="45"/>
  <c r="C40" i="45" s="1"/>
  <c r="E41" i="45"/>
  <c r="C41" i="45" s="1"/>
  <c r="E42" i="45"/>
  <c r="C42" i="45" s="1"/>
  <c r="E43" i="45"/>
  <c r="C43" i="45" s="1"/>
  <c r="E44" i="45"/>
  <c r="C44" i="45" s="1"/>
  <c r="E45" i="45"/>
  <c r="C45" i="45" s="1"/>
  <c r="E46" i="45"/>
  <c r="C46" i="45" s="1"/>
  <c r="E47" i="45"/>
  <c r="E48" i="45"/>
  <c r="C48" i="45" s="1"/>
  <c r="E49" i="45"/>
  <c r="C49" i="45" s="1"/>
  <c r="E50" i="45"/>
  <c r="C50" i="45" s="1"/>
  <c r="E51" i="45"/>
  <c r="E52" i="45"/>
  <c r="C52" i="45" s="1"/>
  <c r="E53" i="45"/>
  <c r="C53" i="45" s="1"/>
  <c r="E54" i="45"/>
  <c r="C54" i="45" s="1"/>
  <c r="E55" i="45"/>
  <c r="C55" i="45" s="1"/>
  <c r="E56" i="45"/>
  <c r="C56" i="45" s="1"/>
  <c r="E57" i="45"/>
  <c r="C57" i="45" s="1"/>
  <c r="E58" i="45"/>
  <c r="C58" i="45" s="1"/>
  <c r="E59" i="45"/>
  <c r="E60" i="45"/>
  <c r="C60" i="45" s="1"/>
  <c r="E61" i="45"/>
  <c r="C61" i="45" s="1"/>
  <c r="E62" i="45"/>
  <c r="C62" i="45" s="1"/>
  <c r="E33" i="45"/>
  <c r="C33" i="45" s="1"/>
  <c r="E17" i="44"/>
  <c r="C17" i="44" s="1"/>
  <c r="E18" i="44"/>
  <c r="C18" i="44" s="1"/>
  <c r="A12" i="44"/>
  <c r="E12" i="44" s="1"/>
  <c r="C12" i="44" s="1"/>
  <c r="A13" i="44"/>
  <c r="E13" i="44" s="1"/>
  <c r="C13" i="44" s="1"/>
  <c r="A14" i="44"/>
  <c r="E14" i="44" s="1"/>
  <c r="C14" i="44" s="1"/>
  <c r="A15" i="44"/>
  <c r="E15" i="44" s="1"/>
  <c r="C15" i="44" s="1"/>
  <c r="A16" i="44"/>
  <c r="E16" i="44" s="1"/>
  <c r="C16" i="44" s="1"/>
  <c r="A17" i="44"/>
  <c r="A18" i="44"/>
  <c r="A11" i="44"/>
  <c r="E11" i="44" s="1"/>
  <c r="C11" i="44" s="1"/>
  <c r="C38" i="45"/>
  <c r="C35" i="45"/>
  <c r="C47" i="45"/>
  <c r="C51" i="45"/>
  <c r="C59" i="45"/>
  <c r="A34" i="45"/>
  <c r="A35" i="45"/>
  <c r="A36" i="45"/>
  <c r="A37" i="45"/>
  <c r="A38" i="45"/>
  <c r="A39" i="45"/>
  <c r="A40" i="45"/>
  <c r="A41" i="45"/>
  <c r="A42" i="45"/>
  <c r="A43" i="45"/>
  <c r="A44" i="45"/>
  <c r="A45" i="45"/>
  <c r="A46" i="45"/>
  <c r="A47" i="45"/>
  <c r="A48" i="45"/>
  <c r="A49" i="45"/>
  <c r="A50" i="45"/>
  <c r="A51" i="45"/>
  <c r="A52" i="45"/>
  <c r="A53" i="45"/>
  <c r="A54" i="45"/>
  <c r="A55" i="45"/>
  <c r="A56" i="45"/>
  <c r="A57" i="45"/>
  <c r="A58" i="45"/>
  <c r="A59" i="45"/>
  <c r="A60" i="45"/>
  <c r="A61" i="45"/>
  <c r="A62" i="45"/>
  <c r="A33" i="45"/>
  <c r="B8" i="20"/>
  <c r="C34" i="18"/>
  <c r="C35" i="18" s="1"/>
  <c r="C36" i="18" s="1"/>
  <c r="C37" i="18" s="1"/>
  <c r="C8" i="20" s="1"/>
  <c r="G11" i="26" l="1"/>
  <c r="G10" i="26"/>
  <c r="G9" i="26"/>
  <c r="G8" i="26"/>
  <c r="G7" i="26"/>
  <c r="G6" i="26"/>
  <c r="G5" i="26"/>
  <c r="G4" i="26"/>
  <c r="G3" i="26"/>
  <c r="G2" i="26"/>
  <c r="F11" i="26"/>
  <c r="F10" i="26"/>
  <c r="F9" i="26"/>
  <c r="F8" i="26"/>
  <c r="F7" i="26"/>
  <c r="F6" i="26"/>
  <c r="F5" i="26"/>
  <c r="F4" i="26"/>
  <c r="F3" i="26"/>
  <c r="F2" i="26"/>
  <c r="E11" i="26"/>
  <c r="E10" i="26"/>
  <c r="E9" i="26"/>
  <c r="E8" i="26"/>
  <c r="E7" i="26"/>
  <c r="E6" i="26"/>
  <c r="E5" i="26"/>
  <c r="E4" i="26"/>
  <c r="E3" i="26"/>
  <c r="E2" i="26"/>
  <c r="C2" i="55"/>
  <c r="B12" i="55"/>
  <c r="B3" i="55"/>
  <c r="B4" i="55" s="1"/>
  <c r="C4" i="55" l="1"/>
  <c r="C3" i="55"/>
  <c r="C12" i="55"/>
  <c r="B13" i="55"/>
  <c r="B22" i="55"/>
  <c r="B14" i="55"/>
  <c r="B5" i="55"/>
  <c r="D42" i="18"/>
  <c r="C5" i="55" l="1"/>
  <c r="C14" i="55"/>
  <c r="C13" i="55"/>
  <c r="C22" i="55"/>
  <c r="B32" i="55"/>
  <c r="B15" i="55"/>
  <c r="B6" i="55"/>
  <c r="B23" i="55"/>
  <c r="B24" i="55"/>
  <c r="BU3" i="2"/>
  <c r="BU4" i="2"/>
  <c r="BU5" i="2"/>
  <c r="BU6" i="2"/>
  <c r="BU7" i="2"/>
  <c r="BU8" i="2"/>
  <c r="BU9" i="2"/>
  <c r="BU10" i="2"/>
  <c r="BU11" i="2"/>
  <c r="BU12" i="2"/>
  <c r="BU13" i="2"/>
  <c r="BU14" i="2"/>
  <c r="BU15" i="2"/>
  <c r="BU16" i="2"/>
  <c r="BU17" i="2"/>
  <c r="BU18" i="2"/>
  <c r="BU19" i="2"/>
  <c r="BU20" i="2"/>
  <c r="BU21" i="2"/>
  <c r="BU22" i="2"/>
  <c r="BU23" i="2"/>
  <c r="BU24" i="2"/>
  <c r="BU25" i="2"/>
  <c r="BU26" i="2"/>
  <c r="BU27" i="2"/>
  <c r="BU28" i="2"/>
  <c r="BU29" i="2"/>
  <c r="BU30" i="2"/>
  <c r="BU31" i="2"/>
  <c r="BU32" i="2"/>
  <c r="BU33" i="2"/>
  <c r="BU34" i="2"/>
  <c r="BU35" i="2"/>
  <c r="BU36" i="2"/>
  <c r="BU37" i="2"/>
  <c r="BU38" i="2"/>
  <c r="BU39" i="2"/>
  <c r="BU40" i="2"/>
  <c r="BU41" i="2"/>
  <c r="BU42" i="2"/>
  <c r="BU43" i="2"/>
  <c r="BU44" i="2"/>
  <c r="BU45" i="2"/>
  <c r="BU46" i="2"/>
  <c r="BU47" i="2"/>
  <c r="BU48" i="2"/>
  <c r="BU49" i="2"/>
  <c r="BU50" i="2"/>
  <c r="BU2" i="2"/>
  <c r="C42" i="18"/>
  <c r="C23" i="55" l="1"/>
  <c r="C6" i="55"/>
  <c r="C15" i="55"/>
  <c r="C24" i="55"/>
  <c r="C32" i="55"/>
  <c r="B25" i="55"/>
  <c r="B33" i="55"/>
  <c r="B34" i="55"/>
  <c r="B7" i="55"/>
  <c r="B16" i="55"/>
  <c r="B42" i="55"/>
  <c r="C33" i="55" l="1"/>
  <c r="C25" i="55"/>
  <c r="C7" i="55"/>
  <c r="C16" i="55"/>
  <c r="C34" i="55"/>
  <c r="Y2" i="52"/>
  <c r="W6" i="52"/>
  <c r="O7" i="52"/>
  <c r="AA10" i="52"/>
  <c r="R18" i="52"/>
  <c r="AA3" i="52"/>
  <c r="U5" i="52"/>
  <c r="Y9" i="52"/>
  <c r="V13" i="52"/>
  <c r="Q17" i="52"/>
  <c r="O14" i="52"/>
  <c r="C42" i="55"/>
  <c r="B52" i="55"/>
  <c r="B17" i="55"/>
  <c r="B8" i="55"/>
  <c r="B26" i="55"/>
  <c r="B44" i="55"/>
  <c r="B43" i="55"/>
  <c r="B35" i="55"/>
  <c r="S11" i="52"/>
  <c r="AA4" i="52"/>
  <c r="N6" i="52"/>
  <c r="AA8" i="52"/>
  <c r="Q9" i="52"/>
  <c r="R10" i="52"/>
  <c r="AA12" i="52"/>
  <c r="U13" i="52"/>
  <c r="Z14" i="52"/>
  <c r="AA16" i="52"/>
  <c r="M3" i="52"/>
  <c r="M7" i="52"/>
  <c r="M11" i="52"/>
  <c r="M15" i="52"/>
  <c r="M19" i="52"/>
  <c r="O19" i="52"/>
  <c r="R2" i="52"/>
  <c r="P8" i="52"/>
  <c r="S2" i="52"/>
  <c r="AA2" i="52"/>
  <c r="AB3" i="52"/>
  <c r="N5" i="52"/>
  <c r="O6" i="52"/>
  <c r="P7" i="52"/>
  <c r="Q8" i="52"/>
  <c r="R9" i="52"/>
  <c r="S10" i="52"/>
  <c r="T11" i="52"/>
  <c r="U12" i="52"/>
  <c r="O15" i="52"/>
  <c r="S19" i="52"/>
  <c r="AB4" i="52"/>
  <c r="X3" i="52"/>
  <c r="Y4" i="52"/>
  <c r="AB7" i="52"/>
  <c r="U8" i="52"/>
  <c r="X11" i="52"/>
  <c r="Y12" i="52"/>
  <c r="N2" i="52"/>
  <c r="V2" i="52"/>
  <c r="S3" i="52"/>
  <c r="T4" i="52"/>
  <c r="V6" i="52"/>
  <c r="W7" i="52"/>
  <c r="X8" i="52"/>
  <c r="Z10" i="52"/>
  <c r="AA11" i="52"/>
  <c r="AB12" i="52"/>
  <c r="N14" i="52"/>
  <c r="AA15" i="52"/>
  <c r="N18" i="52"/>
  <c r="M4" i="52"/>
  <c r="Z2" i="52"/>
  <c r="T12" i="52"/>
  <c r="AB16" i="52"/>
  <c r="Y5" i="52"/>
  <c r="U9" i="52"/>
  <c r="Y13" i="52"/>
  <c r="U17" i="52"/>
  <c r="O2" i="52"/>
  <c r="W2" i="52"/>
  <c r="T3" i="52"/>
  <c r="U4" i="52"/>
  <c r="V5" i="52"/>
  <c r="X7" i="52"/>
  <c r="Y8" i="52"/>
  <c r="Z9" i="52"/>
  <c r="AB11" i="52"/>
  <c r="N13" i="52"/>
  <c r="P16" i="52"/>
  <c r="M8" i="52"/>
  <c r="Y6" i="52"/>
  <c r="U6" i="52"/>
  <c r="Q6" i="52"/>
  <c r="M6" i="52"/>
  <c r="AB6" i="52"/>
  <c r="X6" i="52"/>
  <c r="T6" i="52"/>
  <c r="P6" i="52"/>
  <c r="Y10" i="52"/>
  <c r="U10" i="52"/>
  <c r="Q10" i="52"/>
  <c r="M10" i="52"/>
  <c r="AB10" i="52"/>
  <c r="X10" i="52"/>
  <c r="T10" i="52"/>
  <c r="P10" i="52"/>
  <c r="Y14" i="52"/>
  <c r="U14" i="52"/>
  <c r="Q14" i="52"/>
  <c r="S14" i="52"/>
  <c r="M14" i="52"/>
  <c r="AB14" i="52"/>
  <c r="X14" i="52"/>
  <c r="T14" i="52"/>
  <c r="P14" i="52"/>
  <c r="AA14" i="52"/>
  <c r="W14" i="52"/>
  <c r="AB15" i="52"/>
  <c r="X15" i="52"/>
  <c r="P15" i="52"/>
  <c r="T15" i="52"/>
  <c r="U16" i="52"/>
  <c r="Y16" i="52"/>
  <c r="Q16" i="52"/>
  <c r="Y18" i="52"/>
  <c r="U18" i="52"/>
  <c r="Q18" i="52"/>
  <c r="W18" i="52"/>
  <c r="O18" i="52"/>
  <c r="M18" i="52"/>
  <c r="AB18" i="52"/>
  <c r="X18" i="52"/>
  <c r="T18" i="52"/>
  <c r="P18" i="52"/>
  <c r="AA18" i="52"/>
  <c r="S18" i="52"/>
  <c r="X19" i="52"/>
  <c r="P19" i="52"/>
  <c r="AB19" i="52"/>
  <c r="T19" i="52"/>
  <c r="O3" i="52"/>
  <c r="W3" i="52"/>
  <c r="P4" i="52"/>
  <c r="X4" i="52"/>
  <c r="Q5" i="52"/>
  <c r="R6" i="52"/>
  <c r="Z6" i="52"/>
  <c r="S7" i="52"/>
  <c r="AA7" i="52"/>
  <c r="T8" i="52"/>
  <c r="AB8" i="52"/>
  <c r="N10" i="52"/>
  <c r="V10" i="52"/>
  <c r="O11" i="52"/>
  <c r="W11" i="52"/>
  <c r="P12" i="52"/>
  <c r="X12" i="52"/>
  <c r="Q13" i="52"/>
  <c r="R14" i="52"/>
  <c r="S15" i="52"/>
  <c r="T16" i="52"/>
  <c r="V18" i="52"/>
  <c r="W19" i="52"/>
  <c r="M12" i="52"/>
  <c r="AB5" i="52"/>
  <c r="X5" i="52"/>
  <c r="T5" i="52"/>
  <c r="P5" i="52"/>
  <c r="M5" i="52"/>
  <c r="AA5" i="52"/>
  <c r="W5" i="52"/>
  <c r="S5" i="52"/>
  <c r="O5" i="52"/>
  <c r="AB9" i="52"/>
  <c r="X9" i="52"/>
  <c r="T9" i="52"/>
  <c r="P9" i="52"/>
  <c r="AA9" i="52"/>
  <c r="W9" i="52"/>
  <c r="S9" i="52"/>
  <c r="O9" i="52"/>
  <c r="M9" i="52"/>
  <c r="AB13" i="52"/>
  <c r="X13" i="52"/>
  <c r="T13" i="52"/>
  <c r="P13" i="52"/>
  <c r="M13" i="52"/>
  <c r="AA13" i="52"/>
  <c r="W13" i="52"/>
  <c r="S13" i="52"/>
  <c r="O13" i="52"/>
  <c r="AB17" i="52"/>
  <c r="X17" i="52"/>
  <c r="T17" i="52"/>
  <c r="P17" i="52"/>
  <c r="V17" i="52"/>
  <c r="N17" i="52"/>
  <c r="AA17" i="52"/>
  <c r="W17" i="52"/>
  <c r="S17" i="52"/>
  <c r="O17" i="52"/>
  <c r="M17" i="52"/>
  <c r="Z17" i="52"/>
  <c r="R17" i="52"/>
  <c r="P3" i="52"/>
  <c r="Q4" i="52"/>
  <c r="R5" i="52"/>
  <c r="Z5" i="52"/>
  <c r="S6" i="52"/>
  <c r="AA6" i="52"/>
  <c r="T7" i="52"/>
  <c r="N9" i="52"/>
  <c r="V9" i="52"/>
  <c r="O10" i="52"/>
  <c r="W10" i="52"/>
  <c r="P11" i="52"/>
  <c r="Q12" i="52"/>
  <c r="R13" i="52"/>
  <c r="Z13" i="52"/>
  <c r="V14" i="52"/>
  <c r="W15" i="52"/>
  <c r="X16" i="52"/>
  <c r="Y17" i="52"/>
  <c r="Z18" i="52"/>
  <c r="AA19" i="52"/>
  <c r="M16" i="52"/>
  <c r="P2" i="52"/>
  <c r="T2" i="52"/>
  <c r="X2" i="52"/>
  <c r="AB2" i="52"/>
  <c r="Q3" i="52"/>
  <c r="U3" i="52"/>
  <c r="Y3" i="52"/>
  <c r="N4" i="52"/>
  <c r="R4" i="52"/>
  <c r="V4" i="52"/>
  <c r="Z4" i="52"/>
  <c r="Q7" i="52"/>
  <c r="U7" i="52"/>
  <c r="Y7" i="52"/>
  <c r="N8" i="52"/>
  <c r="R8" i="52"/>
  <c r="V8" i="52"/>
  <c r="Z8" i="52"/>
  <c r="Q11" i="52"/>
  <c r="U11" i="52"/>
  <c r="Y11" i="52"/>
  <c r="N12" i="52"/>
  <c r="R12" i="52"/>
  <c r="V12" i="52"/>
  <c r="Z12" i="52"/>
  <c r="Q15" i="52"/>
  <c r="U15" i="52"/>
  <c r="Y15" i="52"/>
  <c r="N16" i="52"/>
  <c r="R16" i="52"/>
  <c r="V16" i="52"/>
  <c r="Z16" i="52"/>
  <c r="Q19" i="52"/>
  <c r="U19" i="52"/>
  <c r="Y19" i="52"/>
  <c r="M2" i="52"/>
  <c r="Q2" i="52"/>
  <c r="U2" i="52"/>
  <c r="N3" i="52"/>
  <c r="R3" i="52"/>
  <c r="V3" i="52"/>
  <c r="Z3" i="52"/>
  <c r="O4" i="52"/>
  <c r="S4" i="52"/>
  <c r="W4" i="52"/>
  <c r="N7" i="52"/>
  <c r="R7" i="52"/>
  <c r="V7" i="52"/>
  <c r="Z7" i="52"/>
  <c r="O8" i="52"/>
  <c r="S8" i="52"/>
  <c r="W8" i="52"/>
  <c r="N11" i="52"/>
  <c r="R11" i="52"/>
  <c r="V11" i="52"/>
  <c r="Z11" i="52"/>
  <c r="O12" i="52"/>
  <c r="S12" i="52"/>
  <c r="W12" i="52"/>
  <c r="N15" i="52"/>
  <c r="R15" i="52"/>
  <c r="V15" i="52"/>
  <c r="Z15" i="52"/>
  <c r="O16" i="52"/>
  <c r="S16" i="52"/>
  <c r="W16" i="52"/>
  <c r="N19" i="52"/>
  <c r="R19" i="52"/>
  <c r="V19" i="52"/>
  <c r="Z19" i="52"/>
  <c r="A11" i="26"/>
  <c r="T11" i="26"/>
  <c r="U11" i="26"/>
  <c r="V11" i="26"/>
  <c r="C26" i="55" l="1"/>
  <c r="C35" i="55"/>
  <c r="C44" i="55"/>
  <c r="C8" i="55"/>
  <c r="C43" i="55"/>
  <c r="C17" i="55"/>
  <c r="C52" i="55"/>
  <c r="B53" i="55"/>
  <c r="B54" i="55"/>
  <c r="B45" i="55"/>
  <c r="B18" i="55"/>
  <c r="B9" i="55"/>
  <c r="B36" i="55"/>
  <c r="B27" i="55"/>
  <c r="B62" i="55"/>
  <c r="E58" i="18"/>
  <c r="C3" i="53"/>
  <c r="C2" i="53"/>
  <c r="C6" i="20"/>
  <c r="A11" i="52"/>
  <c r="A10" i="52"/>
  <c r="A9" i="52"/>
  <c r="A8" i="52"/>
  <c r="A19" i="52"/>
  <c r="A18" i="52"/>
  <c r="A17" i="52"/>
  <c r="A16" i="52"/>
  <c r="A15" i="52"/>
  <c r="A14" i="52"/>
  <c r="A13" i="52"/>
  <c r="A12" i="52"/>
  <c r="A7" i="52"/>
  <c r="A6" i="52"/>
  <c r="A5" i="52"/>
  <c r="A4" i="52"/>
  <c r="A3" i="52"/>
  <c r="A2" i="52"/>
  <c r="A3" i="49"/>
  <c r="A2" i="49"/>
  <c r="A16" i="26"/>
  <c r="A15" i="26"/>
  <c r="A14" i="26"/>
  <c r="C11" i="24"/>
  <c r="C10" i="24"/>
  <c r="C27" i="55" l="1"/>
  <c r="C36" i="55"/>
  <c r="C54" i="55"/>
  <c r="C53" i="55"/>
  <c r="C45" i="55"/>
  <c r="C9" i="55"/>
  <c r="C18" i="55"/>
  <c r="C62" i="55"/>
  <c r="B19" i="55"/>
  <c r="B10" i="55"/>
  <c r="B55" i="55"/>
  <c r="B37" i="55"/>
  <c r="B46" i="55"/>
  <c r="B28" i="55"/>
  <c r="B63" i="55"/>
  <c r="B72" i="55"/>
  <c r="B64" i="55"/>
  <c r="L2" i="49"/>
  <c r="L3" i="49"/>
  <c r="K2" i="49"/>
  <c r="K3" i="49"/>
  <c r="E57" i="18"/>
  <c r="E19" i="52"/>
  <c r="D19" i="52" s="1"/>
  <c r="E18" i="52"/>
  <c r="D18" i="52" s="1"/>
  <c r="E17" i="52"/>
  <c r="D17" i="52" s="1"/>
  <c r="E16" i="52"/>
  <c r="D16" i="52" s="1"/>
  <c r="E15" i="52"/>
  <c r="D15" i="52" s="1"/>
  <c r="E14" i="52"/>
  <c r="D14" i="52" s="1"/>
  <c r="E13" i="52"/>
  <c r="D13" i="52" s="1"/>
  <c r="E12" i="52"/>
  <c r="D12" i="52" s="1"/>
  <c r="E11" i="52"/>
  <c r="E10" i="52"/>
  <c r="D10" i="52" s="1"/>
  <c r="E9" i="52"/>
  <c r="D9" i="52" s="1"/>
  <c r="E8" i="52"/>
  <c r="D8" i="52" s="1"/>
  <c r="E7" i="52"/>
  <c r="D7" i="52" s="1"/>
  <c r="E6" i="52"/>
  <c r="D6" i="52" s="1"/>
  <c r="E5" i="52"/>
  <c r="D5" i="52" s="1"/>
  <c r="E4" i="52"/>
  <c r="D4" i="52" s="1"/>
  <c r="E3" i="52"/>
  <c r="D3" i="52" s="1"/>
  <c r="E2" i="52"/>
  <c r="D2" i="52" s="1"/>
  <c r="C18" i="52"/>
  <c r="C17" i="52"/>
  <c r="C16" i="52"/>
  <c r="C15" i="52"/>
  <c r="C14" i="52"/>
  <c r="C13" i="52"/>
  <c r="C12" i="52"/>
  <c r="C11" i="52"/>
  <c r="C10" i="52"/>
  <c r="C9" i="52"/>
  <c r="C8" i="52"/>
  <c r="C7" i="52"/>
  <c r="C6" i="52"/>
  <c r="C5" i="52"/>
  <c r="C4" i="52"/>
  <c r="C3" i="52"/>
  <c r="C2" i="52"/>
  <c r="C19" i="52"/>
  <c r="D11" i="52"/>
  <c r="Y5" i="5"/>
  <c r="Y6" i="5"/>
  <c r="Y7" i="5"/>
  <c r="Y8" i="5"/>
  <c r="Y9" i="5"/>
  <c r="Y10" i="5"/>
  <c r="Y11" i="5"/>
  <c r="Y12" i="5"/>
  <c r="Y13" i="5"/>
  <c r="Y4" i="5"/>
  <c r="Y3" i="5"/>
  <c r="C37" i="55" l="1"/>
  <c r="C55" i="55"/>
  <c r="C10" i="55"/>
  <c r="C46" i="55"/>
  <c r="C19" i="55"/>
  <c r="C63" i="55"/>
  <c r="C28" i="55"/>
  <c r="C64" i="55"/>
  <c r="C72" i="55"/>
  <c r="B82" i="55"/>
  <c r="B20" i="55"/>
  <c r="B11" i="55"/>
  <c r="B56" i="55"/>
  <c r="B74" i="55"/>
  <c r="B73" i="55"/>
  <c r="B38" i="55"/>
  <c r="B65" i="55"/>
  <c r="B29" i="55"/>
  <c r="B47" i="55"/>
  <c r="Q3" i="49"/>
  <c r="E3" i="49" s="1"/>
  <c r="R3" i="49"/>
  <c r="S3" i="49"/>
  <c r="T3" i="49"/>
  <c r="U3" i="49"/>
  <c r="V3" i="49"/>
  <c r="W3" i="49"/>
  <c r="X3" i="49"/>
  <c r="Y3" i="49"/>
  <c r="Z3" i="49"/>
  <c r="AA3" i="49"/>
  <c r="AB3" i="49"/>
  <c r="AC3" i="49"/>
  <c r="AD3" i="49"/>
  <c r="P3" i="49"/>
  <c r="Q2" i="49"/>
  <c r="E2" i="49" s="1"/>
  <c r="R2" i="49"/>
  <c r="S2" i="49"/>
  <c r="T2" i="49"/>
  <c r="U2" i="49"/>
  <c r="V2" i="49"/>
  <c r="W2" i="49"/>
  <c r="X2" i="49"/>
  <c r="Y2" i="49"/>
  <c r="Z2" i="49"/>
  <c r="AA2" i="49"/>
  <c r="AB2" i="49"/>
  <c r="AC2" i="49"/>
  <c r="AD2" i="49"/>
  <c r="P2" i="49"/>
  <c r="A9" i="43"/>
  <c r="D9" i="43" s="1"/>
  <c r="F16" i="26"/>
  <c r="F15" i="26"/>
  <c r="F14" i="26"/>
  <c r="E16" i="26"/>
  <c r="E15" i="26"/>
  <c r="E14" i="26"/>
  <c r="A13" i="26"/>
  <c r="A10" i="26"/>
  <c r="A9" i="26"/>
  <c r="A8" i="26"/>
  <c r="A7" i="26"/>
  <c r="A6" i="26"/>
  <c r="A5" i="26"/>
  <c r="A4" i="26"/>
  <c r="A3" i="26"/>
  <c r="A2" i="26"/>
  <c r="J3" i="49"/>
  <c r="J2" i="49"/>
  <c r="T17" i="33"/>
  <c r="F17" i="33"/>
  <c r="E17" i="33"/>
  <c r="A17" i="33"/>
  <c r="J17" i="43" s="1"/>
  <c r="U24" i="7"/>
  <c r="E24" i="7"/>
  <c r="AC24" i="7"/>
  <c r="C24" i="7"/>
  <c r="A24" i="7"/>
  <c r="U23" i="7"/>
  <c r="U22" i="7"/>
  <c r="E23" i="7"/>
  <c r="E22" i="7"/>
  <c r="C23" i="7"/>
  <c r="C22" i="7"/>
  <c r="A23" i="7"/>
  <c r="M3" i="49" s="1"/>
  <c r="A22" i="7"/>
  <c r="A2" i="7"/>
  <c r="AC23" i="7"/>
  <c r="AC22" i="7"/>
  <c r="C47" i="55" l="1"/>
  <c r="C56" i="55"/>
  <c r="C20" i="55"/>
  <c r="C29" i="55"/>
  <c r="C73" i="55"/>
  <c r="C11" i="55"/>
  <c r="C65" i="55"/>
  <c r="C74" i="55"/>
  <c r="C38" i="55"/>
  <c r="C82" i="55"/>
  <c r="B66" i="55"/>
  <c r="B30" i="55"/>
  <c r="B57" i="55"/>
  <c r="B83" i="55"/>
  <c r="B39" i="55"/>
  <c r="B48" i="55"/>
  <c r="B21" i="55"/>
  <c r="B92" i="55"/>
  <c r="B84" i="55"/>
  <c r="B75" i="55"/>
  <c r="M2" i="49"/>
  <c r="C9" i="43"/>
  <c r="E56" i="18"/>
  <c r="C84" i="55" l="1"/>
  <c r="C21" i="55"/>
  <c r="C39" i="55"/>
  <c r="C57" i="55"/>
  <c r="C83" i="55"/>
  <c r="C30" i="55"/>
  <c r="C66" i="55"/>
  <c r="C48" i="55"/>
  <c r="C75" i="55"/>
  <c r="C92" i="55"/>
  <c r="B58" i="55"/>
  <c r="B93" i="55"/>
  <c r="B67" i="55"/>
  <c r="B40" i="55"/>
  <c r="B49" i="55"/>
  <c r="B76" i="55"/>
  <c r="B31" i="55"/>
  <c r="B85" i="55"/>
  <c r="B94" i="55"/>
  <c r="W8" i="7"/>
  <c r="W9" i="7" s="1"/>
  <c r="W10" i="7" s="1"/>
  <c r="W11" i="7" s="1"/>
  <c r="W12" i="7" s="1"/>
  <c r="W13" i="7" s="1"/>
  <c r="W14" i="7" s="1"/>
  <c r="W15" i="7" s="1"/>
  <c r="W16" i="7" s="1"/>
  <c r="W17" i="7" s="1"/>
  <c r="W18" i="7" s="1"/>
  <c r="W19" i="7" s="1"/>
  <c r="W20" i="7" s="1"/>
  <c r="W21" i="7" s="1"/>
  <c r="X8" i="7"/>
  <c r="X9" i="7" s="1"/>
  <c r="X10" i="7" s="1"/>
  <c r="X11" i="7" s="1"/>
  <c r="X12" i="7" s="1"/>
  <c r="X13" i="7" s="1"/>
  <c r="X14" i="7" s="1"/>
  <c r="X15" i="7" s="1"/>
  <c r="X16" i="7" s="1"/>
  <c r="X17" i="7" s="1"/>
  <c r="X18" i="7" s="1"/>
  <c r="X19" i="7" s="1"/>
  <c r="X20" i="7" s="1"/>
  <c r="X21" i="7" s="1"/>
  <c r="V8" i="7"/>
  <c r="V9" i="7" s="1"/>
  <c r="V10" i="7" s="1"/>
  <c r="V11" i="7" s="1"/>
  <c r="V12" i="7" s="1"/>
  <c r="V13" i="7" s="1"/>
  <c r="V14" i="7" s="1"/>
  <c r="V15" i="7" s="1"/>
  <c r="V16" i="7" s="1"/>
  <c r="V17" i="7" s="1"/>
  <c r="V18" i="7" s="1"/>
  <c r="V19" i="7" s="1"/>
  <c r="V20" i="7" s="1"/>
  <c r="V21" i="7" s="1"/>
  <c r="C40" i="55" l="1"/>
  <c r="C58" i="55"/>
  <c r="C85" i="55"/>
  <c r="C49" i="55"/>
  <c r="C67" i="55"/>
  <c r="C94" i="55"/>
  <c r="C93" i="55"/>
  <c r="C31" i="55"/>
  <c r="C76" i="55"/>
  <c r="B77" i="55"/>
  <c r="B41" i="55"/>
  <c r="B86" i="55"/>
  <c r="B50" i="55"/>
  <c r="B68" i="55"/>
  <c r="B59" i="55"/>
  <c r="B95" i="55"/>
  <c r="AC21" i="7"/>
  <c r="AA21" i="7"/>
  <c r="AB21" i="7" s="1"/>
  <c r="Z21" i="7"/>
  <c r="U21" i="7"/>
  <c r="R21" i="7"/>
  <c r="Q21" i="7"/>
  <c r="G21" i="7"/>
  <c r="E21" i="7"/>
  <c r="D21" i="7" s="1"/>
  <c r="C21" i="7"/>
  <c r="C31" i="12" s="1"/>
  <c r="C46" i="12" s="1"/>
  <c r="C61" i="12" s="1"/>
  <c r="A21" i="7"/>
  <c r="AC20" i="7"/>
  <c r="AA20" i="7"/>
  <c r="AB20" i="7" s="1"/>
  <c r="Z20" i="7"/>
  <c r="U20" i="7"/>
  <c r="R20" i="7"/>
  <c r="Q20" i="7"/>
  <c r="G20" i="7"/>
  <c r="E20" i="7"/>
  <c r="D20" i="7" s="1"/>
  <c r="C20" i="7"/>
  <c r="C30" i="12" s="1"/>
  <c r="C45" i="12" s="1"/>
  <c r="C60" i="12" s="1"/>
  <c r="A20" i="7"/>
  <c r="AC19" i="7"/>
  <c r="AA19" i="7"/>
  <c r="AB19" i="7" s="1"/>
  <c r="Z19" i="7"/>
  <c r="U19" i="7"/>
  <c r="R19" i="7"/>
  <c r="Q19" i="7"/>
  <c r="G19" i="7"/>
  <c r="E19" i="7"/>
  <c r="D19" i="7" s="1"/>
  <c r="C19" i="7"/>
  <c r="C29" i="12" s="1"/>
  <c r="C44" i="12" s="1"/>
  <c r="C59" i="12" s="1"/>
  <c r="A19" i="7"/>
  <c r="AC18" i="7"/>
  <c r="AA18" i="7"/>
  <c r="AB18" i="7" s="1"/>
  <c r="Z18" i="7"/>
  <c r="U18" i="7"/>
  <c r="R18" i="7"/>
  <c r="Q18" i="7"/>
  <c r="G18" i="7"/>
  <c r="E18" i="7"/>
  <c r="D18" i="7" s="1"/>
  <c r="C18" i="7"/>
  <c r="A18" i="7"/>
  <c r="AC17" i="7"/>
  <c r="AA17" i="7"/>
  <c r="AB17" i="7" s="1"/>
  <c r="Z17" i="7"/>
  <c r="U17" i="7"/>
  <c r="R17" i="7"/>
  <c r="Q17" i="7"/>
  <c r="G17" i="7"/>
  <c r="E17" i="7"/>
  <c r="D17" i="7" s="1"/>
  <c r="C17" i="7"/>
  <c r="C27" i="12" s="1"/>
  <c r="C42" i="12" s="1"/>
  <c r="C57" i="12" s="1"/>
  <c r="A17" i="7"/>
  <c r="AC16" i="7"/>
  <c r="AA16" i="7"/>
  <c r="AB16" i="7" s="1"/>
  <c r="Z16" i="7"/>
  <c r="U16" i="7"/>
  <c r="R16" i="7"/>
  <c r="Q16" i="7"/>
  <c r="G16" i="7"/>
  <c r="E16" i="7"/>
  <c r="D16" i="7" s="1"/>
  <c r="C16" i="7"/>
  <c r="C26" i="12" s="1"/>
  <c r="C41" i="12" s="1"/>
  <c r="C56" i="12" s="1"/>
  <c r="A16" i="7"/>
  <c r="AC15" i="7"/>
  <c r="AA15" i="7"/>
  <c r="AB15" i="7" s="1"/>
  <c r="Z15" i="7"/>
  <c r="U15" i="7"/>
  <c r="R15" i="7"/>
  <c r="Q15" i="7"/>
  <c r="G15" i="7"/>
  <c r="E15" i="7"/>
  <c r="D15" i="7" s="1"/>
  <c r="C15" i="7"/>
  <c r="C25" i="12" s="1"/>
  <c r="C40" i="12" s="1"/>
  <c r="C55" i="12" s="1"/>
  <c r="A15" i="7"/>
  <c r="AC14" i="7"/>
  <c r="AA14" i="7"/>
  <c r="AB14" i="7" s="1"/>
  <c r="Z14" i="7"/>
  <c r="U14" i="7"/>
  <c r="R14" i="7"/>
  <c r="Q14" i="7"/>
  <c r="G14" i="7"/>
  <c r="E14" i="7"/>
  <c r="D14" i="7" s="1"/>
  <c r="C14" i="7"/>
  <c r="C24" i="12" s="1"/>
  <c r="C39" i="12" s="1"/>
  <c r="C54" i="12" s="1"/>
  <c r="A14" i="7"/>
  <c r="AC13" i="7"/>
  <c r="AA13" i="7"/>
  <c r="AB13" i="7" s="1"/>
  <c r="Z13" i="7"/>
  <c r="U13" i="7"/>
  <c r="R13" i="7"/>
  <c r="Q13" i="7"/>
  <c r="G13" i="7"/>
  <c r="E13" i="7"/>
  <c r="D13" i="7" s="1"/>
  <c r="C13" i="7"/>
  <c r="C23" i="12" s="1"/>
  <c r="C38" i="12" s="1"/>
  <c r="C53" i="12" s="1"/>
  <c r="A13" i="7"/>
  <c r="AC12" i="7"/>
  <c r="AA12" i="7"/>
  <c r="AB12" i="7" s="1"/>
  <c r="Z12" i="7"/>
  <c r="U12" i="7"/>
  <c r="R12" i="7"/>
  <c r="Q12" i="7"/>
  <c r="G12" i="7"/>
  <c r="E12" i="7"/>
  <c r="D12" i="7" s="1"/>
  <c r="C12" i="7"/>
  <c r="C22" i="12" s="1"/>
  <c r="C37" i="12" s="1"/>
  <c r="C52" i="12" s="1"/>
  <c r="A12" i="7"/>
  <c r="AC11" i="7"/>
  <c r="AA11" i="7"/>
  <c r="AB11" i="7" s="1"/>
  <c r="Z11" i="7"/>
  <c r="U11" i="7"/>
  <c r="R11" i="7"/>
  <c r="Q11" i="7"/>
  <c r="G11" i="7"/>
  <c r="E11" i="7"/>
  <c r="D11" i="7" s="1"/>
  <c r="C11" i="7"/>
  <c r="C21" i="12" s="1"/>
  <c r="C36" i="12" s="1"/>
  <c r="C51" i="12" s="1"/>
  <c r="A11" i="7"/>
  <c r="AC10" i="7"/>
  <c r="AA10" i="7"/>
  <c r="AB10" i="7" s="1"/>
  <c r="Z10" i="7"/>
  <c r="U10" i="7"/>
  <c r="R10" i="7"/>
  <c r="Q10" i="7"/>
  <c r="G10" i="7"/>
  <c r="E10" i="7"/>
  <c r="D10" i="7" s="1"/>
  <c r="C10" i="7"/>
  <c r="C20" i="12" s="1"/>
  <c r="C35" i="12" s="1"/>
  <c r="C50" i="12" s="1"/>
  <c r="A10" i="7"/>
  <c r="AC9" i="7"/>
  <c r="AA9" i="7"/>
  <c r="AB9" i="7" s="1"/>
  <c r="Z9" i="7"/>
  <c r="U9" i="7"/>
  <c r="R9" i="7"/>
  <c r="Q9" i="7"/>
  <c r="G9" i="7"/>
  <c r="E9" i="7"/>
  <c r="D9" i="7" s="1"/>
  <c r="C9" i="7"/>
  <c r="C19" i="12" s="1"/>
  <c r="C34" i="12" s="1"/>
  <c r="C49" i="12" s="1"/>
  <c r="A9" i="7"/>
  <c r="AC8" i="7"/>
  <c r="AA8" i="7"/>
  <c r="AB8" i="7" s="1"/>
  <c r="Z8" i="7"/>
  <c r="U8" i="7"/>
  <c r="R8" i="7"/>
  <c r="Q8" i="7"/>
  <c r="G8" i="7"/>
  <c r="E8" i="7"/>
  <c r="D8" i="7" s="1"/>
  <c r="C8" i="7"/>
  <c r="C18" i="12" s="1"/>
  <c r="C33" i="12" s="1"/>
  <c r="C48" i="12" s="1"/>
  <c r="A8" i="7"/>
  <c r="DO4" i="3"/>
  <c r="DO5" i="3" s="1"/>
  <c r="DO6" i="3" s="1"/>
  <c r="DO7" i="3" s="1"/>
  <c r="DO8" i="3" s="1"/>
  <c r="DO9" i="3" s="1"/>
  <c r="DO10" i="3" s="1"/>
  <c r="DO11" i="3" s="1"/>
  <c r="DO12" i="3" s="1"/>
  <c r="DO13" i="3" s="1"/>
  <c r="DO14" i="3" s="1"/>
  <c r="DO15" i="3" s="1"/>
  <c r="DO16" i="3" s="1"/>
  <c r="DO17" i="3" s="1"/>
  <c r="DO18" i="3" s="1"/>
  <c r="DO19" i="3" s="1"/>
  <c r="DO20" i="3" s="1"/>
  <c r="DO21" i="3" s="1"/>
  <c r="DO22" i="3" s="1"/>
  <c r="DF4" i="3"/>
  <c r="DF5" i="3" s="1"/>
  <c r="DF6" i="3" s="1"/>
  <c r="DF7" i="3" s="1"/>
  <c r="DF8" i="3" s="1"/>
  <c r="DF9" i="3" s="1"/>
  <c r="DF10" i="3" s="1"/>
  <c r="DF11" i="3" s="1"/>
  <c r="DF12" i="3" s="1"/>
  <c r="DF13" i="3" s="1"/>
  <c r="DF14" i="3" s="1"/>
  <c r="DF15" i="3" s="1"/>
  <c r="DF16" i="3" s="1"/>
  <c r="DF17" i="3" s="1"/>
  <c r="DF18" i="3" s="1"/>
  <c r="DF19" i="3" s="1"/>
  <c r="DF20" i="3" s="1"/>
  <c r="DF21" i="3" s="1"/>
  <c r="DF22" i="3" s="1"/>
  <c r="CX9" i="3"/>
  <c r="CX10" i="3"/>
  <c r="CX11" i="3"/>
  <c r="CX12" i="3"/>
  <c r="CX13" i="3"/>
  <c r="CX14" i="3"/>
  <c r="CX15" i="3"/>
  <c r="CX16" i="3"/>
  <c r="CX17" i="3"/>
  <c r="CX18" i="3"/>
  <c r="CX19" i="3"/>
  <c r="CX20" i="3"/>
  <c r="CX21" i="3"/>
  <c r="CX22" i="3"/>
  <c r="CX8" i="3"/>
  <c r="CX7" i="3"/>
  <c r="CW4" i="3"/>
  <c r="CW5" i="3" s="1"/>
  <c r="CW6" i="3" s="1"/>
  <c r="CW7" i="3" s="1"/>
  <c r="CW8" i="3" s="1"/>
  <c r="CW9" i="3" s="1"/>
  <c r="CW10" i="3" s="1"/>
  <c r="CW11" i="3" s="1"/>
  <c r="CW12" i="3" s="1"/>
  <c r="CW13" i="3" s="1"/>
  <c r="CW14" i="3" s="1"/>
  <c r="CW15" i="3" s="1"/>
  <c r="CW16" i="3" s="1"/>
  <c r="CW17" i="3" s="1"/>
  <c r="CW18" i="3" s="1"/>
  <c r="CW19" i="3" s="1"/>
  <c r="CW20" i="3" s="1"/>
  <c r="CW21" i="3" s="1"/>
  <c r="CW22" i="3" s="1"/>
  <c r="CO8" i="3"/>
  <c r="CP8" i="3"/>
  <c r="CQ8" i="3"/>
  <c r="CR8" i="3"/>
  <c r="CS8" i="3"/>
  <c r="CT8" i="3"/>
  <c r="CO9" i="3"/>
  <c r="CP9" i="3"/>
  <c r="CQ9" i="3"/>
  <c r="CR9" i="3"/>
  <c r="CS9" i="3"/>
  <c r="CT9" i="3"/>
  <c r="CO10" i="3"/>
  <c r="CP10" i="3"/>
  <c r="CQ10" i="3"/>
  <c r="CR10" i="3"/>
  <c r="CS10" i="3"/>
  <c r="CT10" i="3"/>
  <c r="CO11" i="3"/>
  <c r="CP11" i="3"/>
  <c r="CQ11" i="3"/>
  <c r="CR11" i="3"/>
  <c r="CS11" i="3"/>
  <c r="CT11" i="3"/>
  <c r="CO12" i="3"/>
  <c r="CP12" i="3"/>
  <c r="CQ12" i="3"/>
  <c r="CR12" i="3"/>
  <c r="CS12" i="3"/>
  <c r="CT12" i="3"/>
  <c r="CO13" i="3"/>
  <c r="CP13" i="3"/>
  <c r="CQ13" i="3"/>
  <c r="CR13" i="3"/>
  <c r="CS13" i="3"/>
  <c r="CT13" i="3"/>
  <c r="CO14" i="3"/>
  <c r="CP14" i="3"/>
  <c r="CQ14" i="3"/>
  <c r="CR14" i="3"/>
  <c r="CS14" i="3"/>
  <c r="CT14" i="3"/>
  <c r="CO15" i="3"/>
  <c r="CP15" i="3"/>
  <c r="CQ15" i="3"/>
  <c r="CR15" i="3"/>
  <c r="CS15" i="3"/>
  <c r="CT15" i="3"/>
  <c r="CO16" i="3"/>
  <c r="CP16" i="3"/>
  <c r="CQ16" i="3"/>
  <c r="CR16" i="3"/>
  <c r="CS16" i="3"/>
  <c r="CT16" i="3"/>
  <c r="CO17" i="3"/>
  <c r="CP17" i="3"/>
  <c r="CQ17" i="3"/>
  <c r="CR17" i="3"/>
  <c r="CS17" i="3"/>
  <c r="CT17" i="3"/>
  <c r="CO18" i="3"/>
  <c r="CP18" i="3"/>
  <c r="CQ18" i="3"/>
  <c r="CR18" i="3"/>
  <c r="CS18" i="3"/>
  <c r="CT18" i="3"/>
  <c r="CO19" i="3"/>
  <c r="CP19" i="3"/>
  <c r="CQ19" i="3"/>
  <c r="CR19" i="3"/>
  <c r="CS19" i="3"/>
  <c r="CT19" i="3"/>
  <c r="CO20" i="3"/>
  <c r="CP20" i="3"/>
  <c r="CQ20" i="3"/>
  <c r="CR20" i="3"/>
  <c r="CS20" i="3"/>
  <c r="CT20" i="3"/>
  <c r="CO21" i="3"/>
  <c r="CP21" i="3"/>
  <c r="CQ21" i="3"/>
  <c r="CR21" i="3"/>
  <c r="CS21" i="3"/>
  <c r="CT21" i="3"/>
  <c r="CO22" i="3"/>
  <c r="CP22" i="3"/>
  <c r="CQ22" i="3"/>
  <c r="CR22" i="3"/>
  <c r="CS22" i="3"/>
  <c r="CT22" i="3"/>
  <c r="CL22" i="3"/>
  <c r="CK22" i="3"/>
  <c r="CJ22" i="3"/>
  <c r="CI22" i="3"/>
  <c r="CH22" i="3"/>
  <c r="CG22" i="3"/>
  <c r="CL21" i="3"/>
  <c r="CK21" i="3"/>
  <c r="CJ21" i="3"/>
  <c r="CI21" i="3"/>
  <c r="CH21" i="3"/>
  <c r="CG21" i="3"/>
  <c r="CL20" i="3"/>
  <c r="CK20" i="3"/>
  <c r="CJ20" i="3"/>
  <c r="CI20" i="3"/>
  <c r="CH20" i="3"/>
  <c r="CG20" i="3"/>
  <c r="CL19" i="3"/>
  <c r="CK19" i="3"/>
  <c r="CJ19" i="3"/>
  <c r="CI19" i="3"/>
  <c r="CH19" i="3"/>
  <c r="CG19" i="3"/>
  <c r="CL18" i="3"/>
  <c r="CK18" i="3"/>
  <c r="CJ18" i="3"/>
  <c r="CI18" i="3"/>
  <c r="CH18" i="3"/>
  <c r="CG18" i="3"/>
  <c r="CL17" i="3"/>
  <c r="CK17" i="3"/>
  <c r="CJ17" i="3"/>
  <c r="CI17" i="3"/>
  <c r="CH17" i="3"/>
  <c r="CG17" i="3"/>
  <c r="CL16" i="3"/>
  <c r="CK16" i="3"/>
  <c r="CJ16" i="3"/>
  <c r="CI16" i="3"/>
  <c r="CH16" i="3"/>
  <c r="CG16" i="3"/>
  <c r="CL15" i="3"/>
  <c r="CK15" i="3"/>
  <c r="CJ15" i="3"/>
  <c r="CI15" i="3"/>
  <c r="CH15" i="3"/>
  <c r="CG15" i="3"/>
  <c r="CL14" i="3"/>
  <c r="CK14" i="3"/>
  <c r="CJ14" i="3"/>
  <c r="CI14" i="3"/>
  <c r="CH14" i="3"/>
  <c r="CG14" i="3"/>
  <c r="CL13" i="3"/>
  <c r="CK13" i="3"/>
  <c r="CJ13" i="3"/>
  <c r="CI13" i="3"/>
  <c r="CH13" i="3"/>
  <c r="CG13" i="3"/>
  <c r="CL12" i="3"/>
  <c r="CK12" i="3"/>
  <c r="CJ12" i="3"/>
  <c r="CI12" i="3"/>
  <c r="CH12" i="3"/>
  <c r="CG12" i="3"/>
  <c r="CL11" i="3"/>
  <c r="CK11" i="3"/>
  <c r="CJ11" i="3"/>
  <c r="CI11" i="3"/>
  <c r="CH11" i="3"/>
  <c r="CG11" i="3"/>
  <c r="CL10" i="3"/>
  <c r="CK10" i="3"/>
  <c r="CJ10" i="3"/>
  <c r="CI10" i="3"/>
  <c r="CH10" i="3"/>
  <c r="CG10" i="3"/>
  <c r="CL9" i="3"/>
  <c r="CK9" i="3"/>
  <c r="CJ9" i="3"/>
  <c r="CI9" i="3"/>
  <c r="CH9" i="3"/>
  <c r="CG9" i="3"/>
  <c r="CL8" i="3"/>
  <c r="CK8" i="3"/>
  <c r="CJ8" i="3"/>
  <c r="CI8" i="3"/>
  <c r="CH8" i="3"/>
  <c r="CG8" i="3"/>
  <c r="CL7" i="3"/>
  <c r="CK7" i="3"/>
  <c r="CJ7" i="3"/>
  <c r="CI7" i="3"/>
  <c r="CH7" i="3"/>
  <c r="CG7" i="3"/>
  <c r="BY8" i="3"/>
  <c r="BZ8" i="3"/>
  <c r="CA8" i="3"/>
  <c r="CB8" i="3"/>
  <c r="CC8" i="3"/>
  <c r="CD8" i="3"/>
  <c r="BY9" i="3"/>
  <c r="BZ9" i="3"/>
  <c r="CA9" i="3"/>
  <c r="CB9" i="3"/>
  <c r="CC9" i="3"/>
  <c r="CD9" i="3"/>
  <c r="BY10" i="3"/>
  <c r="BZ10" i="3"/>
  <c r="CA10" i="3"/>
  <c r="CB10" i="3"/>
  <c r="CC10" i="3"/>
  <c r="CD10" i="3"/>
  <c r="BY11" i="3"/>
  <c r="BZ11" i="3"/>
  <c r="CA11" i="3"/>
  <c r="CB11" i="3"/>
  <c r="CC11" i="3"/>
  <c r="CD11" i="3"/>
  <c r="BY12" i="3"/>
  <c r="BZ12" i="3"/>
  <c r="CA12" i="3"/>
  <c r="CB12" i="3"/>
  <c r="CC12" i="3"/>
  <c r="CD12" i="3"/>
  <c r="BY13" i="3"/>
  <c r="BZ13" i="3"/>
  <c r="CA13" i="3"/>
  <c r="CB13" i="3"/>
  <c r="CC13" i="3"/>
  <c r="CD13" i="3"/>
  <c r="BY14" i="3"/>
  <c r="BZ14" i="3"/>
  <c r="CA14" i="3"/>
  <c r="CB14" i="3"/>
  <c r="CC14" i="3"/>
  <c r="CD14" i="3"/>
  <c r="BY15" i="3"/>
  <c r="BZ15" i="3"/>
  <c r="CA15" i="3"/>
  <c r="CB15" i="3"/>
  <c r="CC15" i="3"/>
  <c r="CD15" i="3"/>
  <c r="BY16" i="3"/>
  <c r="BZ16" i="3"/>
  <c r="CA16" i="3"/>
  <c r="CB16" i="3"/>
  <c r="CC16" i="3"/>
  <c r="CD16" i="3"/>
  <c r="BY17" i="3"/>
  <c r="BZ17" i="3"/>
  <c r="CA17" i="3"/>
  <c r="CB17" i="3"/>
  <c r="CC17" i="3"/>
  <c r="CD17" i="3"/>
  <c r="BY18" i="3"/>
  <c r="BZ18" i="3"/>
  <c r="CA18" i="3"/>
  <c r="CB18" i="3"/>
  <c r="CC18" i="3"/>
  <c r="CD18" i="3"/>
  <c r="BY19" i="3"/>
  <c r="BZ19" i="3"/>
  <c r="CA19" i="3"/>
  <c r="CB19" i="3"/>
  <c r="CC19" i="3"/>
  <c r="CD19" i="3"/>
  <c r="BY20" i="3"/>
  <c r="BZ20" i="3"/>
  <c r="CA20" i="3"/>
  <c r="CB20" i="3"/>
  <c r="CC20" i="3"/>
  <c r="CD20" i="3"/>
  <c r="BY21" i="3"/>
  <c r="BZ21" i="3"/>
  <c r="CA21" i="3"/>
  <c r="CB21" i="3"/>
  <c r="CC21" i="3"/>
  <c r="CD21" i="3"/>
  <c r="BY22" i="3"/>
  <c r="BZ22" i="3"/>
  <c r="CA22" i="3"/>
  <c r="CB22" i="3"/>
  <c r="CC22" i="3"/>
  <c r="CD22" i="3"/>
  <c r="BV22" i="3"/>
  <c r="BU22" i="3"/>
  <c r="BT22" i="3"/>
  <c r="BS22" i="3"/>
  <c r="BR22" i="3"/>
  <c r="BQ22" i="3"/>
  <c r="BV21" i="3"/>
  <c r="BU21" i="3"/>
  <c r="BT21" i="3"/>
  <c r="BS21" i="3"/>
  <c r="BR21" i="3"/>
  <c r="BQ21" i="3"/>
  <c r="BV20" i="3"/>
  <c r="BU20" i="3"/>
  <c r="BT20" i="3"/>
  <c r="BS20" i="3"/>
  <c r="BR20" i="3"/>
  <c r="BQ20" i="3"/>
  <c r="BV19" i="3"/>
  <c r="BU19" i="3"/>
  <c r="BT19" i="3"/>
  <c r="BS19" i="3"/>
  <c r="BR19" i="3"/>
  <c r="BQ19" i="3"/>
  <c r="BV18" i="3"/>
  <c r="BU18" i="3"/>
  <c r="BT18" i="3"/>
  <c r="BS18" i="3"/>
  <c r="BR18" i="3"/>
  <c r="BQ18" i="3"/>
  <c r="BV17" i="3"/>
  <c r="BU17" i="3"/>
  <c r="BT17" i="3"/>
  <c r="BS17" i="3"/>
  <c r="BR17" i="3"/>
  <c r="BQ17" i="3"/>
  <c r="BV16" i="3"/>
  <c r="BU16" i="3"/>
  <c r="BT16" i="3"/>
  <c r="BS16" i="3"/>
  <c r="BR16" i="3"/>
  <c r="BQ16" i="3"/>
  <c r="BV15" i="3"/>
  <c r="BU15" i="3"/>
  <c r="BT15" i="3"/>
  <c r="BS15" i="3"/>
  <c r="BR15" i="3"/>
  <c r="BQ15" i="3"/>
  <c r="BV14" i="3"/>
  <c r="BU14" i="3"/>
  <c r="BT14" i="3"/>
  <c r="BS14" i="3"/>
  <c r="BR14" i="3"/>
  <c r="BQ14" i="3"/>
  <c r="BV13" i="3"/>
  <c r="BU13" i="3"/>
  <c r="BT13" i="3"/>
  <c r="BS13" i="3"/>
  <c r="BR13" i="3"/>
  <c r="BQ13" i="3"/>
  <c r="BV12" i="3"/>
  <c r="BU12" i="3"/>
  <c r="BT12" i="3"/>
  <c r="BS12" i="3"/>
  <c r="BR12" i="3"/>
  <c r="BQ12" i="3"/>
  <c r="BV11" i="3"/>
  <c r="BU11" i="3"/>
  <c r="BT11" i="3"/>
  <c r="BS11" i="3"/>
  <c r="BR11" i="3"/>
  <c r="BQ11" i="3"/>
  <c r="BV10" i="3"/>
  <c r="BU10" i="3"/>
  <c r="BT10" i="3"/>
  <c r="BS10" i="3"/>
  <c r="BR10" i="3"/>
  <c r="BQ10" i="3"/>
  <c r="BV9" i="3"/>
  <c r="BU9" i="3"/>
  <c r="BT9" i="3"/>
  <c r="BS9" i="3"/>
  <c r="BR9" i="3"/>
  <c r="BQ9" i="3"/>
  <c r="BV8" i="3"/>
  <c r="BU8" i="3"/>
  <c r="BT8" i="3"/>
  <c r="BS8" i="3"/>
  <c r="BR8" i="3"/>
  <c r="BQ8" i="3"/>
  <c r="BV7" i="3"/>
  <c r="BU7" i="3"/>
  <c r="BT7" i="3"/>
  <c r="BS7" i="3"/>
  <c r="BR7" i="3"/>
  <c r="BQ7" i="3"/>
  <c r="BV6" i="3"/>
  <c r="BU6" i="3"/>
  <c r="BT6" i="3"/>
  <c r="BS6" i="3"/>
  <c r="BR6" i="3"/>
  <c r="BQ6" i="3"/>
  <c r="CN4" i="3"/>
  <c r="CN5" i="3" s="1"/>
  <c r="CN6" i="3" s="1"/>
  <c r="CN7" i="3" s="1"/>
  <c r="CN8" i="3" s="1"/>
  <c r="CN9" i="3" s="1"/>
  <c r="CN10" i="3" s="1"/>
  <c r="CN11" i="3" s="1"/>
  <c r="CN12" i="3" s="1"/>
  <c r="CN13" i="3" s="1"/>
  <c r="CN14" i="3" s="1"/>
  <c r="CN15" i="3" s="1"/>
  <c r="CN16" i="3" s="1"/>
  <c r="CN17" i="3" s="1"/>
  <c r="CN18" i="3" s="1"/>
  <c r="CN19" i="3" s="1"/>
  <c r="CN20" i="3" s="1"/>
  <c r="CN21" i="3" s="1"/>
  <c r="CN22" i="3" s="1"/>
  <c r="CF4" i="3"/>
  <c r="CF5" i="3" s="1"/>
  <c r="CF6" i="3" s="1"/>
  <c r="CF7" i="3" s="1"/>
  <c r="CF8" i="3" s="1"/>
  <c r="CF9" i="3" s="1"/>
  <c r="CF10" i="3" s="1"/>
  <c r="CF11" i="3" s="1"/>
  <c r="CF12" i="3" s="1"/>
  <c r="CF13" i="3" s="1"/>
  <c r="CF14" i="3" s="1"/>
  <c r="CF15" i="3" s="1"/>
  <c r="CF16" i="3" s="1"/>
  <c r="CF17" i="3" s="1"/>
  <c r="CF18" i="3" s="1"/>
  <c r="CF19" i="3" s="1"/>
  <c r="CF20" i="3" s="1"/>
  <c r="CF21" i="3" s="1"/>
  <c r="CF22" i="3" s="1"/>
  <c r="BX4" i="3"/>
  <c r="BX5" i="3" s="1"/>
  <c r="BX6" i="3" s="1"/>
  <c r="BX7" i="3" s="1"/>
  <c r="BX8" i="3" s="1"/>
  <c r="BX9" i="3" s="1"/>
  <c r="BX10" i="3" s="1"/>
  <c r="BX11" i="3" s="1"/>
  <c r="BX12" i="3" s="1"/>
  <c r="BX13" i="3" s="1"/>
  <c r="BX14" i="3" s="1"/>
  <c r="BX15" i="3" s="1"/>
  <c r="BX16" i="3" s="1"/>
  <c r="BX17" i="3" s="1"/>
  <c r="BX18" i="3" s="1"/>
  <c r="BX19" i="3" s="1"/>
  <c r="BX20" i="3" s="1"/>
  <c r="BX21" i="3" s="1"/>
  <c r="BX22" i="3" s="1"/>
  <c r="BP4" i="3"/>
  <c r="BP5" i="3" s="1"/>
  <c r="BP6" i="3" s="1"/>
  <c r="BP7" i="3" s="1"/>
  <c r="BP8" i="3" s="1"/>
  <c r="BP9" i="3" s="1"/>
  <c r="BP10" i="3" s="1"/>
  <c r="BP11" i="3" s="1"/>
  <c r="BP12" i="3" s="1"/>
  <c r="BP13" i="3" s="1"/>
  <c r="BP14" i="3" s="1"/>
  <c r="BP15" i="3" s="1"/>
  <c r="BP16" i="3" s="1"/>
  <c r="BP17" i="3" s="1"/>
  <c r="BP18" i="3" s="1"/>
  <c r="BP19" i="3" s="1"/>
  <c r="BP20" i="3" s="1"/>
  <c r="BP21" i="3" s="1"/>
  <c r="BP22" i="3" s="1"/>
  <c r="BH4" i="3"/>
  <c r="BH5" i="3" s="1"/>
  <c r="BH6" i="3" s="1"/>
  <c r="BH7" i="3" s="1"/>
  <c r="BH8" i="3" s="1"/>
  <c r="BH9" i="3" s="1"/>
  <c r="BH10" i="3" s="1"/>
  <c r="BH11" i="3" s="1"/>
  <c r="BH12" i="3" s="1"/>
  <c r="BH13" i="3" s="1"/>
  <c r="BH14" i="3" s="1"/>
  <c r="BH15" i="3" s="1"/>
  <c r="BH16" i="3" s="1"/>
  <c r="BH17" i="3" s="1"/>
  <c r="BH18" i="3" s="1"/>
  <c r="BH19" i="3" s="1"/>
  <c r="BH20" i="3" s="1"/>
  <c r="BH21" i="3" s="1"/>
  <c r="BH22" i="3" s="1"/>
  <c r="BE22" i="3"/>
  <c r="BD22" i="3"/>
  <c r="BC22" i="3"/>
  <c r="BB22" i="3"/>
  <c r="BA22" i="3"/>
  <c r="AZ22" i="3"/>
  <c r="AY22" i="3"/>
  <c r="BE21" i="3"/>
  <c r="BD21" i="3"/>
  <c r="BC21" i="3"/>
  <c r="BB21" i="3"/>
  <c r="BA21" i="3"/>
  <c r="AZ21" i="3"/>
  <c r="AY21" i="3"/>
  <c r="BE20" i="3"/>
  <c r="BD20" i="3"/>
  <c r="BC20" i="3"/>
  <c r="BB20" i="3"/>
  <c r="BA20" i="3"/>
  <c r="AZ20" i="3"/>
  <c r="AY20" i="3"/>
  <c r="BE19" i="3"/>
  <c r="BD19" i="3"/>
  <c r="BC19" i="3"/>
  <c r="BB19" i="3"/>
  <c r="BA19" i="3"/>
  <c r="AZ19" i="3"/>
  <c r="AY19" i="3"/>
  <c r="BE18" i="3"/>
  <c r="BD18" i="3"/>
  <c r="BC18" i="3"/>
  <c r="BB18" i="3"/>
  <c r="BA18" i="3"/>
  <c r="AZ18" i="3"/>
  <c r="AY18" i="3"/>
  <c r="BE17" i="3"/>
  <c r="BD17" i="3"/>
  <c r="BC17" i="3"/>
  <c r="BB17" i="3"/>
  <c r="BA17" i="3"/>
  <c r="AZ17" i="3"/>
  <c r="AY17" i="3"/>
  <c r="BE16" i="3"/>
  <c r="BD16" i="3"/>
  <c r="BC16" i="3"/>
  <c r="BB16" i="3"/>
  <c r="BA16" i="3"/>
  <c r="AZ16" i="3"/>
  <c r="AY16" i="3"/>
  <c r="BE15" i="3"/>
  <c r="BD15" i="3"/>
  <c r="BC15" i="3"/>
  <c r="BB15" i="3"/>
  <c r="BA15" i="3"/>
  <c r="AZ15" i="3"/>
  <c r="AY15" i="3"/>
  <c r="BE14" i="3"/>
  <c r="BD14" i="3"/>
  <c r="BC14" i="3"/>
  <c r="BB14" i="3"/>
  <c r="BA14" i="3"/>
  <c r="AZ14" i="3"/>
  <c r="AY14" i="3"/>
  <c r="BE13" i="3"/>
  <c r="BD13" i="3"/>
  <c r="BC13" i="3"/>
  <c r="BB13" i="3"/>
  <c r="BA13" i="3"/>
  <c r="AZ13" i="3"/>
  <c r="AY13" i="3"/>
  <c r="BE12" i="3"/>
  <c r="BD12" i="3"/>
  <c r="BC12" i="3"/>
  <c r="BB12" i="3"/>
  <c r="BA12" i="3"/>
  <c r="AZ12" i="3"/>
  <c r="AY12" i="3"/>
  <c r="BE11" i="3"/>
  <c r="BD11" i="3"/>
  <c r="BC11" i="3"/>
  <c r="BB11" i="3"/>
  <c r="BA11" i="3"/>
  <c r="AZ11" i="3"/>
  <c r="AY11" i="3"/>
  <c r="BE10" i="3"/>
  <c r="BD10" i="3"/>
  <c r="BC10" i="3"/>
  <c r="BB10" i="3"/>
  <c r="BA10" i="3"/>
  <c r="AZ10" i="3"/>
  <c r="AY10" i="3"/>
  <c r="BE9" i="3"/>
  <c r="BD9" i="3"/>
  <c r="BC9" i="3"/>
  <c r="BB9" i="3"/>
  <c r="BA9" i="3"/>
  <c r="AZ9" i="3"/>
  <c r="AY9" i="3"/>
  <c r="BE8" i="3"/>
  <c r="BD8" i="3"/>
  <c r="BC8" i="3"/>
  <c r="BB8" i="3"/>
  <c r="BA8" i="3"/>
  <c r="AZ8" i="3"/>
  <c r="AY8" i="3"/>
  <c r="AV22" i="3"/>
  <c r="AU22" i="3"/>
  <c r="AT22" i="3"/>
  <c r="AS22" i="3"/>
  <c r="AR22" i="3"/>
  <c r="AQ22" i="3"/>
  <c r="AN22" i="3"/>
  <c r="AM22" i="3"/>
  <c r="AL22" i="3"/>
  <c r="AK22" i="3"/>
  <c r="AJ22" i="3"/>
  <c r="AI22" i="3"/>
  <c r="AF22" i="3"/>
  <c r="AE22" i="3"/>
  <c r="AD22" i="3"/>
  <c r="AC22" i="3"/>
  <c r="AB22" i="3"/>
  <c r="AA22" i="3"/>
  <c r="X22" i="3"/>
  <c r="W22" i="3"/>
  <c r="V22" i="3"/>
  <c r="U22" i="3"/>
  <c r="T22" i="3"/>
  <c r="S22" i="3"/>
  <c r="AV21" i="3"/>
  <c r="AU21" i="3"/>
  <c r="AT21" i="3"/>
  <c r="AS21" i="3"/>
  <c r="AR21" i="3"/>
  <c r="AQ21" i="3"/>
  <c r="AN21" i="3"/>
  <c r="AM21" i="3"/>
  <c r="AL21" i="3"/>
  <c r="AK21" i="3"/>
  <c r="AJ21" i="3"/>
  <c r="AI21" i="3"/>
  <c r="AF21" i="3"/>
  <c r="AE21" i="3"/>
  <c r="AD21" i="3"/>
  <c r="AC21" i="3"/>
  <c r="AB21" i="3"/>
  <c r="AA21" i="3"/>
  <c r="X21" i="3"/>
  <c r="W21" i="3"/>
  <c r="V21" i="3"/>
  <c r="U21" i="3"/>
  <c r="T21" i="3"/>
  <c r="S21" i="3"/>
  <c r="AV20" i="3"/>
  <c r="AU20" i="3"/>
  <c r="AT20" i="3"/>
  <c r="AS20" i="3"/>
  <c r="AR20" i="3"/>
  <c r="AQ20" i="3"/>
  <c r="AN20" i="3"/>
  <c r="AM20" i="3"/>
  <c r="AL20" i="3"/>
  <c r="AK20" i="3"/>
  <c r="AJ20" i="3"/>
  <c r="AI20" i="3"/>
  <c r="AF20" i="3"/>
  <c r="AE20" i="3"/>
  <c r="AD20" i="3"/>
  <c r="AC20" i="3"/>
  <c r="AB20" i="3"/>
  <c r="AA20" i="3"/>
  <c r="X20" i="3"/>
  <c r="W20" i="3"/>
  <c r="V20" i="3"/>
  <c r="U20" i="3"/>
  <c r="T20" i="3"/>
  <c r="S20" i="3"/>
  <c r="AV19" i="3"/>
  <c r="AU19" i="3"/>
  <c r="AT19" i="3"/>
  <c r="AS19" i="3"/>
  <c r="AR19" i="3"/>
  <c r="AQ19" i="3"/>
  <c r="AN19" i="3"/>
  <c r="AM19" i="3"/>
  <c r="AL19" i="3"/>
  <c r="AK19" i="3"/>
  <c r="AJ19" i="3"/>
  <c r="AI19" i="3"/>
  <c r="AF19" i="3"/>
  <c r="AE19" i="3"/>
  <c r="AD19" i="3"/>
  <c r="AC19" i="3"/>
  <c r="AB19" i="3"/>
  <c r="AA19" i="3"/>
  <c r="X19" i="3"/>
  <c r="W19" i="3"/>
  <c r="V19" i="3"/>
  <c r="U19" i="3"/>
  <c r="T19" i="3"/>
  <c r="S19" i="3"/>
  <c r="AV18" i="3"/>
  <c r="AU18" i="3"/>
  <c r="AT18" i="3"/>
  <c r="AS18" i="3"/>
  <c r="AR18" i="3"/>
  <c r="AQ18" i="3"/>
  <c r="AN18" i="3"/>
  <c r="AM18" i="3"/>
  <c r="AL18" i="3"/>
  <c r="AK18" i="3"/>
  <c r="AJ18" i="3"/>
  <c r="AI18" i="3"/>
  <c r="AF18" i="3"/>
  <c r="AE18" i="3"/>
  <c r="AD18" i="3"/>
  <c r="AC18" i="3"/>
  <c r="AB18" i="3"/>
  <c r="AA18" i="3"/>
  <c r="X18" i="3"/>
  <c r="W18" i="3"/>
  <c r="V18" i="3"/>
  <c r="U18" i="3"/>
  <c r="T18" i="3"/>
  <c r="S18" i="3"/>
  <c r="AV17" i="3"/>
  <c r="AU17" i="3"/>
  <c r="AT17" i="3"/>
  <c r="AS17" i="3"/>
  <c r="AR17" i="3"/>
  <c r="AQ17" i="3"/>
  <c r="AN17" i="3"/>
  <c r="AM17" i="3"/>
  <c r="AL17" i="3"/>
  <c r="AK17" i="3"/>
  <c r="AJ17" i="3"/>
  <c r="AI17" i="3"/>
  <c r="AF17" i="3"/>
  <c r="AE17" i="3"/>
  <c r="AD17" i="3"/>
  <c r="AC17" i="3"/>
  <c r="AB17" i="3"/>
  <c r="AA17" i="3"/>
  <c r="X17" i="3"/>
  <c r="W17" i="3"/>
  <c r="V17" i="3"/>
  <c r="U17" i="3"/>
  <c r="T17" i="3"/>
  <c r="S17" i="3"/>
  <c r="AV16" i="3"/>
  <c r="AU16" i="3"/>
  <c r="AT16" i="3"/>
  <c r="AS16" i="3"/>
  <c r="AR16" i="3"/>
  <c r="AQ16" i="3"/>
  <c r="AN16" i="3"/>
  <c r="AM16" i="3"/>
  <c r="AL16" i="3"/>
  <c r="AK16" i="3"/>
  <c r="AJ16" i="3"/>
  <c r="AI16" i="3"/>
  <c r="AF16" i="3"/>
  <c r="AE16" i="3"/>
  <c r="AD16" i="3"/>
  <c r="AC16" i="3"/>
  <c r="AB16" i="3"/>
  <c r="AA16" i="3"/>
  <c r="X16" i="3"/>
  <c r="W16" i="3"/>
  <c r="V16" i="3"/>
  <c r="U16" i="3"/>
  <c r="T16" i="3"/>
  <c r="S16" i="3"/>
  <c r="AV15" i="3"/>
  <c r="AU15" i="3"/>
  <c r="AT15" i="3"/>
  <c r="AS15" i="3"/>
  <c r="AR15" i="3"/>
  <c r="AQ15" i="3"/>
  <c r="AN15" i="3"/>
  <c r="AM15" i="3"/>
  <c r="AL15" i="3"/>
  <c r="AK15" i="3"/>
  <c r="AJ15" i="3"/>
  <c r="AI15" i="3"/>
  <c r="AF15" i="3"/>
  <c r="AE15" i="3"/>
  <c r="AD15" i="3"/>
  <c r="AC15" i="3"/>
  <c r="AB15" i="3"/>
  <c r="AA15" i="3"/>
  <c r="X15" i="3"/>
  <c r="W15" i="3"/>
  <c r="V15" i="3"/>
  <c r="U15" i="3"/>
  <c r="T15" i="3"/>
  <c r="S15" i="3"/>
  <c r="AV14" i="3"/>
  <c r="AU14" i="3"/>
  <c r="AT14" i="3"/>
  <c r="AS14" i="3"/>
  <c r="AR14" i="3"/>
  <c r="AQ14" i="3"/>
  <c r="AN14" i="3"/>
  <c r="AM14" i="3"/>
  <c r="AL14" i="3"/>
  <c r="AK14" i="3"/>
  <c r="AJ14" i="3"/>
  <c r="AI14" i="3"/>
  <c r="AF14" i="3"/>
  <c r="AE14" i="3"/>
  <c r="AD14" i="3"/>
  <c r="AC14" i="3"/>
  <c r="AB14" i="3"/>
  <c r="AA14" i="3"/>
  <c r="X14" i="3"/>
  <c r="W14" i="3"/>
  <c r="V14" i="3"/>
  <c r="U14" i="3"/>
  <c r="T14" i="3"/>
  <c r="S14" i="3"/>
  <c r="AV13" i="3"/>
  <c r="AU13" i="3"/>
  <c r="AT13" i="3"/>
  <c r="AS13" i="3"/>
  <c r="AR13" i="3"/>
  <c r="AQ13" i="3"/>
  <c r="AN13" i="3"/>
  <c r="AM13" i="3"/>
  <c r="AL13" i="3"/>
  <c r="AK13" i="3"/>
  <c r="AJ13" i="3"/>
  <c r="AI13" i="3"/>
  <c r="AF13" i="3"/>
  <c r="AE13" i="3"/>
  <c r="AD13" i="3"/>
  <c r="AC13" i="3"/>
  <c r="AB13" i="3"/>
  <c r="AA13" i="3"/>
  <c r="X13" i="3"/>
  <c r="W13" i="3"/>
  <c r="V13" i="3"/>
  <c r="U13" i="3"/>
  <c r="T13" i="3"/>
  <c r="S13" i="3"/>
  <c r="AV12" i="3"/>
  <c r="AU12" i="3"/>
  <c r="AT12" i="3"/>
  <c r="AS12" i="3"/>
  <c r="AR12" i="3"/>
  <c r="AQ12" i="3"/>
  <c r="AN12" i="3"/>
  <c r="AM12" i="3"/>
  <c r="AL12" i="3"/>
  <c r="AK12" i="3"/>
  <c r="AJ12" i="3"/>
  <c r="AI12" i="3"/>
  <c r="AF12" i="3"/>
  <c r="AE12" i="3"/>
  <c r="AD12" i="3"/>
  <c r="AC12" i="3"/>
  <c r="AB12" i="3"/>
  <c r="AA12" i="3"/>
  <c r="X12" i="3"/>
  <c r="W12" i="3"/>
  <c r="V12" i="3"/>
  <c r="U12" i="3"/>
  <c r="T12" i="3"/>
  <c r="S12" i="3"/>
  <c r="AV11" i="3"/>
  <c r="AU11" i="3"/>
  <c r="AT11" i="3"/>
  <c r="AS11" i="3"/>
  <c r="AR11" i="3"/>
  <c r="AQ11" i="3"/>
  <c r="AN11" i="3"/>
  <c r="AM11" i="3"/>
  <c r="AL11" i="3"/>
  <c r="AK11" i="3"/>
  <c r="AJ11" i="3"/>
  <c r="AI11" i="3"/>
  <c r="AF11" i="3"/>
  <c r="AE11" i="3"/>
  <c r="AD11" i="3"/>
  <c r="AC11" i="3"/>
  <c r="AB11" i="3"/>
  <c r="AA11" i="3"/>
  <c r="X11" i="3"/>
  <c r="W11" i="3"/>
  <c r="V11" i="3"/>
  <c r="U11" i="3"/>
  <c r="T11" i="3"/>
  <c r="S11" i="3"/>
  <c r="AV10" i="3"/>
  <c r="AU10" i="3"/>
  <c r="AT10" i="3"/>
  <c r="AS10" i="3"/>
  <c r="AR10" i="3"/>
  <c r="AQ10" i="3"/>
  <c r="AN10" i="3"/>
  <c r="AM10" i="3"/>
  <c r="AL10" i="3"/>
  <c r="AK10" i="3"/>
  <c r="AJ10" i="3"/>
  <c r="AI10" i="3"/>
  <c r="AF10" i="3"/>
  <c r="AE10" i="3"/>
  <c r="AD10" i="3"/>
  <c r="AC10" i="3"/>
  <c r="AB10" i="3"/>
  <c r="AA10" i="3"/>
  <c r="X10" i="3"/>
  <c r="W10" i="3"/>
  <c r="V10" i="3"/>
  <c r="U10" i="3"/>
  <c r="T10" i="3"/>
  <c r="S10" i="3"/>
  <c r="AV9" i="3"/>
  <c r="AU9" i="3"/>
  <c r="AT9" i="3"/>
  <c r="AS9" i="3"/>
  <c r="AR9" i="3"/>
  <c r="AQ9" i="3"/>
  <c r="AN9" i="3"/>
  <c r="AM9" i="3"/>
  <c r="AL9" i="3"/>
  <c r="AK9" i="3"/>
  <c r="AJ9" i="3"/>
  <c r="AI9" i="3"/>
  <c r="AF9" i="3"/>
  <c r="AE9" i="3"/>
  <c r="AD9" i="3"/>
  <c r="AC9" i="3"/>
  <c r="AB9" i="3"/>
  <c r="AA9" i="3"/>
  <c r="X9" i="3"/>
  <c r="W9" i="3"/>
  <c r="V9" i="3"/>
  <c r="U9" i="3"/>
  <c r="T9" i="3"/>
  <c r="S9" i="3"/>
  <c r="AV8" i="3"/>
  <c r="AU8" i="3"/>
  <c r="AT8" i="3"/>
  <c r="AS8" i="3"/>
  <c r="AR8" i="3"/>
  <c r="AQ8" i="3"/>
  <c r="AN8" i="3"/>
  <c r="AM8" i="3"/>
  <c r="AL8" i="3"/>
  <c r="AK8" i="3"/>
  <c r="AJ8" i="3"/>
  <c r="AI8" i="3"/>
  <c r="AF8" i="3"/>
  <c r="AE8" i="3"/>
  <c r="AD8" i="3"/>
  <c r="AC8" i="3"/>
  <c r="AB8" i="3"/>
  <c r="AA8" i="3"/>
  <c r="X8" i="3"/>
  <c r="W8" i="3"/>
  <c r="V8" i="3"/>
  <c r="U8" i="3"/>
  <c r="T8" i="3"/>
  <c r="S8" i="3"/>
  <c r="P22" i="3"/>
  <c r="BN22" i="3" s="1"/>
  <c r="O22" i="3"/>
  <c r="BM22" i="3" s="1"/>
  <c r="N22" i="3"/>
  <c r="BL22" i="3" s="1"/>
  <c r="M22" i="3"/>
  <c r="BK22" i="3" s="1"/>
  <c r="L22" i="3"/>
  <c r="BJ22" i="3" s="1"/>
  <c r="K22" i="3"/>
  <c r="BI22" i="3" s="1"/>
  <c r="P21" i="3"/>
  <c r="BN21" i="3" s="1"/>
  <c r="O21" i="3"/>
  <c r="BM21" i="3" s="1"/>
  <c r="N21" i="3"/>
  <c r="BL21" i="3" s="1"/>
  <c r="M21" i="3"/>
  <c r="BK21" i="3" s="1"/>
  <c r="L21" i="3"/>
  <c r="BJ21" i="3" s="1"/>
  <c r="K21" i="3"/>
  <c r="BI21" i="3" s="1"/>
  <c r="P20" i="3"/>
  <c r="BN20" i="3" s="1"/>
  <c r="O20" i="3"/>
  <c r="BM20" i="3" s="1"/>
  <c r="N20" i="3"/>
  <c r="BL20" i="3" s="1"/>
  <c r="M20" i="3"/>
  <c r="BK20" i="3" s="1"/>
  <c r="L20" i="3"/>
  <c r="BJ20" i="3" s="1"/>
  <c r="K20" i="3"/>
  <c r="BI20" i="3" s="1"/>
  <c r="P19" i="3"/>
  <c r="BN19" i="3" s="1"/>
  <c r="O19" i="3"/>
  <c r="BM19" i="3" s="1"/>
  <c r="N19" i="3"/>
  <c r="BL19" i="3" s="1"/>
  <c r="M19" i="3"/>
  <c r="BK19" i="3" s="1"/>
  <c r="L19" i="3"/>
  <c r="BJ19" i="3" s="1"/>
  <c r="K19" i="3"/>
  <c r="BI19" i="3" s="1"/>
  <c r="P18" i="3"/>
  <c r="BN18" i="3" s="1"/>
  <c r="O18" i="3"/>
  <c r="BM18" i="3" s="1"/>
  <c r="N18" i="3"/>
  <c r="BL18" i="3" s="1"/>
  <c r="M18" i="3"/>
  <c r="BK18" i="3" s="1"/>
  <c r="L18" i="3"/>
  <c r="BJ18" i="3" s="1"/>
  <c r="K18" i="3"/>
  <c r="BI18" i="3" s="1"/>
  <c r="P17" i="3"/>
  <c r="BN17" i="3" s="1"/>
  <c r="O17" i="3"/>
  <c r="BM17" i="3" s="1"/>
  <c r="N17" i="3"/>
  <c r="BL17" i="3" s="1"/>
  <c r="M17" i="3"/>
  <c r="BK17" i="3" s="1"/>
  <c r="L17" i="3"/>
  <c r="BJ17" i="3" s="1"/>
  <c r="K17" i="3"/>
  <c r="BI17" i="3" s="1"/>
  <c r="P16" i="3"/>
  <c r="BN16" i="3" s="1"/>
  <c r="O16" i="3"/>
  <c r="BM16" i="3" s="1"/>
  <c r="N16" i="3"/>
  <c r="BL16" i="3" s="1"/>
  <c r="M16" i="3"/>
  <c r="BK16" i="3" s="1"/>
  <c r="L16" i="3"/>
  <c r="BJ16" i="3" s="1"/>
  <c r="K16" i="3"/>
  <c r="BI16" i="3" s="1"/>
  <c r="P15" i="3"/>
  <c r="BN15" i="3" s="1"/>
  <c r="O15" i="3"/>
  <c r="BM15" i="3" s="1"/>
  <c r="N15" i="3"/>
  <c r="BL15" i="3" s="1"/>
  <c r="M15" i="3"/>
  <c r="BK15" i="3" s="1"/>
  <c r="L15" i="3"/>
  <c r="BJ15" i="3" s="1"/>
  <c r="K15" i="3"/>
  <c r="BI15" i="3" s="1"/>
  <c r="P14" i="3"/>
  <c r="BN14" i="3" s="1"/>
  <c r="O14" i="3"/>
  <c r="BM14" i="3" s="1"/>
  <c r="N14" i="3"/>
  <c r="BL14" i="3" s="1"/>
  <c r="M14" i="3"/>
  <c r="BK14" i="3" s="1"/>
  <c r="L14" i="3"/>
  <c r="BJ14" i="3" s="1"/>
  <c r="K14" i="3"/>
  <c r="BI14" i="3" s="1"/>
  <c r="P13" i="3"/>
  <c r="BN13" i="3" s="1"/>
  <c r="O13" i="3"/>
  <c r="BM13" i="3" s="1"/>
  <c r="N13" i="3"/>
  <c r="BL13" i="3" s="1"/>
  <c r="M13" i="3"/>
  <c r="BK13" i="3" s="1"/>
  <c r="L13" i="3"/>
  <c r="BJ13" i="3" s="1"/>
  <c r="K13" i="3"/>
  <c r="BI13" i="3" s="1"/>
  <c r="P12" i="3"/>
  <c r="BN12" i="3" s="1"/>
  <c r="O12" i="3"/>
  <c r="BM12" i="3" s="1"/>
  <c r="N12" i="3"/>
  <c r="BL12" i="3" s="1"/>
  <c r="M12" i="3"/>
  <c r="BK12" i="3" s="1"/>
  <c r="L12" i="3"/>
  <c r="BJ12" i="3" s="1"/>
  <c r="K12" i="3"/>
  <c r="BI12" i="3" s="1"/>
  <c r="P11" i="3"/>
  <c r="BN11" i="3" s="1"/>
  <c r="O11" i="3"/>
  <c r="BM11" i="3" s="1"/>
  <c r="N11" i="3"/>
  <c r="BL11" i="3" s="1"/>
  <c r="M11" i="3"/>
  <c r="BK11" i="3" s="1"/>
  <c r="L11" i="3"/>
  <c r="BJ11" i="3" s="1"/>
  <c r="K11" i="3"/>
  <c r="BI11" i="3" s="1"/>
  <c r="P10" i="3"/>
  <c r="BN10" i="3" s="1"/>
  <c r="O10" i="3"/>
  <c r="BM10" i="3" s="1"/>
  <c r="N10" i="3"/>
  <c r="BL10" i="3" s="1"/>
  <c r="M10" i="3"/>
  <c r="BK10" i="3" s="1"/>
  <c r="L10" i="3"/>
  <c r="BJ10" i="3" s="1"/>
  <c r="K10" i="3"/>
  <c r="BI10" i="3" s="1"/>
  <c r="P9" i="3"/>
  <c r="BN9" i="3" s="1"/>
  <c r="O9" i="3"/>
  <c r="BM9" i="3" s="1"/>
  <c r="N9" i="3"/>
  <c r="BL9" i="3" s="1"/>
  <c r="M9" i="3"/>
  <c r="BK9" i="3" s="1"/>
  <c r="L9" i="3"/>
  <c r="BJ9" i="3" s="1"/>
  <c r="K9" i="3"/>
  <c r="BI9" i="3" s="1"/>
  <c r="P8" i="3"/>
  <c r="BN8" i="3" s="1"/>
  <c r="O8" i="3"/>
  <c r="BM8" i="3" s="1"/>
  <c r="N8" i="3"/>
  <c r="BL8" i="3" s="1"/>
  <c r="M8" i="3"/>
  <c r="BK8" i="3" s="1"/>
  <c r="L8" i="3"/>
  <c r="BJ8" i="3" s="1"/>
  <c r="K8" i="3"/>
  <c r="BI8" i="3" s="1"/>
  <c r="AX4" i="3"/>
  <c r="AX5" i="3" s="1"/>
  <c r="AX6" i="3" s="1"/>
  <c r="AX7" i="3" s="1"/>
  <c r="AX8" i="3" s="1"/>
  <c r="AP4" i="3"/>
  <c r="AP5" i="3" s="1"/>
  <c r="AP6" i="3" s="1"/>
  <c r="AP7" i="3" s="1"/>
  <c r="AP8" i="3" s="1"/>
  <c r="AP9" i="3" s="1"/>
  <c r="AP10" i="3" s="1"/>
  <c r="AP11" i="3" s="1"/>
  <c r="AP12" i="3" s="1"/>
  <c r="AP13" i="3" s="1"/>
  <c r="AP14" i="3" s="1"/>
  <c r="AP15" i="3" s="1"/>
  <c r="AP16" i="3" s="1"/>
  <c r="AP17" i="3" s="1"/>
  <c r="AP18" i="3" s="1"/>
  <c r="AP19" i="3" s="1"/>
  <c r="AP20" i="3" s="1"/>
  <c r="AP21" i="3" s="1"/>
  <c r="AP22" i="3" s="1"/>
  <c r="AH4" i="3"/>
  <c r="AH5" i="3" s="1"/>
  <c r="AH6" i="3" s="1"/>
  <c r="AH7" i="3" s="1"/>
  <c r="AH8" i="3" s="1"/>
  <c r="AH9" i="3" s="1"/>
  <c r="AH10" i="3" s="1"/>
  <c r="AH11" i="3" s="1"/>
  <c r="AH12" i="3" s="1"/>
  <c r="AH13" i="3" s="1"/>
  <c r="AH14" i="3" s="1"/>
  <c r="AH15" i="3" s="1"/>
  <c r="AH16" i="3" s="1"/>
  <c r="AH17" i="3" s="1"/>
  <c r="AH18" i="3" s="1"/>
  <c r="AH19" i="3" s="1"/>
  <c r="AH20" i="3" s="1"/>
  <c r="AH21" i="3" s="1"/>
  <c r="AH22" i="3" s="1"/>
  <c r="Z4" i="3"/>
  <c r="Z5" i="3" s="1"/>
  <c r="Z6" i="3" s="1"/>
  <c r="Z7" i="3" s="1"/>
  <c r="Z8" i="3" s="1"/>
  <c r="Z9" i="3" s="1"/>
  <c r="Z10" i="3" s="1"/>
  <c r="Z11" i="3" s="1"/>
  <c r="Z12" i="3" s="1"/>
  <c r="Z13" i="3" s="1"/>
  <c r="Z14" i="3" s="1"/>
  <c r="Z15" i="3" s="1"/>
  <c r="Z16" i="3" s="1"/>
  <c r="Z17" i="3" s="1"/>
  <c r="Z18" i="3" s="1"/>
  <c r="Z19" i="3" s="1"/>
  <c r="Z20" i="3" s="1"/>
  <c r="Z21" i="3" s="1"/>
  <c r="Z22" i="3" s="1"/>
  <c r="R4" i="3"/>
  <c r="R5" i="3" s="1"/>
  <c r="R6" i="3" s="1"/>
  <c r="R7" i="3" s="1"/>
  <c r="R8" i="3" s="1"/>
  <c r="R9" i="3" s="1"/>
  <c r="R10" i="3" s="1"/>
  <c r="R11" i="3" s="1"/>
  <c r="R12" i="3" s="1"/>
  <c r="R13" i="3" s="1"/>
  <c r="R14" i="3" s="1"/>
  <c r="R15" i="3" s="1"/>
  <c r="R16" i="3" s="1"/>
  <c r="R17" i="3" s="1"/>
  <c r="R18" i="3" s="1"/>
  <c r="R19" i="3" s="1"/>
  <c r="R20" i="3" s="1"/>
  <c r="R21" i="3" s="1"/>
  <c r="R22" i="3" s="1"/>
  <c r="J4" i="3"/>
  <c r="J5" i="3" s="1"/>
  <c r="J6" i="3" s="1"/>
  <c r="J7" i="3" s="1"/>
  <c r="F61" i="12"/>
  <c r="E61" i="12" s="1"/>
  <c r="D61" i="12"/>
  <c r="T61" i="12" s="1"/>
  <c r="A61" i="12"/>
  <c r="F60" i="12"/>
  <c r="E60" i="12" s="1"/>
  <c r="D60" i="12"/>
  <c r="S60" i="12" s="1"/>
  <c r="A60" i="12"/>
  <c r="F59" i="12"/>
  <c r="E59" i="12" s="1"/>
  <c r="D59" i="12"/>
  <c r="S59" i="12" s="1"/>
  <c r="A59" i="12"/>
  <c r="F58" i="12"/>
  <c r="E58" i="12" s="1"/>
  <c r="D58" i="12"/>
  <c r="T58" i="12" s="1"/>
  <c r="A58" i="12"/>
  <c r="F57" i="12"/>
  <c r="E57" i="12" s="1"/>
  <c r="D57" i="12"/>
  <c r="R57" i="12" s="1"/>
  <c r="A57" i="12"/>
  <c r="F56" i="12"/>
  <c r="E56" i="12" s="1"/>
  <c r="D56" i="12"/>
  <c r="S56" i="12" s="1"/>
  <c r="A56" i="12"/>
  <c r="F55" i="12"/>
  <c r="E55" i="12" s="1"/>
  <c r="D55" i="12"/>
  <c r="R55" i="12" s="1"/>
  <c r="A55" i="12"/>
  <c r="F54" i="12"/>
  <c r="E54" i="12" s="1"/>
  <c r="D54" i="12"/>
  <c r="J54" i="12" s="1"/>
  <c r="A54" i="12"/>
  <c r="F53" i="12"/>
  <c r="E53" i="12" s="1"/>
  <c r="D53" i="12"/>
  <c r="T53" i="12" s="1"/>
  <c r="A53" i="12"/>
  <c r="F52" i="12"/>
  <c r="E52" i="12" s="1"/>
  <c r="D52" i="12"/>
  <c r="S52" i="12" s="1"/>
  <c r="A52" i="12"/>
  <c r="F51" i="12"/>
  <c r="E51" i="12" s="1"/>
  <c r="D51" i="12"/>
  <c r="S51" i="12" s="1"/>
  <c r="A51" i="12"/>
  <c r="F50" i="12"/>
  <c r="E50" i="12" s="1"/>
  <c r="D50" i="12"/>
  <c r="T50" i="12" s="1"/>
  <c r="A50" i="12"/>
  <c r="F49" i="12"/>
  <c r="E49" i="12" s="1"/>
  <c r="D49" i="12"/>
  <c r="J49" i="12" s="1"/>
  <c r="A49" i="12"/>
  <c r="F48" i="12"/>
  <c r="E48" i="12" s="1"/>
  <c r="D48" i="12"/>
  <c r="S48" i="12" s="1"/>
  <c r="A48" i="12"/>
  <c r="F47" i="12"/>
  <c r="E47" i="12" s="1"/>
  <c r="D47" i="12"/>
  <c r="Q47" i="12" s="1"/>
  <c r="A47" i="12"/>
  <c r="F46" i="12"/>
  <c r="E46" i="12" s="1"/>
  <c r="D46" i="12"/>
  <c r="I46" i="12" s="1"/>
  <c r="A46" i="12"/>
  <c r="F45" i="12"/>
  <c r="E45" i="12" s="1"/>
  <c r="D45" i="12"/>
  <c r="S45" i="12" s="1"/>
  <c r="A45" i="12"/>
  <c r="F44" i="12"/>
  <c r="E44" i="12" s="1"/>
  <c r="D44" i="12"/>
  <c r="R44" i="12" s="1"/>
  <c r="A44" i="12"/>
  <c r="F43" i="12"/>
  <c r="E43" i="12" s="1"/>
  <c r="D43" i="12"/>
  <c r="S43" i="12" s="1"/>
  <c r="A43" i="12"/>
  <c r="F42" i="12"/>
  <c r="E42" i="12" s="1"/>
  <c r="D42" i="12"/>
  <c r="M42" i="12" s="1"/>
  <c r="A42" i="12"/>
  <c r="F41" i="12"/>
  <c r="E41" i="12" s="1"/>
  <c r="D41" i="12"/>
  <c r="S41" i="12" s="1"/>
  <c r="A41" i="12"/>
  <c r="F40" i="12"/>
  <c r="E40" i="12" s="1"/>
  <c r="D40" i="12"/>
  <c r="R40" i="12" s="1"/>
  <c r="A40" i="12"/>
  <c r="F39" i="12"/>
  <c r="E39" i="12" s="1"/>
  <c r="D39" i="12"/>
  <c r="O39" i="12" s="1"/>
  <c r="A39" i="12"/>
  <c r="F38" i="12"/>
  <c r="E38" i="12" s="1"/>
  <c r="D38" i="12"/>
  <c r="T38" i="12" s="1"/>
  <c r="A38" i="12"/>
  <c r="F37" i="12"/>
  <c r="E37" i="12" s="1"/>
  <c r="D37" i="12"/>
  <c r="S37" i="12" s="1"/>
  <c r="A37" i="12"/>
  <c r="F36" i="12"/>
  <c r="E36" i="12" s="1"/>
  <c r="D36" i="12"/>
  <c r="R36" i="12" s="1"/>
  <c r="A36" i="12"/>
  <c r="F35" i="12"/>
  <c r="E35" i="12" s="1"/>
  <c r="D35" i="12"/>
  <c r="Q35" i="12" s="1"/>
  <c r="A35" i="12"/>
  <c r="F34" i="12"/>
  <c r="E34" i="12" s="1"/>
  <c r="D34" i="12"/>
  <c r="T34" i="12" s="1"/>
  <c r="A34" i="12"/>
  <c r="F33" i="12"/>
  <c r="E33" i="12" s="1"/>
  <c r="D33" i="12"/>
  <c r="S33" i="12" s="1"/>
  <c r="A33" i="12"/>
  <c r="F32" i="12"/>
  <c r="E32" i="12" s="1"/>
  <c r="D32" i="12"/>
  <c r="L32" i="12" s="1"/>
  <c r="A32" i="12"/>
  <c r="F31" i="12"/>
  <c r="E31" i="12" s="1"/>
  <c r="D31" i="12"/>
  <c r="M31" i="12" s="1"/>
  <c r="A31" i="12"/>
  <c r="F30" i="12"/>
  <c r="E30" i="12" s="1"/>
  <c r="D30" i="12"/>
  <c r="S30" i="12" s="1"/>
  <c r="A30" i="12"/>
  <c r="F29" i="12"/>
  <c r="E29" i="12" s="1"/>
  <c r="D29" i="12"/>
  <c r="R29" i="12" s="1"/>
  <c r="A29" i="12"/>
  <c r="F28" i="12"/>
  <c r="E28" i="12" s="1"/>
  <c r="D28" i="12"/>
  <c r="T28" i="12" s="1"/>
  <c r="C28" i="12"/>
  <c r="C43" i="12" s="1"/>
  <c r="C58" i="12" s="1"/>
  <c r="A28" i="12"/>
  <c r="F27" i="12"/>
  <c r="E27" i="12" s="1"/>
  <c r="D27" i="12"/>
  <c r="T27" i="12" s="1"/>
  <c r="A27" i="12"/>
  <c r="F26" i="12"/>
  <c r="E26" i="12" s="1"/>
  <c r="D26" i="12"/>
  <c r="S26" i="12" s="1"/>
  <c r="A26" i="12"/>
  <c r="F25" i="12"/>
  <c r="E25" i="12" s="1"/>
  <c r="D25" i="12"/>
  <c r="R25" i="12" s="1"/>
  <c r="A25" i="12"/>
  <c r="F24" i="12"/>
  <c r="E24" i="12" s="1"/>
  <c r="D24" i="12"/>
  <c r="T24" i="12" s="1"/>
  <c r="A24" i="12"/>
  <c r="F23" i="12"/>
  <c r="E23" i="12" s="1"/>
  <c r="D23" i="12"/>
  <c r="T23" i="12" s="1"/>
  <c r="A23" i="12"/>
  <c r="F22" i="12"/>
  <c r="E22" i="12" s="1"/>
  <c r="D22" i="12"/>
  <c r="S22" i="12" s="1"/>
  <c r="A22" i="12"/>
  <c r="F21" i="12"/>
  <c r="E21" i="12" s="1"/>
  <c r="D21" i="12"/>
  <c r="R21" i="12" s="1"/>
  <c r="A21" i="12"/>
  <c r="F20" i="12"/>
  <c r="E20" i="12" s="1"/>
  <c r="D20" i="12"/>
  <c r="T20" i="12" s="1"/>
  <c r="A20" i="12"/>
  <c r="F19" i="12"/>
  <c r="E19" i="12" s="1"/>
  <c r="D19" i="12"/>
  <c r="T19" i="12" s="1"/>
  <c r="A19" i="12"/>
  <c r="F18" i="12"/>
  <c r="E18" i="12" s="1"/>
  <c r="D18" i="12"/>
  <c r="S18" i="12" s="1"/>
  <c r="A18" i="12"/>
  <c r="F17" i="12"/>
  <c r="E17" i="12" s="1"/>
  <c r="D17" i="12"/>
  <c r="S17" i="12" s="1"/>
  <c r="A17" i="12"/>
  <c r="A7" i="7"/>
  <c r="C7" i="7"/>
  <c r="C17" i="12" s="1"/>
  <c r="C32" i="12" s="1"/>
  <c r="C47" i="12" s="1"/>
  <c r="E7" i="7"/>
  <c r="D7" i="7" s="1"/>
  <c r="G7" i="7"/>
  <c r="Q7" i="7"/>
  <c r="R7" i="7"/>
  <c r="U7" i="7"/>
  <c r="Z7" i="7"/>
  <c r="AA7" i="7"/>
  <c r="AB7" i="7" s="1"/>
  <c r="AC7" i="7"/>
  <c r="C59" i="55" l="1"/>
  <c r="C50" i="55"/>
  <c r="C41" i="55"/>
  <c r="C86" i="55"/>
  <c r="DH10" i="3"/>
  <c r="DH18" i="3"/>
  <c r="DH22" i="3"/>
  <c r="C68" i="55"/>
  <c r="C77" i="55"/>
  <c r="DM10" i="3"/>
  <c r="DJ18" i="3"/>
  <c r="C95" i="55"/>
  <c r="DJ22" i="3"/>
  <c r="B69" i="55"/>
  <c r="B78" i="55"/>
  <c r="B51" i="55"/>
  <c r="B96" i="55"/>
  <c r="B87" i="55"/>
  <c r="B60" i="55"/>
  <c r="DH14" i="3"/>
  <c r="DJ14" i="3"/>
  <c r="DJ10" i="3"/>
  <c r="DK19" i="3"/>
  <c r="DM20" i="3"/>
  <c r="DI22" i="3"/>
  <c r="DM14" i="3"/>
  <c r="DI18" i="3"/>
  <c r="DM22" i="3"/>
  <c r="DM18" i="3"/>
  <c r="DM11" i="3"/>
  <c r="DM15" i="3"/>
  <c r="Q38" i="12"/>
  <c r="K55" i="12"/>
  <c r="K36" i="12"/>
  <c r="G58" i="12"/>
  <c r="S21" i="12"/>
  <c r="Q34" i="12"/>
  <c r="R49" i="12"/>
  <c r="G50" i="12"/>
  <c r="G55" i="12"/>
  <c r="M46" i="12"/>
  <c r="M47" i="12"/>
  <c r="DM8" i="3"/>
  <c r="DM12" i="3"/>
  <c r="DM16" i="3"/>
  <c r="I34" i="12"/>
  <c r="G36" i="12"/>
  <c r="I38" i="12"/>
  <c r="K40" i="12"/>
  <c r="L17" i="12"/>
  <c r="R17" i="12"/>
  <c r="S39" i="12"/>
  <c r="M17" i="12"/>
  <c r="K50" i="12"/>
  <c r="K58" i="12"/>
  <c r="DH9" i="3"/>
  <c r="DL9" i="3"/>
  <c r="DH11" i="3"/>
  <c r="DL11" i="3"/>
  <c r="DH13" i="3"/>
  <c r="DL13" i="3"/>
  <c r="DH15" i="3"/>
  <c r="DL15" i="3"/>
  <c r="DH17" i="3"/>
  <c r="DL17" i="3"/>
  <c r="DH19" i="3"/>
  <c r="DL19" i="3"/>
  <c r="DH21" i="3"/>
  <c r="DL21" i="3"/>
  <c r="I24" i="12"/>
  <c r="K29" i="12"/>
  <c r="H17" i="12"/>
  <c r="P17" i="12"/>
  <c r="I39" i="12"/>
  <c r="I43" i="12"/>
  <c r="R50" i="12"/>
  <c r="O51" i="12"/>
  <c r="M53" i="12"/>
  <c r="R58" i="12"/>
  <c r="O59" i="12"/>
  <c r="M61" i="12"/>
  <c r="J17" i="12"/>
  <c r="Q17" i="12"/>
  <c r="Q24" i="12"/>
  <c r="J39" i="12"/>
  <c r="J43" i="12"/>
  <c r="N61" i="12"/>
  <c r="DJ9" i="3"/>
  <c r="DJ13" i="3"/>
  <c r="DJ17" i="3"/>
  <c r="DJ21" i="3"/>
  <c r="M20" i="12"/>
  <c r="R24" i="12"/>
  <c r="M50" i="12"/>
  <c r="I57" i="12"/>
  <c r="M58" i="12"/>
  <c r="DI8" i="3"/>
  <c r="DK9" i="3"/>
  <c r="DI12" i="3"/>
  <c r="DK13" i="3"/>
  <c r="DI16" i="3"/>
  <c r="DK17" i="3"/>
  <c r="DI20" i="3"/>
  <c r="DK21" i="3"/>
  <c r="DB8" i="3"/>
  <c r="DD8" i="3"/>
  <c r="DB12" i="3"/>
  <c r="DB16" i="3"/>
  <c r="DI11" i="3"/>
  <c r="DK16" i="3"/>
  <c r="DK20" i="3"/>
  <c r="N19" i="12"/>
  <c r="S44" i="12"/>
  <c r="Q19" i="12"/>
  <c r="S29" i="12"/>
  <c r="Q32" i="12"/>
  <c r="S40" i="12"/>
  <c r="I17" i="12"/>
  <c r="N17" i="12"/>
  <c r="T17" i="12"/>
  <c r="I19" i="12"/>
  <c r="G20" i="12"/>
  <c r="R20" i="12"/>
  <c r="M23" i="12"/>
  <c r="M24" i="12"/>
  <c r="S24" i="12"/>
  <c r="H32" i="12"/>
  <c r="T32" i="12"/>
  <c r="M34" i="12"/>
  <c r="S36" i="12"/>
  <c r="M38" i="12"/>
  <c r="G44" i="12"/>
  <c r="Q50" i="12"/>
  <c r="N53" i="12"/>
  <c r="I54" i="12"/>
  <c r="S55" i="12"/>
  <c r="J57" i="12"/>
  <c r="Q58" i="12"/>
  <c r="DJ8" i="3"/>
  <c r="DJ12" i="3"/>
  <c r="DJ16" i="3"/>
  <c r="DJ20" i="3"/>
  <c r="CY8" i="3"/>
  <c r="J7" i="7" s="1"/>
  <c r="DC8" i="3"/>
  <c r="DA9" i="3"/>
  <c r="CY10" i="3"/>
  <c r="J9" i="7" s="1"/>
  <c r="DC10" i="3"/>
  <c r="DA11" i="3"/>
  <c r="CY14" i="3"/>
  <c r="J13" i="7" s="1"/>
  <c r="DC14" i="3"/>
  <c r="CY18" i="3"/>
  <c r="J17" i="7" s="1"/>
  <c r="DC18" i="3"/>
  <c r="DA21" i="3"/>
  <c r="CY22" i="3"/>
  <c r="J21" i="7" s="1"/>
  <c r="DC22" i="3"/>
  <c r="DI9" i="3"/>
  <c r="DM9" i="3"/>
  <c r="DK10" i="3"/>
  <c r="DI13" i="3"/>
  <c r="DM13" i="3"/>
  <c r="DK14" i="3"/>
  <c r="DB15" i="3"/>
  <c r="DI17" i="3"/>
  <c r="DM17" i="3"/>
  <c r="DI21" i="3"/>
  <c r="DM21" i="3"/>
  <c r="M32" i="12"/>
  <c r="S54" i="12"/>
  <c r="N20" i="12"/>
  <c r="K24" i="12"/>
  <c r="M19" i="12"/>
  <c r="I20" i="12"/>
  <c r="S20" i="12"/>
  <c r="G24" i="12"/>
  <c r="N24" i="12"/>
  <c r="G29" i="12"/>
  <c r="N34" i="12"/>
  <c r="N38" i="12"/>
  <c r="G40" i="12"/>
  <c r="K44" i="12"/>
  <c r="DI15" i="3"/>
  <c r="DI19" i="3"/>
  <c r="DM19" i="3"/>
  <c r="DC9" i="3"/>
  <c r="CY13" i="3"/>
  <c r="J12" i="7" s="1"/>
  <c r="CY17" i="3"/>
  <c r="J16" i="7" s="1"/>
  <c r="CY21" i="3"/>
  <c r="J20" i="7" s="1"/>
  <c r="Q28" i="12"/>
  <c r="I49" i="12"/>
  <c r="J28" i="12"/>
  <c r="O28" i="12"/>
  <c r="T35" i="12"/>
  <c r="S35" i="12"/>
  <c r="N35" i="12"/>
  <c r="I35" i="12"/>
  <c r="R35" i="12"/>
  <c r="M35" i="12"/>
  <c r="G35" i="12"/>
  <c r="O35" i="12"/>
  <c r="CY9" i="3"/>
  <c r="J8" i="7" s="1"/>
  <c r="DC13" i="3"/>
  <c r="DC17" i="3"/>
  <c r="DC21" i="3"/>
  <c r="CZ18" i="3"/>
  <c r="DB22" i="3"/>
  <c r="J20" i="12"/>
  <c r="O20" i="12"/>
  <c r="G21" i="12"/>
  <c r="N23" i="12"/>
  <c r="S25" i="12"/>
  <c r="Q27" i="12"/>
  <c r="K28" i="12"/>
  <c r="S32" i="12"/>
  <c r="O32" i="12"/>
  <c r="K32" i="12"/>
  <c r="G32" i="12"/>
  <c r="R32" i="12"/>
  <c r="I32" i="12"/>
  <c r="N32" i="12"/>
  <c r="I42" i="12"/>
  <c r="T43" i="12"/>
  <c r="R43" i="12"/>
  <c r="M43" i="12"/>
  <c r="G43" i="12"/>
  <c r="Q43" i="12"/>
  <c r="K43" i="12"/>
  <c r="N43" i="12"/>
  <c r="H47" i="12"/>
  <c r="P47" i="12"/>
  <c r="T54" i="12"/>
  <c r="R54" i="12"/>
  <c r="M54" i="12"/>
  <c r="G54" i="12"/>
  <c r="Q54" i="12"/>
  <c r="K54" i="12"/>
  <c r="N54" i="12"/>
  <c r="R59" i="12"/>
  <c r="K59" i="12"/>
  <c r="G59" i="12"/>
  <c r="DK8" i="3"/>
  <c r="DK12" i="3"/>
  <c r="DD18" i="3"/>
  <c r="G17" i="12"/>
  <c r="K17" i="12"/>
  <c r="O17" i="12"/>
  <c r="J19" i="12"/>
  <c r="R19" i="12"/>
  <c r="K20" i="12"/>
  <c r="Q20" i="12"/>
  <c r="K21" i="12"/>
  <c r="I23" i="12"/>
  <c r="Q23" i="12"/>
  <c r="J24" i="12"/>
  <c r="O24" i="12"/>
  <c r="G25" i="12"/>
  <c r="G28" i="12"/>
  <c r="M28" i="12"/>
  <c r="R28" i="12"/>
  <c r="O29" i="12"/>
  <c r="J32" i="12"/>
  <c r="P32" i="12"/>
  <c r="J35" i="12"/>
  <c r="T39" i="12"/>
  <c r="R39" i="12"/>
  <c r="M39" i="12"/>
  <c r="G39" i="12"/>
  <c r="Q39" i="12"/>
  <c r="K39" i="12"/>
  <c r="N39" i="12"/>
  <c r="O43" i="12"/>
  <c r="T46" i="12"/>
  <c r="Q46" i="12"/>
  <c r="I47" i="12"/>
  <c r="R51" i="12"/>
  <c r="K51" i="12"/>
  <c r="G51" i="12"/>
  <c r="O54" i="12"/>
  <c r="T57" i="12"/>
  <c r="N57" i="12"/>
  <c r="M57" i="12"/>
  <c r="Q57" i="12"/>
  <c r="O25" i="12"/>
  <c r="M27" i="12"/>
  <c r="O21" i="12"/>
  <c r="J23" i="12"/>
  <c r="R23" i="12"/>
  <c r="K25" i="12"/>
  <c r="I27" i="12"/>
  <c r="I28" i="12"/>
  <c r="N28" i="12"/>
  <c r="S28" i="12"/>
  <c r="T31" i="12"/>
  <c r="I31" i="12"/>
  <c r="Q31" i="12"/>
  <c r="K35" i="12"/>
  <c r="T42" i="12"/>
  <c r="Q42" i="12"/>
  <c r="S47" i="12"/>
  <c r="O47" i="12"/>
  <c r="K47" i="12"/>
  <c r="G47" i="12"/>
  <c r="R47" i="12"/>
  <c r="N47" i="12"/>
  <c r="J47" i="12"/>
  <c r="T47" i="12"/>
  <c r="L47" i="12"/>
  <c r="T49" i="12"/>
  <c r="N49" i="12"/>
  <c r="M49" i="12"/>
  <c r="Q49" i="12"/>
  <c r="DI10" i="3"/>
  <c r="DK11" i="3"/>
  <c r="DI14" i="3"/>
  <c r="DK15" i="3"/>
  <c r="DB9" i="3"/>
  <c r="DB11" i="3"/>
  <c r="DB13" i="3"/>
  <c r="DB14" i="3"/>
  <c r="DB17" i="3"/>
  <c r="DB18" i="3"/>
  <c r="DB19" i="3"/>
  <c r="DB21" i="3"/>
  <c r="J34" i="12"/>
  <c r="R34" i="12"/>
  <c r="O36" i="12"/>
  <c r="J38" i="12"/>
  <c r="R38" i="12"/>
  <c r="O40" i="12"/>
  <c r="O44" i="12"/>
  <c r="I50" i="12"/>
  <c r="N50" i="12"/>
  <c r="S50" i="12"/>
  <c r="I53" i="12"/>
  <c r="Q53" i="12"/>
  <c r="O55" i="12"/>
  <c r="I58" i="12"/>
  <c r="N58" i="12"/>
  <c r="S58" i="12"/>
  <c r="I61" i="12"/>
  <c r="Q61" i="12"/>
  <c r="CZ8" i="3"/>
  <c r="CZ9" i="3"/>
  <c r="DD9" i="3"/>
  <c r="CZ10" i="3"/>
  <c r="DD10" i="3"/>
  <c r="CZ13" i="3"/>
  <c r="DD13" i="3"/>
  <c r="CZ14" i="3"/>
  <c r="DD14" i="3"/>
  <c r="CZ17" i="3"/>
  <c r="DD17" i="3"/>
  <c r="CZ21" i="3"/>
  <c r="DD21" i="3"/>
  <c r="CZ22" i="3"/>
  <c r="DD22" i="3"/>
  <c r="J50" i="12"/>
  <c r="O50" i="12"/>
  <c r="J53" i="12"/>
  <c r="R53" i="12"/>
  <c r="J58" i="12"/>
  <c r="O58" i="12"/>
  <c r="J61" i="12"/>
  <c r="R61" i="12"/>
  <c r="DH8" i="3"/>
  <c r="DL8" i="3"/>
  <c r="DL10" i="3"/>
  <c r="DJ11" i="3"/>
  <c r="DH12" i="3"/>
  <c r="DL12" i="3"/>
  <c r="DL14" i="3"/>
  <c r="DJ15" i="3"/>
  <c r="DH16" i="3"/>
  <c r="DL16" i="3"/>
  <c r="DL18" i="3"/>
  <c r="DJ19" i="3"/>
  <c r="DH20" i="3"/>
  <c r="DL20" i="3"/>
  <c r="DL22" i="3"/>
  <c r="DA8" i="3"/>
  <c r="DA10" i="3"/>
  <c r="DA13" i="3"/>
  <c r="DA14" i="3"/>
  <c r="DA15" i="3"/>
  <c r="DA17" i="3"/>
  <c r="DA18" i="3"/>
  <c r="DA19" i="3"/>
  <c r="DA22" i="3"/>
  <c r="DB10" i="3"/>
  <c r="CZ11" i="3"/>
  <c r="DA20" i="3"/>
  <c r="DK22" i="3"/>
  <c r="DK18" i="3"/>
  <c r="CZ15" i="3"/>
  <c r="DA12" i="3"/>
  <c r="CZ19" i="3"/>
  <c r="DA16" i="3"/>
  <c r="DD20" i="3"/>
  <c r="CZ20" i="3"/>
  <c r="DC19" i="3"/>
  <c r="CY19" i="3"/>
  <c r="J18" i="7" s="1"/>
  <c r="DD16" i="3"/>
  <c r="CZ16" i="3"/>
  <c r="DC15" i="3"/>
  <c r="CY15" i="3"/>
  <c r="J14" i="7" s="1"/>
  <c r="DD12" i="3"/>
  <c r="CZ12" i="3"/>
  <c r="DC11" i="3"/>
  <c r="CY11" i="3"/>
  <c r="J10" i="7" s="1"/>
  <c r="DC20" i="3"/>
  <c r="CY20" i="3"/>
  <c r="J19" i="7" s="1"/>
  <c r="DC16" i="3"/>
  <c r="CY16" i="3"/>
  <c r="J15" i="7" s="1"/>
  <c r="DC12" i="3"/>
  <c r="CY12" i="3"/>
  <c r="J11" i="7" s="1"/>
  <c r="DB20" i="3"/>
  <c r="DD19" i="3"/>
  <c r="DD15" i="3"/>
  <c r="DD11" i="3"/>
  <c r="AX9" i="3"/>
  <c r="AX10" i="3" s="1"/>
  <c r="AX11" i="3" s="1"/>
  <c r="AX12" i="3" s="1"/>
  <c r="AX13" i="3" s="1"/>
  <c r="AX14" i="3" s="1"/>
  <c r="AX15" i="3" s="1"/>
  <c r="AX16" i="3" s="1"/>
  <c r="AX17" i="3" s="1"/>
  <c r="AX18" i="3" s="1"/>
  <c r="AX19" i="3" s="1"/>
  <c r="AX20" i="3" s="1"/>
  <c r="AX21" i="3" s="1"/>
  <c r="AX22" i="3" s="1"/>
  <c r="J8" i="3"/>
  <c r="J9" i="3" s="1"/>
  <c r="J10" i="3" s="1"/>
  <c r="J11" i="3" s="1"/>
  <c r="J12" i="3" s="1"/>
  <c r="J13" i="3" s="1"/>
  <c r="J14" i="3" s="1"/>
  <c r="J15" i="3" s="1"/>
  <c r="J16" i="3" s="1"/>
  <c r="J17" i="3" s="1"/>
  <c r="J18" i="3" s="1"/>
  <c r="J19" i="3" s="1"/>
  <c r="J20" i="3" s="1"/>
  <c r="J21" i="3" s="1"/>
  <c r="J22" i="3" s="1"/>
  <c r="H56" i="12"/>
  <c r="L56" i="12"/>
  <c r="P56" i="12"/>
  <c r="T56" i="12"/>
  <c r="M48" i="12"/>
  <c r="Q48" i="12"/>
  <c r="H51" i="12"/>
  <c r="L51" i="12"/>
  <c r="P51" i="12"/>
  <c r="T51" i="12"/>
  <c r="I56" i="12"/>
  <c r="M56" i="12"/>
  <c r="Q56" i="12"/>
  <c r="I60" i="12"/>
  <c r="M60" i="12"/>
  <c r="Q60" i="12"/>
  <c r="H48" i="12"/>
  <c r="L48" i="12"/>
  <c r="P48" i="12"/>
  <c r="T48" i="12"/>
  <c r="L52" i="12"/>
  <c r="T52" i="12"/>
  <c r="H60" i="12"/>
  <c r="L60" i="12"/>
  <c r="P60" i="12"/>
  <c r="T60" i="12"/>
  <c r="I48" i="12"/>
  <c r="I52" i="12"/>
  <c r="M52" i="12"/>
  <c r="Q52" i="12"/>
  <c r="H55" i="12"/>
  <c r="L55" i="12"/>
  <c r="P55" i="12"/>
  <c r="T55" i="12"/>
  <c r="H59" i="12"/>
  <c r="L59" i="12"/>
  <c r="P59" i="12"/>
  <c r="T59" i="12"/>
  <c r="J48" i="12"/>
  <c r="N48" i="12"/>
  <c r="R48" i="12"/>
  <c r="G49" i="12"/>
  <c r="K49" i="12"/>
  <c r="O49" i="12"/>
  <c r="S49" i="12"/>
  <c r="H50" i="12"/>
  <c r="L50" i="12"/>
  <c r="P50" i="12"/>
  <c r="I51" i="12"/>
  <c r="M51" i="12"/>
  <c r="Q51" i="12"/>
  <c r="J52" i="12"/>
  <c r="N52" i="12"/>
  <c r="R52" i="12"/>
  <c r="G53" i="12"/>
  <c r="K53" i="12"/>
  <c r="O53" i="12"/>
  <c r="S53" i="12"/>
  <c r="H54" i="12"/>
  <c r="L54" i="12"/>
  <c r="P54" i="12"/>
  <c r="I55" i="12"/>
  <c r="M55" i="12"/>
  <c r="Q55" i="12"/>
  <c r="J56" i="12"/>
  <c r="N56" i="12"/>
  <c r="R56" i="12"/>
  <c r="G57" i="12"/>
  <c r="K57" i="12"/>
  <c r="O57" i="12"/>
  <c r="S57" i="12"/>
  <c r="H58" i="12"/>
  <c r="L58" i="12"/>
  <c r="P58" i="12"/>
  <c r="I59" i="12"/>
  <c r="M59" i="12"/>
  <c r="Q59" i="12"/>
  <c r="J60" i="12"/>
  <c r="N60" i="12"/>
  <c r="R60" i="12"/>
  <c r="G61" i="12"/>
  <c r="K61" i="12"/>
  <c r="O61" i="12"/>
  <c r="S61" i="12"/>
  <c r="H52" i="12"/>
  <c r="P52" i="12"/>
  <c r="G48" i="12"/>
  <c r="K48" i="12"/>
  <c r="O48" i="12"/>
  <c r="H49" i="12"/>
  <c r="L49" i="12"/>
  <c r="P49" i="12"/>
  <c r="J51" i="12"/>
  <c r="N51" i="12"/>
  <c r="G52" i="12"/>
  <c r="K52" i="12"/>
  <c r="O52" i="12"/>
  <c r="H53" i="12"/>
  <c r="L53" i="12"/>
  <c r="P53" i="12"/>
  <c r="J55" i="12"/>
  <c r="N55" i="12"/>
  <c r="G56" i="12"/>
  <c r="K56" i="12"/>
  <c r="O56" i="12"/>
  <c r="H57" i="12"/>
  <c r="L57" i="12"/>
  <c r="P57" i="12"/>
  <c r="J59" i="12"/>
  <c r="N59" i="12"/>
  <c r="G60" i="12"/>
  <c r="K60" i="12"/>
  <c r="O60" i="12"/>
  <c r="H61" i="12"/>
  <c r="L61" i="12"/>
  <c r="P61" i="12"/>
  <c r="H33" i="12"/>
  <c r="P33" i="12"/>
  <c r="T33" i="12"/>
  <c r="H45" i="12"/>
  <c r="L45" i="12"/>
  <c r="T45" i="12"/>
  <c r="I33" i="12"/>
  <c r="Q33" i="12"/>
  <c r="H36" i="12"/>
  <c r="L36" i="12"/>
  <c r="P36" i="12"/>
  <c r="T36" i="12"/>
  <c r="I37" i="12"/>
  <c r="M37" i="12"/>
  <c r="Q37" i="12"/>
  <c r="H40" i="12"/>
  <c r="L40" i="12"/>
  <c r="P40" i="12"/>
  <c r="T40" i="12"/>
  <c r="I41" i="12"/>
  <c r="M41" i="12"/>
  <c r="Q41" i="12"/>
  <c r="J42" i="12"/>
  <c r="N42" i="12"/>
  <c r="R42" i="12"/>
  <c r="H44" i="12"/>
  <c r="L44" i="12"/>
  <c r="P44" i="12"/>
  <c r="T44" i="12"/>
  <c r="I45" i="12"/>
  <c r="M45" i="12"/>
  <c r="Q45" i="12"/>
  <c r="J46" i="12"/>
  <c r="N46" i="12"/>
  <c r="R46" i="12"/>
  <c r="T37" i="12"/>
  <c r="P45" i="12"/>
  <c r="M33" i="12"/>
  <c r="J33" i="12"/>
  <c r="N33" i="12"/>
  <c r="R33" i="12"/>
  <c r="G34" i="12"/>
  <c r="K34" i="12"/>
  <c r="O34" i="12"/>
  <c r="S34" i="12"/>
  <c r="H35" i="12"/>
  <c r="L35" i="12"/>
  <c r="P35" i="12"/>
  <c r="I36" i="12"/>
  <c r="M36" i="12"/>
  <c r="Q36" i="12"/>
  <c r="J37" i="12"/>
  <c r="N37" i="12"/>
  <c r="R37" i="12"/>
  <c r="G38" i="12"/>
  <c r="K38" i="12"/>
  <c r="O38" i="12"/>
  <c r="S38" i="12"/>
  <c r="H39" i="12"/>
  <c r="L39" i="12"/>
  <c r="P39" i="12"/>
  <c r="I40" i="12"/>
  <c r="M40" i="12"/>
  <c r="Q40" i="12"/>
  <c r="J41" i="12"/>
  <c r="N41" i="12"/>
  <c r="R41" i="12"/>
  <c r="G42" i="12"/>
  <c r="K42" i="12"/>
  <c r="O42" i="12"/>
  <c r="S42" i="12"/>
  <c r="H43" i="12"/>
  <c r="L43" i="12"/>
  <c r="P43" i="12"/>
  <c r="I44" i="12"/>
  <c r="M44" i="12"/>
  <c r="Q44" i="12"/>
  <c r="J45" i="12"/>
  <c r="N45" i="12"/>
  <c r="R45" i="12"/>
  <c r="G46" i="12"/>
  <c r="K46" i="12"/>
  <c r="O46" i="12"/>
  <c r="S46" i="12"/>
  <c r="L33" i="12"/>
  <c r="H37" i="12"/>
  <c r="L37" i="12"/>
  <c r="P37" i="12"/>
  <c r="H41" i="12"/>
  <c r="L41" i="12"/>
  <c r="P41" i="12"/>
  <c r="T41" i="12"/>
  <c r="G33" i="12"/>
  <c r="K33" i="12"/>
  <c r="O33" i="12"/>
  <c r="H34" i="12"/>
  <c r="L34" i="12"/>
  <c r="P34" i="12"/>
  <c r="J36" i="12"/>
  <c r="N36" i="12"/>
  <c r="G37" i="12"/>
  <c r="K37" i="12"/>
  <c r="O37" i="12"/>
  <c r="H38" i="12"/>
  <c r="L38" i="12"/>
  <c r="P38" i="12"/>
  <c r="J40" i="12"/>
  <c r="N40" i="12"/>
  <c r="G41" i="12"/>
  <c r="K41" i="12"/>
  <c r="O41" i="12"/>
  <c r="H42" i="12"/>
  <c r="L42" i="12"/>
  <c r="P42" i="12"/>
  <c r="J44" i="12"/>
  <c r="N44" i="12"/>
  <c r="G45" i="12"/>
  <c r="K45" i="12"/>
  <c r="O45" i="12"/>
  <c r="H46" i="12"/>
  <c r="L46" i="12"/>
  <c r="P46" i="12"/>
  <c r="H18" i="12"/>
  <c r="L18" i="12"/>
  <c r="P18" i="12"/>
  <c r="T18" i="12"/>
  <c r="H26" i="12"/>
  <c r="L26" i="12"/>
  <c r="P26" i="12"/>
  <c r="T26" i="12"/>
  <c r="H30" i="12"/>
  <c r="L30" i="12"/>
  <c r="P30" i="12"/>
  <c r="T30" i="12"/>
  <c r="I18" i="12"/>
  <c r="M18" i="12"/>
  <c r="Q18" i="12"/>
  <c r="H21" i="12"/>
  <c r="L21" i="12"/>
  <c r="P21" i="12"/>
  <c r="T21" i="12"/>
  <c r="I22" i="12"/>
  <c r="M22" i="12"/>
  <c r="Q22" i="12"/>
  <c r="H25" i="12"/>
  <c r="L25" i="12"/>
  <c r="P25" i="12"/>
  <c r="T25" i="12"/>
  <c r="I26" i="12"/>
  <c r="M26" i="12"/>
  <c r="Q26" i="12"/>
  <c r="J27" i="12"/>
  <c r="N27" i="12"/>
  <c r="R27" i="12"/>
  <c r="H29" i="12"/>
  <c r="L29" i="12"/>
  <c r="P29" i="12"/>
  <c r="T29" i="12"/>
  <c r="I30" i="12"/>
  <c r="M30" i="12"/>
  <c r="Q30" i="12"/>
  <c r="J31" i="12"/>
  <c r="N31" i="12"/>
  <c r="R31" i="12"/>
  <c r="J18" i="12"/>
  <c r="N18" i="12"/>
  <c r="R18" i="12"/>
  <c r="G19" i="12"/>
  <c r="K19" i="12"/>
  <c r="O19" i="12"/>
  <c r="S19" i="12"/>
  <c r="H20" i="12"/>
  <c r="L20" i="12"/>
  <c r="P20" i="12"/>
  <c r="I21" i="12"/>
  <c r="M21" i="12"/>
  <c r="Q21" i="12"/>
  <c r="J22" i="12"/>
  <c r="N22" i="12"/>
  <c r="R22" i="12"/>
  <c r="G23" i="12"/>
  <c r="K23" i="12"/>
  <c r="O23" i="12"/>
  <c r="S23" i="12"/>
  <c r="H24" i="12"/>
  <c r="L24" i="12"/>
  <c r="P24" i="12"/>
  <c r="I25" i="12"/>
  <c r="M25" i="12"/>
  <c r="Q25" i="12"/>
  <c r="J26" i="12"/>
  <c r="N26" i="12"/>
  <c r="R26" i="12"/>
  <c r="G27" i="12"/>
  <c r="K27" i="12"/>
  <c r="O27" i="12"/>
  <c r="S27" i="12"/>
  <c r="H28" i="12"/>
  <c r="L28" i="12"/>
  <c r="P28" i="12"/>
  <c r="I29" i="12"/>
  <c r="M29" i="12"/>
  <c r="Q29" i="12"/>
  <c r="J30" i="12"/>
  <c r="N30" i="12"/>
  <c r="R30" i="12"/>
  <c r="G31" i="12"/>
  <c r="K31" i="12"/>
  <c r="O31" i="12"/>
  <c r="S31" i="12"/>
  <c r="H22" i="12"/>
  <c r="L22" i="12"/>
  <c r="P22" i="12"/>
  <c r="T22" i="12"/>
  <c r="G18" i="12"/>
  <c r="K18" i="12"/>
  <c r="O18" i="12"/>
  <c r="H19" i="12"/>
  <c r="L19" i="12"/>
  <c r="P19" i="12"/>
  <c r="J21" i="12"/>
  <c r="N21" i="12"/>
  <c r="G22" i="12"/>
  <c r="K22" i="12"/>
  <c r="O22" i="12"/>
  <c r="H23" i="12"/>
  <c r="L23" i="12"/>
  <c r="P23" i="12"/>
  <c r="J25" i="12"/>
  <c r="N25" i="12"/>
  <c r="G26" i="12"/>
  <c r="K26" i="12"/>
  <c r="O26" i="12"/>
  <c r="H27" i="12"/>
  <c r="L27" i="12"/>
  <c r="P27" i="12"/>
  <c r="J29" i="12"/>
  <c r="N29" i="12"/>
  <c r="G30" i="12"/>
  <c r="K30" i="12"/>
  <c r="O30" i="12"/>
  <c r="H31" i="12"/>
  <c r="L31" i="12"/>
  <c r="P31" i="12"/>
  <c r="L28" i="1"/>
  <c r="M28" i="1"/>
  <c r="N28" i="1"/>
  <c r="O28" i="1"/>
  <c r="P28" i="1"/>
  <c r="Q28" i="1"/>
  <c r="R28" i="1"/>
  <c r="S28" i="1"/>
  <c r="T28" i="1"/>
  <c r="U28" i="1"/>
  <c r="V28" i="1"/>
  <c r="W28" i="1"/>
  <c r="L29" i="1"/>
  <c r="M29" i="1"/>
  <c r="N29" i="1"/>
  <c r="O29" i="1"/>
  <c r="P29" i="1"/>
  <c r="Q29" i="1"/>
  <c r="R29" i="1"/>
  <c r="S29" i="1"/>
  <c r="T29" i="1"/>
  <c r="U29" i="1"/>
  <c r="V29" i="1"/>
  <c r="W29" i="1"/>
  <c r="L30" i="1"/>
  <c r="M30" i="1"/>
  <c r="N30" i="1"/>
  <c r="O30" i="1"/>
  <c r="P30" i="1"/>
  <c r="Q30" i="1"/>
  <c r="R30" i="1"/>
  <c r="S30" i="1"/>
  <c r="T30" i="1"/>
  <c r="U30" i="1"/>
  <c r="V30" i="1"/>
  <c r="W30" i="1"/>
  <c r="L31" i="1"/>
  <c r="M31" i="1"/>
  <c r="N31" i="1"/>
  <c r="O31" i="1"/>
  <c r="P31" i="1"/>
  <c r="Q31" i="1"/>
  <c r="R31" i="1"/>
  <c r="S31" i="1"/>
  <c r="T31" i="1"/>
  <c r="U31" i="1"/>
  <c r="V31" i="1"/>
  <c r="W31" i="1"/>
  <c r="L32" i="1"/>
  <c r="M32" i="1"/>
  <c r="N32" i="1"/>
  <c r="O32" i="1"/>
  <c r="P32" i="1"/>
  <c r="Q32" i="1"/>
  <c r="R32" i="1"/>
  <c r="S32" i="1"/>
  <c r="T32" i="1"/>
  <c r="U32" i="1"/>
  <c r="V32" i="1"/>
  <c r="W32" i="1"/>
  <c r="B59" i="1"/>
  <c r="O59" i="1" s="1"/>
  <c r="B60" i="1"/>
  <c r="O60" i="1" s="1"/>
  <c r="B61" i="1"/>
  <c r="O61" i="1" s="1"/>
  <c r="B62" i="1"/>
  <c r="O62" i="1" s="1"/>
  <c r="B63" i="1"/>
  <c r="O63" i="1" s="1"/>
  <c r="B64" i="1"/>
  <c r="O64" i="1" s="1"/>
  <c r="B65" i="1"/>
  <c r="O65" i="1" s="1"/>
  <c r="B66" i="1"/>
  <c r="O66" i="1" s="1"/>
  <c r="B67" i="1"/>
  <c r="O67" i="1" s="1"/>
  <c r="DS18" i="3" l="1"/>
  <c r="P17" i="7" s="1"/>
  <c r="DS15" i="3"/>
  <c r="P14" i="7" s="1"/>
  <c r="DS22" i="3"/>
  <c r="P21" i="7" s="1"/>
  <c r="DS10" i="3"/>
  <c r="P9" i="7" s="1"/>
  <c r="C96" i="55"/>
  <c r="C51" i="55"/>
  <c r="C78" i="55"/>
  <c r="DU13" i="3"/>
  <c r="O12" i="7" s="1"/>
  <c r="C69" i="55"/>
  <c r="C60" i="55"/>
  <c r="C87" i="55"/>
  <c r="DS14" i="3"/>
  <c r="P13" i="7" s="1"/>
  <c r="B97" i="55"/>
  <c r="B70" i="55"/>
  <c r="B79" i="55"/>
  <c r="B61" i="55"/>
  <c r="B88" i="55"/>
  <c r="DR18" i="3"/>
  <c r="M17" i="7" s="1"/>
  <c r="DT19" i="3"/>
  <c r="N18" i="7" s="1"/>
  <c r="DR22" i="3"/>
  <c r="M21" i="7" s="1"/>
  <c r="DT11" i="3"/>
  <c r="N10" i="7" s="1"/>
  <c r="DS11" i="3"/>
  <c r="P10" i="7" s="1"/>
  <c r="DU18" i="3"/>
  <c r="O17" i="7" s="1"/>
  <c r="DU8" i="3"/>
  <c r="O7" i="7" s="1"/>
  <c r="DT13" i="3"/>
  <c r="N12" i="7" s="1"/>
  <c r="DT17" i="3"/>
  <c r="N16" i="7" s="1"/>
  <c r="DT9" i="3"/>
  <c r="N8" i="7" s="1"/>
  <c r="DS19" i="3"/>
  <c r="P18" i="7" s="1"/>
  <c r="DU10" i="3"/>
  <c r="O9" i="7" s="1"/>
  <c r="DS21" i="3"/>
  <c r="P20" i="7" s="1"/>
  <c r="DU11" i="3"/>
  <c r="O10" i="7" s="1"/>
  <c r="DU15" i="3"/>
  <c r="O14" i="7" s="1"/>
  <c r="DU19" i="3"/>
  <c r="O18" i="7" s="1"/>
  <c r="DR10" i="3"/>
  <c r="M9" i="7" s="1"/>
  <c r="DT15" i="3"/>
  <c r="N14" i="7" s="1"/>
  <c r="DS20" i="3"/>
  <c r="P19" i="7" s="1"/>
  <c r="DS17" i="3"/>
  <c r="P16" i="7" s="1"/>
  <c r="DT10" i="3"/>
  <c r="N9" i="7" s="1"/>
  <c r="DT21" i="3"/>
  <c r="N20" i="7" s="1"/>
  <c r="DR21" i="3"/>
  <c r="M20" i="7" s="1"/>
  <c r="DR16" i="3"/>
  <c r="M15" i="7" s="1"/>
  <c r="DS12" i="3"/>
  <c r="P11" i="7" s="1"/>
  <c r="DR14" i="3"/>
  <c r="M13" i="7" s="1"/>
  <c r="DU12" i="3"/>
  <c r="O11" i="7" s="1"/>
  <c r="DU20" i="3"/>
  <c r="O19" i="7" s="1"/>
  <c r="DT18" i="3"/>
  <c r="N17" i="7" s="1"/>
  <c r="DS9" i="3"/>
  <c r="P8" i="7" s="1"/>
  <c r="DT8" i="3"/>
  <c r="N7" i="7" s="1"/>
  <c r="DS13" i="3"/>
  <c r="P12" i="7" s="1"/>
  <c r="DU17" i="3"/>
  <c r="O16" i="7" s="1"/>
  <c r="DU9" i="3"/>
  <c r="O8" i="7" s="1"/>
  <c r="DR15" i="3"/>
  <c r="M14" i="7" s="1"/>
  <c r="DR11" i="3"/>
  <c r="M10" i="7" s="1"/>
  <c r="DS16" i="3"/>
  <c r="P15" i="7" s="1"/>
  <c r="DT14" i="3"/>
  <c r="N13" i="7" s="1"/>
  <c r="DU21" i="3"/>
  <c r="O20" i="7" s="1"/>
  <c r="DR17" i="3"/>
  <c r="M16" i="7" s="1"/>
  <c r="DR13" i="3"/>
  <c r="M12" i="7" s="1"/>
  <c r="DU22" i="3"/>
  <c r="O21" i="7" s="1"/>
  <c r="DT12" i="3"/>
  <c r="N11" i="7" s="1"/>
  <c r="DT22" i="3"/>
  <c r="N21" i="7" s="1"/>
  <c r="DR8" i="3"/>
  <c r="M7" i="7" s="1"/>
  <c r="DU14" i="3"/>
  <c r="O13" i="7" s="1"/>
  <c r="DT16" i="3"/>
  <c r="N15" i="7" s="1"/>
  <c r="DS8" i="3"/>
  <c r="P7" i="7" s="1"/>
  <c r="DT20" i="3"/>
  <c r="N19" i="7" s="1"/>
  <c r="DU16" i="3"/>
  <c r="O15" i="7" s="1"/>
  <c r="DR19" i="3"/>
  <c r="M18" i="7" s="1"/>
  <c r="DR9" i="3"/>
  <c r="M8" i="7" s="1"/>
  <c r="DR12" i="3"/>
  <c r="M11" i="7" s="1"/>
  <c r="DR20" i="3"/>
  <c r="M19" i="7" s="1"/>
  <c r="O58" i="1"/>
  <c r="C61" i="55" l="1"/>
  <c r="C79" i="55"/>
  <c r="C88" i="55"/>
  <c r="C70" i="55"/>
  <c r="C97" i="55"/>
  <c r="B98" i="55"/>
  <c r="B80" i="55"/>
  <c r="B89" i="55"/>
  <c r="B71" i="55"/>
  <c r="C98" i="55" l="1"/>
  <c r="C80" i="55"/>
  <c r="C89" i="55"/>
  <c r="C71" i="55"/>
  <c r="B99" i="55"/>
  <c r="B90" i="55"/>
  <c r="B81" i="55"/>
  <c r="H2" i="48"/>
  <c r="H3" i="48" s="1"/>
  <c r="H4" i="48" s="1"/>
  <c r="H5" i="48" s="1"/>
  <c r="H6" i="48" s="1"/>
  <c r="H7" i="48" s="1"/>
  <c r="H8" i="48" s="1"/>
  <c r="H9" i="48" s="1"/>
  <c r="H10" i="48" s="1"/>
  <c r="H11" i="48" s="1"/>
  <c r="H12" i="48" s="1"/>
  <c r="H13" i="48" s="1"/>
  <c r="H14" i="48" s="1"/>
  <c r="H15" i="48" s="1"/>
  <c r="H16" i="48" s="1"/>
  <c r="H17" i="48" s="1"/>
  <c r="H18" i="48" s="1"/>
  <c r="H19" i="48" s="1"/>
  <c r="H20" i="48" s="1"/>
  <c r="H21" i="48" s="1"/>
  <c r="H22" i="48" s="1"/>
  <c r="H23" i="48" s="1"/>
  <c r="H24" i="48" s="1"/>
  <c r="H25" i="48" s="1"/>
  <c r="H26" i="48" s="1"/>
  <c r="H27" i="48" s="1"/>
  <c r="H28" i="48" s="1"/>
  <c r="H29" i="48" s="1"/>
  <c r="H30" i="48" s="1"/>
  <c r="H31" i="48" s="1"/>
  <c r="H32" i="48" s="1"/>
  <c r="H33" i="48" s="1"/>
  <c r="H34" i="48" s="1"/>
  <c r="H35" i="48" s="1"/>
  <c r="H36" i="48" s="1"/>
  <c r="H37" i="48" s="1"/>
  <c r="H38" i="48" s="1"/>
  <c r="H39" i="48" s="1"/>
  <c r="H40" i="48" s="1"/>
  <c r="H41" i="48" s="1"/>
  <c r="H42" i="48" s="1"/>
  <c r="H43" i="48" s="1"/>
  <c r="H44" i="48" s="1"/>
  <c r="H45" i="48" s="1"/>
  <c r="H46" i="48" s="1"/>
  <c r="H47" i="48" s="1"/>
  <c r="H48" i="48" s="1"/>
  <c r="H49" i="48" s="1"/>
  <c r="H50" i="48" s="1"/>
  <c r="H51" i="48" s="1"/>
  <c r="H52" i="48" s="1"/>
  <c r="H53" i="48" s="1"/>
  <c r="H54" i="48" s="1"/>
  <c r="H55" i="48" s="1"/>
  <c r="H56" i="48" s="1"/>
  <c r="H57" i="48" s="1"/>
  <c r="H58" i="48" s="1"/>
  <c r="H59" i="48" s="1"/>
  <c r="H60" i="48" s="1"/>
  <c r="H61" i="48" s="1"/>
  <c r="H62" i="48" s="1"/>
  <c r="H63" i="48" s="1"/>
  <c r="H64" i="48" s="1"/>
  <c r="H65" i="48" s="1"/>
  <c r="H66" i="48" s="1"/>
  <c r="H67" i="48" s="1"/>
  <c r="H68" i="48" s="1"/>
  <c r="H69" i="48" s="1"/>
  <c r="H70" i="48" s="1"/>
  <c r="H71" i="48" s="1"/>
  <c r="H72" i="48" s="1"/>
  <c r="H73" i="48" s="1"/>
  <c r="H74" i="48" s="1"/>
  <c r="H75" i="48" s="1"/>
  <c r="H76" i="48" s="1"/>
  <c r="H77" i="48" s="1"/>
  <c r="H78" i="48" s="1"/>
  <c r="H79" i="48" s="1"/>
  <c r="H80" i="48" s="1"/>
  <c r="H81" i="48" s="1"/>
  <c r="H82" i="48" s="1"/>
  <c r="H83" i="48" s="1"/>
  <c r="H84" i="48" s="1"/>
  <c r="H85" i="48" s="1"/>
  <c r="H86" i="48" s="1"/>
  <c r="H87" i="48" s="1"/>
  <c r="H88" i="48" s="1"/>
  <c r="H89" i="48" s="1"/>
  <c r="H90" i="48" s="1"/>
  <c r="H91" i="48" s="1"/>
  <c r="H92" i="48" s="1"/>
  <c r="H93" i="48" s="1"/>
  <c r="H94" i="48" s="1"/>
  <c r="H95" i="48" s="1"/>
  <c r="H96" i="48" s="1"/>
  <c r="H97" i="48" s="1"/>
  <c r="H98" i="48" s="1"/>
  <c r="H99" i="48" s="1"/>
  <c r="H100" i="48" s="1"/>
  <c r="H101" i="48" s="1"/>
  <c r="H102" i="48" s="1"/>
  <c r="H103" i="48" s="1"/>
  <c r="H104" i="48" s="1"/>
  <c r="H105" i="48" s="1"/>
  <c r="H106" i="48" s="1"/>
  <c r="H107" i="48" s="1"/>
  <c r="H108" i="48" s="1"/>
  <c r="H109" i="48" s="1"/>
  <c r="H110" i="48" s="1"/>
  <c r="H111" i="48" s="1"/>
  <c r="H112" i="48" s="1"/>
  <c r="H113" i="48" s="1"/>
  <c r="H114" i="48" s="1"/>
  <c r="H115" i="48" s="1"/>
  <c r="H116" i="48" s="1"/>
  <c r="H117" i="48" s="1"/>
  <c r="H118" i="48" s="1"/>
  <c r="H119" i="48" s="1"/>
  <c r="H120" i="48" s="1"/>
  <c r="H121" i="48" s="1"/>
  <c r="H122" i="48" s="1"/>
  <c r="H123" i="48" s="1"/>
  <c r="H124" i="48" s="1"/>
  <c r="H125" i="48" s="1"/>
  <c r="H126" i="48" s="1"/>
  <c r="H127" i="48" s="1"/>
  <c r="H128" i="48" s="1"/>
  <c r="H129" i="48" s="1"/>
  <c r="H130" i="48" s="1"/>
  <c r="H131" i="48" s="1"/>
  <c r="H132" i="48" s="1"/>
  <c r="H133" i="48" s="1"/>
  <c r="H134" i="48" s="1"/>
  <c r="H135" i="48" s="1"/>
  <c r="H136" i="48" s="1"/>
  <c r="H137" i="48" s="1"/>
  <c r="H138" i="48" s="1"/>
  <c r="H139" i="48" s="1"/>
  <c r="H140" i="48" s="1"/>
  <c r="H141" i="48" s="1"/>
  <c r="H142" i="48" s="1"/>
  <c r="H143" i="48" s="1"/>
  <c r="H144" i="48" s="1"/>
  <c r="H145" i="48" s="1"/>
  <c r="H146" i="48" s="1"/>
  <c r="H147" i="48" s="1"/>
  <c r="H148" i="48" s="1"/>
  <c r="H149" i="48" s="1"/>
  <c r="H150" i="48" s="1"/>
  <c r="H151" i="48" s="1"/>
  <c r="H152" i="48" s="1"/>
  <c r="H153" i="48" s="1"/>
  <c r="H154" i="48" s="1"/>
  <c r="H155" i="48" s="1"/>
  <c r="H156" i="48" s="1"/>
  <c r="H157" i="48" s="1"/>
  <c r="H158" i="48" s="1"/>
  <c r="H159" i="48" s="1"/>
  <c r="H160" i="48" s="1"/>
  <c r="H161" i="48" s="1"/>
  <c r="H162" i="48" s="1"/>
  <c r="H163" i="48" s="1"/>
  <c r="H164" i="48" s="1"/>
  <c r="H165" i="48" s="1"/>
  <c r="H166" i="48" s="1"/>
  <c r="H167" i="48" s="1"/>
  <c r="H168" i="48" s="1"/>
  <c r="H169" i="48" s="1"/>
  <c r="H170" i="48" s="1"/>
  <c r="H171" i="48" s="1"/>
  <c r="H172" i="48" s="1"/>
  <c r="H173" i="48" s="1"/>
  <c r="H174" i="48" s="1"/>
  <c r="H175" i="48" s="1"/>
  <c r="H176" i="48" s="1"/>
  <c r="H177" i="48" s="1"/>
  <c r="H178" i="48" s="1"/>
  <c r="H179" i="48" s="1"/>
  <c r="H180" i="48" s="1"/>
  <c r="H181" i="48" s="1"/>
  <c r="H182" i="48" s="1"/>
  <c r="H183" i="48" s="1"/>
  <c r="H184" i="48" s="1"/>
  <c r="H185" i="48" s="1"/>
  <c r="H186" i="48" s="1"/>
  <c r="H187" i="48" s="1"/>
  <c r="C81" i="55" l="1"/>
  <c r="C90" i="55"/>
  <c r="C99" i="55"/>
  <c r="B91" i="55"/>
  <c r="B100" i="55"/>
  <c r="B7" i="20"/>
  <c r="C9" i="24"/>
  <c r="C100" i="55" l="1"/>
  <c r="C91" i="55"/>
  <c r="B101" i="55"/>
  <c r="C7" i="20"/>
  <c r="C8" i="24"/>
  <c r="C101" i="55" l="1"/>
  <c r="C28" i="18"/>
  <c r="C29" i="18" s="1"/>
  <c r="C30" i="18" s="1"/>
  <c r="C31" i="18" s="1"/>
  <c r="C5" i="20" s="1"/>
  <c r="B5" i="20"/>
  <c r="A8" i="43" l="1"/>
  <c r="C8" i="43" s="1"/>
  <c r="B31" i="42"/>
  <c r="A31" i="42" s="1"/>
  <c r="A16" i="33"/>
  <c r="D25" i="42" s="1"/>
  <c r="D31" i="42" s="1"/>
  <c r="B25" i="42"/>
  <c r="A25" i="42" s="1"/>
  <c r="C16" i="33"/>
  <c r="E16" i="33"/>
  <c r="F16" i="33"/>
  <c r="G16" i="33"/>
  <c r="K16" i="33"/>
  <c r="L16" i="33"/>
  <c r="M16" i="33"/>
  <c r="N16" i="33"/>
  <c r="O16" i="33"/>
  <c r="P16" i="33"/>
  <c r="R16" i="33"/>
  <c r="S16" i="33"/>
  <c r="T16" i="33" s="1"/>
  <c r="W16" i="33"/>
  <c r="J17" i="36"/>
  <c r="L17" i="36"/>
  <c r="R17" i="36" s="1"/>
  <c r="M17" i="36"/>
  <c r="O17" i="36" s="1"/>
  <c r="V17" i="36" s="1"/>
  <c r="Q17" i="36"/>
  <c r="S17" i="36"/>
  <c r="U17" i="36"/>
  <c r="D8" i="43" l="1"/>
  <c r="J16" i="43"/>
  <c r="T17" i="36"/>
  <c r="X17" i="36" s="1"/>
  <c r="U16" i="33" s="1"/>
  <c r="T3" i="26"/>
  <c r="U3" i="26"/>
  <c r="V3" i="26"/>
  <c r="T4" i="26"/>
  <c r="U4" i="26"/>
  <c r="V4" i="26"/>
  <c r="T5" i="26"/>
  <c r="U5" i="26"/>
  <c r="V5" i="26"/>
  <c r="T6" i="26"/>
  <c r="U6" i="26"/>
  <c r="V6" i="26"/>
  <c r="T7" i="26"/>
  <c r="U7" i="26"/>
  <c r="V7" i="26"/>
  <c r="T8" i="26"/>
  <c r="U8" i="26"/>
  <c r="V8" i="26"/>
  <c r="T9" i="26"/>
  <c r="U9" i="26"/>
  <c r="V9" i="26"/>
  <c r="T10" i="26"/>
  <c r="U10" i="26"/>
  <c r="V10" i="26"/>
  <c r="BH3" i="4" l="1"/>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7"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28" i="4"/>
  <c r="BH329"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0" i="4"/>
  <c r="BH421" i="4"/>
  <c r="BH422"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2" i="4"/>
  <c r="BH473"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3" i="4"/>
  <c r="BH504"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2" i="4"/>
  <c r="M11" i="18" l="1"/>
  <c r="L11" i="18"/>
  <c r="M10" i="18"/>
  <c r="L10" i="18"/>
  <c r="M9" i="18"/>
  <c r="L9" i="18"/>
  <c r="C21" i="18" l="1"/>
  <c r="C22" i="18" l="1"/>
  <c r="C23" i="18" s="1"/>
  <c r="E32" i="45"/>
  <c r="C32" i="45" s="1"/>
  <c r="E10" i="44"/>
  <c r="C10" i="44" s="1"/>
  <c r="C24" i="18" l="1"/>
  <c r="C25" i="18" s="1"/>
  <c r="C2" i="20" s="1"/>
  <c r="C3" i="20"/>
  <c r="B3" i="20"/>
  <c r="B4" i="20"/>
  <c r="E55" i="18" l="1"/>
  <c r="E54" i="18"/>
  <c r="E53" i="18"/>
  <c r="E52" i="18"/>
  <c r="E51" i="18"/>
  <c r="E50" i="18"/>
  <c r="E49" i="18"/>
  <c r="E48" i="18"/>
  <c r="E47" i="18"/>
  <c r="E46" i="18"/>
  <c r="E45" i="18"/>
  <c r="E44" i="18"/>
  <c r="C40" i="18"/>
  <c r="C44" i="18" l="1"/>
  <c r="C45" i="18"/>
  <c r="C49" i="18"/>
  <c r="C53" i="18"/>
  <c r="C57" i="18"/>
  <c r="C50" i="18"/>
  <c r="C58" i="18"/>
  <c r="C48" i="18"/>
  <c r="C46" i="18"/>
  <c r="C54" i="18"/>
  <c r="C56" i="18"/>
  <c r="C47" i="18"/>
  <c r="C51" i="18"/>
  <c r="C55" i="18"/>
  <c r="C52" i="18"/>
  <c r="D41" i="18"/>
  <c r="C41" i="18" s="1"/>
  <c r="BS2" i="2" l="1"/>
  <c r="BR2" i="2"/>
  <c r="BQ2" i="2"/>
  <c r="BP2" i="2"/>
  <c r="BO2" i="2"/>
  <c r="BN2" i="2"/>
  <c r="BM2" i="2"/>
  <c r="BL2" i="2"/>
  <c r="BK2" i="2"/>
  <c r="BJ2" i="2"/>
  <c r="BI2" i="2"/>
  <c r="BH2" i="2"/>
  <c r="BG2" i="2"/>
  <c r="BF2" i="2"/>
  <c r="BE2" i="2"/>
  <c r="BD2" i="2"/>
  <c r="BC2" i="2"/>
  <c r="BB2" i="2"/>
  <c r="BA2" i="2"/>
  <c r="AZ2" i="2"/>
  <c r="AZ334" i="2" l="1"/>
  <c r="AZ335" i="2"/>
  <c r="AZ336" i="2"/>
  <c r="AZ337" i="2"/>
  <c r="AZ338" i="2"/>
  <c r="AZ339" i="2"/>
  <c r="AZ340" i="2"/>
  <c r="AZ341" i="2"/>
  <c r="AZ342" i="2"/>
  <c r="AZ343" i="2"/>
  <c r="AZ344" i="2"/>
  <c r="AZ345" i="2"/>
  <c r="AZ346" i="2"/>
  <c r="AZ347" i="2"/>
  <c r="AZ348" i="2"/>
  <c r="AZ349" i="2"/>
  <c r="AZ350" i="2"/>
  <c r="AZ351" i="2"/>
  <c r="AZ352" i="2"/>
  <c r="AZ353" i="2"/>
  <c r="AZ354" i="2"/>
  <c r="AZ355" i="2"/>
  <c r="AZ356" i="2"/>
  <c r="AZ357" i="2"/>
  <c r="AZ358" i="2"/>
  <c r="AZ359" i="2"/>
  <c r="AZ360" i="2"/>
  <c r="AZ361" i="2"/>
  <c r="AZ362" i="2"/>
  <c r="AZ363" i="2"/>
  <c r="AZ364" i="2"/>
  <c r="AZ365" i="2"/>
  <c r="AZ366" i="2"/>
  <c r="AZ367" i="2"/>
  <c r="AZ368" i="2"/>
  <c r="AZ369" i="2"/>
  <c r="AZ370" i="2"/>
  <c r="AZ371" i="2"/>
  <c r="AZ372" i="2"/>
  <c r="AZ373" i="2"/>
  <c r="AZ374" i="2"/>
  <c r="AZ375" i="2"/>
  <c r="AZ376" i="2"/>
  <c r="AZ377" i="2"/>
  <c r="BD334" i="2"/>
  <c r="BD335" i="2"/>
  <c r="BD336" i="2"/>
  <c r="BD337" i="2"/>
  <c r="BD338" i="2"/>
  <c r="BD339" i="2"/>
  <c r="BD340" i="2"/>
  <c r="BD341" i="2"/>
  <c r="BD342" i="2"/>
  <c r="BD343" i="2"/>
  <c r="BD344" i="2"/>
  <c r="BD345" i="2"/>
  <c r="BD346" i="2"/>
  <c r="BD347" i="2"/>
  <c r="BD348" i="2"/>
  <c r="BD349" i="2"/>
  <c r="BD350" i="2"/>
  <c r="BD351" i="2"/>
  <c r="BD352" i="2"/>
  <c r="BD353" i="2"/>
  <c r="BD354" i="2"/>
  <c r="BD355" i="2"/>
  <c r="BD356" i="2"/>
  <c r="BD357" i="2"/>
  <c r="BD358" i="2"/>
  <c r="BD359" i="2"/>
  <c r="BD360" i="2"/>
  <c r="BD361" i="2"/>
  <c r="BD362" i="2"/>
  <c r="BD363" i="2"/>
  <c r="BD364" i="2"/>
  <c r="BD365" i="2"/>
  <c r="BD366" i="2"/>
  <c r="BD367" i="2"/>
  <c r="BD368" i="2"/>
  <c r="BD369" i="2"/>
  <c r="BD370" i="2"/>
  <c r="BD371" i="2"/>
  <c r="BD372" i="2"/>
  <c r="BD373" i="2"/>
  <c r="BD374" i="2"/>
  <c r="BD375" i="2"/>
  <c r="BD376" i="2"/>
  <c r="BD377" i="2"/>
  <c r="BH334" i="2"/>
  <c r="BH335" i="2"/>
  <c r="BH336" i="2"/>
  <c r="BH337" i="2"/>
  <c r="BH338" i="2"/>
  <c r="BH339" i="2"/>
  <c r="BH340" i="2"/>
  <c r="BH341" i="2"/>
  <c r="BH342" i="2"/>
  <c r="BH343" i="2"/>
  <c r="BH344" i="2"/>
  <c r="BH345" i="2"/>
  <c r="BH346" i="2"/>
  <c r="BH347" i="2"/>
  <c r="BH348" i="2"/>
  <c r="BH349" i="2"/>
  <c r="BH350" i="2"/>
  <c r="BH351" i="2"/>
  <c r="BH352" i="2"/>
  <c r="BH353" i="2"/>
  <c r="BH354" i="2"/>
  <c r="BH355" i="2"/>
  <c r="BH356" i="2"/>
  <c r="BH357" i="2"/>
  <c r="BH358" i="2"/>
  <c r="BH359" i="2"/>
  <c r="BH360" i="2"/>
  <c r="BH361" i="2"/>
  <c r="BH362" i="2"/>
  <c r="BH363" i="2"/>
  <c r="BH364" i="2"/>
  <c r="BH365" i="2"/>
  <c r="BH366" i="2"/>
  <c r="BH367" i="2"/>
  <c r="BH368" i="2"/>
  <c r="BH369" i="2"/>
  <c r="BH370" i="2"/>
  <c r="BH371" i="2"/>
  <c r="BH372" i="2"/>
  <c r="BH373" i="2"/>
  <c r="BH374" i="2"/>
  <c r="BH375" i="2"/>
  <c r="BH376" i="2"/>
  <c r="BH377" i="2"/>
  <c r="BL334" i="2"/>
  <c r="BL335" i="2"/>
  <c r="BL336" i="2"/>
  <c r="BL337" i="2"/>
  <c r="BL338" i="2"/>
  <c r="BL339" i="2"/>
  <c r="BL340" i="2"/>
  <c r="BL341" i="2"/>
  <c r="BL342" i="2"/>
  <c r="BL343" i="2"/>
  <c r="BL344" i="2"/>
  <c r="BL345" i="2"/>
  <c r="BL346" i="2"/>
  <c r="BL347" i="2"/>
  <c r="BL348" i="2"/>
  <c r="BL349" i="2"/>
  <c r="BL350" i="2"/>
  <c r="BL351" i="2"/>
  <c r="BL352" i="2"/>
  <c r="BL353" i="2"/>
  <c r="BL354" i="2"/>
  <c r="BL355" i="2"/>
  <c r="BL356" i="2"/>
  <c r="BL357" i="2"/>
  <c r="BL358" i="2"/>
  <c r="BL359" i="2"/>
  <c r="BL360" i="2"/>
  <c r="BL361" i="2"/>
  <c r="BL362" i="2"/>
  <c r="BL363" i="2"/>
  <c r="BL364" i="2"/>
  <c r="BL365" i="2"/>
  <c r="BL366" i="2"/>
  <c r="BL367" i="2"/>
  <c r="BL368" i="2"/>
  <c r="BL369" i="2"/>
  <c r="BL370" i="2"/>
  <c r="BL371" i="2"/>
  <c r="BL372" i="2"/>
  <c r="BL373" i="2"/>
  <c r="BL374" i="2"/>
  <c r="BL375" i="2"/>
  <c r="BL376" i="2"/>
  <c r="BL377" i="2"/>
  <c r="BP334" i="2"/>
  <c r="BP335" i="2"/>
  <c r="BP336" i="2"/>
  <c r="BP337" i="2"/>
  <c r="BP338" i="2"/>
  <c r="BP339" i="2"/>
  <c r="BP340" i="2"/>
  <c r="BP341" i="2"/>
  <c r="BP342" i="2"/>
  <c r="BP343" i="2"/>
  <c r="BP344" i="2"/>
  <c r="BP345" i="2"/>
  <c r="BP346" i="2"/>
  <c r="BP347" i="2"/>
  <c r="BP348" i="2"/>
  <c r="BP349" i="2"/>
  <c r="BP351" i="2"/>
  <c r="BP352" i="2"/>
  <c r="BP353" i="2"/>
  <c r="BP354" i="2"/>
  <c r="BP355" i="2"/>
  <c r="BP356" i="2"/>
  <c r="BP357" i="2"/>
  <c r="BP358" i="2"/>
  <c r="BP359" i="2"/>
  <c r="BP360" i="2"/>
  <c r="BP361" i="2"/>
  <c r="BP362" i="2"/>
  <c r="BP363" i="2"/>
  <c r="BP364" i="2"/>
  <c r="BP365" i="2"/>
  <c r="BP366" i="2"/>
  <c r="BP367" i="2"/>
  <c r="BP368" i="2"/>
  <c r="BP369" i="2"/>
  <c r="BP370" i="2"/>
  <c r="BP371" i="2"/>
  <c r="BP372" i="2"/>
  <c r="BP373" i="2"/>
  <c r="BP374" i="2"/>
  <c r="BP375" i="2"/>
  <c r="BP376" i="2"/>
  <c r="BP350" i="2"/>
  <c r="BP377" i="2"/>
  <c r="BA334" i="2"/>
  <c r="BA335" i="2"/>
  <c r="BA336" i="2"/>
  <c r="BA337" i="2"/>
  <c r="BA338" i="2"/>
  <c r="BA339" i="2"/>
  <c r="BA340" i="2"/>
  <c r="BA341" i="2"/>
  <c r="BA342" i="2"/>
  <c r="BA343" i="2"/>
  <c r="BA344" i="2"/>
  <c r="BA345" i="2"/>
  <c r="BA346" i="2"/>
  <c r="BA347" i="2"/>
  <c r="BA348" i="2"/>
  <c r="BA349" i="2"/>
  <c r="BA350" i="2"/>
  <c r="BA352" i="2"/>
  <c r="BA356" i="2"/>
  <c r="BA360" i="2"/>
  <c r="BA364" i="2"/>
  <c r="BA353" i="2"/>
  <c r="BA357" i="2"/>
  <c r="BA361" i="2"/>
  <c r="BA367" i="2"/>
  <c r="BA368" i="2"/>
  <c r="BA369" i="2"/>
  <c r="BA370" i="2"/>
  <c r="BA371" i="2"/>
  <c r="BA372" i="2"/>
  <c r="BA373" i="2"/>
  <c r="BA374" i="2"/>
  <c r="BA375" i="2"/>
  <c r="BA376" i="2"/>
  <c r="BA354" i="2"/>
  <c r="BA358" i="2"/>
  <c r="BA362" i="2"/>
  <c r="BA366" i="2"/>
  <c r="BA363" i="2"/>
  <c r="BA377" i="2"/>
  <c r="BA355" i="2"/>
  <c r="BA359" i="2"/>
  <c r="BA351" i="2"/>
  <c r="BA365" i="2"/>
  <c r="BE334" i="2"/>
  <c r="BE335" i="2"/>
  <c r="BE336" i="2"/>
  <c r="BE337" i="2"/>
  <c r="BE338" i="2"/>
  <c r="BE339" i="2"/>
  <c r="BE340" i="2"/>
  <c r="BE341" i="2"/>
  <c r="BE342" i="2"/>
  <c r="BE343" i="2"/>
  <c r="BE344" i="2"/>
  <c r="BE345" i="2"/>
  <c r="BE346" i="2"/>
  <c r="BE347" i="2"/>
  <c r="BE348" i="2"/>
  <c r="BE349" i="2"/>
  <c r="BE350" i="2"/>
  <c r="BE351" i="2"/>
  <c r="BE355" i="2"/>
  <c r="BE359" i="2"/>
  <c r="BE363" i="2"/>
  <c r="BE352" i="2"/>
  <c r="BE356" i="2"/>
  <c r="BE360" i="2"/>
  <c r="BE366" i="2"/>
  <c r="BE367" i="2"/>
  <c r="BE368" i="2"/>
  <c r="BE369" i="2"/>
  <c r="BE370" i="2"/>
  <c r="BE371" i="2"/>
  <c r="BE372" i="2"/>
  <c r="BE373" i="2"/>
  <c r="BE374" i="2"/>
  <c r="BE375" i="2"/>
  <c r="BE376" i="2"/>
  <c r="BE353" i="2"/>
  <c r="BE357" i="2"/>
  <c r="BE361" i="2"/>
  <c r="BE365" i="2"/>
  <c r="BE364" i="2"/>
  <c r="BE377" i="2"/>
  <c r="BE354" i="2"/>
  <c r="BE358" i="2"/>
  <c r="BE362" i="2"/>
  <c r="BI334" i="2"/>
  <c r="BI335" i="2"/>
  <c r="BI336" i="2"/>
  <c r="BI337" i="2"/>
  <c r="BI338" i="2"/>
  <c r="BI339" i="2"/>
  <c r="BI340" i="2"/>
  <c r="BI341" i="2"/>
  <c r="BI342" i="2"/>
  <c r="BI343" i="2"/>
  <c r="BI344" i="2"/>
  <c r="BI345" i="2"/>
  <c r="BI346" i="2"/>
  <c r="BI347" i="2"/>
  <c r="BI348" i="2"/>
  <c r="BI349" i="2"/>
  <c r="BI350" i="2"/>
  <c r="BI354" i="2"/>
  <c r="BI358" i="2"/>
  <c r="BI362" i="2"/>
  <c r="BI351" i="2"/>
  <c r="BI355" i="2"/>
  <c r="BI359" i="2"/>
  <c r="BI365" i="2"/>
  <c r="BI366" i="2"/>
  <c r="BI367" i="2"/>
  <c r="BI368" i="2"/>
  <c r="BI369" i="2"/>
  <c r="BI370" i="2"/>
  <c r="BI371" i="2"/>
  <c r="BI372" i="2"/>
  <c r="BI373" i="2"/>
  <c r="BI374" i="2"/>
  <c r="BI375" i="2"/>
  <c r="BI376" i="2"/>
  <c r="BI352" i="2"/>
  <c r="BI356" i="2"/>
  <c r="BI360" i="2"/>
  <c r="BI364" i="2"/>
  <c r="BI353" i="2"/>
  <c r="BI377" i="2"/>
  <c r="BI361" i="2"/>
  <c r="BI357" i="2"/>
  <c r="BI363" i="2"/>
  <c r="BM334" i="2"/>
  <c r="BM335" i="2"/>
  <c r="BM336" i="2"/>
  <c r="BM337" i="2"/>
  <c r="BM338" i="2"/>
  <c r="BM339" i="2"/>
  <c r="BM340" i="2"/>
  <c r="BM341" i="2"/>
  <c r="BM342" i="2"/>
  <c r="BM343" i="2"/>
  <c r="BM344" i="2"/>
  <c r="BM345" i="2"/>
  <c r="BM346" i="2"/>
  <c r="BM347" i="2"/>
  <c r="BM348" i="2"/>
  <c r="BM349" i="2"/>
  <c r="BM350" i="2"/>
  <c r="BM353" i="2"/>
  <c r="BM357" i="2"/>
  <c r="BM361" i="2"/>
  <c r="BM365" i="2"/>
  <c r="BM354" i="2"/>
  <c r="BM358" i="2"/>
  <c r="BM362" i="2"/>
  <c r="BM364" i="2"/>
  <c r="BM366" i="2"/>
  <c r="BM367" i="2"/>
  <c r="BM368" i="2"/>
  <c r="BM369" i="2"/>
  <c r="BM370" i="2"/>
  <c r="BM371" i="2"/>
  <c r="BM372" i="2"/>
  <c r="BM373" i="2"/>
  <c r="BM374" i="2"/>
  <c r="BM375" i="2"/>
  <c r="BM376" i="2"/>
  <c r="BM351" i="2"/>
  <c r="BM355" i="2"/>
  <c r="BM359" i="2"/>
  <c r="BM363" i="2"/>
  <c r="BM356" i="2"/>
  <c r="BM377" i="2"/>
  <c r="BM352" i="2"/>
  <c r="BM360" i="2"/>
  <c r="BQ334" i="2"/>
  <c r="BQ335" i="2"/>
  <c r="BQ336" i="2"/>
  <c r="BQ337" i="2"/>
  <c r="BQ338" i="2"/>
  <c r="BQ339" i="2"/>
  <c r="BQ340" i="2"/>
  <c r="BQ341" i="2"/>
  <c r="BQ342" i="2"/>
  <c r="BQ343" i="2"/>
  <c r="BQ344" i="2"/>
  <c r="BQ345" i="2"/>
  <c r="BQ346" i="2"/>
  <c r="BQ347" i="2"/>
  <c r="BQ348" i="2"/>
  <c r="BQ350" i="2"/>
  <c r="BQ352" i="2"/>
  <c r="BQ356" i="2"/>
  <c r="BQ360" i="2"/>
  <c r="BQ364" i="2"/>
  <c r="BQ353" i="2"/>
  <c r="BQ357" i="2"/>
  <c r="BQ361" i="2"/>
  <c r="BQ363" i="2"/>
  <c r="BQ366" i="2"/>
  <c r="BQ367" i="2"/>
  <c r="BQ368" i="2"/>
  <c r="BQ369" i="2"/>
  <c r="BQ370" i="2"/>
  <c r="BQ371" i="2"/>
  <c r="BQ372" i="2"/>
  <c r="BQ373" i="2"/>
  <c r="BQ374" i="2"/>
  <c r="BQ375" i="2"/>
  <c r="BQ354" i="2"/>
  <c r="BQ358" i="2"/>
  <c r="BQ362" i="2"/>
  <c r="BQ349" i="2"/>
  <c r="BQ359" i="2"/>
  <c r="BQ377" i="2"/>
  <c r="BQ351" i="2"/>
  <c r="BQ376" i="2"/>
  <c r="BQ365" i="2"/>
  <c r="BQ355" i="2"/>
  <c r="BB334" i="2"/>
  <c r="BB335" i="2"/>
  <c r="BB336" i="2"/>
  <c r="BB337" i="2"/>
  <c r="BB338" i="2"/>
  <c r="BB339" i="2"/>
  <c r="BB340" i="2"/>
  <c r="BB341" i="2"/>
  <c r="BB342" i="2"/>
  <c r="BB343" i="2"/>
  <c r="BB344" i="2"/>
  <c r="BB345" i="2"/>
  <c r="BB346" i="2"/>
  <c r="BB347" i="2"/>
  <c r="BB348" i="2"/>
  <c r="BB349" i="2"/>
  <c r="BB350" i="2"/>
  <c r="BB351" i="2"/>
  <c r="BB352" i="2"/>
  <c r="BB353" i="2"/>
  <c r="BB354" i="2"/>
  <c r="BB355" i="2"/>
  <c r="BB356" i="2"/>
  <c r="BB357" i="2"/>
  <c r="BB358" i="2"/>
  <c r="BB359" i="2"/>
  <c r="BB360" i="2"/>
  <c r="BB361" i="2"/>
  <c r="BB362" i="2"/>
  <c r="BB363" i="2"/>
  <c r="BB365" i="2"/>
  <c r="BB364" i="2"/>
  <c r="BB367" i="2"/>
  <c r="BB368" i="2"/>
  <c r="BB369" i="2"/>
  <c r="BB370" i="2"/>
  <c r="BB371" i="2"/>
  <c r="BB372" i="2"/>
  <c r="BB373" i="2"/>
  <c r="BB374" i="2"/>
  <c r="BB375" i="2"/>
  <c r="BB376" i="2"/>
  <c r="BB366" i="2"/>
  <c r="BB377" i="2"/>
  <c r="BF334" i="2"/>
  <c r="BF335" i="2"/>
  <c r="BF336" i="2"/>
  <c r="BF337" i="2"/>
  <c r="BF338" i="2"/>
  <c r="BF339" i="2"/>
  <c r="BF340" i="2"/>
  <c r="BF341" i="2"/>
  <c r="BF342" i="2"/>
  <c r="BF343" i="2"/>
  <c r="BF344" i="2"/>
  <c r="BF345" i="2"/>
  <c r="BF346" i="2"/>
  <c r="BF347" i="2"/>
  <c r="BF348" i="2"/>
  <c r="BF349" i="2"/>
  <c r="BF350" i="2"/>
  <c r="BF351" i="2"/>
  <c r="BF352" i="2"/>
  <c r="BF353" i="2"/>
  <c r="BF354" i="2"/>
  <c r="BF355" i="2"/>
  <c r="BF356" i="2"/>
  <c r="BF357" i="2"/>
  <c r="BF358" i="2"/>
  <c r="BF359" i="2"/>
  <c r="BF360" i="2"/>
  <c r="BF361" i="2"/>
  <c r="BF362" i="2"/>
  <c r="BF364" i="2"/>
  <c r="BF363" i="2"/>
  <c r="BF366" i="2"/>
  <c r="BF367" i="2"/>
  <c r="BF368" i="2"/>
  <c r="BF369" i="2"/>
  <c r="BF370" i="2"/>
  <c r="BF371" i="2"/>
  <c r="BF372" i="2"/>
  <c r="BF373" i="2"/>
  <c r="BF374" i="2"/>
  <c r="BF375" i="2"/>
  <c r="BF376" i="2"/>
  <c r="BF365" i="2"/>
  <c r="BF377" i="2"/>
  <c r="BJ334" i="2"/>
  <c r="BJ335" i="2"/>
  <c r="BJ336" i="2"/>
  <c r="BJ337" i="2"/>
  <c r="BJ338" i="2"/>
  <c r="BJ339" i="2"/>
  <c r="BJ340" i="2"/>
  <c r="BJ341" i="2"/>
  <c r="BJ342" i="2"/>
  <c r="BJ343" i="2"/>
  <c r="BJ344" i="2"/>
  <c r="BJ345" i="2"/>
  <c r="BJ346" i="2"/>
  <c r="BJ347" i="2"/>
  <c r="BJ348" i="2"/>
  <c r="BJ349" i="2"/>
  <c r="BJ350" i="2"/>
  <c r="BJ351" i="2"/>
  <c r="BJ352" i="2"/>
  <c r="BJ353" i="2"/>
  <c r="BJ354" i="2"/>
  <c r="BJ355" i="2"/>
  <c r="BJ356" i="2"/>
  <c r="BJ357" i="2"/>
  <c r="BJ358" i="2"/>
  <c r="BJ359" i="2"/>
  <c r="BJ360" i="2"/>
  <c r="BJ361" i="2"/>
  <c r="BJ362" i="2"/>
  <c r="BJ363" i="2"/>
  <c r="BJ365" i="2"/>
  <c r="BJ366" i="2"/>
  <c r="BJ367" i="2"/>
  <c r="BJ368" i="2"/>
  <c r="BJ369" i="2"/>
  <c r="BJ370" i="2"/>
  <c r="BJ371" i="2"/>
  <c r="BJ372" i="2"/>
  <c r="BJ373" i="2"/>
  <c r="BJ374" i="2"/>
  <c r="BJ375" i="2"/>
  <c r="BJ376" i="2"/>
  <c r="BJ364" i="2"/>
  <c r="BJ377" i="2"/>
  <c r="BN334" i="2"/>
  <c r="BN335" i="2"/>
  <c r="BN336" i="2"/>
  <c r="BN337" i="2"/>
  <c r="BN338" i="2"/>
  <c r="BN339" i="2"/>
  <c r="BN340" i="2"/>
  <c r="BN341" i="2"/>
  <c r="BN342" i="2"/>
  <c r="BN343" i="2"/>
  <c r="BN344" i="2"/>
  <c r="BN345" i="2"/>
  <c r="BN346" i="2"/>
  <c r="BN347" i="2"/>
  <c r="BN348" i="2"/>
  <c r="BN349" i="2"/>
  <c r="BN350" i="2"/>
  <c r="BN351" i="2"/>
  <c r="BN352" i="2"/>
  <c r="BN353" i="2"/>
  <c r="BN354" i="2"/>
  <c r="BN355" i="2"/>
  <c r="BN356" i="2"/>
  <c r="BN357" i="2"/>
  <c r="BN358" i="2"/>
  <c r="BN359" i="2"/>
  <c r="BN360" i="2"/>
  <c r="BN361" i="2"/>
  <c r="BN362" i="2"/>
  <c r="BN365" i="2"/>
  <c r="BN364" i="2"/>
  <c r="BN366" i="2"/>
  <c r="BN367" i="2"/>
  <c r="BN368" i="2"/>
  <c r="BN369" i="2"/>
  <c r="BN370" i="2"/>
  <c r="BN371" i="2"/>
  <c r="BN372" i="2"/>
  <c r="BN373" i="2"/>
  <c r="BN374" i="2"/>
  <c r="BN375" i="2"/>
  <c r="BN376" i="2"/>
  <c r="BN377" i="2"/>
  <c r="BN363" i="2"/>
  <c r="BR334" i="2"/>
  <c r="BR335" i="2"/>
  <c r="BR336" i="2"/>
  <c r="BR337" i="2"/>
  <c r="BR338" i="2"/>
  <c r="BR339" i="2"/>
  <c r="BR340" i="2"/>
  <c r="BR341" i="2"/>
  <c r="BR342" i="2"/>
  <c r="BR343" i="2"/>
  <c r="BR344" i="2"/>
  <c r="BR345" i="2"/>
  <c r="BR346" i="2"/>
  <c r="BR347" i="2"/>
  <c r="BR348" i="2"/>
  <c r="BR349" i="2"/>
  <c r="BR350" i="2"/>
  <c r="BR351" i="2"/>
  <c r="BR352" i="2"/>
  <c r="BR353" i="2"/>
  <c r="BR354" i="2"/>
  <c r="BR355" i="2"/>
  <c r="BR356" i="2"/>
  <c r="BR357" i="2"/>
  <c r="BR358" i="2"/>
  <c r="BR359" i="2"/>
  <c r="BR360" i="2"/>
  <c r="BR361" i="2"/>
  <c r="BR362" i="2"/>
  <c r="BR365" i="2"/>
  <c r="BR364" i="2"/>
  <c r="BR363" i="2"/>
  <c r="BR366" i="2"/>
  <c r="BR367" i="2"/>
  <c r="BR368" i="2"/>
  <c r="BR369" i="2"/>
  <c r="BR370" i="2"/>
  <c r="BR371" i="2"/>
  <c r="BR372" i="2"/>
  <c r="BR373" i="2"/>
  <c r="BR374" i="2"/>
  <c r="BR375" i="2"/>
  <c r="BR376" i="2"/>
  <c r="BR377" i="2"/>
  <c r="BC334" i="2"/>
  <c r="BC338" i="2"/>
  <c r="BC342" i="2"/>
  <c r="BC346" i="2"/>
  <c r="BC335" i="2"/>
  <c r="BC339" i="2"/>
  <c r="BC343" i="2"/>
  <c r="BC347" i="2"/>
  <c r="BC351" i="2"/>
  <c r="BC352" i="2"/>
  <c r="BC353" i="2"/>
  <c r="BC354" i="2"/>
  <c r="BC355" i="2"/>
  <c r="BC356" i="2"/>
  <c r="BC357" i="2"/>
  <c r="BC358" i="2"/>
  <c r="BC359" i="2"/>
  <c r="BC360" i="2"/>
  <c r="BC361" i="2"/>
  <c r="BC362" i="2"/>
  <c r="BC363" i="2"/>
  <c r="BC336" i="2"/>
  <c r="BC340" i="2"/>
  <c r="BC344" i="2"/>
  <c r="BC348" i="2"/>
  <c r="BC350" i="2"/>
  <c r="BC341" i="2"/>
  <c r="BC366" i="2"/>
  <c r="BC345" i="2"/>
  <c r="BC365" i="2"/>
  <c r="BC349" i="2"/>
  <c r="BC364" i="2"/>
  <c r="BC337" i="2"/>
  <c r="BC367" i="2"/>
  <c r="BC371" i="2"/>
  <c r="BC375" i="2"/>
  <c r="BC374" i="2"/>
  <c r="BC368" i="2"/>
  <c r="BC372" i="2"/>
  <c r="BC376" i="2"/>
  <c r="BC369" i="2"/>
  <c r="BC373" i="2"/>
  <c r="BC377" i="2"/>
  <c r="BC370" i="2"/>
  <c r="BG337" i="2"/>
  <c r="BG341" i="2"/>
  <c r="BG345" i="2"/>
  <c r="BG349" i="2"/>
  <c r="BG350" i="2"/>
  <c r="BG334" i="2"/>
  <c r="BG338" i="2"/>
  <c r="BG342" i="2"/>
  <c r="BG346" i="2"/>
  <c r="BG351" i="2"/>
  <c r="BG352" i="2"/>
  <c r="BG353" i="2"/>
  <c r="BG354" i="2"/>
  <c r="BG355" i="2"/>
  <c r="BG356" i="2"/>
  <c r="BG357" i="2"/>
  <c r="BG358" i="2"/>
  <c r="BG359" i="2"/>
  <c r="BG360" i="2"/>
  <c r="BG361" i="2"/>
  <c r="BG362" i="2"/>
  <c r="BG335" i="2"/>
  <c r="BG339" i="2"/>
  <c r="BG343" i="2"/>
  <c r="BG347" i="2"/>
  <c r="BG344" i="2"/>
  <c r="BG365" i="2"/>
  <c r="BG348" i="2"/>
  <c r="BG364" i="2"/>
  <c r="BG336" i="2"/>
  <c r="BG363" i="2"/>
  <c r="BG366" i="2"/>
  <c r="BG370" i="2"/>
  <c r="BG374" i="2"/>
  <c r="BG368" i="2"/>
  <c r="BG372" i="2"/>
  <c r="BG377" i="2"/>
  <c r="BG369" i="2"/>
  <c r="BG340" i="2"/>
  <c r="BG367" i="2"/>
  <c r="BG371" i="2"/>
  <c r="BG375" i="2"/>
  <c r="BG376" i="2"/>
  <c r="BG373" i="2"/>
  <c r="BK336" i="2"/>
  <c r="BK340" i="2"/>
  <c r="BK344" i="2"/>
  <c r="BK348" i="2"/>
  <c r="BK337" i="2"/>
  <c r="BK341" i="2"/>
  <c r="BK345" i="2"/>
  <c r="BK349" i="2"/>
  <c r="BK351" i="2"/>
  <c r="BK352" i="2"/>
  <c r="BK353" i="2"/>
  <c r="BK354" i="2"/>
  <c r="BK355" i="2"/>
  <c r="BK356" i="2"/>
  <c r="BK357" i="2"/>
  <c r="BK358" i="2"/>
  <c r="BK359" i="2"/>
  <c r="BK360" i="2"/>
  <c r="BK361" i="2"/>
  <c r="BK362" i="2"/>
  <c r="BK334" i="2"/>
  <c r="BK338" i="2"/>
  <c r="BK342" i="2"/>
  <c r="BK346" i="2"/>
  <c r="BK347" i="2"/>
  <c r="BK364" i="2"/>
  <c r="BK335" i="2"/>
  <c r="BK350" i="2"/>
  <c r="BK363" i="2"/>
  <c r="BK339" i="2"/>
  <c r="BK369" i="2"/>
  <c r="BK373" i="2"/>
  <c r="BK375" i="2"/>
  <c r="BK377" i="2"/>
  <c r="BK372" i="2"/>
  <c r="BK365" i="2"/>
  <c r="BK366" i="2"/>
  <c r="BK370" i="2"/>
  <c r="BK374" i="2"/>
  <c r="BK343" i="2"/>
  <c r="BK367" i="2"/>
  <c r="BK371" i="2"/>
  <c r="BK368" i="2"/>
  <c r="BK376" i="2"/>
  <c r="BO335" i="2"/>
  <c r="BO339" i="2"/>
  <c r="BO343" i="2"/>
  <c r="BO347" i="2"/>
  <c r="BO336" i="2"/>
  <c r="BO340" i="2"/>
  <c r="BO344" i="2"/>
  <c r="BO348" i="2"/>
  <c r="BO351" i="2"/>
  <c r="BO352" i="2"/>
  <c r="BO353" i="2"/>
  <c r="BO354" i="2"/>
  <c r="BO355" i="2"/>
  <c r="BO356" i="2"/>
  <c r="BO357" i="2"/>
  <c r="BO358" i="2"/>
  <c r="BO359" i="2"/>
  <c r="BO360" i="2"/>
  <c r="BO361" i="2"/>
  <c r="BO362" i="2"/>
  <c r="BO337" i="2"/>
  <c r="BO341" i="2"/>
  <c r="BO345" i="2"/>
  <c r="BO349" i="2"/>
  <c r="BO350" i="2"/>
  <c r="BO334" i="2"/>
  <c r="BO363" i="2"/>
  <c r="BO338" i="2"/>
  <c r="BO342" i="2"/>
  <c r="BO365" i="2"/>
  <c r="BO368" i="2"/>
  <c r="BO372" i="2"/>
  <c r="BO376" i="2"/>
  <c r="BO364" i="2"/>
  <c r="BO366" i="2"/>
  <c r="BO370" i="2"/>
  <c r="BO367" i="2"/>
  <c r="BO375" i="2"/>
  <c r="BO369" i="2"/>
  <c r="BO373" i="2"/>
  <c r="BO374" i="2"/>
  <c r="BO377" i="2"/>
  <c r="BO346" i="2"/>
  <c r="BO371" i="2"/>
  <c r="BS334" i="2"/>
  <c r="BS338" i="2"/>
  <c r="BS342" i="2"/>
  <c r="BS346" i="2"/>
  <c r="BS349" i="2"/>
  <c r="BS335" i="2"/>
  <c r="BS339" i="2"/>
  <c r="BS343" i="2"/>
  <c r="BS347" i="2"/>
  <c r="BS350" i="2"/>
  <c r="BS351" i="2"/>
  <c r="BS352" i="2"/>
  <c r="BS353" i="2"/>
  <c r="BS354" i="2"/>
  <c r="BS355" i="2"/>
  <c r="BS356" i="2"/>
  <c r="BS357" i="2"/>
  <c r="BS358" i="2"/>
  <c r="BS359" i="2"/>
  <c r="BS360" i="2"/>
  <c r="BS361" i="2"/>
  <c r="BS362" i="2"/>
  <c r="BS336" i="2"/>
  <c r="BS340" i="2"/>
  <c r="BS344" i="2"/>
  <c r="BS348" i="2"/>
  <c r="BS337" i="2"/>
  <c r="BS341" i="2"/>
  <c r="BS365" i="2"/>
  <c r="BS345" i="2"/>
  <c r="BS364" i="2"/>
  <c r="BS367" i="2"/>
  <c r="BS371" i="2"/>
  <c r="BS375" i="2"/>
  <c r="BS373" i="2"/>
  <c r="BS377" i="2"/>
  <c r="BS363" i="2"/>
  <c r="BS370" i="2"/>
  <c r="BS376" i="2"/>
  <c r="BS368" i="2"/>
  <c r="BS372" i="2"/>
  <c r="BS369" i="2"/>
  <c r="BS366" i="2"/>
  <c r="BS374" i="2"/>
  <c r="BD38" i="2"/>
  <c r="BD253" i="2"/>
  <c r="BD254" i="2"/>
  <c r="BD255" i="2"/>
  <c r="BD256" i="2"/>
  <c r="BD257" i="2"/>
  <c r="BD258" i="2"/>
  <c r="BD259" i="2"/>
  <c r="BD260" i="2"/>
  <c r="BD261" i="2"/>
  <c r="BD262" i="2"/>
  <c r="BD263" i="2"/>
  <c r="BD264" i="2"/>
  <c r="BD265" i="2"/>
  <c r="BD266" i="2"/>
  <c r="BD267" i="2"/>
  <c r="BD268" i="2"/>
  <c r="BD269" i="2"/>
  <c r="BD270" i="2"/>
  <c r="BD272" i="2"/>
  <c r="BD274"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271" i="2"/>
  <c r="BD275" i="2"/>
  <c r="BD273" i="2"/>
  <c r="BD302" i="2"/>
  <c r="BD304" i="2"/>
  <c r="BD306" i="2"/>
  <c r="BD308" i="2"/>
  <c r="BD310" i="2"/>
  <c r="BD312" i="2"/>
  <c r="BD314" i="2"/>
  <c r="BD317" i="2"/>
  <c r="BD320" i="2"/>
  <c r="BD321" i="2"/>
  <c r="BD322" i="2"/>
  <c r="BD323" i="2"/>
  <c r="BD324" i="2"/>
  <c r="BD325" i="2"/>
  <c r="BD326" i="2"/>
  <c r="BD327" i="2"/>
  <c r="BD328" i="2"/>
  <c r="BD329" i="2"/>
  <c r="BD330" i="2"/>
  <c r="BD331" i="2"/>
  <c r="BD332" i="2"/>
  <c r="BD333" i="2"/>
  <c r="BD301" i="2"/>
  <c r="BD305" i="2"/>
  <c r="BD307" i="2"/>
  <c r="BD309" i="2"/>
  <c r="BD311" i="2"/>
  <c r="BD313" i="2"/>
  <c r="BD315" i="2"/>
  <c r="BD319" i="2"/>
  <c r="BD318" i="2"/>
  <c r="BD316" i="2"/>
  <c r="BD303" i="2"/>
  <c r="BL253" i="2"/>
  <c r="BL254" i="2"/>
  <c r="BL255" i="2"/>
  <c r="BL256" i="2"/>
  <c r="BL257" i="2"/>
  <c r="BL258" i="2"/>
  <c r="BL259" i="2"/>
  <c r="BL260" i="2"/>
  <c r="BL261" i="2"/>
  <c r="BL262" i="2"/>
  <c r="BL263" i="2"/>
  <c r="BL264" i="2"/>
  <c r="BL265" i="2"/>
  <c r="BL266" i="2"/>
  <c r="BL267" i="2"/>
  <c r="BL268" i="2"/>
  <c r="BL269" i="2"/>
  <c r="BL270" i="2"/>
  <c r="BL272" i="2"/>
  <c r="BL274" i="2"/>
  <c r="BL276" i="2"/>
  <c r="BL277" i="2"/>
  <c r="BL278" i="2"/>
  <c r="BL279" i="2"/>
  <c r="BL280" i="2"/>
  <c r="BL281" i="2"/>
  <c r="BL282" i="2"/>
  <c r="BL283" i="2"/>
  <c r="BL284" i="2"/>
  <c r="BL285" i="2"/>
  <c r="BL286" i="2"/>
  <c r="BL287" i="2"/>
  <c r="BL288" i="2"/>
  <c r="BL289" i="2"/>
  <c r="BL290" i="2"/>
  <c r="BL291" i="2"/>
  <c r="BL292" i="2"/>
  <c r="BL293" i="2"/>
  <c r="BL294" i="2"/>
  <c r="BL295" i="2"/>
  <c r="BL296" i="2"/>
  <c r="BL297" i="2"/>
  <c r="BL298" i="2"/>
  <c r="BL299" i="2"/>
  <c r="BL300" i="2"/>
  <c r="BL275" i="2"/>
  <c r="BL273" i="2"/>
  <c r="BL271" i="2"/>
  <c r="BL302" i="2"/>
  <c r="BL304" i="2"/>
  <c r="BL306" i="2"/>
  <c r="BL308" i="2"/>
  <c r="BL310" i="2"/>
  <c r="BL312" i="2"/>
  <c r="BL314" i="2"/>
  <c r="BL319" i="2"/>
  <c r="BL320" i="2"/>
  <c r="BL321" i="2"/>
  <c r="BL322" i="2"/>
  <c r="BL323" i="2"/>
  <c r="BL324" i="2"/>
  <c r="BL325" i="2"/>
  <c r="BL326" i="2"/>
  <c r="BL327" i="2"/>
  <c r="BL328" i="2"/>
  <c r="BL329" i="2"/>
  <c r="BL330" i="2"/>
  <c r="BL331" i="2"/>
  <c r="BL332" i="2"/>
  <c r="BL333" i="2"/>
  <c r="BL303" i="2"/>
  <c r="BL317" i="2"/>
  <c r="BL316" i="2"/>
  <c r="BL318" i="2"/>
  <c r="BL301" i="2"/>
  <c r="BL305" i="2"/>
  <c r="BL307" i="2"/>
  <c r="BL309" i="2"/>
  <c r="BL311" i="2"/>
  <c r="BL313" i="2"/>
  <c r="BL315" i="2"/>
  <c r="BA236" i="2"/>
  <c r="BA253" i="2"/>
  <c r="BA254" i="2"/>
  <c r="BA255" i="2"/>
  <c r="BA256" i="2"/>
  <c r="BA260" i="2"/>
  <c r="BA264" i="2"/>
  <c r="BA268" i="2"/>
  <c r="BA259" i="2"/>
  <c r="BA263" i="2"/>
  <c r="BA267" i="2"/>
  <c r="BA258" i="2"/>
  <c r="BA266" i="2"/>
  <c r="BA257" i="2"/>
  <c r="BA265" i="2"/>
  <c r="BA271" i="2"/>
  <c r="BA273" i="2"/>
  <c r="BA275" i="2"/>
  <c r="BA276" i="2"/>
  <c r="BA277" i="2"/>
  <c r="BA278" i="2"/>
  <c r="BA279" i="2"/>
  <c r="BA280" i="2"/>
  <c r="BA281" i="2"/>
  <c r="BA282" i="2"/>
  <c r="BA283" i="2"/>
  <c r="BA284" i="2"/>
  <c r="BA285" i="2"/>
  <c r="BA286" i="2"/>
  <c r="BA287" i="2"/>
  <c r="BA288" i="2"/>
  <c r="BA289" i="2"/>
  <c r="BA290" i="2"/>
  <c r="BA291" i="2"/>
  <c r="BA292" i="2"/>
  <c r="BA293" i="2"/>
  <c r="BA262" i="2"/>
  <c r="BA294" i="2"/>
  <c r="BA298" i="2"/>
  <c r="BA261" i="2"/>
  <c r="BA272" i="2"/>
  <c r="BA297" i="2"/>
  <c r="BA300" i="2"/>
  <c r="BA319" i="2"/>
  <c r="BA332" i="2"/>
  <c r="BA296" i="2"/>
  <c r="BA317" i="2"/>
  <c r="BA269" i="2"/>
  <c r="BA274" i="2"/>
  <c r="BA302" i="2"/>
  <c r="BA304" i="2"/>
  <c r="BA306" i="2"/>
  <c r="BA312" i="2"/>
  <c r="BA316" i="2"/>
  <c r="BA270" i="2"/>
  <c r="BA299" i="2"/>
  <c r="BA301" i="2"/>
  <c r="BA303" i="2"/>
  <c r="BA305" i="2"/>
  <c r="BA307" i="2"/>
  <c r="BA309" i="2"/>
  <c r="BA311" i="2"/>
  <c r="BA313" i="2"/>
  <c r="BA315" i="2"/>
  <c r="BA318" i="2"/>
  <c r="BA320" i="2"/>
  <c r="BA321" i="2"/>
  <c r="BA322" i="2"/>
  <c r="BA323" i="2"/>
  <c r="BA324" i="2"/>
  <c r="BA325" i="2"/>
  <c r="BA326" i="2"/>
  <c r="BA327" i="2"/>
  <c r="BA328" i="2"/>
  <c r="BA329" i="2"/>
  <c r="BA330" i="2"/>
  <c r="BA331" i="2"/>
  <c r="BA333" i="2"/>
  <c r="BA295" i="2"/>
  <c r="BA308" i="2"/>
  <c r="BA310" i="2"/>
  <c r="BA314" i="2"/>
  <c r="BE32" i="2"/>
  <c r="BE253" i="2"/>
  <c r="BE254" i="2"/>
  <c r="BE255" i="2"/>
  <c r="BE256" i="2"/>
  <c r="BE259" i="2"/>
  <c r="BE263" i="2"/>
  <c r="BE267" i="2"/>
  <c r="BE258" i="2"/>
  <c r="BE262" i="2"/>
  <c r="BE266" i="2"/>
  <c r="BE261" i="2"/>
  <c r="BE269" i="2"/>
  <c r="BE275" i="2"/>
  <c r="BE260" i="2"/>
  <c r="BE268" i="2"/>
  <c r="BE270" i="2"/>
  <c r="BE272" i="2"/>
  <c r="BE274" i="2"/>
  <c r="BE276" i="2"/>
  <c r="BE277" i="2"/>
  <c r="BE278" i="2"/>
  <c r="BE279" i="2"/>
  <c r="BE280" i="2"/>
  <c r="BE281" i="2"/>
  <c r="BE282" i="2"/>
  <c r="BE283" i="2"/>
  <c r="BE284" i="2"/>
  <c r="BE285" i="2"/>
  <c r="BE286" i="2"/>
  <c r="BE287" i="2"/>
  <c r="BE288" i="2"/>
  <c r="BE289" i="2"/>
  <c r="BE290" i="2"/>
  <c r="BE291" i="2"/>
  <c r="BE292" i="2"/>
  <c r="BE293" i="2"/>
  <c r="BE265" i="2"/>
  <c r="BE297" i="2"/>
  <c r="BE264" i="2"/>
  <c r="BE271" i="2"/>
  <c r="BE296" i="2"/>
  <c r="BE300" i="2"/>
  <c r="BE257" i="2"/>
  <c r="BE295" i="2"/>
  <c r="BE318" i="2"/>
  <c r="BE330" i="2"/>
  <c r="BE331" i="2"/>
  <c r="BE299" i="2"/>
  <c r="BE298" i="2"/>
  <c r="BE301" i="2"/>
  <c r="BE303" i="2"/>
  <c r="BE307" i="2"/>
  <c r="BE311" i="2"/>
  <c r="BE315" i="2"/>
  <c r="BE319" i="2"/>
  <c r="BE273" i="2"/>
  <c r="BE294" i="2"/>
  <c r="BE302" i="2"/>
  <c r="BE304" i="2"/>
  <c r="BE306" i="2"/>
  <c r="BE308" i="2"/>
  <c r="BE310" i="2"/>
  <c r="BE312" i="2"/>
  <c r="BE314" i="2"/>
  <c r="BE317" i="2"/>
  <c r="BE320" i="2"/>
  <c r="BE321" i="2"/>
  <c r="BE322" i="2"/>
  <c r="BE323" i="2"/>
  <c r="BE324" i="2"/>
  <c r="BE325" i="2"/>
  <c r="BE326" i="2"/>
  <c r="BE327" i="2"/>
  <c r="BE328" i="2"/>
  <c r="BE329" i="2"/>
  <c r="BE332" i="2"/>
  <c r="BE333" i="2"/>
  <c r="BE316" i="2"/>
  <c r="BE305" i="2"/>
  <c r="BE309" i="2"/>
  <c r="BE313" i="2"/>
  <c r="BI28" i="2"/>
  <c r="BI253" i="2"/>
  <c r="BI254" i="2"/>
  <c r="BI255" i="2"/>
  <c r="BI258" i="2"/>
  <c r="BI262" i="2"/>
  <c r="BI266" i="2"/>
  <c r="BI257" i="2"/>
  <c r="BI261" i="2"/>
  <c r="BI265" i="2"/>
  <c r="BI269" i="2"/>
  <c r="BI256" i="2"/>
  <c r="BI264" i="2"/>
  <c r="BI263" i="2"/>
  <c r="BI271" i="2"/>
  <c r="BI273" i="2"/>
  <c r="BI276" i="2"/>
  <c r="BI277" i="2"/>
  <c r="BI278" i="2"/>
  <c r="BI279" i="2"/>
  <c r="BI280" i="2"/>
  <c r="BI281" i="2"/>
  <c r="BI282" i="2"/>
  <c r="BI283" i="2"/>
  <c r="BI284" i="2"/>
  <c r="BI285" i="2"/>
  <c r="BI286" i="2"/>
  <c r="BI287" i="2"/>
  <c r="BI288" i="2"/>
  <c r="BI289" i="2"/>
  <c r="BI290" i="2"/>
  <c r="BI291" i="2"/>
  <c r="BI292" i="2"/>
  <c r="BI293" i="2"/>
  <c r="BI268" i="2"/>
  <c r="BI296" i="2"/>
  <c r="BI300" i="2"/>
  <c r="BI267" i="2"/>
  <c r="BI270" i="2"/>
  <c r="BI274" i="2"/>
  <c r="BI295" i="2"/>
  <c r="BI299" i="2"/>
  <c r="BI298" i="2"/>
  <c r="BI317" i="2"/>
  <c r="BI331" i="2"/>
  <c r="BI332" i="2"/>
  <c r="BI333" i="2"/>
  <c r="BI272" i="2"/>
  <c r="BI302" i="2"/>
  <c r="BI308" i="2"/>
  <c r="BI310" i="2"/>
  <c r="BI314" i="2"/>
  <c r="BI259" i="2"/>
  <c r="BI297" i="2"/>
  <c r="BI301" i="2"/>
  <c r="BI303" i="2"/>
  <c r="BI305" i="2"/>
  <c r="BI307" i="2"/>
  <c r="BI309" i="2"/>
  <c r="BI311" i="2"/>
  <c r="BI313" i="2"/>
  <c r="BI315" i="2"/>
  <c r="BI316" i="2"/>
  <c r="BI320" i="2"/>
  <c r="BI321" i="2"/>
  <c r="BI322" i="2"/>
  <c r="BI323" i="2"/>
  <c r="BI324" i="2"/>
  <c r="BI325" i="2"/>
  <c r="BI326" i="2"/>
  <c r="BI327" i="2"/>
  <c r="BI328" i="2"/>
  <c r="BI329" i="2"/>
  <c r="BI330" i="2"/>
  <c r="BI260" i="2"/>
  <c r="BI294" i="2"/>
  <c r="BI319" i="2"/>
  <c r="BI275" i="2"/>
  <c r="BI304" i="2"/>
  <c r="BI306" i="2"/>
  <c r="BI312" i="2"/>
  <c r="BI318" i="2"/>
  <c r="BM28" i="2"/>
  <c r="BM253" i="2"/>
  <c r="BM254" i="2"/>
  <c r="BM255" i="2"/>
  <c r="BM257" i="2"/>
  <c r="BM261" i="2"/>
  <c r="BM265" i="2"/>
  <c r="BM269" i="2"/>
  <c r="BM256" i="2"/>
  <c r="BM260" i="2"/>
  <c r="BM264" i="2"/>
  <c r="BM268" i="2"/>
  <c r="BM259" i="2"/>
  <c r="BM267" i="2"/>
  <c r="BM258" i="2"/>
  <c r="BM266" i="2"/>
  <c r="BM270" i="2"/>
  <c r="BM272" i="2"/>
  <c r="BM274" i="2"/>
  <c r="BM276" i="2"/>
  <c r="BM277" i="2"/>
  <c r="BM278" i="2"/>
  <c r="BM279" i="2"/>
  <c r="BM280" i="2"/>
  <c r="BM281" i="2"/>
  <c r="BM282" i="2"/>
  <c r="BM283" i="2"/>
  <c r="BM284" i="2"/>
  <c r="BM285" i="2"/>
  <c r="BM286" i="2"/>
  <c r="BM287" i="2"/>
  <c r="BM288" i="2"/>
  <c r="BM289" i="2"/>
  <c r="BM290" i="2"/>
  <c r="BM291" i="2"/>
  <c r="BM292" i="2"/>
  <c r="BM293" i="2"/>
  <c r="BM275" i="2"/>
  <c r="BM295" i="2"/>
  <c r="BM299" i="2"/>
  <c r="BM273" i="2"/>
  <c r="BM294" i="2"/>
  <c r="BM298" i="2"/>
  <c r="BM263" i="2"/>
  <c r="BM316" i="2"/>
  <c r="BM329" i="2"/>
  <c r="BM318" i="2"/>
  <c r="BM262" i="2"/>
  <c r="BM296" i="2"/>
  <c r="BM309" i="2"/>
  <c r="BM313" i="2"/>
  <c r="BM317" i="2"/>
  <c r="BM271" i="2"/>
  <c r="BM300" i="2"/>
  <c r="BM302" i="2"/>
  <c r="BM304" i="2"/>
  <c r="BM306" i="2"/>
  <c r="BM308" i="2"/>
  <c r="BM310" i="2"/>
  <c r="BM312" i="2"/>
  <c r="BM314" i="2"/>
  <c r="BM319" i="2"/>
  <c r="BM320" i="2"/>
  <c r="BM321" i="2"/>
  <c r="BM322" i="2"/>
  <c r="BM323" i="2"/>
  <c r="BM324" i="2"/>
  <c r="BM325" i="2"/>
  <c r="BM326" i="2"/>
  <c r="BM327" i="2"/>
  <c r="BM328" i="2"/>
  <c r="BM330" i="2"/>
  <c r="BM331" i="2"/>
  <c r="BM332" i="2"/>
  <c r="BM333" i="2"/>
  <c r="BM297" i="2"/>
  <c r="BM301" i="2"/>
  <c r="BM303" i="2"/>
  <c r="BM305" i="2"/>
  <c r="BM307" i="2"/>
  <c r="BM311" i="2"/>
  <c r="BM315" i="2"/>
  <c r="BQ28" i="2"/>
  <c r="BQ253" i="2"/>
  <c r="BQ254" i="2"/>
  <c r="BQ255" i="2"/>
  <c r="BQ256" i="2"/>
  <c r="BQ260" i="2"/>
  <c r="BQ264" i="2"/>
  <c r="BQ268" i="2"/>
  <c r="BQ259" i="2"/>
  <c r="BQ263" i="2"/>
  <c r="BQ267" i="2"/>
  <c r="BQ262" i="2"/>
  <c r="BQ261" i="2"/>
  <c r="BQ269" i="2"/>
  <c r="BQ271" i="2"/>
  <c r="BQ273" i="2"/>
  <c r="BQ275" i="2"/>
  <c r="BQ276" i="2"/>
  <c r="BQ277" i="2"/>
  <c r="BQ278" i="2"/>
  <c r="BQ279" i="2"/>
  <c r="BQ280" i="2"/>
  <c r="BQ281" i="2"/>
  <c r="BQ282" i="2"/>
  <c r="BQ283" i="2"/>
  <c r="BQ284" i="2"/>
  <c r="BQ285" i="2"/>
  <c r="BQ286" i="2"/>
  <c r="BQ287" i="2"/>
  <c r="BQ288" i="2"/>
  <c r="BQ289" i="2"/>
  <c r="BQ290" i="2"/>
  <c r="BQ291" i="2"/>
  <c r="BQ292" i="2"/>
  <c r="BQ293" i="2"/>
  <c r="BQ258" i="2"/>
  <c r="BQ294" i="2"/>
  <c r="BQ298" i="2"/>
  <c r="BQ257" i="2"/>
  <c r="BQ272" i="2"/>
  <c r="BQ297" i="2"/>
  <c r="BQ296" i="2"/>
  <c r="BQ330" i="2"/>
  <c r="BQ331" i="2"/>
  <c r="BQ332" i="2"/>
  <c r="BQ333" i="2"/>
  <c r="BQ317" i="2"/>
  <c r="BQ300" i="2"/>
  <c r="BQ304" i="2"/>
  <c r="BQ312" i="2"/>
  <c r="BQ316" i="2"/>
  <c r="BQ265" i="2"/>
  <c r="BQ274" i="2"/>
  <c r="BQ295" i="2"/>
  <c r="BQ301" i="2"/>
  <c r="BQ303" i="2"/>
  <c r="BQ305" i="2"/>
  <c r="BQ307" i="2"/>
  <c r="BQ309" i="2"/>
  <c r="BQ311" i="2"/>
  <c r="BQ313" i="2"/>
  <c r="BQ315" i="2"/>
  <c r="BQ318" i="2"/>
  <c r="BQ319" i="2"/>
  <c r="BQ320" i="2"/>
  <c r="BQ321" i="2"/>
  <c r="BQ322" i="2"/>
  <c r="BQ323" i="2"/>
  <c r="BQ324" i="2"/>
  <c r="BQ325" i="2"/>
  <c r="BQ326" i="2"/>
  <c r="BQ327" i="2"/>
  <c r="BQ328" i="2"/>
  <c r="BQ329" i="2"/>
  <c r="BQ266" i="2"/>
  <c r="BQ270" i="2"/>
  <c r="BQ299" i="2"/>
  <c r="BQ302" i="2"/>
  <c r="BQ306" i="2"/>
  <c r="BQ308" i="2"/>
  <c r="BQ310" i="2"/>
  <c r="BQ314" i="2"/>
  <c r="BB40" i="2"/>
  <c r="BB253" i="2"/>
  <c r="BB255" i="2"/>
  <c r="BB257" i="2"/>
  <c r="BB261" i="2"/>
  <c r="BB265" i="2"/>
  <c r="BB269" i="2"/>
  <c r="BB270" i="2"/>
  <c r="BB271" i="2"/>
  <c r="BB272" i="2"/>
  <c r="BB273" i="2"/>
  <c r="BB274" i="2"/>
  <c r="BB275" i="2"/>
  <c r="BB260" i="2"/>
  <c r="BB264" i="2"/>
  <c r="BB268" i="2"/>
  <c r="BB254" i="2"/>
  <c r="BB259" i="2"/>
  <c r="BB267" i="2"/>
  <c r="BB258" i="2"/>
  <c r="BB266" i="2"/>
  <c r="BB263" i="2"/>
  <c r="BB276" i="2"/>
  <c r="BB278" i="2"/>
  <c r="BB280" i="2"/>
  <c r="BB282" i="2"/>
  <c r="BB284" i="2"/>
  <c r="BB286" i="2"/>
  <c r="BB288" i="2"/>
  <c r="BB290" i="2"/>
  <c r="BB292" i="2"/>
  <c r="BB295" i="2"/>
  <c r="BB299" i="2"/>
  <c r="BB301" i="2"/>
  <c r="BB302" i="2"/>
  <c r="BB303" i="2"/>
  <c r="BB304" i="2"/>
  <c r="BB305" i="2"/>
  <c r="BB306" i="2"/>
  <c r="BB307" i="2"/>
  <c r="BB308" i="2"/>
  <c r="BB309" i="2"/>
  <c r="BB310" i="2"/>
  <c r="BB311" i="2"/>
  <c r="BB312" i="2"/>
  <c r="BB313" i="2"/>
  <c r="BB314" i="2"/>
  <c r="BB315" i="2"/>
  <c r="BB316" i="2"/>
  <c r="BB317" i="2"/>
  <c r="BB318" i="2"/>
  <c r="BB319" i="2"/>
  <c r="BB262" i="2"/>
  <c r="BB294" i="2"/>
  <c r="BB298" i="2"/>
  <c r="BB279" i="2"/>
  <c r="BB283" i="2"/>
  <c r="BB287" i="2"/>
  <c r="BB291" i="2"/>
  <c r="BB256" i="2"/>
  <c r="BB277" i="2"/>
  <c r="BB281" i="2"/>
  <c r="BB289" i="2"/>
  <c r="BB297" i="2"/>
  <c r="BB320" i="2"/>
  <c r="BB321" i="2"/>
  <c r="BB323" i="2"/>
  <c r="BB325" i="2"/>
  <c r="BB326" i="2"/>
  <c r="BB328" i="2"/>
  <c r="BB329" i="2"/>
  <c r="BB330" i="2"/>
  <c r="BB331" i="2"/>
  <c r="BB332" i="2"/>
  <c r="BB300" i="2"/>
  <c r="BB285" i="2"/>
  <c r="BB293" i="2"/>
  <c r="BB322" i="2"/>
  <c r="BB324" i="2"/>
  <c r="BB327" i="2"/>
  <c r="BB333" i="2"/>
  <c r="BB296" i="2"/>
  <c r="BF32" i="2"/>
  <c r="BF254" i="2"/>
  <c r="BF256" i="2"/>
  <c r="BF260" i="2"/>
  <c r="BF264" i="2"/>
  <c r="BF268" i="2"/>
  <c r="BF270" i="2"/>
  <c r="BF271" i="2"/>
  <c r="BF272" i="2"/>
  <c r="BF273" i="2"/>
  <c r="BF274" i="2"/>
  <c r="BF275" i="2"/>
  <c r="BF259" i="2"/>
  <c r="BF263" i="2"/>
  <c r="BF267" i="2"/>
  <c r="BF253" i="2"/>
  <c r="BF262" i="2"/>
  <c r="BF261" i="2"/>
  <c r="BF269" i="2"/>
  <c r="BF255" i="2"/>
  <c r="BF266" i="2"/>
  <c r="BF277" i="2"/>
  <c r="BF279" i="2"/>
  <c r="BF281" i="2"/>
  <c r="BF283" i="2"/>
  <c r="BF285" i="2"/>
  <c r="BF287" i="2"/>
  <c r="BF289" i="2"/>
  <c r="BF291" i="2"/>
  <c r="BF293" i="2"/>
  <c r="BF294" i="2"/>
  <c r="BF298" i="2"/>
  <c r="BF301" i="2"/>
  <c r="BF302" i="2"/>
  <c r="BF303" i="2"/>
  <c r="BF304" i="2"/>
  <c r="BF305" i="2"/>
  <c r="BF306" i="2"/>
  <c r="BF307" i="2"/>
  <c r="BF308" i="2"/>
  <c r="BF309" i="2"/>
  <c r="BF310" i="2"/>
  <c r="BF311" i="2"/>
  <c r="BF312" i="2"/>
  <c r="BF313" i="2"/>
  <c r="BF314" i="2"/>
  <c r="BF315" i="2"/>
  <c r="BF316" i="2"/>
  <c r="BF317" i="2"/>
  <c r="BF318" i="2"/>
  <c r="BF319" i="2"/>
  <c r="BF265" i="2"/>
  <c r="BF297" i="2"/>
  <c r="BF278" i="2"/>
  <c r="BF282" i="2"/>
  <c r="BF286" i="2"/>
  <c r="BF290" i="2"/>
  <c r="BF296" i="2"/>
  <c r="BF284" i="2"/>
  <c r="BF292" i="2"/>
  <c r="BF300" i="2"/>
  <c r="BF320" i="2"/>
  <c r="BF321" i="2"/>
  <c r="BF322" i="2"/>
  <c r="BF324" i="2"/>
  <c r="BF327" i="2"/>
  <c r="BF329" i="2"/>
  <c r="BF330" i="2"/>
  <c r="BF331" i="2"/>
  <c r="BF332" i="2"/>
  <c r="BF333" i="2"/>
  <c r="BF299" i="2"/>
  <c r="BF257" i="2"/>
  <c r="BF295" i="2"/>
  <c r="BF258" i="2"/>
  <c r="BF276" i="2"/>
  <c r="BF280" i="2"/>
  <c r="BF288" i="2"/>
  <c r="BF323" i="2"/>
  <c r="BF325" i="2"/>
  <c r="BF326" i="2"/>
  <c r="BF328" i="2"/>
  <c r="BJ28" i="2"/>
  <c r="BJ253" i="2"/>
  <c r="BJ255" i="2"/>
  <c r="BJ259" i="2"/>
  <c r="BJ263" i="2"/>
  <c r="BJ267" i="2"/>
  <c r="BJ270" i="2"/>
  <c r="BJ271" i="2"/>
  <c r="BJ272" i="2"/>
  <c r="BJ273" i="2"/>
  <c r="BJ274" i="2"/>
  <c r="BJ275" i="2"/>
  <c r="BJ258" i="2"/>
  <c r="BJ262" i="2"/>
  <c r="BJ266" i="2"/>
  <c r="BJ257" i="2"/>
  <c r="BJ265" i="2"/>
  <c r="BJ256" i="2"/>
  <c r="BJ264" i="2"/>
  <c r="BJ269" i="2"/>
  <c r="BJ276" i="2"/>
  <c r="BJ278" i="2"/>
  <c r="BJ280" i="2"/>
  <c r="BJ282" i="2"/>
  <c r="BJ284" i="2"/>
  <c r="BJ286" i="2"/>
  <c r="BJ288" i="2"/>
  <c r="BJ290" i="2"/>
  <c r="BJ292" i="2"/>
  <c r="BJ297" i="2"/>
  <c r="BJ301" i="2"/>
  <c r="BJ302" i="2"/>
  <c r="BJ303" i="2"/>
  <c r="BJ304" i="2"/>
  <c r="BJ305" i="2"/>
  <c r="BJ306" i="2"/>
  <c r="BJ307" i="2"/>
  <c r="BJ308" i="2"/>
  <c r="BJ309" i="2"/>
  <c r="BJ310" i="2"/>
  <c r="BJ311" i="2"/>
  <c r="BJ312" i="2"/>
  <c r="BJ313" i="2"/>
  <c r="BJ314" i="2"/>
  <c r="BJ315" i="2"/>
  <c r="BJ316" i="2"/>
  <c r="BJ317" i="2"/>
  <c r="BJ318" i="2"/>
  <c r="BJ319" i="2"/>
  <c r="BJ268" i="2"/>
  <c r="BJ296" i="2"/>
  <c r="BJ300" i="2"/>
  <c r="BJ254" i="2"/>
  <c r="BJ261" i="2"/>
  <c r="BJ277" i="2"/>
  <c r="BJ281" i="2"/>
  <c r="BJ285" i="2"/>
  <c r="BJ289" i="2"/>
  <c r="BJ293" i="2"/>
  <c r="BJ299" i="2"/>
  <c r="BJ279" i="2"/>
  <c r="BJ287" i="2"/>
  <c r="BJ323" i="2"/>
  <c r="BJ325" i="2"/>
  <c r="BJ326" i="2"/>
  <c r="BJ329" i="2"/>
  <c r="BJ330" i="2"/>
  <c r="BJ331" i="2"/>
  <c r="BJ332" i="2"/>
  <c r="BJ333" i="2"/>
  <c r="BJ260" i="2"/>
  <c r="BJ294" i="2"/>
  <c r="BJ298" i="2"/>
  <c r="BJ283" i="2"/>
  <c r="BJ291" i="2"/>
  <c r="BJ295" i="2"/>
  <c r="BJ320" i="2"/>
  <c r="BJ321" i="2"/>
  <c r="BJ322" i="2"/>
  <c r="BJ324" i="2"/>
  <c r="BJ327" i="2"/>
  <c r="BJ328" i="2"/>
  <c r="BN28" i="2"/>
  <c r="BN254" i="2"/>
  <c r="BN258" i="2"/>
  <c r="BN262" i="2"/>
  <c r="BN266" i="2"/>
  <c r="BN270" i="2"/>
  <c r="BN271" i="2"/>
  <c r="BN272" i="2"/>
  <c r="BN273" i="2"/>
  <c r="BN274" i="2"/>
  <c r="BN275" i="2"/>
  <c r="BN257" i="2"/>
  <c r="BN261" i="2"/>
  <c r="BN265" i="2"/>
  <c r="BN269" i="2"/>
  <c r="BN255" i="2"/>
  <c r="BN260" i="2"/>
  <c r="BN268" i="2"/>
  <c r="BN259" i="2"/>
  <c r="BN267" i="2"/>
  <c r="BN253" i="2"/>
  <c r="BN256" i="2"/>
  <c r="BN277" i="2"/>
  <c r="BN279" i="2"/>
  <c r="BN281" i="2"/>
  <c r="BN283" i="2"/>
  <c r="BN285" i="2"/>
  <c r="BN287" i="2"/>
  <c r="BN289" i="2"/>
  <c r="BN291" i="2"/>
  <c r="BN293" i="2"/>
  <c r="BN296" i="2"/>
  <c r="BN300" i="2"/>
  <c r="BN301" i="2"/>
  <c r="BN302" i="2"/>
  <c r="BN303" i="2"/>
  <c r="BN304" i="2"/>
  <c r="BN305" i="2"/>
  <c r="BN306" i="2"/>
  <c r="BN307" i="2"/>
  <c r="BN308" i="2"/>
  <c r="BN309" i="2"/>
  <c r="BN310" i="2"/>
  <c r="BN311" i="2"/>
  <c r="BN312" i="2"/>
  <c r="BN313" i="2"/>
  <c r="BN314" i="2"/>
  <c r="BN315" i="2"/>
  <c r="BN316" i="2"/>
  <c r="BN317" i="2"/>
  <c r="BN318" i="2"/>
  <c r="BN295" i="2"/>
  <c r="BN299" i="2"/>
  <c r="BN276" i="2"/>
  <c r="BN280" i="2"/>
  <c r="BN284" i="2"/>
  <c r="BN288" i="2"/>
  <c r="BN292" i="2"/>
  <c r="BN294" i="2"/>
  <c r="BN282" i="2"/>
  <c r="BN290" i="2"/>
  <c r="BN319" i="2"/>
  <c r="BN320" i="2"/>
  <c r="BN321" i="2"/>
  <c r="BN322" i="2"/>
  <c r="BN324" i="2"/>
  <c r="BN327" i="2"/>
  <c r="BN328" i="2"/>
  <c r="BN329" i="2"/>
  <c r="BN330" i="2"/>
  <c r="BN331" i="2"/>
  <c r="BN332" i="2"/>
  <c r="BN263" i="2"/>
  <c r="BN264" i="2"/>
  <c r="BN278" i="2"/>
  <c r="BN286" i="2"/>
  <c r="BN298" i="2"/>
  <c r="BN323" i="2"/>
  <c r="BN325" i="2"/>
  <c r="BN326" i="2"/>
  <c r="BN333" i="2"/>
  <c r="BN297" i="2"/>
  <c r="BR28" i="2"/>
  <c r="BR253" i="2"/>
  <c r="BR255" i="2"/>
  <c r="BR257" i="2"/>
  <c r="BR261" i="2"/>
  <c r="BR265" i="2"/>
  <c r="BR269" i="2"/>
  <c r="BR270" i="2"/>
  <c r="BR271" i="2"/>
  <c r="BR272" i="2"/>
  <c r="BR273" i="2"/>
  <c r="BR274" i="2"/>
  <c r="BR256" i="2"/>
  <c r="BR260" i="2"/>
  <c r="BR264" i="2"/>
  <c r="BR268" i="2"/>
  <c r="BR254" i="2"/>
  <c r="BR263" i="2"/>
  <c r="BR262" i="2"/>
  <c r="BR259" i="2"/>
  <c r="BR276" i="2"/>
  <c r="BR278" i="2"/>
  <c r="BR280" i="2"/>
  <c r="BR282" i="2"/>
  <c r="BR284" i="2"/>
  <c r="BR286" i="2"/>
  <c r="BR288" i="2"/>
  <c r="BR290" i="2"/>
  <c r="BR292" i="2"/>
  <c r="BR295" i="2"/>
  <c r="BR299" i="2"/>
  <c r="BR300" i="2"/>
  <c r="BR301" i="2"/>
  <c r="BR302" i="2"/>
  <c r="BR303" i="2"/>
  <c r="BR304" i="2"/>
  <c r="BR305" i="2"/>
  <c r="BR306" i="2"/>
  <c r="BR307" i="2"/>
  <c r="BR308" i="2"/>
  <c r="BR309" i="2"/>
  <c r="BR310" i="2"/>
  <c r="BR311" i="2"/>
  <c r="BR312" i="2"/>
  <c r="BR313" i="2"/>
  <c r="BR314" i="2"/>
  <c r="BR315" i="2"/>
  <c r="BR316" i="2"/>
  <c r="BR317" i="2"/>
  <c r="BR318" i="2"/>
  <c r="BR258" i="2"/>
  <c r="BR294" i="2"/>
  <c r="BR298" i="2"/>
  <c r="BR267" i="2"/>
  <c r="BR275" i="2"/>
  <c r="BR279" i="2"/>
  <c r="BR283" i="2"/>
  <c r="BR287" i="2"/>
  <c r="BR291" i="2"/>
  <c r="BR297" i="2"/>
  <c r="BR285" i="2"/>
  <c r="BR293" i="2"/>
  <c r="BR321" i="2"/>
  <c r="BR323" i="2"/>
  <c r="BR325" i="2"/>
  <c r="BR326" i="2"/>
  <c r="BR329" i="2"/>
  <c r="BR330" i="2"/>
  <c r="BR332" i="2"/>
  <c r="BR333" i="2"/>
  <c r="BR266" i="2"/>
  <c r="BR296" i="2"/>
  <c r="BR277" i="2"/>
  <c r="BR281" i="2"/>
  <c r="BR289" i="2"/>
  <c r="BR319" i="2"/>
  <c r="BR320" i="2"/>
  <c r="BR322" i="2"/>
  <c r="BR324" i="2"/>
  <c r="BR327" i="2"/>
  <c r="BR328" i="2"/>
  <c r="BR331" i="2"/>
  <c r="AZ40" i="2"/>
  <c r="AZ253" i="2"/>
  <c r="AZ254" i="2"/>
  <c r="AZ255" i="2"/>
  <c r="AZ256" i="2"/>
  <c r="AZ257" i="2"/>
  <c r="AZ258" i="2"/>
  <c r="AZ259" i="2"/>
  <c r="AZ260" i="2"/>
  <c r="AZ261" i="2"/>
  <c r="AZ262" i="2"/>
  <c r="AZ263" i="2"/>
  <c r="AZ264" i="2"/>
  <c r="AZ265" i="2"/>
  <c r="AZ266" i="2"/>
  <c r="AZ267" i="2"/>
  <c r="AZ268" i="2"/>
  <c r="AZ269" i="2"/>
  <c r="AZ271" i="2"/>
  <c r="AZ273" i="2"/>
  <c r="AZ275" i="2"/>
  <c r="AZ276" i="2"/>
  <c r="AZ277" i="2"/>
  <c r="AZ278" i="2"/>
  <c r="AZ279" i="2"/>
  <c r="AZ280" i="2"/>
  <c r="AZ281" i="2"/>
  <c r="AZ282" i="2"/>
  <c r="AZ283" i="2"/>
  <c r="AZ284" i="2"/>
  <c r="AZ285" i="2"/>
  <c r="AZ286" i="2"/>
  <c r="AZ287" i="2"/>
  <c r="AZ288" i="2"/>
  <c r="AZ289" i="2"/>
  <c r="AZ290" i="2"/>
  <c r="AZ291" i="2"/>
  <c r="AZ292" i="2"/>
  <c r="AZ293" i="2"/>
  <c r="AZ294" i="2"/>
  <c r="AZ295" i="2"/>
  <c r="AZ296" i="2"/>
  <c r="AZ297" i="2"/>
  <c r="AZ298" i="2"/>
  <c r="AZ299" i="2"/>
  <c r="AZ300" i="2"/>
  <c r="AZ272" i="2"/>
  <c r="AZ270" i="2"/>
  <c r="AZ301" i="2"/>
  <c r="AZ303" i="2"/>
  <c r="AZ305" i="2"/>
  <c r="AZ307" i="2"/>
  <c r="AZ309" i="2"/>
  <c r="AZ311" i="2"/>
  <c r="AZ313" i="2"/>
  <c r="AZ315" i="2"/>
  <c r="AZ318" i="2"/>
  <c r="AZ320" i="2"/>
  <c r="AZ321" i="2"/>
  <c r="AZ322" i="2"/>
  <c r="AZ323" i="2"/>
  <c r="AZ324" i="2"/>
  <c r="AZ325" i="2"/>
  <c r="AZ326" i="2"/>
  <c r="AZ327" i="2"/>
  <c r="AZ328" i="2"/>
  <c r="AZ329" i="2"/>
  <c r="AZ330" i="2"/>
  <c r="AZ331" i="2"/>
  <c r="AZ332" i="2"/>
  <c r="AZ333" i="2"/>
  <c r="AZ302" i="2"/>
  <c r="AZ306" i="2"/>
  <c r="AZ308" i="2"/>
  <c r="AZ310" i="2"/>
  <c r="AZ312" i="2"/>
  <c r="AZ314" i="2"/>
  <c r="AZ316" i="2"/>
  <c r="AZ317" i="2"/>
  <c r="AZ274" i="2"/>
  <c r="AZ304" i="2"/>
  <c r="AZ319" i="2"/>
  <c r="BH253" i="2"/>
  <c r="BH254" i="2"/>
  <c r="BH255" i="2"/>
  <c r="BH256" i="2"/>
  <c r="BH257" i="2"/>
  <c r="BH258" i="2"/>
  <c r="BH259" i="2"/>
  <c r="BH260" i="2"/>
  <c r="BH261" i="2"/>
  <c r="BH262" i="2"/>
  <c r="BH263" i="2"/>
  <c r="BH264" i="2"/>
  <c r="BH265" i="2"/>
  <c r="BH266" i="2"/>
  <c r="BH267" i="2"/>
  <c r="BH268" i="2"/>
  <c r="BH269" i="2"/>
  <c r="BH271" i="2"/>
  <c r="BH273" i="2"/>
  <c r="BH276" i="2"/>
  <c r="BH277" i="2"/>
  <c r="BH278" i="2"/>
  <c r="BH279" i="2"/>
  <c r="BH280" i="2"/>
  <c r="BH281" i="2"/>
  <c r="BH282" i="2"/>
  <c r="BH283" i="2"/>
  <c r="BH284" i="2"/>
  <c r="BH285" i="2"/>
  <c r="BH286" i="2"/>
  <c r="BH287" i="2"/>
  <c r="BH288" i="2"/>
  <c r="BH289" i="2"/>
  <c r="BH290" i="2"/>
  <c r="BH291" i="2"/>
  <c r="BH292" i="2"/>
  <c r="BH293" i="2"/>
  <c r="BH294" i="2"/>
  <c r="BH295" i="2"/>
  <c r="BH296" i="2"/>
  <c r="BH297" i="2"/>
  <c r="BH298" i="2"/>
  <c r="BH299" i="2"/>
  <c r="BH300" i="2"/>
  <c r="BH270" i="2"/>
  <c r="BH274" i="2"/>
  <c r="BH301" i="2"/>
  <c r="BH303" i="2"/>
  <c r="BH305" i="2"/>
  <c r="BH307" i="2"/>
  <c r="BH309" i="2"/>
  <c r="BH311" i="2"/>
  <c r="BH313" i="2"/>
  <c r="BH315" i="2"/>
  <c r="BH316" i="2"/>
  <c r="BH320" i="2"/>
  <c r="BH321" i="2"/>
  <c r="BH322" i="2"/>
  <c r="BH323" i="2"/>
  <c r="BH324" i="2"/>
  <c r="BH325" i="2"/>
  <c r="BH326" i="2"/>
  <c r="BH327" i="2"/>
  <c r="BH328" i="2"/>
  <c r="BH329" i="2"/>
  <c r="BH330" i="2"/>
  <c r="BH331" i="2"/>
  <c r="BH332" i="2"/>
  <c r="BH333" i="2"/>
  <c r="BH304" i="2"/>
  <c r="BH306" i="2"/>
  <c r="BH318" i="2"/>
  <c r="BH317" i="2"/>
  <c r="BH319" i="2"/>
  <c r="BH272" i="2"/>
  <c r="BH275" i="2"/>
  <c r="BH302" i="2"/>
  <c r="BH308" i="2"/>
  <c r="BH310" i="2"/>
  <c r="BH312" i="2"/>
  <c r="BH314" i="2"/>
  <c r="BP253" i="2"/>
  <c r="BP254" i="2"/>
  <c r="BP255" i="2"/>
  <c r="BP256" i="2"/>
  <c r="BP257" i="2"/>
  <c r="BP258" i="2"/>
  <c r="BP259" i="2"/>
  <c r="BP260" i="2"/>
  <c r="BP261" i="2"/>
  <c r="BP262" i="2"/>
  <c r="BP263" i="2"/>
  <c r="BP264" i="2"/>
  <c r="BP265" i="2"/>
  <c r="BP266" i="2"/>
  <c r="BP267" i="2"/>
  <c r="BP268" i="2"/>
  <c r="BP269" i="2"/>
  <c r="BP271" i="2"/>
  <c r="BP273" i="2"/>
  <c r="BP275" i="2"/>
  <c r="BP276" i="2"/>
  <c r="BP277" i="2"/>
  <c r="BP278" i="2"/>
  <c r="BP279" i="2"/>
  <c r="BP280" i="2"/>
  <c r="BP281" i="2"/>
  <c r="BP282" i="2"/>
  <c r="BP283" i="2"/>
  <c r="BP284" i="2"/>
  <c r="BP285" i="2"/>
  <c r="BP286" i="2"/>
  <c r="BP287" i="2"/>
  <c r="BP288" i="2"/>
  <c r="BP289" i="2"/>
  <c r="BP290" i="2"/>
  <c r="BP291" i="2"/>
  <c r="BP292" i="2"/>
  <c r="BP293" i="2"/>
  <c r="BP294" i="2"/>
  <c r="BP295" i="2"/>
  <c r="BP296" i="2"/>
  <c r="BP297" i="2"/>
  <c r="BP298" i="2"/>
  <c r="BP299" i="2"/>
  <c r="BP272" i="2"/>
  <c r="BP274" i="2"/>
  <c r="BP301" i="2"/>
  <c r="BP303" i="2"/>
  <c r="BP305" i="2"/>
  <c r="BP307" i="2"/>
  <c r="BP309" i="2"/>
  <c r="BP311" i="2"/>
  <c r="BP313" i="2"/>
  <c r="BP315" i="2"/>
  <c r="BP318" i="2"/>
  <c r="BP319" i="2"/>
  <c r="BP320" i="2"/>
  <c r="BP321" i="2"/>
  <c r="BP322" i="2"/>
  <c r="BP323" i="2"/>
  <c r="BP324" i="2"/>
  <c r="BP325" i="2"/>
  <c r="BP326" i="2"/>
  <c r="BP327" i="2"/>
  <c r="BP328" i="2"/>
  <c r="BP329" i="2"/>
  <c r="BP330" i="2"/>
  <c r="BP331" i="2"/>
  <c r="BP332" i="2"/>
  <c r="BP333" i="2"/>
  <c r="BP302" i="2"/>
  <c r="BP308" i="2"/>
  <c r="BP314" i="2"/>
  <c r="BP317" i="2"/>
  <c r="BP270" i="2"/>
  <c r="BP300" i="2"/>
  <c r="BP304" i="2"/>
  <c r="BP306" i="2"/>
  <c r="BP310" i="2"/>
  <c r="BP312" i="2"/>
  <c r="BP316" i="2"/>
  <c r="BC43" i="2"/>
  <c r="BC258" i="2"/>
  <c r="BC262" i="2"/>
  <c r="BC266" i="2"/>
  <c r="BC253" i="2"/>
  <c r="BC255" i="2"/>
  <c r="BC257" i="2"/>
  <c r="BC261" i="2"/>
  <c r="BC265" i="2"/>
  <c r="BC269" i="2"/>
  <c r="BC270" i="2"/>
  <c r="BC271" i="2"/>
  <c r="BC272" i="2"/>
  <c r="BC273" i="2"/>
  <c r="BC274" i="2"/>
  <c r="BC260" i="2"/>
  <c r="BC268" i="2"/>
  <c r="BC254" i="2"/>
  <c r="BC259" i="2"/>
  <c r="BC267" i="2"/>
  <c r="BC264" i="2"/>
  <c r="BC275" i="2"/>
  <c r="BC296" i="2"/>
  <c r="BC300" i="2"/>
  <c r="BC263" i="2"/>
  <c r="BC276" i="2"/>
  <c r="BC278" i="2"/>
  <c r="BC280" i="2"/>
  <c r="BC282" i="2"/>
  <c r="BC284" i="2"/>
  <c r="BC286" i="2"/>
  <c r="BC288" i="2"/>
  <c r="BC290" i="2"/>
  <c r="BC292" i="2"/>
  <c r="BC295" i="2"/>
  <c r="BC299" i="2"/>
  <c r="BC301" i="2"/>
  <c r="BC302" i="2"/>
  <c r="BC303" i="2"/>
  <c r="BC304" i="2"/>
  <c r="BC305" i="2"/>
  <c r="BC306" i="2"/>
  <c r="BC307" i="2"/>
  <c r="BC308" i="2"/>
  <c r="BC309" i="2"/>
  <c r="BC310" i="2"/>
  <c r="BC311" i="2"/>
  <c r="BC312" i="2"/>
  <c r="BC313" i="2"/>
  <c r="BC314" i="2"/>
  <c r="BC315" i="2"/>
  <c r="BC294" i="2"/>
  <c r="BC316" i="2"/>
  <c r="BC298" i="2"/>
  <c r="BC277" i="2"/>
  <c r="BC289" i="2"/>
  <c r="BC297" i="2"/>
  <c r="BC322" i="2"/>
  <c r="BC324" i="2"/>
  <c r="BC279" i="2"/>
  <c r="BC283" i="2"/>
  <c r="BC287" i="2"/>
  <c r="BC291" i="2"/>
  <c r="BC319" i="2"/>
  <c r="BC318" i="2"/>
  <c r="BC256" i="2"/>
  <c r="BC281" i="2"/>
  <c r="BC285" i="2"/>
  <c r="BC293" i="2"/>
  <c r="BC317" i="2"/>
  <c r="BC320" i="2"/>
  <c r="BC321" i="2"/>
  <c r="BC323" i="2"/>
  <c r="BC328" i="2"/>
  <c r="BC332" i="2"/>
  <c r="BC333" i="2"/>
  <c r="BC330" i="2"/>
  <c r="BC327" i="2"/>
  <c r="BC325" i="2"/>
  <c r="BC329" i="2"/>
  <c r="BC326" i="2"/>
  <c r="BC331" i="2"/>
  <c r="BG28" i="2"/>
  <c r="BG257" i="2"/>
  <c r="BG261" i="2"/>
  <c r="BG265" i="2"/>
  <c r="BG269" i="2"/>
  <c r="BG254" i="2"/>
  <c r="BG256" i="2"/>
  <c r="BG260" i="2"/>
  <c r="BG264" i="2"/>
  <c r="BG268" i="2"/>
  <c r="BG270" i="2"/>
  <c r="BG271" i="2"/>
  <c r="BG272" i="2"/>
  <c r="BG273" i="2"/>
  <c r="BG274" i="2"/>
  <c r="BG263" i="2"/>
  <c r="BG253" i="2"/>
  <c r="BG262" i="2"/>
  <c r="BG275" i="2"/>
  <c r="BG267" i="2"/>
  <c r="BG295" i="2"/>
  <c r="BG299" i="2"/>
  <c r="BG255" i="2"/>
  <c r="BG266" i="2"/>
  <c r="BG277" i="2"/>
  <c r="BG279" i="2"/>
  <c r="BG281" i="2"/>
  <c r="BG283" i="2"/>
  <c r="BG285" i="2"/>
  <c r="BG287" i="2"/>
  <c r="BG289" i="2"/>
  <c r="BG291" i="2"/>
  <c r="BG293" i="2"/>
  <c r="BG294" i="2"/>
  <c r="BG298" i="2"/>
  <c r="BG301" i="2"/>
  <c r="BG302" i="2"/>
  <c r="BG303" i="2"/>
  <c r="BG304" i="2"/>
  <c r="BG305" i="2"/>
  <c r="BG306" i="2"/>
  <c r="BG307" i="2"/>
  <c r="BG308" i="2"/>
  <c r="BG309" i="2"/>
  <c r="BG310" i="2"/>
  <c r="BG311" i="2"/>
  <c r="BG312" i="2"/>
  <c r="BG313" i="2"/>
  <c r="BG314" i="2"/>
  <c r="BG315" i="2"/>
  <c r="BG259" i="2"/>
  <c r="BG297" i="2"/>
  <c r="BG319" i="2"/>
  <c r="BG258" i="2"/>
  <c r="BG276" i="2"/>
  <c r="BG280" i="2"/>
  <c r="BG284" i="2"/>
  <c r="BG292" i="2"/>
  <c r="BG300" i="2"/>
  <c r="BG320" i="2"/>
  <c r="BG321" i="2"/>
  <c r="BG323" i="2"/>
  <c r="BG278" i="2"/>
  <c r="BG282" i="2"/>
  <c r="BG286" i="2"/>
  <c r="BG290" i="2"/>
  <c r="BG296" i="2"/>
  <c r="BG318" i="2"/>
  <c r="BG317" i="2"/>
  <c r="BG288" i="2"/>
  <c r="BG316" i="2"/>
  <c r="BG322" i="2"/>
  <c r="BG324" i="2"/>
  <c r="BG327" i="2"/>
  <c r="BG331" i="2"/>
  <c r="BG325" i="2"/>
  <c r="BG330" i="2"/>
  <c r="BG328" i="2"/>
  <c r="BG332" i="2"/>
  <c r="BG329" i="2"/>
  <c r="BG333" i="2"/>
  <c r="BG326" i="2"/>
  <c r="BK28" i="2"/>
  <c r="BK256" i="2"/>
  <c r="BK260" i="2"/>
  <c r="BK264" i="2"/>
  <c r="BK268" i="2"/>
  <c r="BK253" i="2"/>
  <c r="BK255" i="2"/>
  <c r="BK259" i="2"/>
  <c r="BK263" i="2"/>
  <c r="BK267" i="2"/>
  <c r="BK270" i="2"/>
  <c r="BK271" i="2"/>
  <c r="BK272" i="2"/>
  <c r="BK273" i="2"/>
  <c r="BK274" i="2"/>
  <c r="BK258" i="2"/>
  <c r="BK266" i="2"/>
  <c r="BK275" i="2"/>
  <c r="BK257" i="2"/>
  <c r="BK265" i="2"/>
  <c r="BK294" i="2"/>
  <c r="BK298" i="2"/>
  <c r="BK269" i="2"/>
  <c r="BK276" i="2"/>
  <c r="BK278" i="2"/>
  <c r="BK280" i="2"/>
  <c r="BK282" i="2"/>
  <c r="BK284" i="2"/>
  <c r="BK286" i="2"/>
  <c r="BK288" i="2"/>
  <c r="BK290" i="2"/>
  <c r="BK292" i="2"/>
  <c r="BK297" i="2"/>
  <c r="BK301" i="2"/>
  <c r="BK302" i="2"/>
  <c r="BK303" i="2"/>
  <c r="BK304" i="2"/>
  <c r="BK305" i="2"/>
  <c r="BK306" i="2"/>
  <c r="BK307" i="2"/>
  <c r="BK308" i="2"/>
  <c r="BK309" i="2"/>
  <c r="BK310" i="2"/>
  <c r="BK311" i="2"/>
  <c r="BK312" i="2"/>
  <c r="BK313" i="2"/>
  <c r="BK314" i="2"/>
  <c r="BK315" i="2"/>
  <c r="BK300" i="2"/>
  <c r="BK318" i="2"/>
  <c r="BK316" i="2"/>
  <c r="BK283" i="2"/>
  <c r="BK287" i="2"/>
  <c r="BK295" i="2"/>
  <c r="BK319" i="2"/>
  <c r="BK322" i="2"/>
  <c r="BK324" i="2"/>
  <c r="BK254" i="2"/>
  <c r="BK261" i="2"/>
  <c r="BK277" i="2"/>
  <c r="BK281" i="2"/>
  <c r="BK285" i="2"/>
  <c r="BK289" i="2"/>
  <c r="BK293" i="2"/>
  <c r="BK299" i="2"/>
  <c r="BK317" i="2"/>
  <c r="BK262" i="2"/>
  <c r="BK296" i="2"/>
  <c r="BK279" i="2"/>
  <c r="BK291" i="2"/>
  <c r="BK320" i="2"/>
  <c r="BK321" i="2"/>
  <c r="BK323" i="2"/>
  <c r="BK326" i="2"/>
  <c r="BK330" i="2"/>
  <c r="BK332" i="2"/>
  <c r="BK325" i="2"/>
  <c r="BK333" i="2"/>
  <c r="BK327" i="2"/>
  <c r="BK331" i="2"/>
  <c r="BK328" i="2"/>
  <c r="BK329" i="2"/>
  <c r="BO30" i="2"/>
  <c r="BO259" i="2"/>
  <c r="BO263" i="2"/>
  <c r="BO267" i="2"/>
  <c r="BO254" i="2"/>
  <c r="BO258" i="2"/>
  <c r="BO262" i="2"/>
  <c r="BO266" i="2"/>
  <c r="BO270" i="2"/>
  <c r="BO271" i="2"/>
  <c r="BO272" i="2"/>
  <c r="BO273" i="2"/>
  <c r="BO274" i="2"/>
  <c r="BO261" i="2"/>
  <c r="BO269" i="2"/>
  <c r="BO255" i="2"/>
  <c r="BO260" i="2"/>
  <c r="BO268" i="2"/>
  <c r="BO257" i="2"/>
  <c r="BO297" i="2"/>
  <c r="BO253" i="2"/>
  <c r="BO256" i="2"/>
  <c r="BO275" i="2"/>
  <c r="BO277" i="2"/>
  <c r="BO279" i="2"/>
  <c r="BO281" i="2"/>
  <c r="BO283" i="2"/>
  <c r="BO285" i="2"/>
  <c r="BO287" i="2"/>
  <c r="BO289" i="2"/>
  <c r="BO291" i="2"/>
  <c r="BO293" i="2"/>
  <c r="BO296" i="2"/>
  <c r="BO300" i="2"/>
  <c r="BO301" i="2"/>
  <c r="BO302" i="2"/>
  <c r="BO303" i="2"/>
  <c r="BO304" i="2"/>
  <c r="BO305" i="2"/>
  <c r="BO306" i="2"/>
  <c r="BO307" i="2"/>
  <c r="BO308" i="2"/>
  <c r="BO309" i="2"/>
  <c r="BO310" i="2"/>
  <c r="BO311" i="2"/>
  <c r="BO312" i="2"/>
  <c r="BO313" i="2"/>
  <c r="BO314" i="2"/>
  <c r="BO315" i="2"/>
  <c r="BO265" i="2"/>
  <c r="BO295" i="2"/>
  <c r="BO317" i="2"/>
  <c r="BO264" i="2"/>
  <c r="BO278" i="2"/>
  <c r="BO290" i="2"/>
  <c r="BO318" i="2"/>
  <c r="BO320" i="2"/>
  <c r="BO321" i="2"/>
  <c r="BO323" i="2"/>
  <c r="BO276" i="2"/>
  <c r="BO280" i="2"/>
  <c r="BO284" i="2"/>
  <c r="BO288" i="2"/>
  <c r="BO292" i="2"/>
  <c r="BO294" i="2"/>
  <c r="BO316" i="2"/>
  <c r="BO299" i="2"/>
  <c r="BO282" i="2"/>
  <c r="BO286" i="2"/>
  <c r="BO298" i="2"/>
  <c r="BO319" i="2"/>
  <c r="BO322" i="2"/>
  <c r="BO324" i="2"/>
  <c r="BO325" i="2"/>
  <c r="BO329" i="2"/>
  <c r="BO333" i="2"/>
  <c r="BO328" i="2"/>
  <c r="BO326" i="2"/>
  <c r="BO330" i="2"/>
  <c r="BO327" i="2"/>
  <c r="BO331" i="2"/>
  <c r="BO332" i="2"/>
  <c r="BS28" i="2"/>
  <c r="BS258" i="2"/>
  <c r="BS262" i="2"/>
  <c r="BS266" i="2"/>
  <c r="BS253" i="2"/>
  <c r="BS255" i="2"/>
  <c r="BS257" i="2"/>
  <c r="BS261" i="2"/>
  <c r="BS265" i="2"/>
  <c r="BS269" i="2"/>
  <c r="BS270" i="2"/>
  <c r="BS271" i="2"/>
  <c r="BS272" i="2"/>
  <c r="BS273" i="2"/>
  <c r="BS274" i="2"/>
  <c r="BS256" i="2"/>
  <c r="BS264" i="2"/>
  <c r="BS254" i="2"/>
  <c r="BS263" i="2"/>
  <c r="BS260" i="2"/>
  <c r="BS296" i="2"/>
  <c r="BS259" i="2"/>
  <c r="BS276" i="2"/>
  <c r="BS278" i="2"/>
  <c r="BS280" i="2"/>
  <c r="BS282" i="2"/>
  <c r="BS284" i="2"/>
  <c r="BS286" i="2"/>
  <c r="BS288" i="2"/>
  <c r="BS290" i="2"/>
  <c r="BS292" i="2"/>
  <c r="BS295" i="2"/>
  <c r="BS299" i="2"/>
  <c r="BS300" i="2"/>
  <c r="BS301" i="2"/>
  <c r="BS302" i="2"/>
  <c r="BS303" i="2"/>
  <c r="BS304" i="2"/>
  <c r="BS305" i="2"/>
  <c r="BS306" i="2"/>
  <c r="BS307" i="2"/>
  <c r="BS308" i="2"/>
  <c r="BS309" i="2"/>
  <c r="BS310" i="2"/>
  <c r="BS311" i="2"/>
  <c r="BS312" i="2"/>
  <c r="BS313" i="2"/>
  <c r="BS314" i="2"/>
  <c r="BS315" i="2"/>
  <c r="BS298" i="2"/>
  <c r="BS316" i="2"/>
  <c r="BS294" i="2"/>
  <c r="BS281" i="2"/>
  <c r="BS285" i="2"/>
  <c r="BS293" i="2"/>
  <c r="BS319" i="2"/>
  <c r="BS320" i="2"/>
  <c r="BS322" i="2"/>
  <c r="BS267" i="2"/>
  <c r="BS275" i="2"/>
  <c r="BS279" i="2"/>
  <c r="BS283" i="2"/>
  <c r="BS287" i="2"/>
  <c r="BS291" i="2"/>
  <c r="BS297" i="2"/>
  <c r="BS268" i="2"/>
  <c r="BS318" i="2"/>
  <c r="BS277" i="2"/>
  <c r="BS289" i="2"/>
  <c r="BS317" i="2"/>
  <c r="BS321" i="2"/>
  <c r="BS323" i="2"/>
  <c r="BS324" i="2"/>
  <c r="BS328" i="2"/>
  <c r="BS332" i="2"/>
  <c r="BS331" i="2"/>
  <c r="BS325" i="2"/>
  <c r="BS329" i="2"/>
  <c r="BS333" i="2"/>
  <c r="BS326" i="2"/>
  <c r="BS330" i="2"/>
  <c r="BS327" i="2"/>
  <c r="BH249" i="2"/>
  <c r="BH245" i="2"/>
  <c r="BH241" i="2"/>
  <c r="BH237" i="2"/>
  <c r="BH233" i="2"/>
  <c r="BH250" i="2"/>
  <c r="BH246" i="2"/>
  <c r="BH242" i="2"/>
  <c r="BH238" i="2"/>
  <c r="BH234" i="2"/>
  <c r="BH251" i="2"/>
  <c r="BH247" i="2"/>
  <c r="BH243" i="2"/>
  <c r="BH239" i="2"/>
  <c r="BH235" i="2"/>
  <c r="BH252" i="2"/>
  <c r="BH248" i="2"/>
  <c r="BH244" i="2"/>
  <c r="BH240" i="2"/>
  <c r="BH236" i="2"/>
  <c r="BH228" i="2"/>
  <c r="BH224" i="2"/>
  <c r="BH220" i="2"/>
  <c r="BH216" i="2"/>
  <c r="BH212" i="2"/>
  <c r="BH229" i="2"/>
  <c r="BH225" i="2"/>
  <c r="BH221" i="2"/>
  <c r="BH217" i="2"/>
  <c r="BH213" i="2"/>
  <c r="BH231" i="2"/>
  <c r="BH230" i="2"/>
  <c r="BH226" i="2"/>
  <c r="BH222" i="2"/>
  <c r="BH218" i="2"/>
  <c r="BH214" i="2"/>
  <c r="BH232" i="2"/>
  <c r="BH227" i="2"/>
  <c r="BH223" i="2"/>
  <c r="BH219" i="2"/>
  <c r="BH207" i="2"/>
  <c r="BH203" i="2"/>
  <c r="BH199" i="2"/>
  <c r="BH195" i="2"/>
  <c r="BH191" i="2"/>
  <c r="BH215" i="2"/>
  <c r="BH210" i="2"/>
  <c r="BH208" i="2"/>
  <c r="BH204" i="2"/>
  <c r="BH200" i="2"/>
  <c r="BH196" i="2"/>
  <c r="BH192" i="2"/>
  <c r="BH211" i="2"/>
  <c r="BH209" i="2"/>
  <c r="BH205" i="2"/>
  <c r="BH201" i="2"/>
  <c r="BH197" i="2"/>
  <c r="BH193" i="2"/>
  <c r="BH206" i="2"/>
  <c r="BH202" i="2"/>
  <c r="BH198" i="2"/>
  <c r="BH194" i="2"/>
  <c r="BH190" i="2"/>
  <c r="BH186" i="2"/>
  <c r="BH182" i="2"/>
  <c r="BH178" i="2"/>
  <c r="BH174" i="2"/>
  <c r="BH170" i="2"/>
  <c r="BH166" i="2"/>
  <c r="BH189" i="2"/>
  <c r="BH187" i="2"/>
  <c r="BH183" i="2"/>
  <c r="BH179" i="2"/>
  <c r="BH175" i="2"/>
  <c r="BH171" i="2"/>
  <c r="BH167" i="2"/>
  <c r="BH188" i="2"/>
  <c r="BH184" i="2"/>
  <c r="BH180" i="2"/>
  <c r="BH176" i="2"/>
  <c r="BH172" i="2"/>
  <c r="BH168" i="2"/>
  <c r="BH185" i="2"/>
  <c r="BH181" i="2"/>
  <c r="BH177" i="2"/>
  <c r="BH173" i="2"/>
  <c r="BH169" i="2"/>
  <c r="BH163" i="2"/>
  <c r="BH159" i="2"/>
  <c r="BH155" i="2"/>
  <c r="BH151" i="2"/>
  <c r="BH147" i="2"/>
  <c r="BH143" i="2"/>
  <c r="BH139" i="2"/>
  <c r="BH135" i="2"/>
  <c r="BH131" i="2"/>
  <c r="BH127" i="2"/>
  <c r="BH123" i="2"/>
  <c r="BH160" i="2"/>
  <c r="BH156" i="2"/>
  <c r="BH152" i="2"/>
  <c r="BH148" i="2"/>
  <c r="BH144" i="2"/>
  <c r="BH140" i="2"/>
  <c r="BH136" i="2"/>
  <c r="BH132" i="2"/>
  <c r="BH128" i="2"/>
  <c r="BH124" i="2"/>
  <c r="BH164" i="2"/>
  <c r="BH161" i="2"/>
  <c r="BH157" i="2"/>
  <c r="BH153" i="2"/>
  <c r="BH149" i="2"/>
  <c r="BH145" i="2"/>
  <c r="BH141" i="2"/>
  <c r="BH137" i="2"/>
  <c r="BH133" i="2"/>
  <c r="BH129" i="2"/>
  <c r="BH125" i="2"/>
  <c r="BH165" i="2"/>
  <c r="BH162" i="2"/>
  <c r="BH158" i="2"/>
  <c r="BH154" i="2"/>
  <c r="BH150" i="2"/>
  <c r="BH146" i="2"/>
  <c r="BH142" i="2"/>
  <c r="BH138" i="2"/>
  <c r="BH134" i="2"/>
  <c r="BH130" i="2"/>
  <c r="BH126" i="2"/>
  <c r="BH121" i="2"/>
  <c r="BH120" i="2"/>
  <c r="BH116" i="2"/>
  <c r="BH112" i="2"/>
  <c r="BH108" i="2"/>
  <c r="BH104" i="2"/>
  <c r="BH100" i="2"/>
  <c r="BH96" i="2"/>
  <c r="BH92" i="2"/>
  <c r="BH88" i="2"/>
  <c r="BH84" i="2"/>
  <c r="BH80" i="2"/>
  <c r="BH117" i="2"/>
  <c r="BH113" i="2"/>
  <c r="BH109" i="2"/>
  <c r="BH105" i="2"/>
  <c r="BH101" i="2"/>
  <c r="BH97" i="2"/>
  <c r="BH93" i="2"/>
  <c r="BH89" i="2"/>
  <c r="BH85" i="2"/>
  <c r="BH81" i="2"/>
  <c r="BH77" i="2"/>
  <c r="BH118" i="2"/>
  <c r="BH114" i="2"/>
  <c r="BH110" i="2"/>
  <c r="BH106" i="2"/>
  <c r="BH102" i="2"/>
  <c r="BH98" i="2"/>
  <c r="BH94" i="2"/>
  <c r="BH90" i="2"/>
  <c r="BH86" i="2"/>
  <c r="BH82" i="2"/>
  <c r="BH122" i="2"/>
  <c r="BH119" i="2"/>
  <c r="BH115" i="2"/>
  <c r="BH111" i="2"/>
  <c r="BH107" i="2"/>
  <c r="BH103" i="2"/>
  <c r="BH99" i="2"/>
  <c r="BH95" i="2"/>
  <c r="BH91" i="2"/>
  <c r="BH87" i="2"/>
  <c r="BH83" i="2"/>
  <c r="BH79" i="2"/>
  <c r="BH76" i="2"/>
  <c r="BH72" i="2"/>
  <c r="BH68" i="2"/>
  <c r="BH64" i="2"/>
  <c r="BH60" i="2"/>
  <c r="BH56" i="2"/>
  <c r="BH52" i="2"/>
  <c r="BH48" i="2"/>
  <c r="BH44" i="2"/>
  <c r="BH40" i="2"/>
  <c r="BH36" i="2"/>
  <c r="BH32" i="2"/>
  <c r="BH73" i="2"/>
  <c r="BH69" i="2"/>
  <c r="BH65" i="2"/>
  <c r="BH61" i="2"/>
  <c r="BH57" i="2"/>
  <c r="BH53" i="2"/>
  <c r="BH49" i="2"/>
  <c r="BH45" i="2"/>
  <c r="BH41" i="2"/>
  <c r="BH37" i="2"/>
  <c r="BH33" i="2"/>
  <c r="BH78" i="2"/>
  <c r="BH74" i="2"/>
  <c r="BH70" i="2"/>
  <c r="BH66" i="2"/>
  <c r="BH62" i="2"/>
  <c r="BH58" i="2"/>
  <c r="BH54" i="2"/>
  <c r="BH50" i="2"/>
  <c r="BH46" i="2"/>
  <c r="BH42" i="2"/>
  <c r="BH38" i="2"/>
  <c r="BH34" i="2"/>
  <c r="BH75" i="2"/>
  <c r="BH71" i="2"/>
  <c r="BH67" i="2"/>
  <c r="BH63" i="2"/>
  <c r="BH59" i="2"/>
  <c r="BH55" i="2"/>
  <c r="BH51" i="2"/>
  <c r="BH47" i="2"/>
  <c r="BH43" i="2"/>
  <c r="BH39" i="2"/>
  <c r="BH35" i="2"/>
  <c r="BL249" i="2"/>
  <c r="BL245" i="2"/>
  <c r="BL241" i="2"/>
  <c r="BL237" i="2"/>
  <c r="BL233" i="2"/>
  <c r="BL250" i="2"/>
  <c r="BL246" i="2"/>
  <c r="BL242" i="2"/>
  <c r="BL238" i="2"/>
  <c r="BL234" i="2"/>
  <c r="BL230" i="2"/>
  <c r="BL251" i="2"/>
  <c r="BL247" i="2"/>
  <c r="BL243" i="2"/>
  <c r="BL239" i="2"/>
  <c r="BL235" i="2"/>
  <c r="BL252" i="2"/>
  <c r="BL248" i="2"/>
  <c r="BL244" i="2"/>
  <c r="BL240" i="2"/>
  <c r="BL236" i="2"/>
  <c r="BL232" i="2"/>
  <c r="BL228" i="2"/>
  <c r="BL224" i="2"/>
  <c r="BL220" i="2"/>
  <c r="BL216" i="2"/>
  <c r="BL212" i="2"/>
  <c r="BL229" i="2"/>
  <c r="BL225" i="2"/>
  <c r="BL221" i="2"/>
  <c r="BL217" i="2"/>
  <c r="BL213" i="2"/>
  <c r="BL226" i="2"/>
  <c r="BL222" i="2"/>
  <c r="BL218" i="2"/>
  <c r="BL214" i="2"/>
  <c r="BL231" i="2"/>
  <c r="BL227" i="2"/>
  <c r="BL223" i="2"/>
  <c r="BL219" i="2"/>
  <c r="BL215" i="2"/>
  <c r="BL207" i="2"/>
  <c r="BL203" i="2"/>
  <c r="BL199" i="2"/>
  <c r="BL195" i="2"/>
  <c r="BL191" i="2"/>
  <c r="BL208" i="2"/>
  <c r="BL204" i="2"/>
  <c r="BL200" i="2"/>
  <c r="BL196" i="2"/>
  <c r="BL192" i="2"/>
  <c r="BL210" i="2"/>
  <c r="BL209" i="2"/>
  <c r="BL205" i="2"/>
  <c r="BL201" i="2"/>
  <c r="BL197" i="2"/>
  <c r="BL193" i="2"/>
  <c r="BL211" i="2"/>
  <c r="BL206" i="2"/>
  <c r="BL202" i="2"/>
  <c r="BL198" i="2"/>
  <c r="BL194" i="2"/>
  <c r="BL190" i="2"/>
  <c r="BL186" i="2"/>
  <c r="BL182" i="2"/>
  <c r="BL178" i="2"/>
  <c r="BL174" i="2"/>
  <c r="BL170" i="2"/>
  <c r="BL166" i="2"/>
  <c r="BL187" i="2"/>
  <c r="BL183" i="2"/>
  <c r="BL179" i="2"/>
  <c r="BL175" i="2"/>
  <c r="BL171" i="2"/>
  <c r="BL167" i="2"/>
  <c r="BL189" i="2"/>
  <c r="BL188" i="2"/>
  <c r="BL184" i="2"/>
  <c r="BL180" i="2"/>
  <c r="BL176" i="2"/>
  <c r="BL172" i="2"/>
  <c r="BL168" i="2"/>
  <c r="BL185" i="2"/>
  <c r="BL181" i="2"/>
  <c r="BL177" i="2"/>
  <c r="BL173" i="2"/>
  <c r="BL169" i="2"/>
  <c r="BL163" i="2"/>
  <c r="BL159" i="2"/>
  <c r="BL155" i="2"/>
  <c r="BL151" i="2"/>
  <c r="BL147" i="2"/>
  <c r="BL143" i="2"/>
  <c r="BL139" i="2"/>
  <c r="BL135" i="2"/>
  <c r="BL131" i="2"/>
  <c r="BL127" i="2"/>
  <c r="BL123" i="2"/>
  <c r="BL165" i="2"/>
  <c r="BL160" i="2"/>
  <c r="BL156" i="2"/>
  <c r="BL152" i="2"/>
  <c r="BL148" i="2"/>
  <c r="BL144" i="2"/>
  <c r="BL140" i="2"/>
  <c r="BL136" i="2"/>
  <c r="BL132" i="2"/>
  <c r="BL128" i="2"/>
  <c r="BL124" i="2"/>
  <c r="BL120" i="2"/>
  <c r="BL161" i="2"/>
  <c r="BL157" i="2"/>
  <c r="BL153" i="2"/>
  <c r="BL149" i="2"/>
  <c r="BL145" i="2"/>
  <c r="BL141" i="2"/>
  <c r="BL137" i="2"/>
  <c r="BL133" i="2"/>
  <c r="BL129" i="2"/>
  <c r="BL125" i="2"/>
  <c r="BL164" i="2"/>
  <c r="BL162" i="2"/>
  <c r="BL158" i="2"/>
  <c r="BL154" i="2"/>
  <c r="BL150" i="2"/>
  <c r="BL146" i="2"/>
  <c r="BL142" i="2"/>
  <c r="BL138" i="2"/>
  <c r="BL134" i="2"/>
  <c r="BL130" i="2"/>
  <c r="BL126" i="2"/>
  <c r="BL116" i="2"/>
  <c r="BL112" i="2"/>
  <c r="BL108" i="2"/>
  <c r="BL104" i="2"/>
  <c r="BL100" i="2"/>
  <c r="BL96" i="2"/>
  <c r="BL92" i="2"/>
  <c r="BL88" i="2"/>
  <c r="BL84" i="2"/>
  <c r="BL80" i="2"/>
  <c r="BL122" i="2"/>
  <c r="BL121" i="2"/>
  <c r="BL117" i="2"/>
  <c r="BL113" i="2"/>
  <c r="BL109" i="2"/>
  <c r="BL105" i="2"/>
  <c r="BL101" i="2"/>
  <c r="BL97" i="2"/>
  <c r="BL93" i="2"/>
  <c r="BL89" i="2"/>
  <c r="BL85" i="2"/>
  <c r="BL81" i="2"/>
  <c r="BL77" i="2"/>
  <c r="BL118" i="2"/>
  <c r="BL114" i="2"/>
  <c r="BL110" i="2"/>
  <c r="BL106" i="2"/>
  <c r="BL102" i="2"/>
  <c r="BL98" i="2"/>
  <c r="BL94" i="2"/>
  <c r="BL90" i="2"/>
  <c r="BL86" i="2"/>
  <c r="BL82" i="2"/>
  <c r="BL119" i="2"/>
  <c r="BL115" i="2"/>
  <c r="BL111" i="2"/>
  <c r="BL107" i="2"/>
  <c r="BL103" i="2"/>
  <c r="BL99" i="2"/>
  <c r="BL95" i="2"/>
  <c r="BL91" i="2"/>
  <c r="BL87" i="2"/>
  <c r="BL83" i="2"/>
  <c r="BL79" i="2"/>
  <c r="BL78" i="2"/>
  <c r="BL76" i="2"/>
  <c r="BL72" i="2"/>
  <c r="BL68" i="2"/>
  <c r="BL64" i="2"/>
  <c r="BL60" i="2"/>
  <c r="BL56" i="2"/>
  <c r="BL52" i="2"/>
  <c r="BL48" i="2"/>
  <c r="BL44" i="2"/>
  <c r="BL40" i="2"/>
  <c r="BL36" i="2"/>
  <c r="BL32" i="2"/>
  <c r="BL73" i="2"/>
  <c r="BL69" i="2"/>
  <c r="BL65" i="2"/>
  <c r="BL61" i="2"/>
  <c r="BL57" i="2"/>
  <c r="BL53" i="2"/>
  <c r="BL49" i="2"/>
  <c r="BL45" i="2"/>
  <c r="BL41" i="2"/>
  <c r="BL37" i="2"/>
  <c r="BL33" i="2"/>
  <c r="BL74" i="2"/>
  <c r="BL70" i="2"/>
  <c r="BL66" i="2"/>
  <c r="BL62" i="2"/>
  <c r="BL58" i="2"/>
  <c r="BL54" i="2"/>
  <c r="BL50" i="2"/>
  <c r="BL46" i="2"/>
  <c r="BL42" i="2"/>
  <c r="BL38" i="2"/>
  <c r="BL34" i="2"/>
  <c r="BL75" i="2"/>
  <c r="BL71" i="2"/>
  <c r="BL67" i="2"/>
  <c r="BL63" i="2"/>
  <c r="BL59" i="2"/>
  <c r="BL55" i="2"/>
  <c r="BL51" i="2"/>
  <c r="BL47" i="2"/>
  <c r="BL43" i="2"/>
  <c r="BL39" i="2"/>
  <c r="BL35" i="2"/>
  <c r="BP249" i="2"/>
  <c r="BP245" i="2"/>
  <c r="BP241" i="2"/>
  <c r="BP237" i="2"/>
  <c r="BP233" i="2"/>
  <c r="BP250" i="2"/>
  <c r="BP246" i="2"/>
  <c r="BP242" i="2"/>
  <c r="BP238" i="2"/>
  <c r="BP234" i="2"/>
  <c r="BP230" i="2"/>
  <c r="BP251" i="2"/>
  <c r="BP247" i="2"/>
  <c r="BP243" i="2"/>
  <c r="BP239" i="2"/>
  <c r="BP235" i="2"/>
  <c r="BP252" i="2"/>
  <c r="BP248" i="2"/>
  <c r="BP244" i="2"/>
  <c r="BP240" i="2"/>
  <c r="BP236" i="2"/>
  <c r="BP231" i="2"/>
  <c r="BP228" i="2"/>
  <c r="BP224" i="2"/>
  <c r="BP220" i="2"/>
  <c r="BP216" i="2"/>
  <c r="BP212" i="2"/>
  <c r="BP229" i="2"/>
  <c r="BP225" i="2"/>
  <c r="BP221" i="2"/>
  <c r="BP217" i="2"/>
  <c r="BP213" i="2"/>
  <c r="BP232" i="2"/>
  <c r="BP226" i="2"/>
  <c r="BP222" i="2"/>
  <c r="BP218" i="2"/>
  <c r="BP214" i="2"/>
  <c r="BP227" i="2"/>
  <c r="BP223" i="2"/>
  <c r="BP219" i="2"/>
  <c r="BP215" i="2"/>
  <c r="BP211" i="2"/>
  <c r="BP207" i="2"/>
  <c r="BP203" i="2"/>
  <c r="BP199" i="2"/>
  <c r="BP195" i="2"/>
  <c r="BP191" i="2"/>
  <c r="BP208" i="2"/>
  <c r="BP204" i="2"/>
  <c r="BP200" i="2"/>
  <c r="BP196" i="2"/>
  <c r="BP192" i="2"/>
  <c r="BP188" i="2"/>
  <c r="BP209" i="2"/>
  <c r="BP205" i="2"/>
  <c r="BP201" i="2"/>
  <c r="BP197" i="2"/>
  <c r="BP193" i="2"/>
  <c r="BP189" i="2"/>
  <c r="BP210" i="2"/>
  <c r="BP206" i="2"/>
  <c r="BP202" i="2"/>
  <c r="BP198" i="2"/>
  <c r="BP194" i="2"/>
  <c r="BP190" i="2"/>
  <c r="BP186" i="2"/>
  <c r="BP182" i="2"/>
  <c r="BP178" i="2"/>
  <c r="BP174" i="2"/>
  <c r="BP170" i="2"/>
  <c r="BP166" i="2"/>
  <c r="BP187" i="2"/>
  <c r="BP183" i="2"/>
  <c r="BP179" i="2"/>
  <c r="BP175" i="2"/>
  <c r="BP171" i="2"/>
  <c r="BP167" i="2"/>
  <c r="BP184" i="2"/>
  <c r="BP180" i="2"/>
  <c r="BP176" i="2"/>
  <c r="BP172" i="2"/>
  <c r="BP168" i="2"/>
  <c r="BP185" i="2"/>
  <c r="BP181" i="2"/>
  <c r="BP177" i="2"/>
  <c r="BP173" i="2"/>
  <c r="BP169" i="2"/>
  <c r="BP164" i="2"/>
  <c r="BP163" i="2"/>
  <c r="BP159" i="2"/>
  <c r="BP155" i="2"/>
  <c r="BP151" i="2"/>
  <c r="BP147" i="2"/>
  <c r="BP143" i="2"/>
  <c r="BP139" i="2"/>
  <c r="BP135" i="2"/>
  <c r="BP131" i="2"/>
  <c r="BP127" i="2"/>
  <c r="BP123" i="2"/>
  <c r="BP160" i="2"/>
  <c r="BP156" i="2"/>
  <c r="BP152" i="2"/>
  <c r="BP148" i="2"/>
  <c r="BP144" i="2"/>
  <c r="BP140" i="2"/>
  <c r="BP136" i="2"/>
  <c r="BP132" i="2"/>
  <c r="BP128" i="2"/>
  <c r="BP124" i="2"/>
  <c r="BP120" i="2"/>
  <c r="BP161" i="2"/>
  <c r="BP157" i="2"/>
  <c r="BP153" i="2"/>
  <c r="BP149" i="2"/>
  <c r="BP145" i="2"/>
  <c r="BP141" i="2"/>
  <c r="BP137" i="2"/>
  <c r="BP133" i="2"/>
  <c r="BP129" i="2"/>
  <c r="BP125" i="2"/>
  <c r="BP121" i="2"/>
  <c r="BP165" i="2"/>
  <c r="BP162" i="2"/>
  <c r="BP158" i="2"/>
  <c r="BP154" i="2"/>
  <c r="BP150" i="2"/>
  <c r="BP146" i="2"/>
  <c r="BP142" i="2"/>
  <c r="BP138" i="2"/>
  <c r="BP134" i="2"/>
  <c r="BP130" i="2"/>
  <c r="BP126" i="2"/>
  <c r="BP122" i="2"/>
  <c r="BP116" i="2"/>
  <c r="BP112" i="2"/>
  <c r="BP108" i="2"/>
  <c r="BP104" i="2"/>
  <c r="BP100" i="2"/>
  <c r="BP96" i="2"/>
  <c r="BP92" i="2"/>
  <c r="BP88" i="2"/>
  <c r="BP84" i="2"/>
  <c r="BP80" i="2"/>
  <c r="BP76" i="2"/>
  <c r="BP117" i="2"/>
  <c r="BP113" i="2"/>
  <c r="BP109" i="2"/>
  <c r="BP105" i="2"/>
  <c r="BP101" i="2"/>
  <c r="BP97" i="2"/>
  <c r="BP93" i="2"/>
  <c r="BP89" i="2"/>
  <c r="BP85" i="2"/>
  <c r="BP81" i="2"/>
  <c r="BP77" i="2"/>
  <c r="BP118" i="2"/>
  <c r="BP114" i="2"/>
  <c r="BP110" i="2"/>
  <c r="BP106" i="2"/>
  <c r="BP102" i="2"/>
  <c r="BP98" i="2"/>
  <c r="BP94" i="2"/>
  <c r="BP90" i="2"/>
  <c r="BP86" i="2"/>
  <c r="BP82" i="2"/>
  <c r="BP119" i="2"/>
  <c r="BP115" i="2"/>
  <c r="BP111" i="2"/>
  <c r="BP107" i="2"/>
  <c r="BP103" i="2"/>
  <c r="BP99" i="2"/>
  <c r="BP95" i="2"/>
  <c r="BP91" i="2"/>
  <c r="BP87" i="2"/>
  <c r="BP83" i="2"/>
  <c r="BP79" i="2"/>
  <c r="BP72" i="2"/>
  <c r="BP68" i="2"/>
  <c r="BP64" i="2"/>
  <c r="BP60" i="2"/>
  <c r="BP56" i="2"/>
  <c r="BP52" i="2"/>
  <c r="BP48" i="2"/>
  <c r="BP44" i="2"/>
  <c r="BP40" i="2"/>
  <c r="BP36" i="2"/>
  <c r="BP32" i="2"/>
  <c r="BP73" i="2"/>
  <c r="BP69" i="2"/>
  <c r="BP65" i="2"/>
  <c r="BP61" i="2"/>
  <c r="BP57" i="2"/>
  <c r="BP53" i="2"/>
  <c r="BP49" i="2"/>
  <c r="BP45" i="2"/>
  <c r="BP41" i="2"/>
  <c r="BP37" i="2"/>
  <c r="BP33" i="2"/>
  <c r="BP78" i="2"/>
  <c r="BP74" i="2"/>
  <c r="BP70" i="2"/>
  <c r="BP66" i="2"/>
  <c r="BP62" i="2"/>
  <c r="BP58" i="2"/>
  <c r="BP54" i="2"/>
  <c r="BP50" i="2"/>
  <c r="BP46" i="2"/>
  <c r="BP42" i="2"/>
  <c r="BP38" i="2"/>
  <c r="BP34" i="2"/>
  <c r="BP75" i="2"/>
  <c r="BP71" i="2"/>
  <c r="BP67" i="2"/>
  <c r="BP63" i="2"/>
  <c r="BP59" i="2"/>
  <c r="BP55" i="2"/>
  <c r="BP51" i="2"/>
  <c r="BP47" i="2"/>
  <c r="BP43" i="2"/>
  <c r="BP39" i="2"/>
  <c r="BP35" i="2"/>
  <c r="BE4" i="2"/>
  <c r="BI4" i="2"/>
  <c r="BM4" i="2"/>
  <c r="BQ4" i="2"/>
  <c r="BF5" i="2"/>
  <c r="BJ5" i="2"/>
  <c r="BN5" i="2"/>
  <c r="BR5" i="2"/>
  <c r="BG6" i="2"/>
  <c r="BK6" i="2"/>
  <c r="BO6" i="2"/>
  <c r="BS6" i="2"/>
  <c r="BH7" i="2"/>
  <c r="BL7" i="2"/>
  <c r="BP7" i="2"/>
  <c r="BE8" i="2"/>
  <c r="BI8" i="2"/>
  <c r="BM8" i="2"/>
  <c r="BQ8" i="2"/>
  <c r="BF9" i="2"/>
  <c r="BJ9" i="2"/>
  <c r="BN9" i="2"/>
  <c r="BR9" i="2"/>
  <c r="BG10" i="2"/>
  <c r="BK10" i="2"/>
  <c r="BO10" i="2"/>
  <c r="BS10" i="2"/>
  <c r="BH11" i="2"/>
  <c r="BL11" i="2"/>
  <c r="BP11" i="2"/>
  <c r="BE12" i="2"/>
  <c r="BI12" i="2"/>
  <c r="BM12" i="2"/>
  <c r="BQ12" i="2"/>
  <c r="BF13" i="2"/>
  <c r="BJ13" i="2"/>
  <c r="BN13" i="2"/>
  <c r="BR13" i="2"/>
  <c r="BG14" i="2"/>
  <c r="BK14" i="2"/>
  <c r="BO14" i="2"/>
  <c r="BS14" i="2"/>
  <c r="BH15" i="2"/>
  <c r="BL15" i="2"/>
  <c r="BP15" i="2"/>
  <c r="BE16" i="2"/>
  <c r="BI16" i="2"/>
  <c r="BM16" i="2"/>
  <c r="BQ16" i="2"/>
  <c r="BF17" i="2"/>
  <c r="BJ17" i="2"/>
  <c r="BN17" i="2"/>
  <c r="BR17" i="2"/>
  <c r="BG18" i="2"/>
  <c r="BK18" i="2"/>
  <c r="BO18" i="2"/>
  <c r="BS18" i="2"/>
  <c r="BH19" i="2"/>
  <c r="BL19" i="2"/>
  <c r="BP19" i="2"/>
  <c r="BE20" i="2"/>
  <c r="BI20" i="2"/>
  <c r="BM20" i="2"/>
  <c r="BQ20" i="2"/>
  <c r="BF21" i="2"/>
  <c r="BJ21" i="2"/>
  <c r="BN21" i="2"/>
  <c r="BR21" i="2"/>
  <c r="BG22" i="2"/>
  <c r="BK22" i="2"/>
  <c r="BO22" i="2"/>
  <c r="BS22" i="2"/>
  <c r="BH23" i="2"/>
  <c r="BL23" i="2"/>
  <c r="BP23" i="2"/>
  <c r="BE24" i="2"/>
  <c r="BI24" i="2"/>
  <c r="BM24" i="2"/>
  <c r="BQ24" i="2"/>
  <c r="BF25" i="2"/>
  <c r="BJ25" i="2"/>
  <c r="BN25" i="2"/>
  <c r="BR25" i="2"/>
  <c r="BG26" i="2"/>
  <c r="BK26" i="2"/>
  <c r="BO26" i="2"/>
  <c r="BS26" i="2"/>
  <c r="BH27" i="2"/>
  <c r="BL27" i="2"/>
  <c r="BP27" i="2"/>
  <c r="BE28" i="2"/>
  <c r="BF29" i="2"/>
  <c r="BJ29" i="2"/>
  <c r="BN29" i="2"/>
  <c r="BR29" i="2"/>
  <c r="BG30" i="2"/>
  <c r="BK30" i="2"/>
  <c r="BS30" i="2"/>
  <c r="BL31" i="2"/>
  <c r="BE250" i="2"/>
  <c r="BE246" i="2"/>
  <c r="BE242" i="2"/>
  <c r="BE238" i="2"/>
  <c r="BE234" i="2"/>
  <c r="BE251" i="2"/>
  <c r="BE247" i="2"/>
  <c r="BE243" i="2"/>
  <c r="BE239" i="2"/>
  <c r="BE235" i="2"/>
  <c r="BE231" i="2"/>
  <c r="BE252" i="2"/>
  <c r="BE248" i="2"/>
  <c r="BE244" i="2"/>
  <c r="BE240" i="2"/>
  <c r="BE236" i="2"/>
  <c r="BE249" i="2"/>
  <c r="BE245" i="2"/>
  <c r="BE241" i="2"/>
  <c r="BE237" i="2"/>
  <c r="BE229" i="2"/>
  <c r="BE225" i="2"/>
  <c r="BE221" i="2"/>
  <c r="BE217" i="2"/>
  <c r="BE213" i="2"/>
  <c r="BE233" i="2"/>
  <c r="BE232" i="2"/>
  <c r="BE230" i="2"/>
  <c r="BE226" i="2"/>
  <c r="BE222" i="2"/>
  <c r="BE218" i="2"/>
  <c r="BE214" i="2"/>
  <c r="BE227" i="2"/>
  <c r="BE223" i="2"/>
  <c r="BE219" i="2"/>
  <c r="BE215" i="2"/>
  <c r="BE228" i="2"/>
  <c r="BE224" i="2"/>
  <c r="BE220" i="2"/>
  <c r="BE216" i="2"/>
  <c r="BE211" i="2"/>
  <c r="BE208" i="2"/>
  <c r="BE204" i="2"/>
  <c r="BE200" i="2"/>
  <c r="BE196" i="2"/>
  <c r="BE192" i="2"/>
  <c r="BE212" i="2"/>
  <c r="BE209" i="2"/>
  <c r="BE205" i="2"/>
  <c r="BE201" i="2"/>
  <c r="BE197" i="2"/>
  <c r="BE193" i="2"/>
  <c r="BE189" i="2"/>
  <c r="BE206" i="2"/>
  <c r="BE202" i="2"/>
  <c r="BE198" i="2"/>
  <c r="BE194" i="2"/>
  <c r="BE190" i="2"/>
  <c r="BE210" i="2"/>
  <c r="BE207" i="2"/>
  <c r="BE203" i="2"/>
  <c r="BE199" i="2"/>
  <c r="BE195" i="2"/>
  <c r="BE191" i="2"/>
  <c r="BE187" i="2"/>
  <c r="BE183" i="2"/>
  <c r="BE179" i="2"/>
  <c r="BE175" i="2"/>
  <c r="BE171" i="2"/>
  <c r="BE167" i="2"/>
  <c r="BE188" i="2"/>
  <c r="BE184" i="2"/>
  <c r="BE180" i="2"/>
  <c r="BE176" i="2"/>
  <c r="BE172" i="2"/>
  <c r="BE168" i="2"/>
  <c r="BE185" i="2"/>
  <c r="BE181" i="2"/>
  <c r="BE177" i="2"/>
  <c r="BE173" i="2"/>
  <c r="BE169" i="2"/>
  <c r="BE186" i="2"/>
  <c r="BE182" i="2"/>
  <c r="BE178" i="2"/>
  <c r="BE174" i="2"/>
  <c r="BE170" i="2"/>
  <c r="BE164" i="2"/>
  <c r="BE160" i="2"/>
  <c r="BE156" i="2"/>
  <c r="BE152" i="2"/>
  <c r="BE148" i="2"/>
  <c r="BE144" i="2"/>
  <c r="BE140" i="2"/>
  <c r="BE136" i="2"/>
  <c r="BE132" i="2"/>
  <c r="BE128" i="2"/>
  <c r="BE124" i="2"/>
  <c r="BE166" i="2"/>
  <c r="BE165" i="2"/>
  <c r="BE161" i="2"/>
  <c r="BE157" i="2"/>
  <c r="BE153" i="2"/>
  <c r="BE149" i="2"/>
  <c r="BE145" i="2"/>
  <c r="BE141" i="2"/>
  <c r="BE137" i="2"/>
  <c r="BE133" i="2"/>
  <c r="BE129" i="2"/>
  <c r="BE125" i="2"/>
  <c r="BE121" i="2"/>
  <c r="BE162" i="2"/>
  <c r="BE158" i="2"/>
  <c r="BE154" i="2"/>
  <c r="BE150" i="2"/>
  <c r="BE146" i="2"/>
  <c r="BE142" i="2"/>
  <c r="BE138" i="2"/>
  <c r="BE134" i="2"/>
  <c r="BE130" i="2"/>
  <c r="BE126" i="2"/>
  <c r="BE122" i="2"/>
  <c r="BE163" i="2"/>
  <c r="BE159" i="2"/>
  <c r="BE155" i="2"/>
  <c r="BE151" i="2"/>
  <c r="BE147" i="2"/>
  <c r="BE143" i="2"/>
  <c r="BE139" i="2"/>
  <c r="BE135" i="2"/>
  <c r="BE131" i="2"/>
  <c r="BE127" i="2"/>
  <c r="BE123" i="2"/>
  <c r="BE117" i="2"/>
  <c r="BE113" i="2"/>
  <c r="BE109" i="2"/>
  <c r="BE105" i="2"/>
  <c r="BE101" i="2"/>
  <c r="BE97" i="2"/>
  <c r="BE93" i="2"/>
  <c r="BE89" i="2"/>
  <c r="BE85" i="2"/>
  <c r="BE81" i="2"/>
  <c r="BE77" i="2"/>
  <c r="BE118" i="2"/>
  <c r="BE114" i="2"/>
  <c r="BE110" i="2"/>
  <c r="BE106" i="2"/>
  <c r="BE102" i="2"/>
  <c r="BE98" i="2"/>
  <c r="BE94" i="2"/>
  <c r="BE90" i="2"/>
  <c r="BE86" i="2"/>
  <c r="BE82" i="2"/>
  <c r="BE78" i="2"/>
  <c r="BE119" i="2"/>
  <c r="BE115" i="2"/>
  <c r="BE111" i="2"/>
  <c r="BE107" i="2"/>
  <c r="BE103" i="2"/>
  <c r="BE99" i="2"/>
  <c r="BE95" i="2"/>
  <c r="BE91" i="2"/>
  <c r="BE87" i="2"/>
  <c r="BE83" i="2"/>
  <c r="BE120" i="2"/>
  <c r="BE116" i="2"/>
  <c r="BE112" i="2"/>
  <c r="BE108" i="2"/>
  <c r="BE104" i="2"/>
  <c r="BE100" i="2"/>
  <c r="BE96" i="2"/>
  <c r="BE92" i="2"/>
  <c r="BE88" i="2"/>
  <c r="BE84" i="2"/>
  <c r="BE80" i="2"/>
  <c r="BE79" i="2"/>
  <c r="BE73" i="2"/>
  <c r="BE69" i="2"/>
  <c r="BE65" i="2"/>
  <c r="BE61" i="2"/>
  <c r="BE57" i="2"/>
  <c r="BE53" i="2"/>
  <c r="BE49" i="2"/>
  <c r="BE45" i="2"/>
  <c r="BE41" i="2"/>
  <c r="BE37" i="2"/>
  <c r="BE33" i="2"/>
  <c r="BE74" i="2"/>
  <c r="BE70" i="2"/>
  <c r="BE66" i="2"/>
  <c r="BE62" i="2"/>
  <c r="BE58" i="2"/>
  <c r="BE54" i="2"/>
  <c r="BE50" i="2"/>
  <c r="BE46" i="2"/>
  <c r="BE42" i="2"/>
  <c r="BE38" i="2"/>
  <c r="BE34" i="2"/>
  <c r="BE75" i="2"/>
  <c r="BE71" i="2"/>
  <c r="BE67" i="2"/>
  <c r="BE63" i="2"/>
  <c r="BE59" i="2"/>
  <c r="BE55" i="2"/>
  <c r="BE51" i="2"/>
  <c r="BE47" i="2"/>
  <c r="BE43" i="2"/>
  <c r="BE39" i="2"/>
  <c r="BE35" i="2"/>
  <c r="BE76" i="2"/>
  <c r="BE72" i="2"/>
  <c r="BE68" i="2"/>
  <c r="BE64" i="2"/>
  <c r="BE60" i="2"/>
  <c r="BE56" i="2"/>
  <c r="BE52" i="2"/>
  <c r="BE48" i="2"/>
  <c r="BE44" i="2"/>
  <c r="BE40" i="2"/>
  <c r="BE36" i="2"/>
  <c r="BI250" i="2"/>
  <c r="BI246" i="2"/>
  <c r="BI242" i="2"/>
  <c r="BI238" i="2"/>
  <c r="BI234" i="2"/>
  <c r="BI251" i="2"/>
  <c r="BI247" i="2"/>
  <c r="BI243" i="2"/>
  <c r="BI239" i="2"/>
  <c r="BI235" i="2"/>
  <c r="BI231" i="2"/>
  <c r="BI252" i="2"/>
  <c r="BI248" i="2"/>
  <c r="BI244" i="2"/>
  <c r="BI240" i="2"/>
  <c r="BI236" i="2"/>
  <c r="BI249" i="2"/>
  <c r="BI245" i="2"/>
  <c r="BI241" i="2"/>
  <c r="BI237" i="2"/>
  <c r="BI233" i="2"/>
  <c r="BI229" i="2"/>
  <c r="BI225" i="2"/>
  <c r="BI221" i="2"/>
  <c r="BI217" i="2"/>
  <c r="BI213" i="2"/>
  <c r="BI230" i="2"/>
  <c r="BI226" i="2"/>
  <c r="BI222" i="2"/>
  <c r="BI218" i="2"/>
  <c r="BI214" i="2"/>
  <c r="BI232" i="2"/>
  <c r="BI227" i="2"/>
  <c r="BI223" i="2"/>
  <c r="BI219" i="2"/>
  <c r="BI215" i="2"/>
  <c r="BI228" i="2"/>
  <c r="BI224" i="2"/>
  <c r="BI220" i="2"/>
  <c r="BI216" i="2"/>
  <c r="BI212" i="2"/>
  <c r="BI210" i="2"/>
  <c r="BI208" i="2"/>
  <c r="BI204" i="2"/>
  <c r="BI200" i="2"/>
  <c r="BI196" i="2"/>
  <c r="BI192" i="2"/>
  <c r="BI211" i="2"/>
  <c r="BI209" i="2"/>
  <c r="BI205" i="2"/>
  <c r="BI201" i="2"/>
  <c r="BI197" i="2"/>
  <c r="BI193" i="2"/>
  <c r="BI189" i="2"/>
  <c r="BI206" i="2"/>
  <c r="BI202" i="2"/>
  <c r="BI198" i="2"/>
  <c r="BI194" i="2"/>
  <c r="BI190" i="2"/>
  <c r="BI207" i="2"/>
  <c r="BI203" i="2"/>
  <c r="BI199" i="2"/>
  <c r="BI195" i="2"/>
  <c r="BI191" i="2"/>
  <c r="BI187" i="2"/>
  <c r="BI183" i="2"/>
  <c r="BI179" i="2"/>
  <c r="BI175" i="2"/>
  <c r="BI171" i="2"/>
  <c r="BI167" i="2"/>
  <c r="BI188" i="2"/>
  <c r="BI184" i="2"/>
  <c r="BI180" i="2"/>
  <c r="BI176" i="2"/>
  <c r="BI172" i="2"/>
  <c r="BI168" i="2"/>
  <c r="BI185" i="2"/>
  <c r="BI181" i="2"/>
  <c r="BI177" i="2"/>
  <c r="BI173" i="2"/>
  <c r="BI169" i="2"/>
  <c r="BI186" i="2"/>
  <c r="BI182" i="2"/>
  <c r="BI178" i="2"/>
  <c r="BI174" i="2"/>
  <c r="BI170" i="2"/>
  <c r="BI160" i="2"/>
  <c r="BI156" i="2"/>
  <c r="BI152" i="2"/>
  <c r="BI148" i="2"/>
  <c r="BI144" i="2"/>
  <c r="BI140" i="2"/>
  <c r="BI136" i="2"/>
  <c r="BI132" i="2"/>
  <c r="BI128" i="2"/>
  <c r="BI124" i="2"/>
  <c r="BI164" i="2"/>
  <c r="BI161" i="2"/>
  <c r="BI157" i="2"/>
  <c r="BI153" i="2"/>
  <c r="BI149" i="2"/>
  <c r="BI145" i="2"/>
  <c r="BI141" i="2"/>
  <c r="BI137" i="2"/>
  <c r="BI133" i="2"/>
  <c r="BI129" i="2"/>
  <c r="BI125" i="2"/>
  <c r="BI121" i="2"/>
  <c r="BI165" i="2"/>
  <c r="BI162" i="2"/>
  <c r="BI158" i="2"/>
  <c r="BI154" i="2"/>
  <c r="BI150" i="2"/>
  <c r="BI146" i="2"/>
  <c r="BI142" i="2"/>
  <c r="BI138" i="2"/>
  <c r="BI134" i="2"/>
  <c r="BI130" i="2"/>
  <c r="BI126" i="2"/>
  <c r="BI122" i="2"/>
  <c r="BI166" i="2"/>
  <c r="BI163" i="2"/>
  <c r="BI159" i="2"/>
  <c r="BI155" i="2"/>
  <c r="BI151" i="2"/>
  <c r="BI147" i="2"/>
  <c r="BI143" i="2"/>
  <c r="BI139" i="2"/>
  <c r="BI135" i="2"/>
  <c r="BI131" i="2"/>
  <c r="BI127" i="2"/>
  <c r="BI123" i="2"/>
  <c r="BI117" i="2"/>
  <c r="BI113" i="2"/>
  <c r="BI109" i="2"/>
  <c r="BI105" i="2"/>
  <c r="BI101" i="2"/>
  <c r="BI97" i="2"/>
  <c r="BI93" i="2"/>
  <c r="BI89" i="2"/>
  <c r="BI85" i="2"/>
  <c r="BI81" i="2"/>
  <c r="BI77" i="2"/>
  <c r="BI118" i="2"/>
  <c r="BI114" i="2"/>
  <c r="BI110" i="2"/>
  <c r="BI106" i="2"/>
  <c r="BI102" i="2"/>
  <c r="BI98" i="2"/>
  <c r="BI94" i="2"/>
  <c r="BI90" i="2"/>
  <c r="BI86" i="2"/>
  <c r="BI82" i="2"/>
  <c r="BI78" i="2"/>
  <c r="BI119" i="2"/>
  <c r="BI115" i="2"/>
  <c r="BI111" i="2"/>
  <c r="BI107" i="2"/>
  <c r="BI103" i="2"/>
  <c r="BI99" i="2"/>
  <c r="BI95" i="2"/>
  <c r="BI91" i="2"/>
  <c r="BI87" i="2"/>
  <c r="BI83" i="2"/>
  <c r="BI79" i="2"/>
  <c r="BI120" i="2"/>
  <c r="BI116" i="2"/>
  <c r="BI112" i="2"/>
  <c r="BI108" i="2"/>
  <c r="BI104" i="2"/>
  <c r="BI100" i="2"/>
  <c r="BI96" i="2"/>
  <c r="BI92" i="2"/>
  <c r="BI88" i="2"/>
  <c r="BI84" i="2"/>
  <c r="BI80" i="2"/>
  <c r="BI73" i="2"/>
  <c r="BI69" i="2"/>
  <c r="BI65" i="2"/>
  <c r="BI61" i="2"/>
  <c r="BI57" i="2"/>
  <c r="BI53" i="2"/>
  <c r="BI49" i="2"/>
  <c r="BI45" i="2"/>
  <c r="BI41" i="2"/>
  <c r="BI37" i="2"/>
  <c r="BI33" i="2"/>
  <c r="BI74" i="2"/>
  <c r="BI70" i="2"/>
  <c r="BI66" i="2"/>
  <c r="BI62" i="2"/>
  <c r="BI58" i="2"/>
  <c r="BI54" i="2"/>
  <c r="BI50" i="2"/>
  <c r="BI46" i="2"/>
  <c r="BI42" i="2"/>
  <c r="BI38" i="2"/>
  <c r="BI34" i="2"/>
  <c r="BI75" i="2"/>
  <c r="BI71" i="2"/>
  <c r="BI67" i="2"/>
  <c r="BI63" i="2"/>
  <c r="BI59" i="2"/>
  <c r="BI55" i="2"/>
  <c r="BI51" i="2"/>
  <c r="BI47" i="2"/>
  <c r="BI43" i="2"/>
  <c r="BI39" i="2"/>
  <c r="BI35" i="2"/>
  <c r="BI76" i="2"/>
  <c r="BI72" i="2"/>
  <c r="BI68" i="2"/>
  <c r="BI64" i="2"/>
  <c r="BI60" i="2"/>
  <c r="BI56" i="2"/>
  <c r="BI52" i="2"/>
  <c r="BI48" i="2"/>
  <c r="BI44" i="2"/>
  <c r="BI40" i="2"/>
  <c r="BI36" i="2"/>
  <c r="BM250" i="2"/>
  <c r="BM246" i="2"/>
  <c r="BM242" i="2"/>
  <c r="BM238" i="2"/>
  <c r="BM234" i="2"/>
  <c r="BM251" i="2"/>
  <c r="BM247" i="2"/>
  <c r="BM243" i="2"/>
  <c r="BM239" i="2"/>
  <c r="BM235" i="2"/>
  <c r="BM231" i="2"/>
  <c r="BM252" i="2"/>
  <c r="BM248" i="2"/>
  <c r="BM244" i="2"/>
  <c r="BM240" i="2"/>
  <c r="BM236" i="2"/>
  <c r="BM249" i="2"/>
  <c r="BM245" i="2"/>
  <c r="BM241" i="2"/>
  <c r="BM237" i="2"/>
  <c r="BM233" i="2"/>
  <c r="BM229" i="2"/>
  <c r="BM225" i="2"/>
  <c r="BM221" i="2"/>
  <c r="BM217" i="2"/>
  <c r="BM213" i="2"/>
  <c r="BM226" i="2"/>
  <c r="BM222" i="2"/>
  <c r="BM218" i="2"/>
  <c r="BM214" i="2"/>
  <c r="BM230" i="2"/>
  <c r="BM227" i="2"/>
  <c r="BM223" i="2"/>
  <c r="BM219" i="2"/>
  <c r="BM215" i="2"/>
  <c r="BM232" i="2"/>
  <c r="BM228" i="2"/>
  <c r="BM224" i="2"/>
  <c r="BM220" i="2"/>
  <c r="BM216" i="2"/>
  <c r="BM208" i="2"/>
  <c r="BM204" i="2"/>
  <c r="BM200" i="2"/>
  <c r="BM196" i="2"/>
  <c r="BM192" i="2"/>
  <c r="BM210" i="2"/>
  <c r="BM209" i="2"/>
  <c r="BM205" i="2"/>
  <c r="BM201" i="2"/>
  <c r="BM197" i="2"/>
  <c r="BM193" i="2"/>
  <c r="BM189" i="2"/>
  <c r="BM211" i="2"/>
  <c r="BM206" i="2"/>
  <c r="BM202" i="2"/>
  <c r="BM198" i="2"/>
  <c r="BM194" i="2"/>
  <c r="BM190" i="2"/>
  <c r="BM212" i="2"/>
  <c r="BM207" i="2"/>
  <c r="BM203" i="2"/>
  <c r="BM199" i="2"/>
  <c r="BM195" i="2"/>
  <c r="BM191" i="2"/>
  <c r="BM187" i="2"/>
  <c r="BM183" i="2"/>
  <c r="BM179" i="2"/>
  <c r="BM175" i="2"/>
  <c r="BM171" i="2"/>
  <c r="BM167" i="2"/>
  <c r="BM188" i="2"/>
  <c r="BM184" i="2"/>
  <c r="BM180" i="2"/>
  <c r="BM176" i="2"/>
  <c r="BM172" i="2"/>
  <c r="BM168" i="2"/>
  <c r="BM185" i="2"/>
  <c r="BM181" i="2"/>
  <c r="BM177" i="2"/>
  <c r="BM173" i="2"/>
  <c r="BM169" i="2"/>
  <c r="BM186" i="2"/>
  <c r="BM182" i="2"/>
  <c r="BM178" i="2"/>
  <c r="BM174" i="2"/>
  <c r="BM170" i="2"/>
  <c r="BM165" i="2"/>
  <c r="BM160" i="2"/>
  <c r="BM156" i="2"/>
  <c r="BM152" i="2"/>
  <c r="BM148" i="2"/>
  <c r="BM144" i="2"/>
  <c r="BM140" i="2"/>
  <c r="BM136" i="2"/>
  <c r="BM132" i="2"/>
  <c r="BM128" i="2"/>
  <c r="BM124" i="2"/>
  <c r="BM166" i="2"/>
  <c r="BM161" i="2"/>
  <c r="BM157" i="2"/>
  <c r="BM153" i="2"/>
  <c r="BM149" i="2"/>
  <c r="BM145" i="2"/>
  <c r="BM141" i="2"/>
  <c r="BM137" i="2"/>
  <c r="BM133" i="2"/>
  <c r="BM129" i="2"/>
  <c r="BM125" i="2"/>
  <c r="BM121" i="2"/>
  <c r="BM164" i="2"/>
  <c r="BM162" i="2"/>
  <c r="BM158" i="2"/>
  <c r="BM154" i="2"/>
  <c r="BM150" i="2"/>
  <c r="BM146" i="2"/>
  <c r="BM142" i="2"/>
  <c r="BM138" i="2"/>
  <c r="BM134" i="2"/>
  <c r="BM130" i="2"/>
  <c r="BM126" i="2"/>
  <c r="BM122" i="2"/>
  <c r="BM163" i="2"/>
  <c r="BM159" i="2"/>
  <c r="BM155" i="2"/>
  <c r="BM151" i="2"/>
  <c r="BM147" i="2"/>
  <c r="BM143" i="2"/>
  <c r="BM139" i="2"/>
  <c r="BM135" i="2"/>
  <c r="BM131" i="2"/>
  <c r="BM127" i="2"/>
  <c r="BM123" i="2"/>
  <c r="BM120" i="2"/>
  <c r="BM117" i="2"/>
  <c r="BM113" i="2"/>
  <c r="BM109" i="2"/>
  <c r="BM105" i="2"/>
  <c r="BM101" i="2"/>
  <c r="BM97" i="2"/>
  <c r="BM93" i="2"/>
  <c r="BM89" i="2"/>
  <c r="BM85" i="2"/>
  <c r="BM81" i="2"/>
  <c r="BM77" i="2"/>
  <c r="BM118" i="2"/>
  <c r="BM114" i="2"/>
  <c r="BM110" i="2"/>
  <c r="BM106" i="2"/>
  <c r="BM102" i="2"/>
  <c r="BM98" i="2"/>
  <c r="BM94" i="2"/>
  <c r="BM90" i="2"/>
  <c r="BM86" i="2"/>
  <c r="BM82" i="2"/>
  <c r="BM78" i="2"/>
  <c r="BM119" i="2"/>
  <c r="BM115" i="2"/>
  <c r="BM111" i="2"/>
  <c r="BM107" i="2"/>
  <c r="BM103" i="2"/>
  <c r="BM99" i="2"/>
  <c r="BM95" i="2"/>
  <c r="BM91" i="2"/>
  <c r="BM87" i="2"/>
  <c r="BM83" i="2"/>
  <c r="BM79" i="2"/>
  <c r="BM116" i="2"/>
  <c r="BM112" i="2"/>
  <c r="BM108" i="2"/>
  <c r="BM104" i="2"/>
  <c r="BM100" i="2"/>
  <c r="BM96" i="2"/>
  <c r="BM92" i="2"/>
  <c r="BM88" i="2"/>
  <c r="BM84" i="2"/>
  <c r="BM80" i="2"/>
  <c r="BM73" i="2"/>
  <c r="BM69" i="2"/>
  <c r="BM65" i="2"/>
  <c r="BM61" i="2"/>
  <c r="BM57" i="2"/>
  <c r="BM53" i="2"/>
  <c r="BM49" i="2"/>
  <c r="BM45" i="2"/>
  <c r="BM41" i="2"/>
  <c r="BM37" i="2"/>
  <c r="BM33" i="2"/>
  <c r="BM74" i="2"/>
  <c r="BM70" i="2"/>
  <c r="BM66" i="2"/>
  <c r="BM62" i="2"/>
  <c r="BM58" i="2"/>
  <c r="BM54" i="2"/>
  <c r="BM50" i="2"/>
  <c r="BM46" i="2"/>
  <c r="BM42" i="2"/>
  <c r="BM38" i="2"/>
  <c r="BM34" i="2"/>
  <c r="BM30" i="2"/>
  <c r="BM75" i="2"/>
  <c r="BM71" i="2"/>
  <c r="BM67" i="2"/>
  <c r="BM63" i="2"/>
  <c r="BM59" i="2"/>
  <c r="BM55" i="2"/>
  <c r="BM51" i="2"/>
  <c r="BM47" i="2"/>
  <c r="BM43" i="2"/>
  <c r="BM39" i="2"/>
  <c r="BM35" i="2"/>
  <c r="BM76" i="2"/>
  <c r="BM72" i="2"/>
  <c r="BM68" i="2"/>
  <c r="BM64" i="2"/>
  <c r="BM60" i="2"/>
  <c r="BM56" i="2"/>
  <c r="BM52" i="2"/>
  <c r="BM48" i="2"/>
  <c r="BM44" i="2"/>
  <c r="BM40" i="2"/>
  <c r="BM36" i="2"/>
  <c r="BM32" i="2"/>
  <c r="BQ250" i="2"/>
  <c r="BQ246" i="2"/>
  <c r="BQ242" i="2"/>
  <c r="BQ238" i="2"/>
  <c r="BQ234" i="2"/>
  <c r="BQ251" i="2"/>
  <c r="BQ247" i="2"/>
  <c r="BQ243" i="2"/>
  <c r="BQ239" i="2"/>
  <c r="BQ235" i="2"/>
  <c r="BQ231" i="2"/>
  <c r="BQ252" i="2"/>
  <c r="BQ248" i="2"/>
  <c r="BQ244" i="2"/>
  <c r="BQ240" i="2"/>
  <c r="BQ236" i="2"/>
  <c r="BQ232" i="2"/>
  <c r="BQ249" i="2"/>
  <c r="BQ245" i="2"/>
  <c r="BQ241" i="2"/>
  <c r="BQ237" i="2"/>
  <c r="BQ233" i="2"/>
  <c r="BQ229" i="2"/>
  <c r="BQ225" i="2"/>
  <c r="BQ221" i="2"/>
  <c r="BQ217" i="2"/>
  <c r="BQ213" i="2"/>
  <c r="BQ209" i="2"/>
  <c r="BQ226" i="2"/>
  <c r="BQ222" i="2"/>
  <c r="BQ218" i="2"/>
  <c r="BQ214" i="2"/>
  <c r="BQ227" i="2"/>
  <c r="BQ223" i="2"/>
  <c r="BQ219" i="2"/>
  <c r="BQ215" i="2"/>
  <c r="BQ230" i="2"/>
  <c r="BQ228" i="2"/>
  <c r="BQ224" i="2"/>
  <c r="BQ220" i="2"/>
  <c r="BQ216" i="2"/>
  <c r="BQ208" i="2"/>
  <c r="BQ204" i="2"/>
  <c r="BQ200" i="2"/>
  <c r="BQ196" i="2"/>
  <c r="BQ192" i="2"/>
  <c r="BQ205" i="2"/>
  <c r="BQ201" i="2"/>
  <c r="BQ197" i="2"/>
  <c r="BQ193" i="2"/>
  <c r="BQ189" i="2"/>
  <c r="BQ212" i="2"/>
  <c r="BQ210" i="2"/>
  <c r="BQ206" i="2"/>
  <c r="BQ202" i="2"/>
  <c r="BQ198" i="2"/>
  <c r="BQ194" i="2"/>
  <c r="BQ190" i="2"/>
  <c r="BQ211" i="2"/>
  <c r="BQ207" i="2"/>
  <c r="BQ203" i="2"/>
  <c r="BQ199" i="2"/>
  <c r="BQ195" i="2"/>
  <c r="BQ191" i="2"/>
  <c r="BQ187" i="2"/>
  <c r="BQ183" i="2"/>
  <c r="BQ179" i="2"/>
  <c r="BQ175" i="2"/>
  <c r="BQ171" i="2"/>
  <c r="BQ167" i="2"/>
  <c r="BQ184" i="2"/>
  <c r="BQ180" i="2"/>
  <c r="BQ176" i="2"/>
  <c r="BQ172" i="2"/>
  <c r="BQ168" i="2"/>
  <c r="BQ188" i="2"/>
  <c r="BQ185" i="2"/>
  <c r="BQ181" i="2"/>
  <c r="BQ177" i="2"/>
  <c r="BQ173" i="2"/>
  <c r="BQ169" i="2"/>
  <c r="BQ186" i="2"/>
  <c r="BQ182" i="2"/>
  <c r="BQ178" i="2"/>
  <c r="BQ174" i="2"/>
  <c r="BQ170" i="2"/>
  <c r="BQ166" i="2"/>
  <c r="BQ160" i="2"/>
  <c r="BQ156" i="2"/>
  <c r="BQ152" i="2"/>
  <c r="BQ148" i="2"/>
  <c r="BQ144" i="2"/>
  <c r="BQ140" i="2"/>
  <c r="BQ136" i="2"/>
  <c r="BQ132" i="2"/>
  <c r="BQ128" i="2"/>
  <c r="BQ124" i="2"/>
  <c r="BQ161" i="2"/>
  <c r="BQ157" i="2"/>
  <c r="BQ153" i="2"/>
  <c r="BQ149" i="2"/>
  <c r="BQ145" i="2"/>
  <c r="BQ141" i="2"/>
  <c r="BQ137" i="2"/>
  <c r="BQ133" i="2"/>
  <c r="BQ129" i="2"/>
  <c r="BQ125" i="2"/>
  <c r="BQ121" i="2"/>
  <c r="BQ165" i="2"/>
  <c r="BQ162" i="2"/>
  <c r="BQ158" i="2"/>
  <c r="BQ154" i="2"/>
  <c r="BQ150" i="2"/>
  <c r="BQ146" i="2"/>
  <c r="BQ142" i="2"/>
  <c r="BQ138" i="2"/>
  <c r="BQ134" i="2"/>
  <c r="BQ130" i="2"/>
  <c r="BQ126" i="2"/>
  <c r="BQ122" i="2"/>
  <c r="BQ164" i="2"/>
  <c r="BQ163" i="2"/>
  <c r="BQ159" i="2"/>
  <c r="BQ155" i="2"/>
  <c r="BQ151" i="2"/>
  <c r="BQ147" i="2"/>
  <c r="BQ143" i="2"/>
  <c r="BQ139" i="2"/>
  <c r="BQ135" i="2"/>
  <c r="BQ131" i="2"/>
  <c r="BQ127" i="2"/>
  <c r="BQ123" i="2"/>
  <c r="BQ117" i="2"/>
  <c r="BQ113" i="2"/>
  <c r="BQ109" i="2"/>
  <c r="BQ105" i="2"/>
  <c r="BQ101" i="2"/>
  <c r="BQ97" i="2"/>
  <c r="BQ93" i="2"/>
  <c r="BQ89" i="2"/>
  <c r="BQ85" i="2"/>
  <c r="BQ81" i="2"/>
  <c r="BQ77" i="2"/>
  <c r="BQ120" i="2"/>
  <c r="BQ118" i="2"/>
  <c r="BQ114" i="2"/>
  <c r="BQ110" i="2"/>
  <c r="BQ106" i="2"/>
  <c r="BQ102" i="2"/>
  <c r="BQ98" i="2"/>
  <c r="BQ94" i="2"/>
  <c r="BQ90" i="2"/>
  <c r="BQ86" i="2"/>
  <c r="BQ82" i="2"/>
  <c r="BQ78" i="2"/>
  <c r="BQ119" i="2"/>
  <c r="BQ115" i="2"/>
  <c r="BQ111" i="2"/>
  <c r="BQ107" i="2"/>
  <c r="BQ103" i="2"/>
  <c r="BQ99" i="2"/>
  <c r="BQ95" i="2"/>
  <c r="BQ91" i="2"/>
  <c r="BQ87" i="2"/>
  <c r="BQ83" i="2"/>
  <c r="BQ79" i="2"/>
  <c r="BQ116" i="2"/>
  <c r="BQ112" i="2"/>
  <c r="BQ108" i="2"/>
  <c r="BQ104" i="2"/>
  <c r="BQ100" i="2"/>
  <c r="BQ96" i="2"/>
  <c r="BQ92" i="2"/>
  <c r="BQ88" i="2"/>
  <c r="BQ84" i="2"/>
  <c r="BQ80" i="2"/>
  <c r="BQ73" i="2"/>
  <c r="BQ69" i="2"/>
  <c r="BQ65" i="2"/>
  <c r="BQ61" i="2"/>
  <c r="BQ57" i="2"/>
  <c r="BQ53" i="2"/>
  <c r="BQ49" i="2"/>
  <c r="BQ45" i="2"/>
  <c r="BQ41" i="2"/>
  <c r="BQ37" i="2"/>
  <c r="BQ33" i="2"/>
  <c r="BQ76" i="2"/>
  <c r="BQ74" i="2"/>
  <c r="BQ70" i="2"/>
  <c r="BQ66" i="2"/>
  <c r="BQ62" i="2"/>
  <c r="BQ58" i="2"/>
  <c r="BQ54" i="2"/>
  <c r="BQ50" i="2"/>
  <c r="BQ46" i="2"/>
  <c r="BQ42" i="2"/>
  <c r="BQ38" i="2"/>
  <c r="BQ34" i="2"/>
  <c r="BQ30" i="2"/>
  <c r="BQ75" i="2"/>
  <c r="BQ71" i="2"/>
  <c r="BQ67" i="2"/>
  <c r="BQ63" i="2"/>
  <c r="BQ59" i="2"/>
  <c r="BQ55" i="2"/>
  <c r="BQ51" i="2"/>
  <c r="BQ47" i="2"/>
  <c r="BQ43" i="2"/>
  <c r="BQ39" i="2"/>
  <c r="BQ35" i="2"/>
  <c r="BQ72" i="2"/>
  <c r="BQ68" i="2"/>
  <c r="BQ64" i="2"/>
  <c r="BQ60" i="2"/>
  <c r="BQ56" i="2"/>
  <c r="BQ52" i="2"/>
  <c r="BQ48" i="2"/>
  <c r="BQ44" i="2"/>
  <c r="BQ40" i="2"/>
  <c r="BQ36" i="2"/>
  <c r="BQ32" i="2"/>
  <c r="BF4" i="2"/>
  <c r="BJ4" i="2"/>
  <c r="BN4" i="2"/>
  <c r="BR4" i="2"/>
  <c r="BG5" i="2"/>
  <c r="BK5" i="2"/>
  <c r="BO5" i="2"/>
  <c r="BS5" i="2"/>
  <c r="BH6" i="2"/>
  <c r="BL6" i="2"/>
  <c r="BP6" i="2"/>
  <c r="BE7" i="2"/>
  <c r="BI7" i="2"/>
  <c r="BM7" i="2"/>
  <c r="BQ7" i="2"/>
  <c r="BF8" i="2"/>
  <c r="BJ8" i="2"/>
  <c r="BN8" i="2"/>
  <c r="BR8" i="2"/>
  <c r="BG9" i="2"/>
  <c r="BK9" i="2"/>
  <c r="BO9" i="2"/>
  <c r="BS9" i="2"/>
  <c r="BH10" i="2"/>
  <c r="BL10" i="2"/>
  <c r="BP10" i="2"/>
  <c r="BE11" i="2"/>
  <c r="BI11" i="2"/>
  <c r="BM11" i="2"/>
  <c r="BQ11" i="2"/>
  <c r="BF12" i="2"/>
  <c r="BJ12" i="2"/>
  <c r="BN12" i="2"/>
  <c r="BR12" i="2"/>
  <c r="BG13" i="2"/>
  <c r="BK13" i="2"/>
  <c r="BO13" i="2"/>
  <c r="BS13" i="2"/>
  <c r="BH14" i="2"/>
  <c r="BL14" i="2"/>
  <c r="BP14" i="2"/>
  <c r="BE15" i="2"/>
  <c r="BI15" i="2"/>
  <c r="BM15" i="2"/>
  <c r="BQ15" i="2"/>
  <c r="BF16" i="2"/>
  <c r="BJ16" i="2"/>
  <c r="BN16" i="2"/>
  <c r="BR16" i="2"/>
  <c r="BG17" i="2"/>
  <c r="BK17" i="2"/>
  <c r="BO17" i="2"/>
  <c r="BS17" i="2"/>
  <c r="BH18" i="2"/>
  <c r="BL18" i="2"/>
  <c r="BP18" i="2"/>
  <c r="BE19" i="2"/>
  <c r="BI19" i="2"/>
  <c r="BM19" i="2"/>
  <c r="BQ19" i="2"/>
  <c r="BF20" i="2"/>
  <c r="BJ20" i="2"/>
  <c r="BN20" i="2"/>
  <c r="BR20" i="2"/>
  <c r="BG21" i="2"/>
  <c r="BK21" i="2"/>
  <c r="BO21" i="2"/>
  <c r="BS21" i="2"/>
  <c r="BH22" i="2"/>
  <c r="BL22" i="2"/>
  <c r="BP22" i="2"/>
  <c r="BE23" i="2"/>
  <c r="BI23" i="2"/>
  <c r="BM23" i="2"/>
  <c r="BQ23" i="2"/>
  <c r="BF24" i="2"/>
  <c r="BJ24" i="2"/>
  <c r="BN24" i="2"/>
  <c r="BR24" i="2"/>
  <c r="BG25" i="2"/>
  <c r="BK25" i="2"/>
  <c r="BO25" i="2"/>
  <c r="BS25" i="2"/>
  <c r="BH26" i="2"/>
  <c r="BL26" i="2"/>
  <c r="BP26" i="2"/>
  <c r="BE27" i="2"/>
  <c r="BI27" i="2"/>
  <c r="BM27" i="2"/>
  <c r="BQ27" i="2"/>
  <c r="BF28" i="2"/>
  <c r="BG29" i="2"/>
  <c r="BK29" i="2"/>
  <c r="BO29" i="2"/>
  <c r="BS29" i="2"/>
  <c r="BH30" i="2"/>
  <c r="BL30" i="2"/>
  <c r="BE31" i="2"/>
  <c r="BM31" i="2"/>
  <c r="BF251" i="2"/>
  <c r="BF247" i="2"/>
  <c r="BF243" i="2"/>
  <c r="BF239" i="2"/>
  <c r="BF235" i="2"/>
  <c r="BF252" i="2"/>
  <c r="BF248" i="2"/>
  <c r="BF244" i="2"/>
  <c r="BF240" i="2"/>
  <c r="BF236" i="2"/>
  <c r="BF232" i="2"/>
  <c r="BF249" i="2"/>
  <c r="BF245" i="2"/>
  <c r="BF241" i="2"/>
  <c r="BF237" i="2"/>
  <c r="BF233" i="2"/>
  <c r="BF250" i="2"/>
  <c r="BF246" i="2"/>
  <c r="BF242" i="2"/>
  <c r="BF238" i="2"/>
  <c r="BF234" i="2"/>
  <c r="BF231" i="2"/>
  <c r="BF230" i="2"/>
  <c r="BF226" i="2"/>
  <c r="BF222" i="2"/>
  <c r="BF218" i="2"/>
  <c r="BF214" i="2"/>
  <c r="BF210" i="2"/>
  <c r="BF227" i="2"/>
  <c r="BF223" i="2"/>
  <c r="BF219" i="2"/>
  <c r="BF215" i="2"/>
  <c r="BF228" i="2"/>
  <c r="BF224" i="2"/>
  <c r="BF220" i="2"/>
  <c r="BF216" i="2"/>
  <c r="BF212" i="2"/>
  <c r="BF229" i="2"/>
  <c r="BF225" i="2"/>
  <c r="BF221" i="2"/>
  <c r="BF217" i="2"/>
  <c r="BF209" i="2"/>
  <c r="BF205" i="2"/>
  <c r="BF201" i="2"/>
  <c r="BF197" i="2"/>
  <c r="BF193" i="2"/>
  <c r="BF213" i="2"/>
  <c r="BF206" i="2"/>
  <c r="BF202" i="2"/>
  <c r="BF198" i="2"/>
  <c r="BF194" i="2"/>
  <c r="BF190" i="2"/>
  <c r="BF207" i="2"/>
  <c r="BF203" i="2"/>
  <c r="BF199" i="2"/>
  <c r="BF195" i="2"/>
  <c r="BF191" i="2"/>
  <c r="BF211" i="2"/>
  <c r="BF208" i="2"/>
  <c r="BF204" i="2"/>
  <c r="BF200" i="2"/>
  <c r="BF196" i="2"/>
  <c r="BF192" i="2"/>
  <c r="BF188" i="2"/>
  <c r="BF184" i="2"/>
  <c r="BF180" i="2"/>
  <c r="BF176" i="2"/>
  <c r="BF172" i="2"/>
  <c r="BF168" i="2"/>
  <c r="BF164" i="2"/>
  <c r="BF185" i="2"/>
  <c r="BF181" i="2"/>
  <c r="BF177" i="2"/>
  <c r="BF173" i="2"/>
  <c r="BF169" i="2"/>
  <c r="BF186" i="2"/>
  <c r="BF182" i="2"/>
  <c r="BF178" i="2"/>
  <c r="BF174" i="2"/>
  <c r="BF170" i="2"/>
  <c r="BF189" i="2"/>
  <c r="BF187" i="2"/>
  <c r="BF183" i="2"/>
  <c r="BF179" i="2"/>
  <c r="BF175" i="2"/>
  <c r="BF171" i="2"/>
  <c r="BF167" i="2"/>
  <c r="BF166" i="2"/>
  <c r="BF165" i="2"/>
  <c r="BF161" i="2"/>
  <c r="BF157" i="2"/>
  <c r="BF153" i="2"/>
  <c r="BF149" i="2"/>
  <c r="BF145" i="2"/>
  <c r="BF141" i="2"/>
  <c r="BF137" i="2"/>
  <c r="BF133" i="2"/>
  <c r="BF129" i="2"/>
  <c r="BF125" i="2"/>
  <c r="BF162" i="2"/>
  <c r="BF158" i="2"/>
  <c r="BF154" i="2"/>
  <c r="BF150" i="2"/>
  <c r="BF146" i="2"/>
  <c r="BF142" i="2"/>
  <c r="BF138" i="2"/>
  <c r="BF134" i="2"/>
  <c r="BF130" i="2"/>
  <c r="BF126" i="2"/>
  <c r="BF122" i="2"/>
  <c r="BF163" i="2"/>
  <c r="BF159" i="2"/>
  <c r="BF155" i="2"/>
  <c r="BF151" i="2"/>
  <c r="BF147" i="2"/>
  <c r="BF143" i="2"/>
  <c r="BF139" i="2"/>
  <c r="BF135" i="2"/>
  <c r="BF131" i="2"/>
  <c r="BF127" i="2"/>
  <c r="BF123" i="2"/>
  <c r="BF160" i="2"/>
  <c r="BF156" i="2"/>
  <c r="BF152" i="2"/>
  <c r="BF148" i="2"/>
  <c r="BF144" i="2"/>
  <c r="BF140" i="2"/>
  <c r="BF136" i="2"/>
  <c r="BF132" i="2"/>
  <c r="BF128" i="2"/>
  <c r="BF124" i="2"/>
  <c r="BF118" i="2"/>
  <c r="BF114" i="2"/>
  <c r="BF110" i="2"/>
  <c r="BF106" i="2"/>
  <c r="BF102" i="2"/>
  <c r="BF98" i="2"/>
  <c r="BF94" i="2"/>
  <c r="BF90" i="2"/>
  <c r="BF86" i="2"/>
  <c r="BF82" i="2"/>
  <c r="BF78" i="2"/>
  <c r="BF119" i="2"/>
  <c r="BF115" i="2"/>
  <c r="BF111" i="2"/>
  <c r="BF107" i="2"/>
  <c r="BF103" i="2"/>
  <c r="BF99" i="2"/>
  <c r="BF95" i="2"/>
  <c r="BF91" i="2"/>
  <c r="BF87" i="2"/>
  <c r="BF83" i="2"/>
  <c r="BF79" i="2"/>
  <c r="BF121" i="2"/>
  <c r="BF120" i="2"/>
  <c r="BF116" i="2"/>
  <c r="BF112" i="2"/>
  <c r="BF108" i="2"/>
  <c r="BF104" i="2"/>
  <c r="BF100" i="2"/>
  <c r="BF96" i="2"/>
  <c r="BF92" i="2"/>
  <c r="BF88" i="2"/>
  <c r="BF84" i="2"/>
  <c r="BF80" i="2"/>
  <c r="BF117" i="2"/>
  <c r="BF113" i="2"/>
  <c r="BF109" i="2"/>
  <c r="BF105" i="2"/>
  <c r="BF101" i="2"/>
  <c r="BF97" i="2"/>
  <c r="BF93" i="2"/>
  <c r="BF89" i="2"/>
  <c r="BF85" i="2"/>
  <c r="BF81" i="2"/>
  <c r="BF74" i="2"/>
  <c r="BF70" i="2"/>
  <c r="BF66" i="2"/>
  <c r="BF62" i="2"/>
  <c r="BF58" i="2"/>
  <c r="BF54" i="2"/>
  <c r="BF50" i="2"/>
  <c r="BF46" i="2"/>
  <c r="BF42" i="2"/>
  <c r="BF38" i="2"/>
  <c r="BF34" i="2"/>
  <c r="BF75" i="2"/>
  <c r="BF71" i="2"/>
  <c r="BF67" i="2"/>
  <c r="BF63" i="2"/>
  <c r="BF59" i="2"/>
  <c r="BF55" i="2"/>
  <c r="BF51" i="2"/>
  <c r="BF47" i="2"/>
  <c r="BF43" i="2"/>
  <c r="BF39" i="2"/>
  <c r="BF35" i="2"/>
  <c r="BF31" i="2"/>
  <c r="BF76" i="2"/>
  <c r="BF72" i="2"/>
  <c r="BF68" i="2"/>
  <c r="BF64" i="2"/>
  <c r="BF60" i="2"/>
  <c r="BF56" i="2"/>
  <c r="BF52" i="2"/>
  <c r="BF48" i="2"/>
  <c r="BF44" i="2"/>
  <c r="BF40" i="2"/>
  <c r="BF36" i="2"/>
  <c r="BF77" i="2"/>
  <c r="BF73" i="2"/>
  <c r="BF69" i="2"/>
  <c r="BF65" i="2"/>
  <c r="BF61" i="2"/>
  <c r="BF57" i="2"/>
  <c r="BF53" i="2"/>
  <c r="BF49" i="2"/>
  <c r="BF45" i="2"/>
  <c r="BF41" i="2"/>
  <c r="BF37" i="2"/>
  <c r="BF33" i="2"/>
  <c r="BJ251" i="2"/>
  <c r="BJ247" i="2"/>
  <c r="BJ243" i="2"/>
  <c r="BJ239" i="2"/>
  <c r="BJ235" i="2"/>
  <c r="BJ252" i="2"/>
  <c r="BJ248" i="2"/>
  <c r="BJ244" i="2"/>
  <c r="BJ240" i="2"/>
  <c r="BJ236" i="2"/>
  <c r="BJ232" i="2"/>
  <c r="BJ249" i="2"/>
  <c r="BJ245" i="2"/>
  <c r="BJ241" i="2"/>
  <c r="BJ237" i="2"/>
  <c r="BJ233" i="2"/>
  <c r="BJ250" i="2"/>
  <c r="BJ246" i="2"/>
  <c r="BJ242" i="2"/>
  <c r="BJ238" i="2"/>
  <c r="BJ234" i="2"/>
  <c r="BJ230" i="2"/>
  <c r="BJ226" i="2"/>
  <c r="BJ222" i="2"/>
  <c r="BJ218" i="2"/>
  <c r="BJ214" i="2"/>
  <c r="BJ210" i="2"/>
  <c r="BJ231" i="2"/>
  <c r="BJ227" i="2"/>
  <c r="BJ223" i="2"/>
  <c r="BJ219" i="2"/>
  <c r="BJ215" i="2"/>
  <c r="BJ228" i="2"/>
  <c r="BJ224" i="2"/>
  <c r="BJ220" i="2"/>
  <c r="BJ216" i="2"/>
  <c r="BJ212" i="2"/>
  <c r="BJ229" i="2"/>
  <c r="BJ225" i="2"/>
  <c r="BJ221" i="2"/>
  <c r="BJ217" i="2"/>
  <c r="BJ213" i="2"/>
  <c r="BJ211" i="2"/>
  <c r="BJ209" i="2"/>
  <c r="BJ205" i="2"/>
  <c r="BJ201" i="2"/>
  <c r="BJ197" i="2"/>
  <c r="BJ193" i="2"/>
  <c r="BJ206" i="2"/>
  <c r="BJ202" i="2"/>
  <c r="BJ198" i="2"/>
  <c r="BJ194" i="2"/>
  <c r="BJ190" i="2"/>
  <c r="BJ207" i="2"/>
  <c r="BJ203" i="2"/>
  <c r="BJ199" i="2"/>
  <c r="BJ195" i="2"/>
  <c r="BJ191" i="2"/>
  <c r="BJ208" i="2"/>
  <c r="BJ204" i="2"/>
  <c r="BJ200" i="2"/>
  <c r="BJ196" i="2"/>
  <c r="BJ192" i="2"/>
  <c r="BJ189" i="2"/>
  <c r="BJ188" i="2"/>
  <c r="BJ184" i="2"/>
  <c r="BJ180" i="2"/>
  <c r="BJ176" i="2"/>
  <c r="BJ172" i="2"/>
  <c r="BJ168" i="2"/>
  <c r="BJ164" i="2"/>
  <c r="BJ185" i="2"/>
  <c r="BJ181" i="2"/>
  <c r="BJ177" i="2"/>
  <c r="BJ173" i="2"/>
  <c r="BJ169" i="2"/>
  <c r="BJ165" i="2"/>
  <c r="BJ186" i="2"/>
  <c r="BJ182" i="2"/>
  <c r="BJ178" i="2"/>
  <c r="BJ174" i="2"/>
  <c r="BJ170" i="2"/>
  <c r="BJ187" i="2"/>
  <c r="BJ183" i="2"/>
  <c r="BJ179" i="2"/>
  <c r="BJ175" i="2"/>
  <c r="BJ171" i="2"/>
  <c r="BJ167" i="2"/>
  <c r="BJ161" i="2"/>
  <c r="BJ157" i="2"/>
  <c r="BJ153" i="2"/>
  <c r="BJ149" i="2"/>
  <c r="BJ145" i="2"/>
  <c r="BJ141" i="2"/>
  <c r="BJ137" i="2"/>
  <c r="BJ133" i="2"/>
  <c r="BJ129" i="2"/>
  <c r="BJ125" i="2"/>
  <c r="BJ162" i="2"/>
  <c r="BJ158" i="2"/>
  <c r="BJ154" i="2"/>
  <c r="BJ150" i="2"/>
  <c r="BJ146" i="2"/>
  <c r="BJ142" i="2"/>
  <c r="BJ138" i="2"/>
  <c r="BJ134" i="2"/>
  <c r="BJ130" i="2"/>
  <c r="BJ126" i="2"/>
  <c r="BJ122" i="2"/>
  <c r="BJ166" i="2"/>
  <c r="BJ163" i="2"/>
  <c r="BJ159" i="2"/>
  <c r="BJ155" i="2"/>
  <c r="BJ151" i="2"/>
  <c r="BJ147" i="2"/>
  <c r="BJ143" i="2"/>
  <c r="BJ139" i="2"/>
  <c r="BJ135" i="2"/>
  <c r="BJ131" i="2"/>
  <c r="BJ127" i="2"/>
  <c r="BJ123" i="2"/>
  <c r="BJ160" i="2"/>
  <c r="BJ156" i="2"/>
  <c r="BJ152" i="2"/>
  <c r="BJ148" i="2"/>
  <c r="BJ144" i="2"/>
  <c r="BJ140" i="2"/>
  <c r="BJ136" i="2"/>
  <c r="BJ132" i="2"/>
  <c r="BJ128" i="2"/>
  <c r="BJ124" i="2"/>
  <c r="BJ118" i="2"/>
  <c r="BJ114" i="2"/>
  <c r="BJ110" i="2"/>
  <c r="BJ106" i="2"/>
  <c r="BJ102" i="2"/>
  <c r="BJ98" i="2"/>
  <c r="BJ94" i="2"/>
  <c r="BJ90" i="2"/>
  <c r="BJ86" i="2"/>
  <c r="BJ82" i="2"/>
  <c r="BJ78" i="2"/>
  <c r="BJ119" i="2"/>
  <c r="BJ115" i="2"/>
  <c r="BJ111" i="2"/>
  <c r="BJ107" i="2"/>
  <c r="BJ103" i="2"/>
  <c r="BJ99" i="2"/>
  <c r="BJ95" i="2"/>
  <c r="BJ91" i="2"/>
  <c r="BJ87" i="2"/>
  <c r="BJ83" i="2"/>
  <c r="BJ79" i="2"/>
  <c r="BJ120" i="2"/>
  <c r="BJ116" i="2"/>
  <c r="BJ112" i="2"/>
  <c r="BJ108" i="2"/>
  <c r="BJ104" i="2"/>
  <c r="BJ100" i="2"/>
  <c r="BJ96" i="2"/>
  <c r="BJ92" i="2"/>
  <c r="BJ88" i="2"/>
  <c r="BJ84" i="2"/>
  <c r="BJ80" i="2"/>
  <c r="BJ121" i="2"/>
  <c r="BJ117" i="2"/>
  <c r="BJ113" i="2"/>
  <c r="BJ109" i="2"/>
  <c r="BJ105" i="2"/>
  <c r="BJ101" i="2"/>
  <c r="BJ97" i="2"/>
  <c r="BJ93" i="2"/>
  <c r="BJ89" i="2"/>
  <c r="BJ85" i="2"/>
  <c r="BJ81" i="2"/>
  <c r="BJ74" i="2"/>
  <c r="BJ70" i="2"/>
  <c r="BJ66" i="2"/>
  <c r="BJ62" i="2"/>
  <c r="BJ58" i="2"/>
  <c r="BJ54" i="2"/>
  <c r="BJ50" i="2"/>
  <c r="BJ46" i="2"/>
  <c r="BJ42" i="2"/>
  <c r="BJ38" i="2"/>
  <c r="BJ34" i="2"/>
  <c r="BJ77" i="2"/>
  <c r="BJ75" i="2"/>
  <c r="BJ71" i="2"/>
  <c r="BJ67" i="2"/>
  <c r="BJ63" i="2"/>
  <c r="BJ59" i="2"/>
  <c r="BJ55" i="2"/>
  <c r="BJ51" i="2"/>
  <c r="BJ47" i="2"/>
  <c r="BJ43" i="2"/>
  <c r="BJ39" i="2"/>
  <c r="BJ35" i="2"/>
  <c r="BJ31" i="2"/>
  <c r="BJ76" i="2"/>
  <c r="BJ72" i="2"/>
  <c r="BJ68" i="2"/>
  <c r="BJ64" i="2"/>
  <c r="BJ60" i="2"/>
  <c r="BJ56" i="2"/>
  <c r="BJ52" i="2"/>
  <c r="BJ48" i="2"/>
  <c r="BJ44" i="2"/>
  <c r="BJ40" i="2"/>
  <c r="BJ36" i="2"/>
  <c r="BJ73" i="2"/>
  <c r="BJ69" i="2"/>
  <c r="BJ65" i="2"/>
  <c r="BJ61" i="2"/>
  <c r="BJ57" i="2"/>
  <c r="BJ53" i="2"/>
  <c r="BJ49" i="2"/>
  <c r="BJ45" i="2"/>
  <c r="BJ41" i="2"/>
  <c r="BJ37" i="2"/>
  <c r="BJ33" i="2"/>
  <c r="BN251" i="2"/>
  <c r="BN247" i="2"/>
  <c r="BN243" i="2"/>
  <c r="BN239" i="2"/>
  <c r="BN235" i="2"/>
  <c r="BN252" i="2"/>
  <c r="BN248" i="2"/>
  <c r="BN244" i="2"/>
  <c r="BN240" i="2"/>
  <c r="BN236" i="2"/>
  <c r="BN232" i="2"/>
  <c r="BN249" i="2"/>
  <c r="BN245" i="2"/>
  <c r="BN241" i="2"/>
  <c r="BN237" i="2"/>
  <c r="BN233" i="2"/>
  <c r="BN250" i="2"/>
  <c r="BN246" i="2"/>
  <c r="BN242" i="2"/>
  <c r="BN238" i="2"/>
  <c r="BN234" i="2"/>
  <c r="BN226" i="2"/>
  <c r="BN222" i="2"/>
  <c r="BN218" i="2"/>
  <c r="BN214" i="2"/>
  <c r="BN210" i="2"/>
  <c r="BN230" i="2"/>
  <c r="BN227" i="2"/>
  <c r="BN223" i="2"/>
  <c r="BN219" i="2"/>
  <c r="BN215" i="2"/>
  <c r="BN231" i="2"/>
  <c r="BN228" i="2"/>
  <c r="BN224" i="2"/>
  <c r="BN220" i="2"/>
  <c r="BN216" i="2"/>
  <c r="BN212" i="2"/>
  <c r="BN229" i="2"/>
  <c r="BN225" i="2"/>
  <c r="BN221" i="2"/>
  <c r="BN217" i="2"/>
  <c r="BN209" i="2"/>
  <c r="BN205" i="2"/>
  <c r="BN201" i="2"/>
  <c r="BN197" i="2"/>
  <c r="BN193" i="2"/>
  <c r="BN189" i="2"/>
  <c r="BN211" i="2"/>
  <c r="BN206" i="2"/>
  <c r="BN202" i="2"/>
  <c r="BN198" i="2"/>
  <c r="BN194" i="2"/>
  <c r="BN190" i="2"/>
  <c r="BN207" i="2"/>
  <c r="BN203" i="2"/>
  <c r="BN199" i="2"/>
  <c r="BN195" i="2"/>
  <c r="BN191" i="2"/>
  <c r="BN213" i="2"/>
  <c r="BN208" i="2"/>
  <c r="BN204" i="2"/>
  <c r="BN200" i="2"/>
  <c r="BN196" i="2"/>
  <c r="BN192" i="2"/>
  <c r="BN188" i="2"/>
  <c r="BN184" i="2"/>
  <c r="BN180" i="2"/>
  <c r="BN176" i="2"/>
  <c r="BN172" i="2"/>
  <c r="BN168" i="2"/>
  <c r="BN164" i="2"/>
  <c r="BN185" i="2"/>
  <c r="BN181" i="2"/>
  <c r="BN177" i="2"/>
  <c r="BN173" i="2"/>
  <c r="BN169" i="2"/>
  <c r="BN165" i="2"/>
  <c r="BN186" i="2"/>
  <c r="BN182" i="2"/>
  <c r="BN178" i="2"/>
  <c r="BN174" i="2"/>
  <c r="BN170" i="2"/>
  <c r="BN187" i="2"/>
  <c r="BN183" i="2"/>
  <c r="BN179" i="2"/>
  <c r="BN175" i="2"/>
  <c r="BN171" i="2"/>
  <c r="BN167" i="2"/>
  <c r="BN166" i="2"/>
  <c r="BN161" i="2"/>
  <c r="BN157" i="2"/>
  <c r="BN153" i="2"/>
  <c r="BN149" i="2"/>
  <c r="BN145" i="2"/>
  <c r="BN141" i="2"/>
  <c r="BN137" i="2"/>
  <c r="BN133" i="2"/>
  <c r="BN129" i="2"/>
  <c r="BN125" i="2"/>
  <c r="BN162" i="2"/>
  <c r="BN158" i="2"/>
  <c r="BN154" i="2"/>
  <c r="BN150" i="2"/>
  <c r="BN146" i="2"/>
  <c r="BN142" i="2"/>
  <c r="BN138" i="2"/>
  <c r="BN134" i="2"/>
  <c r="BN130" i="2"/>
  <c r="BN126" i="2"/>
  <c r="BN122" i="2"/>
  <c r="BN163" i="2"/>
  <c r="BN159" i="2"/>
  <c r="BN155" i="2"/>
  <c r="BN151" i="2"/>
  <c r="BN147" i="2"/>
  <c r="BN143" i="2"/>
  <c r="BN139" i="2"/>
  <c r="BN135" i="2"/>
  <c r="BN131" i="2"/>
  <c r="BN127" i="2"/>
  <c r="BN123" i="2"/>
  <c r="BN160" i="2"/>
  <c r="BN156" i="2"/>
  <c r="BN152" i="2"/>
  <c r="BN148" i="2"/>
  <c r="BN144" i="2"/>
  <c r="BN140" i="2"/>
  <c r="BN136" i="2"/>
  <c r="BN132" i="2"/>
  <c r="BN128" i="2"/>
  <c r="BN124" i="2"/>
  <c r="BN121" i="2"/>
  <c r="BN118" i="2"/>
  <c r="BN114" i="2"/>
  <c r="BN110" i="2"/>
  <c r="BN106" i="2"/>
  <c r="BN102" i="2"/>
  <c r="BN98" i="2"/>
  <c r="BN94" i="2"/>
  <c r="BN90" i="2"/>
  <c r="BN86" i="2"/>
  <c r="BN82" i="2"/>
  <c r="BN78" i="2"/>
  <c r="BN119" i="2"/>
  <c r="BN115" i="2"/>
  <c r="BN111" i="2"/>
  <c r="BN107" i="2"/>
  <c r="BN103" i="2"/>
  <c r="BN99" i="2"/>
  <c r="BN95" i="2"/>
  <c r="BN91" i="2"/>
  <c r="BN87" i="2"/>
  <c r="BN83" i="2"/>
  <c r="BN79" i="2"/>
  <c r="BN116" i="2"/>
  <c r="BN112" i="2"/>
  <c r="BN108" i="2"/>
  <c r="BN104" i="2"/>
  <c r="BN100" i="2"/>
  <c r="BN96" i="2"/>
  <c r="BN92" i="2"/>
  <c r="BN88" i="2"/>
  <c r="BN84" i="2"/>
  <c r="BN80" i="2"/>
  <c r="BN120" i="2"/>
  <c r="BN117" i="2"/>
  <c r="BN113" i="2"/>
  <c r="BN109" i="2"/>
  <c r="BN105" i="2"/>
  <c r="BN101" i="2"/>
  <c r="BN97" i="2"/>
  <c r="BN93" i="2"/>
  <c r="BN89" i="2"/>
  <c r="BN85" i="2"/>
  <c r="BN81" i="2"/>
  <c r="BN74" i="2"/>
  <c r="BN70" i="2"/>
  <c r="BN66" i="2"/>
  <c r="BN62" i="2"/>
  <c r="BN58" i="2"/>
  <c r="BN54" i="2"/>
  <c r="BN50" i="2"/>
  <c r="BN46" i="2"/>
  <c r="BN42" i="2"/>
  <c r="BN38" i="2"/>
  <c r="BN34" i="2"/>
  <c r="BN30" i="2"/>
  <c r="BN75" i="2"/>
  <c r="BN71" i="2"/>
  <c r="BN67" i="2"/>
  <c r="BN63" i="2"/>
  <c r="BN59" i="2"/>
  <c r="BN55" i="2"/>
  <c r="BN51" i="2"/>
  <c r="BN47" i="2"/>
  <c r="BN43" i="2"/>
  <c r="BN39" i="2"/>
  <c r="BN35" i="2"/>
  <c r="BN31" i="2"/>
  <c r="BN76" i="2"/>
  <c r="BN72" i="2"/>
  <c r="BN68" i="2"/>
  <c r="BN64" i="2"/>
  <c r="BN60" i="2"/>
  <c r="BN56" i="2"/>
  <c r="BN52" i="2"/>
  <c r="BN48" i="2"/>
  <c r="BN44" i="2"/>
  <c r="BN40" i="2"/>
  <c r="BN36" i="2"/>
  <c r="BN32" i="2"/>
  <c r="BN77" i="2"/>
  <c r="BN73" i="2"/>
  <c r="BN69" i="2"/>
  <c r="BN65" i="2"/>
  <c r="BN61" i="2"/>
  <c r="BN57" i="2"/>
  <c r="BN53" i="2"/>
  <c r="BN49" i="2"/>
  <c r="BN45" i="2"/>
  <c r="BN41" i="2"/>
  <c r="BN37" i="2"/>
  <c r="BN33" i="2"/>
  <c r="BR251" i="2"/>
  <c r="BR247" i="2"/>
  <c r="BR243" i="2"/>
  <c r="BR239" i="2"/>
  <c r="BR235" i="2"/>
  <c r="BR252" i="2"/>
  <c r="BR248" i="2"/>
  <c r="BR244" i="2"/>
  <c r="BR240" i="2"/>
  <c r="BR236" i="2"/>
  <c r="BR232" i="2"/>
  <c r="BR249" i="2"/>
  <c r="BR245" i="2"/>
  <c r="BR241" i="2"/>
  <c r="BR237" i="2"/>
  <c r="BR233" i="2"/>
  <c r="BR250" i="2"/>
  <c r="BR246" i="2"/>
  <c r="BR242" i="2"/>
  <c r="BR238" i="2"/>
  <c r="BR234" i="2"/>
  <c r="BR226" i="2"/>
  <c r="BR222" i="2"/>
  <c r="BR218" i="2"/>
  <c r="BR214" i="2"/>
  <c r="BR210" i="2"/>
  <c r="BR227" i="2"/>
  <c r="BR223" i="2"/>
  <c r="BR219" i="2"/>
  <c r="BR215" i="2"/>
  <c r="BR230" i="2"/>
  <c r="BR228" i="2"/>
  <c r="BR224" i="2"/>
  <c r="BR220" i="2"/>
  <c r="BR216" i="2"/>
  <c r="BR212" i="2"/>
  <c r="BR231" i="2"/>
  <c r="BR229" i="2"/>
  <c r="BR225" i="2"/>
  <c r="BR221" i="2"/>
  <c r="BR217" i="2"/>
  <c r="BR205" i="2"/>
  <c r="BR201" i="2"/>
  <c r="BR197" i="2"/>
  <c r="BR193" i="2"/>
  <c r="BR189" i="2"/>
  <c r="BR209" i="2"/>
  <c r="BR206" i="2"/>
  <c r="BR202" i="2"/>
  <c r="BR198" i="2"/>
  <c r="BR194" i="2"/>
  <c r="BR190" i="2"/>
  <c r="BR213" i="2"/>
  <c r="BR211" i="2"/>
  <c r="BR207" i="2"/>
  <c r="BR203" i="2"/>
  <c r="BR199" i="2"/>
  <c r="BR195" i="2"/>
  <c r="BR191" i="2"/>
  <c r="BR208" i="2"/>
  <c r="BR204" i="2"/>
  <c r="BR200" i="2"/>
  <c r="BR196" i="2"/>
  <c r="BR192" i="2"/>
  <c r="BR184" i="2"/>
  <c r="BR180" i="2"/>
  <c r="BR176" i="2"/>
  <c r="BR172" i="2"/>
  <c r="BR168" i="2"/>
  <c r="BR164" i="2"/>
  <c r="BR188" i="2"/>
  <c r="BR185" i="2"/>
  <c r="BR181" i="2"/>
  <c r="BR177" i="2"/>
  <c r="BR173" i="2"/>
  <c r="BR169" i="2"/>
  <c r="BR165" i="2"/>
  <c r="BR186" i="2"/>
  <c r="BR182" i="2"/>
  <c r="BR178" i="2"/>
  <c r="BR174" i="2"/>
  <c r="BR170" i="2"/>
  <c r="BR166" i="2"/>
  <c r="BR187" i="2"/>
  <c r="BR183" i="2"/>
  <c r="BR179" i="2"/>
  <c r="BR175" i="2"/>
  <c r="BR171" i="2"/>
  <c r="BR167" i="2"/>
  <c r="BR161" i="2"/>
  <c r="BR157" i="2"/>
  <c r="BR153" i="2"/>
  <c r="BR149" i="2"/>
  <c r="BR145" i="2"/>
  <c r="BR141" i="2"/>
  <c r="BR137" i="2"/>
  <c r="BR133" i="2"/>
  <c r="BR129" i="2"/>
  <c r="BR125" i="2"/>
  <c r="BR162" i="2"/>
  <c r="BR158" i="2"/>
  <c r="BR154" i="2"/>
  <c r="BR150" i="2"/>
  <c r="BR146" i="2"/>
  <c r="BR142" i="2"/>
  <c r="BR138" i="2"/>
  <c r="BR134" i="2"/>
  <c r="BR130" i="2"/>
  <c r="BR126" i="2"/>
  <c r="BR122" i="2"/>
  <c r="BR163" i="2"/>
  <c r="BR159" i="2"/>
  <c r="BR155" i="2"/>
  <c r="BR151" i="2"/>
  <c r="BR147" i="2"/>
  <c r="BR143" i="2"/>
  <c r="BR139" i="2"/>
  <c r="BR135" i="2"/>
  <c r="BR131" i="2"/>
  <c r="BR127" i="2"/>
  <c r="BR123" i="2"/>
  <c r="BR160" i="2"/>
  <c r="BR156" i="2"/>
  <c r="BR152" i="2"/>
  <c r="BR148" i="2"/>
  <c r="BR144" i="2"/>
  <c r="BR140" i="2"/>
  <c r="BR136" i="2"/>
  <c r="BR132" i="2"/>
  <c r="BR128" i="2"/>
  <c r="BR124" i="2"/>
  <c r="BR120" i="2"/>
  <c r="BR118" i="2"/>
  <c r="BR114" i="2"/>
  <c r="BR110" i="2"/>
  <c r="BR106" i="2"/>
  <c r="BR102" i="2"/>
  <c r="BR98" i="2"/>
  <c r="BR94" i="2"/>
  <c r="BR90" i="2"/>
  <c r="BR86" i="2"/>
  <c r="BR82" i="2"/>
  <c r="BR78" i="2"/>
  <c r="BR119" i="2"/>
  <c r="BR115" i="2"/>
  <c r="BR111" i="2"/>
  <c r="BR107" i="2"/>
  <c r="BR103" i="2"/>
  <c r="BR99" i="2"/>
  <c r="BR95" i="2"/>
  <c r="BR91" i="2"/>
  <c r="BR87" i="2"/>
  <c r="BR83" i="2"/>
  <c r="BR79" i="2"/>
  <c r="BR121" i="2"/>
  <c r="BR116" i="2"/>
  <c r="BR112" i="2"/>
  <c r="BR108" i="2"/>
  <c r="BR104" i="2"/>
  <c r="BR100" i="2"/>
  <c r="BR96" i="2"/>
  <c r="BR92" i="2"/>
  <c r="BR88" i="2"/>
  <c r="BR84" i="2"/>
  <c r="BR80" i="2"/>
  <c r="BR117" i="2"/>
  <c r="BR113" i="2"/>
  <c r="BR109" i="2"/>
  <c r="BR105" i="2"/>
  <c r="BR101" i="2"/>
  <c r="BR97" i="2"/>
  <c r="BR93" i="2"/>
  <c r="BR89" i="2"/>
  <c r="BR85" i="2"/>
  <c r="BR81" i="2"/>
  <c r="BR76" i="2"/>
  <c r="BR74" i="2"/>
  <c r="BR70" i="2"/>
  <c r="BR66" i="2"/>
  <c r="BR62" i="2"/>
  <c r="BR58" i="2"/>
  <c r="BR54" i="2"/>
  <c r="BR50" i="2"/>
  <c r="BR46" i="2"/>
  <c r="BR42" i="2"/>
  <c r="BR38" i="2"/>
  <c r="BR34" i="2"/>
  <c r="BR30" i="2"/>
  <c r="BR77" i="2"/>
  <c r="BR75" i="2"/>
  <c r="BR71" i="2"/>
  <c r="BR67" i="2"/>
  <c r="BR63" i="2"/>
  <c r="BR59" i="2"/>
  <c r="BR55" i="2"/>
  <c r="BR51" i="2"/>
  <c r="BR47" i="2"/>
  <c r="BR43" i="2"/>
  <c r="BR39" i="2"/>
  <c r="BR35" i="2"/>
  <c r="BR31" i="2"/>
  <c r="BR72" i="2"/>
  <c r="BR68" i="2"/>
  <c r="BR64" i="2"/>
  <c r="BR60" i="2"/>
  <c r="BR56" i="2"/>
  <c r="BR52" i="2"/>
  <c r="BR48" i="2"/>
  <c r="BR44" i="2"/>
  <c r="BR40" i="2"/>
  <c r="BR36" i="2"/>
  <c r="BR32" i="2"/>
  <c r="BR73" i="2"/>
  <c r="BR69" i="2"/>
  <c r="BR65" i="2"/>
  <c r="BR61" i="2"/>
  <c r="BR57" i="2"/>
  <c r="BR53" i="2"/>
  <c r="BR49" i="2"/>
  <c r="BR45" i="2"/>
  <c r="BR41" i="2"/>
  <c r="BR37" i="2"/>
  <c r="BR33" i="2"/>
  <c r="BG4" i="2"/>
  <c r="BK4" i="2"/>
  <c r="BO4" i="2"/>
  <c r="BS4" i="2"/>
  <c r="BH5" i="2"/>
  <c r="BL5" i="2"/>
  <c r="BP5" i="2"/>
  <c r="BE6" i="2"/>
  <c r="BI6" i="2"/>
  <c r="BM6" i="2"/>
  <c r="BQ6" i="2"/>
  <c r="BF7" i="2"/>
  <c r="BJ7" i="2"/>
  <c r="BN7" i="2"/>
  <c r="BR7" i="2"/>
  <c r="BG8" i="2"/>
  <c r="BK8" i="2"/>
  <c r="BO8" i="2"/>
  <c r="BS8" i="2"/>
  <c r="BH9" i="2"/>
  <c r="BL9" i="2"/>
  <c r="BP9" i="2"/>
  <c r="BE10" i="2"/>
  <c r="BI10" i="2"/>
  <c r="BM10" i="2"/>
  <c r="BQ10" i="2"/>
  <c r="BF11" i="2"/>
  <c r="BJ11" i="2"/>
  <c r="BN11" i="2"/>
  <c r="BR11" i="2"/>
  <c r="BG12" i="2"/>
  <c r="BK12" i="2"/>
  <c r="BO12" i="2"/>
  <c r="BS12" i="2"/>
  <c r="BH13" i="2"/>
  <c r="BL13" i="2"/>
  <c r="BP13" i="2"/>
  <c r="BE14" i="2"/>
  <c r="BI14" i="2"/>
  <c r="BM14" i="2"/>
  <c r="BQ14" i="2"/>
  <c r="BF15" i="2"/>
  <c r="BJ15" i="2"/>
  <c r="BN15" i="2"/>
  <c r="BR15" i="2"/>
  <c r="BG16" i="2"/>
  <c r="BK16" i="2"/>
  <c r="BO16" i="2"/>
  <c r="BS16" i="2"/>
  <c r="BH17" i="2"/>
  <c r="BL17" i="2"/>
  <c r="BP17" i="2"/>
  <c r="BE18" i="2"/>
  <c r="BI18" i="2"/>
  <c r="BM18" i="2"/>
  <c r="BQ18" i="2"/>
  <c r="BF19" i="2"/>
  <c r="BJ19" i="2"/>
  <c r="BN19" i="2"/>
  <c r="BR19" i="2"/>
  <c r="BG20" i="2"/>
  <c r="BK20" i="2"/>
  <c r="BO20" i="2"/>
  <c r="BS20" i="2"/>
  <c r="BH21" i="2"/>
  <c r="BL21" i="2"/>
  <c r="BP21" i="2"/>
  <c r="BE22" i="2"/>
  <c r="BI22" i="2"/>
  <c r="BM22" i="2"/>
  <c r="BQ22" i="2"/>
  <c r="BF23" i="2"/>
  <c r="BJ23" i="2"/>
  <c r="BN23" i="2"/>
  <c r="BR23" i="2"/>
  <c r="BG24" i="2"/>
  <c r="BK24" i="2"/>
  <c r="BO24" i="2"/>
  <c r="BS24" i="2"/>
  <c r="BH25" i="2"/>
  <c r="BL25" i="2"/>
  <c r="BP25" i="2"/>
  <c r="BE26" i="2"/>
  <c r="BI26" i="2"/>
  <c r="BM26" i="2"/>
  <c r="BQ26" i="2"/>
  <c r="BF27" i="2"/>
  <c r="BJ27" i="2"/>
  <c r="BN27" i="2"/>
  <c r="BR27" i="2"/>
  <c r="BO28" i="2"/>
  <c r="BH29" i="2"/>
  <c r="BL29" i="2"/>
  <c r="BP29" i="2"/>
  <c r="BE30" i="2"/>
  <c r="BI30" i="2"/>
  <c r="BH31" i="2"/>
  <c r="BP31" i="2"/>
  <c r="BI32" i="2"/>
  <c r="BG252" i="2"/>
  <c r="BG248" i="2"/>
  <c r="BG244" i="2"/>
  <c r="BG240" i="2"/>
  <c r="BG236" i="2"/>
  <c r="BG249" i="2"/>
  <c r="BG245" i="2"/>
  <c r="BG241" i="2"/>
  <c r="BG237" i="2"/>
  <c r="BG233" i="2"/>
  <c r="BG250" i="2"/>
  <c r="BG246" i="2"/>
  <c r="BG242" i="2"/>
  <c r="BG238" i="2"/>
  <c r="BG234" i="2"/>
  <c r="BG251" i="2"/>
  <c r="BG247" i="2"/>
  <c r="BG243" i="2"/>
  <c r="BG239" i="2"/>
  <c r="BG235" i="2"/>
  <c r="BG232" i="2"/>
  <c r="BG227" i="2"/>
  <c r="BG223" i="2"/>
  <c r="BG219" i="2"/>
  <c r="BG215" i="2"/>
  <c r="BG211" i="2"/>
  <c r="BG228" i="2"/>
  <c r="BG224" i="2"/>
  <c r="BG220" i="2"/>
  <c r="BG216" i="2"/>
  <c r="BG212" i="2"/>
  <c r="BG229" i="2"/>
  <c r="BG225" i="2"/>
  <c r="BG221" i="2"/>
  <c r="BG217" i="2"/>
  <c r="BG213" i="2"/>
  <c r="BG231" i="2"/>
  <c r="BG230" i="2"/>
  <c r="BG226" i="2"/>
  <c r="BG222" i="2"/>
  <c r="BG218" i="2"/>
  <c r="BG206" i="2"/>
  <c r="BG202" i="2"/>
  <c r="BG198" i="2"/>
  <c r="BG194" i="2"/>
  <c r="BG190" i="2"/>
  <c r="BG214" i="2"/>
  <c r="BG207" i="2"/>
  <c r="BG203" i="2"/>
  <c r="BG199" i="2"/>
  <c r="BG195" i="2"/>
  <c r="BG191" i="2"/>
  <c r="BG210" i="2"/>
  <c r="BG208" i="2"/>
  <c r="BG204" i="2"/>
  <c r="BG200" i="2"/>
  <c r="BG196" i="2"/>
  <c r="BG192" i="2"/>
  <c r="BG209" i="2"/>
  <c r="BG205" i="2"/>
  <c r="BG201" i="2"/>
  <c r="BG197" i="2"/>
  <c r="BG193" i="2"/>
  <c r="BG185" i="2"/>
  <c r="BG181" i="2"/>
  <c r="BG177" i="2"/>
  <c r="BG173" i="2"/>
  <c r="BG169" i="2"/>
  <c r="BG165" i="2"/>
  <c r="BG186" i="2"/>
  <c r="BG182" i="2"/>
  <c r="BG178" i="2"/>
  <c r="BG174" i="2"/>
  <c r="BG170" i="2"/>
  <c r="BG166" i="2"/>
  <c r="BG189" i="2"/>
  <c r="BG187" i="2"/>
  <c r="BG183" i="2"/>
  <c r="BG179" i="2"/>
  <c r="BG175" i="2"/>
  <c r="BG171" i="2"/>
  <c r="BG167" i="2"/>
  <c r="BG188" i="2"/>
  <c r="BG184" i="2"/>
  <c r="BG180" i="2"/>
  <c r="BG176" i="2"/>
  <c r="BG172" i="2"/>
  <c r="BG168" i="2"/>
  <c r="BG162" i="2"/>
  <c r="BG158" i="2"/>
  <c r="BG154" i="2"/>
  <c r="BG150" i="2"/>
  <c r="BG146" i="2"/>
  <c r="BG142" i="2"/>
  <c r="BG138" i="2"/>
  <c r="BG134" i="2"/>
  <c r="BG130" i="2"/>
  <c r="BG126" i="2"/>
  <c r="BG163" i="2"/>
  <c r="BG159" i="2"/>
  <c r="BG155" i="2"/>
  <c r="BG151" i="2"/>
  <c r="BG147" i="2"/>
  <c r="BG143" i="2"/>
  <c r="BG139" i="2"/>
  <c r="BG135" i="2"/>
  <c r="BG131" i="2"/>
  <c r="BG127" i="2"/>
  <c r="BG123" i="2"/>
  <c r="BG160" i="2"/>
  <c r="BG156" i="2"/>
  <c r="BG152" i="2"/>
  <c r="BG148" i="2"/>
  <c r="BG144" i="2"/>
  <c r="BG140" i="2"/>
  <c r="BG136" i="2"/>
  <c r="BG132" i="2"/>
  <c r="BG128" i="2"/>
  <c r="BG124" i="2"/>
  <c r="BG164" i="2"/>
  <c r="BG161" i="2"/>
  <c r="BG157" i="2"/>
  <c r="BG153" i="2"/>
  <c r="BG149" i="2"/>
  <c r="BG145" i="2"/>
  <c r="BG141" i="2"/>
  <c r="BG137" i="2"/>
  <c r="BG133" i="2"/>
  <c r="BG129" i="2"/>
  <c r="BG125" i="2"/>
  <c r="BG122" i="2"/>
  <c r="BG119" i="2"/>
  <c r="BG115" i="2"/>
  <c r="BG111" i="2"/>
  <c r="BG107" i="2"/>
  <c r="BG103" i="2"/>
  <c r="BG99" i="2"/>
  <c r="BG95" i="2"/>
  <c r="BG91" i="2"/>
  <c r="BG87" i="2"/>
  <c r="BG83" i="2"/>
  <c r="BG79" i="2"/>
  <c r="BG121" i="2"/>
  <c r="BG120" i="2"/>
  <c r="BG116" i="2"/>
  <c r="BG112" i="2"/>
  <c r="BG108" i="2"/>
  <c r="BG104" i="2"/>
  <c r="BG100" i="2"/>
  <c r="BG96" i="2"/>
  <c r="BG92" i="2"/>
  <c r="BG88" i="2"/>
  <c r="BG84" i="2"/>
  <c r="BG80" i="2"/>
  <c r="BG117" i="2"/>
  <c r="BG113" i="2"/>
  <c r="BG109" i="2"/>
  <c r="BG105" i="2"/>
  <c r="BG101" i="2"/>
  <c r="BG97" i="2"/>
  <c r="BG93" i="2"/>
  <c r="BG89" i="2"/>
  <c r="BG85" i="2"/>
  <c r="BG81" i="2"/>
  <c r="BG118" i="2"/>
  <c r="BG114" i="2"/>
  <c r="BG110" i="2"/>
  <c r="BG106" i="2"/>
  <c r="BG102" i="2"/>
  <c r="BG98" i="2"/>
  <c r="BG94" i="2"/>
  <c r="BG90" i="2"/>
  <c r="BG86" i="2"/>
  <c r="BG82" i="2"/>
  <c r="BG75" i="2"/>
  <c r="BG71" i="2"/>
  <c r="BG67" i="2"/>
  <c r="BG63" i="2"/>
  <c r="BG59" i="2"/>
  <c r="BG55" i="2"/>
  <c r="BG51" i="2"/>
  <c r="BG47" i="2"/>
  <c r="BG43" i="2"/>
  <c r="BG39" i="2"/>
  <c r="BG35" i="2"/>
  <c r="BG31" i="2"/>
  <c r="BG76" i="2"/>
  <c r="BG72" i="2"/>
  <c r="BG68" i="2"/>
  <c r="BG64" i="2"/>
  <c r="BG60" i="2"/>
  <c r="BG56" i="2"/>
  <c r="BG52" i="2"/>
  <c r="BG48" i="2"/>
  <c r="BG44" i="2"/>
  <c r="BG40" i="2"/>
  <c r="BG36" i="2"/>
  <c r="BG32" i="2"/>
  <c r="BG77" i="2"/>
  <c r="BG73" i="2"/>
  <c r="BG69" i="2"/>
  <c r="BG65" i="2"/>
  <c r="BG61" i="2"/>
  <c r="BG57" i="2"/>
  <c r="BG53" i="2"/>
  <c r="BG49" i="2"/>
  <c r="BG45" i="2"/>
  <c r="BG41" i="2"/>
  <c r="BG37" i="2"/>
  <c r="BG33" i="2"/>
  <c r="BG78" i="2"/>
  <c r="BG74" i="2"/>
  <c r="BG70" i="2"/>
  <c r="BG66" i="2"/>
  <c r="BG62" i="2"/>
  <c r="BG58" i="2"/>
  <c r="BG54" i="2"/>
  <c r="BG50" i="2"/>
  <c r="BG46" i="2"/>
  <c r="BG42" i="2"/>
  <c r="BG38" i="2"/>
  <c r="BG34" i="2"/>
  <c r="BK252" i="2"/>
  <c r="BK248" i="2"/>
  <c r="BK244" i="2"/>
  <c r="BK240" i="2"/>
  <c r="BK236" i="2"/>
  <c r="BK249" i="2"/>
  <c r="BK245" i="2"/>
  <c r="BK241" i="2"/>
  <c r="BK237" i="2"/>
  <c r="BK233" i="2"/>
  <c r="BK250" i="2"/>
  <c r="BK246" i="2"/>
  <c r="BK242" i="2"/>
  <c r="BK238" i="2"/>
  <c r="BK234" i="2"/>
  <c r="BK251" i="2"/>
  <c r="BK247" i="2"/>
  <c r="BK243" i="2"/>
  <c r="BK239" i="2"/>
  <c r="BK235" i="2"/>
  <c r="BK231" i="2"/>
  <c r="BK227" i="2"/>
  <c r="BK223" i="2"/>
  <c r="BK219" i="2"/>
  <c r="BK215" i="2"/>
  <c r="BK211" i="2"/>
  <c r="BK232" i="2"/>
  <c r="BK228" i="2"/>
  <c r="BK224" i="2"/>
  <c r="BK220" i="2"/>
  <c r="BK216" i="2"/>
  <c r="BK212" i="2"/>
  <c r="BK229" i="2"/>
  <c r="BK225" i="2"/>
  <c r="BK221" i="2"/>
  <c r="BK217" i="2"/>
  <c r="BK213" i="2"/>
  <c r="BK230" i="2"/>
  <c r="BK226" i="2"/>
  <c r="BK222" i="2"/>
  <c r="BK218" i="2"/>
  <c r="BK214" i="2"/>
  <c r="BK206" i="2"/>
  <c r="BK202" i="2"/>
  <c r="BK198" i="2"/>
  <c r="BK194" i="2"/>
  <c r="BK190" i="2"/>
  <c r="BK207" i="2"/>
  <c r="BK203" i="2"/>
  <c r="BK199" i="2"/>
  <c r="BK195" i="2"/>
  <c r="BK191" i="2"/>
  <c r="BK208" i="2"/>
  <c r="BK204" i="2"/>
  <c r="BK200" i="2"/>
  <c r="BK196" i="2"/>
  <c r="BK192" i="2"/>
  <c r="BK210" i="2"/>
  <c r="BK209" i="2"/>
  <c r="BK205" i="2"/>
  <c r="BK201" i="2"/>
  <c r="BK197" i="2"/>
  <c r="BK193" i="2"/>
  <c r="BK185" i="2"/>
  <c r="BK181" i="2"/>
  <c r="BK177" i="2"/>
  <c r="BK173" i="2"/>
  <c r="BK169" i="2"/>
  <c r="BK165" i="2"/>
  <c r="BK186" i="2"/>
  <c r="BK182" i="2"/>
  <c r="BK178" i="2"/>
  <c r="BK174" i="2"/>
  <c r="BK170" i="2"/>
  <c r="BK166" i="2"/>
  <c r="BK187" i="2"/>
  <c r="BK183" i="2"/>
  <c r="BK179" i="2"/>
  <c r="BK175" i="2"/>
  <c r="BK171" i="2"/>
  <c r="BK167" i="2"/>
  <c r="BK189" i="2"/>
  <c r="BK188" i="2"/>
  <c r="BK184" i="2"/>
  <c r="BK180" i="2"/>
  <c r="BK176" i="2"/>
  <c r="BK172" i="2"/>
  <c r="BK168" i="2"/>
  <c r="BK164" i="2"/>
  <c r="BK162" i="2"/>
  <c r="BK158" i="2"/>
  <c r="BK154" i="2"/>
  <c r="BK150" i="2"/>
  <c r="BK146" i="2"/>
  <c r="BK142" i="2"/>
  <c r="BK138" i="2"/>
  <c r="BK134" i="2"/>
  <c r="BK130" i="2"/>
  <c r="BK126" i="2"/>
  <c r="BK163" i="2"/>
  <c r="BK159" i="2"/>
  <c r="BK155" i="2"/>
  <c r="BK151" i="2"/>
  <c r="BK147" i="2"/>
  <c r="BK143" i="2"/>
  <c r="BK139" i="2"/>
  <c r="BK135" i="2"/>
  <c r="BK131" i="2"/>
  <c r="BK127" i="2"/>
  <c r="BK123" i="2"/>
  <c r="BK160" i="2"/>
  <c r="BK156" i="2"/>
  <c r="BK152" i="2"/>
  <c r="BK148" i="2"/>
  <c r="BK144" i="2"/>
  <c r="BK140" i="2"/>
  <c r="BK136" i="2"/>
  <c r="BK132" i="2"/>
  <c r="BK128" i="2"/>
  <c r="BK124" i="2"/>
  <c r="BK161" i="2"/>
  <c r="BK157" i="2"/>
  <c r="BK153" i="2"/>
  <c r="BK149" i="2"/>
  <c r="BK145" i="2"/>
  <c r="BK141" i="2"/>
  <c r="BK137" i="2"/>
  <c r="BK133" i="2"/>
  <c r="BK129" i="2"/>
  <c r="BK125" i="2"/>
  <c r="BK119" i="2"/>
  <c r="BK115" i="2"/>
  <c r="BK111" i="2"/>
  <c r="BK107" i="2"/>
  <c r="BK103" i="2"/>
  <c r="BK99" i="2"/>
  <c r="BK95" i="2"/>
  <c r="BK91" i="2"/>
  <c r="BK87" i="2"/>
  <c r="BK83" i="2"/>
  <c r="BK79" i="2"/>
  <c r="BK120" i="2"/>
  <c r="BK116" i="2"/>
  <c r="BK112" i="2"/>
  <c r="BK108" i="2"/>
  <c r="BK104" i="2"/>
  <c r="BK100" i="2"/>
  <c r="BK96" i="2"/>
  <c r="BK92" i="2"/>
  <c r="BK88" i="2"/>
  <c r="BK84" i="2"/>
  <c r="BK80" i="2"/>
  <c r="BK122" i="2"/>
  <c r="BK121" i="2"/>
  <c r="BK117" i="2"/>
  <c r="BK113" i="2"/>
  <c r="BK109" i="2"/>
  <c r="BK105" i="2"/>
  <c r="BK101" i="2"/>
  <c r="BK97" i="2"/>
  <c r="BK93" i="2"/>
  <c r="BK89" i="2"/>
  <c r="BK85" i="2"/>
  <c r="BK81" i="2"/>
  <c r="BK118" i="2"/>
  <c r="BK114" i="2"/>
  <c r="BK110" i="2"/>
  <c r="BK106" i="2"/>
  <c r="BK102" i="2"/>
  <c r="BK98" i="2"/>
  <c r="BK94" i="2"/>
  <c r="BK90" i="2"/>
  <c r="BK86" i="2"/>
  <c r="BK82" i="2"/>
  <c r="BK77" i="2"/>
  <c r="BK75" i="2"/>
  <c r="BK71" i="2"/>
  <c r="BK67" i="2"/>
  <c r="BK63" i="2"/>
  <c r="BK59" i="2"/>
  <c r="BK55" i="2"/>
  <c r="BK51" i="2"/>
  <c r="BK47" i="2"/>
  <c r="BK43" i="2"/>
  <c r="BK39" i="2"/>
  <c r="BK35" i="2"/>
  <c r="BK31" i="2"/>
  <c r="BK78" i="2"/>
  <c r="BK76" i="2"/>
  <c r="BK72" i="2"/>
  <c r="BK68" i="2"/>
  <c r="BK64" i="2"/>
  <c r="BK60" i="2"/>
  <c r="BK56" i="2"/>
  <c r="BK52" i="2"/>
  <c r="BK48" i="2"/>
  <c r="BK44" i="2"/>
  <c r="BK40" i="2"/>
  <c r="BK36" i="2"/>
  <c r="BK32" i="2"/>
  <c r="BK73" i="2"/>
  <c r="BK69" i="2"/>
  <c r="BK65" i="2"/>
  <c r="BK61" i="2"/>
  <c r="BK57" i="2"/>
  <c r="BK53" i="2"/>
  <c r="BK49" i="2"/>
  <c r="BK45" i="2"/>
  <c r="BK41" i="2"/>
  <c r="BK37" i="2"/>
  <c r="BK33" i="2"/>
  <c r="BK74" i="2"/>
  <c r="BK70" i="2"/>
  <c r="BK66" i="2"/>
  <c r="BK62" i="2"/>
  <c r="BK58" i="2"/>
  <c r="BK54" i="2"/>
  <c r="BK50" i="2"/>
  <c r="BK46" i="2"/>
  <c r="BK42" i="2"/>
  <c r="BK38" i="2"/>
  <c r="BK34" i="2"/>
  <c r="BO252" i="2"/>
  <c r="BO248" i="2"/>
  <c r="BO244" i="2"/>
  <c r="BO240" i="2"/>
  <c r="BO236" i="2"/>
  <c r="BO232" i="2"/>
  <c r="BO249" i="2"/>
  <c r="BO245" i="2"/>
  <c r="BO241" i="2"/>
  <c r="BO237" i="2"/>
  <c r="BO233" i="2"/>
  <c r="BO250" i="2"/>
  <c r="BO246" i="2"/>
  <c r="BO242" i="2"/>
  <c r="BO238" i="2"/>
  <c r="BO234" i="2"/>
  <c r="BO251" i="2"/>
  <c r="BO247" i="2"/>
  <c r="BO243" i="2"/>
  <c r="BO239" i="2"/>
  <c r="BO235" i="2"/>
  <c r="BO230" i="2"/>
  <c r="BO227" i="2"/>
  <c r="BO223" i="2"/>
  <c r="BO219" i="2"/>
  <c r="BO215" i="2"/>
  <c r="BO211" i="2"/>
  <c r="BO231" i="2"/>
  <c r="BO228" i="2"/>
  <c r="BO224" i="2"/>
  <c r="BO220" i="2"/>
  <c r="BO216" i="2"/>
  <c r="BO212" i="2"/>
  <c r="BO229" i="2"/>
  <c r="BO225" i="2"/>
  <c r="BO221" i="2"/>
  <c r="BO217" i="2"/>
  <c r="BO213" i="2"/>
  <c r="BO226" i="2"/>
  <c r="BO222" i="2"/>
  <c r="BO218" i="2"/>
  <c r="BO210" i="2"/>
  <c r="BO206" i="2"/>
  <c r="BO202" i="2"/>
  <c r="BO198" i="2"/>
  <c r="BO194" i="2"/>
  <c r="BO190" i="2"/>
  <c r="BO207" i="2"/>
  <c r="BO203" i="2"/>
  <c r="BO199" i="2"/>
  <c r="BO195" i="2"/>
  <c r="BO191" i="2"/>
  <c r="BO208" i="2"/>
  <c r="BO204" i="2"/>
  <c r="BO200" i="2"/>
  <c r="BO196" i="2"/>
  <c r="BO192" i="2"/>
  <c r="BO214" i="2"/>
  <c r="BO209" i="2"/>
  <c r="BO205" i="2"/>
  <c r="BO201" i="2"/>
  <c r="BO197" i="2"/>
  <c r="BO193" i="2"/>
  <c r="BO185" i="2"/>
  <c r="BO181" i="2"/>
  <c r="BO177" i="2"/>
  <c r="BO173" i="2"/>
  <c r="BO169" i="2"/>
  <c r="BO165" i="2"/>
  <c r="BO189" i="2"/>
  <c r="BO186" i="2"/>
  <c r="BO182" i="2"/>
  <c r="BO178" i="2"/>
  <c r="BO174" i="2"/>
  <c r="BO170" i="2"/>
  <c r="BO166" i="2"/>
  <c r="BO187" i="2"/>
  <c r="BO183" i="2"/>
  <c r="BO179" i="2"/>
  <c r="BO175" i="2"/>
  <c r="BO171" i="2"/>
  <c r="BO167" i="2"/>
  <c r="BO188" i="2"/>
  <c r="BO184" i="2"/>
  <c r="BO180" i="2"/>
  <c r="BO176" i="2"/>
  <c r="BO172" i="2"/>
  <c r="BO168" i="2"/>
  <c r="BO162" i="2"/>
  <c r="BO158" i="2"/>
  <c r="BO154" i="2"/>
  <c r="BO150" i="2"/>
  <c r="BO146" i="2"/>
  <c r="BO142" i="2"/>
  <c r="BO138" i="2"/>
  <c r="BO134" i="2"/>
  <c r="BO130" i="2"/>
  <c r="BO126" i="2"/>
  <c r="BO164" i="2"/>
  <c r="BO163" i="2"/>
  <c r="BO159" i="2"/>
  <c r="BO155" i="2"/>
  <c r="BO151" i="2"/>
  <c r="BO147" i="2"/>
  <c r="BO143" i="2"/>
  <c r="BO139" i="2"/>
  <c r="BO135" i="2"/>
  <c r="BO131" i="2"/>
  <c r="BO127" i="2"/>
  <c r="BO123" i="2"/>
  <c r="BO160" i="2"/>
  <c r="BO156" i="2"/>
  <c r="BO152" i="2"/>
  <c r="BO148" i="2"/>
  <c r="BO144" i="2"/>
  <c r="BO140" i="2"/>
  <c r="BO136" i="2"/>
  <c r="BO132" i="2"/>
  <c r="BO128" i="2"/>
  <c r="BO124" i="2"/>
  <c r="BO161" i="2"/>
  <c r="BO157" i="2"/>
  <c r="BO153" i="2"/>
  <c r="BO149" i="2"/>
  <c r="BO145" i="2"/>
  <c r="BO141" i="2"/>
  <c r="BO137" i="2"/>
  <c r="BO133" i="2"/>
  <c r="BO129" i="2"/>
  <c r="BO125" i="2"/>
  <c r="BO122" i="2"/>
  <c r="BO119" i="2"/>
  <c r="BO115" i="2"/>
  <c r="BO111" i="2"/>
  <c r="BO107" i="2"/>
  <c r="BO103" i="2"/>
  <c r="BO99" i="2"/>
  <c r="BO95" i="2"/>
  <c r="BO91" i="2"/>
  <c r="BO87" i="2"/>
  <c r="BO83" i="2"/>
  <c r="BO79" i="2"/>
  <c r="BO116" i="2"/>
  <c r="BO112" i="2"/>
  <c r="BO108" i="2"/>
  <c r="BO104" i="2"/>
  <c r="BO100" i="2"/>
  <c r="BO96" i="2"/>
  <c r="BO92" i="2"/>
  <c r="BO88" i="2"/>
  <c r="BO84" i="2"/>
  <c r="BO80" i="2"/>
  <c r="BO76" i="2"/>
  <c r="BO120" i="2"/>
  <c r="BO117" i="2"/>
  <c r="BO113" i="2"/>
  <c r="BO109" i="2"/>
  <c r="BO105" i="2"/>
  <c r="BO101" i="2"/>
  <c r="BO97" i="2"/>
  <c r="BO93" i="2"/>
  <c r="BO89" i="2"/>
  <c r="BO85" i="2"/>
  <c r="BO81" i="2"/>
  <c r="BO121" i="2"/>
  <c r="BO118" i="2"/>
  <c r="BO114" i="2"/>
  <c r="BO110" i="2"/>
  <c r="BO106" i="2"/>
  <c r="BO102" i="2"/>
  <c r="BO98" i="2"/>
  <c r="BO94" i="2"/>
  <c r="BO90" i="2"/>
  <c r="BO86" i="2"/>
  <c r="BO82" i="2"/>
  <c r="BO75" i="2"/>
  <c r="BO71" i="2"/>
  <c r="BO67" i="2"/>
  <c r="BO63" i="2"/>
  <c r="BO59" i="2"/>
  <c r="BO55" i="2"/>
  <c r="BO51" i="2"/>
  <c r="BO47" i="2"/>
  <c r="BO43" i="2"/>
  <c r="BO39" i="2"/>
  <c r="BO35" i="2"/>
  <c r="BO31" i="2"/>
  <c r="BO72" i="2"/>
  <c r="BO68" i="2"/>
  <c r="BO64" i="2"/>
  <c r="BO60" i="2"/>
  <c r="BO56" i="2"/>
  <c r="BO52" i="2"/>
  <c r="BO48" i="2"/>
  <c r="BO44" i="2"/>
  <c r="BO40" i="2"/>
  <c r="BO36" i="2"/>
  <c r="BO32" i="2"/>
  <c r="BO77" i="2"/>
  <c r="BO73" i="2"/>
  <c r="BO69" i="2"/>
  <c r="BO65" i="2"/>
  <c r="BO61" i="2"/>
  <c r="BO57" i="2"/>
  <c r="BO53" i="2"/>
  <c r="BO49" i="2"/>
  <c r="BO45" i="2"/>
  <c r="BO41" i="2"/>
  <c r="BO37" i="2"/>
  <c r="BO33" i="2"/>
  <c r="BO78" i="2"/>
  <c r="BO74" i="2"/>
  <c r="BO70" i="2"/>
  <c r="BO66" i="2"/>
  <c r="BO62" i="2"/>
  <c r="BO58" i="2"/>
  <c r="BO54" i="2"/>
  <c r="BO50" i="2"/>
  <c r="BO46" i="2"/>
  <c r="BO42" i="2"/>
  <c r="BO38" i="2"/>
  <c r="BO34" i="2"/>
  <c r="BS252" i="2"/>
  <c r="BS248" i="2"/>
  <c r="BS244" i="2"/>
  <c r="BS240" i="2"/>
  <c r="BS236" i="2"/>
  <c r="BS232" i="2"/>
  <c r="BS249" i="2"/>
  <c r="BS245" i="2"/>
  <c r="BS241" i="2"/>
  <c r="BS237" i="2"/>
  <c r="BS233" i="2"/>
  <c r="BS250" i="2"/>
  <c r="BS246" i="2"/>
  <c r="BS242" i="2"/>
  <c r="BS238" i="2"/>
  <c r="BS234" i="2"/>
  <c r="BS251" i="2"/>
  <c r="BS247" i="2"/>
  <c r="BS243" i="2"/>
  <c r="BS239" i="2"/>
  <c r="BS235" i="2"/>
  <c r="BS227" i="2"/>
  <c r="BS223" i="2"/>
  <c r="BS219" i="2"/>
  <c r="BS215" i="2"/>
  <c r="BS211" i="2"/>
  <c r="BS230" i="2"/>
  <c r="BS228" i="2"/>
  <c r="BS224" i="2"/>
  <c r="BS220" i="2"/>
  <c r="BS216" i="2"/>
  <c r="BS212" i="2"/>
  <c r="BS231" i="2"/>
  <c r="BS229" i="2"/>
  <c r="BS225" i="2"/>
  <c r="BS221" i="2"/>
  <c r="BS217" i="2"/>
  <c r="BS213" i="2"/>
  <c r="BS226" i="2"/>
  <c r="BS222" i="2"/>
  <c r="BS218" i="2"/>
  <c r="BS209" i="2"/>
  <c r="BS206" i="2"/>
  <c r="BS202" i="2"/>
  <c r="BS198" i="2"/>
  <c r="BS194" i="2"/>
  <c r="BS190" i="2"/>
  <c r="BS210" i="2"/>
  <c r="BS207" i="2"/>
  <c r="BS203" i="2"/>
  <c r="BS199" i="2"/>
  <c r="BS195" i="2"/>
  <c r="BS191" i="2"/>
  <c r="BS214" i="2"/>
  <c r="BS208" i="2"/>
  <c r="BS204" i="2"/>
  <c r="BS200" i="2"/>
  <c r="BS196" i="2"/>
  <c r="BS192" i="2"/>
  <c r="BS205" i="2"/>
  <c r="BS201" i="2"/>
  <c r="BS197" i="2"/>
  <c r="BS193" i="2"/>
  <c r="BS189" i="2"/>
  <c r="BS188" i="2"/>
  <c r="BS185" i="2"/>
  <c r="BS181" i="2"/>
  <c r="BS177" i="2"/>
  <c r="BS173" i="2"/>
  <c r="BS169" i="2"/>
  <c r="BS165" i="2"/>
  <c r="BS186" i="2"/>
  <c r="BS182" i="2"/>
  <c r="BS178" i="2"/>
  <c r="BS174" i="2"/>
  <c r="BS170" i="2"/>
  <c r="BS166" i="2"/>
  <c r="BS187" i="2"/>
  <c r="BS183" i="2"/>
  <c r="BS179" i="2"/>
  <c r="BS175" i="2"/>
  <c r="BS171" i="2"/>
  <c r="BS167" i="2"/>
  <c r="BS184" i="2"/>
  <c r="BS180" i="2"/>
  <c r="BS176" i="2"/>
  <c r="BS172" i="2"/>
  <c r="BS168" i="2"/>
  <c r="BS162" i="2"/>
  <c r="BS158" i="2"/>
  <c r="BS154" i="2"/>
  <c r="BS150" i="2"/>
  <c r="BS146" i="2"/>
  <c r="BS142" i="2"/>
  <c r="BS138" i="2"/>
  <c r="BS134" i="2"/>
  <c r="BS130" i="2"/>
  <c r="BS126" i="2"/>
  <c r="BS122" i="2"/>
  <c r="BS163" i="2"/>
  <c r="BS159" i="2"/>
  <c r="BS155" i="2"/>
  <c r="BS151" i="2"/>
  <c r="BS147" i="2"/>
  <c r="BS143" i="2"/>
  <c r="BS139" i="2"/>
  <c r="BS135" i="2"/>
  <c r="BS131" i="2"/>
  <c r="BS127" i="2"/>
  <c r="BS123" i="2"/>
  <c r="BS164" i="2"/>
  <c r="BS160" i="2"/>
  <c r="BS156" i="2"/>
  <c r="BS152" i="2"/>
  <c r="BS148" i="2"/>
  <c r="BS144" i="2"/>
  <c r="BS140" i="2"/>
  <c r="BS136" i="2"/>
  <c r="BS132" i="2"/>
  <c r="BS128" i="2"/>
  <c r="BS124" i="2"/>
  <c r="BS161" i="2"/>
  <c r="BS157" i="2"/>
  <c r="BS153" i="2"/>
  <c r="BS149" i="2"/>
  <c r="BS145" i="2"/>
  <c r="BS141" i="2"/>
  <c r="BS137" i="2"/>
  <c r="BS133" i="2"/>
  <c r="BS129" i="2"/>
  <c r="BS125" i="2"/>
  <c r="BS119" i="2"/>
  <c r="BS115" i="2"/>
  <c r="BS111" i="2"/>
  <c r="BS107" i="2"/>
  <c r="BS103" i="2"/>
  <c r="BS99" i="2"/>
  <c r="BS95" i="2"/>
  <c r="BS91" i="2"/>
  <c r="BS87" i="2"/>
  <c r="BS83" i="2"/>
  <c r="BS79" i="2"/>
  <c r="BS121" i="2"/>
  <c r="BS116" i="2"/>
  <c r="BS112" i="2"/>
  <c r="BS108" i="2"/>
  <c r="BS104" i="2"/>
  <c r="BS100" i="2"/>
  <c r="BS96" i="2"/>
  <c r="BS92" i="2"/>
  <c r="BS88" i="2"/>
  <c r="BS84" i="2"/>
  <c r="BS80" i="2"/>
  <c r="BS76" i="2"/>
  <c r="BS117" i="2"/>
  <c r="BS113" i="2"/>
  <c r="BS109" i="2"/>
  <c r="BS105" i="2"/>
  <c r="BS101" i="2"/>
  <c r="BS97" i="2"/>
  <c r="BS93" i="2"/>
  <c r="BS89" i="2"/>
  <c r="BS85" i="2"/>
  <c r="BS81" i="2"/>
  <c r="BS120" i="2"/>
  <c r="BS118" i="2"/>
  <c r="BS114" i="2"/>
  <c r="BS110" i="2"/>
  <c r="BS106" i="2"/>
  <c r="BS102" i="2"/>
  <c r="BS98" i="2"/>
  <c r="BS94" i="2"/>
  <c r="BS90" i="2"/>
  <c r="BS86" i="2"/>
  <c r="BS82" i="2"/>
  <c r="BS77" i="2"/>
  <c r="BS75" i="2"/>
  <c r="BS71" i="2"/>
  <c r="BS67" i="2"/>
  <c r="BS63" i="2"/>
  <c r="BS59" i="2"/>
  <c r="BS55" i="2"/>
  <c r="BS51" i="2"/>
  <c r="BS47" i="2"/>
  <c r="BS43" i="2"/>
  <c r="BS39" i="2"/>
  <c r="BS35" i="2"/>
  <c r="BS31" i="2"/>
  <c r="BS78" i="2"/>
  <c r="BS72" i="2"/>
  <c r="BS68" i="2"/>
  <c r="BS64" i="2"/>
  <c r="BS60" i="2"/>
  <c r="BS56" i="2"/>
  <c r="BS52" i="2"/>
  <c r="BS48" i="2"/>
  <c r="BS44" i="2"/>
  <c r="BS40" i="2"/>
  <c r="BS36" i="2"/>
  <c r="BS32" i="2"/>
  <c r="BS73" i="2"/>
  <c r="BS69" i="2"/>
  <c r="BS65" i="2"/>
  <c r="BS61" i="2"/>
  <c r="BS57" i="2"/>
  <c r="BS53" i="2"/>
  <c r="BS49" i="2"/>
  <c r="BS45" i="2"/>
  <c r="BS41" i="2"/>
  <c r="BS37" i="2"/>
  <c r="BS33" i="2"/>
  <c r="BS74" i="2"/>
  <c r="BS70" i="2"/>
  <c r="BS66" i="2"/>
  <c r="BS62" i="2"/>
  <c r="BS58" i="2"/>
  <c r="BS54" i="2"/>
  <c r="BS50" i="2"/>
  <c r="BS46" i="2"/>
  <c r="BS42" i="2"/>
  <c r="BS38" i="2"/>
  <c r="BS34" i="2"/>
  <c r="BH4" i="2"/>
  <c r="BL4" i="2"/>
  <c r="BP4" i="2"/>
  <c r="BE5" i="2"/>
  <c r="BI5" i="2"/>
  <c r="BM5" i="2"/>
  <c r="BQ5" i="2"/>
  <c r="BF6" i="2"/>
  <c r="BJ6" i="2"/>
  <c r="BN6" i="2"/>
  <c r="BR6" i="2"/>
  <c r="BG7" i="2"/>
  <c r="BK7" i="2"/>
  <c r="BO7" i="2"/>
  <c r="BS7" i="2"/>
  <c r="BH8" i="2"/>
  <c r="BL8" i="2"/>
  <c r="BP8" i="2"/>
  <c r="BE9" i="2"/>
  <c r="BI9" i="2"/>
  <c r="BM9" i="2"/>
  <c r="BQ9" i="2"/>
  <c r="BF10" i="2"/>
  <c r="BJ10" i="2"/>
  <c r="BN10" i="2"/>
  <c r="BR10" i="2"/>
  <c r="BG11" i="2"/>
  <c r="BK11" i="2"/>
  <c r="BO11" i="2"/>
  <c r="BS11" i="2"/>
  <c r="BH12" i="2"/>
  <c r="BL12" i="2"/>
  <c r="BP12" i="2"/>
  <c r="BE13" i="2"/>
  <c r="BI13" i="2"/>
  <c r="BM13" i="2"/>
  <c r="BQ13" i="2"/>
  <c r="BF14" i="2"/>
  <c r="BJ14" i="2"/>
  <c r="BN14" i="2"/>
  <c r="BR14" i="2"/>
  <c r="BG15" i="2"/>
  <c r="BK15" i="2"/>
  <c r="BO15" i="2"/>
  <c r="BS15" i="2"/>
  <c r="BH16" i="2"/>
  <c r="BL16" i="2"/>
  <c r="BP16" i="2"/>
  <c r="BE17" i="2"/>
  <c r="BI17" i="2"/>
  <c r="BM17" i="2"/>
  <c r="BQ17" i="2"/>
  <c r="BF18" i="2"/>
  <c r="BJ18" i="2"/>
  <c r="BN18" i="2"/>
  <c r="BR18" i="2"/>
  <c r="BG19" i="2"/>
  <c r="BK19" i="2"/>
  <c r="BO19" i="2"/>
  <c r="BS19" i="2"/>
  <c r="BH20" i="2"/>
  <c r="BL20" i="2"/>
  <c r="BP20" i="2"/>
  <c r="BE21" i="2"/>
  <c r="BI21" i="2"/>
  <c r="BM21" i="2"/>
  <c r="BQ21" i="2"/>
  <c r="BF22" i="2"/>
  <c r="BJ22" i="2"/>
  <c r="BN22" i="2"/>
  <c r="BR22" i="2"/>
  <c r="BG23" i="2"/>
  <c r="BK23" i="2"/>
  <c r="BO23" i="2"/>
  <c r="BS23" i="2"/>
  <c r="BH24" i="2"/>
  <c r="BL24" i="2"/>
  <c r="BP24" i="2"/>
  <c r="BE25" i="2"/>
  <c r="BI25" i="2"/>
  <c r="BM25" i="2"/>
  <c r="BQ25" i="2"/>
  <c r="BF26" i="2"/>
  <c r="BJ26" i="2"/>
  <c r="BN26" i="2"/>
  <c r="BR26" i="2"/>
  <c r="BG27" i="2"/>
  <c r="BK27" i="2"/>
  <c r="BO27" i="2"/>
  <c r="BS27" i="2"/>
  <c r="BH28" i="2"/>
  <c r="BL28" i="2"/>
  <c r="BP28" i="2"/>
  <c r="BE29" i="2"/>
  <c r="BI29" i="2"/>
  <c r="BM29" i="2"/>
  <c r="BQ29" i="2"/>
  <c r="BF30" i="2"/>
  <c r="BJ30" i="2"/>
  <c r="BP30" i="2"/>
  <c r="BI31" i="2"/>
  <c r="BQ31" i="2"/>
  <c r="BJ32" i="2"/>
  <c r="BA250" i="2"/>
  <c r="BA246" i="2"/>
  <c r="BA242" i="2"/>
  <c r="BA238" i="2"/>
  <c r="BC252" i="2"/>
  <c r="BC248" i="2"/>
  <c r="BC244" i="2"/>
  <c r="BC240" i="2"/>
  <c r="BC236" i="2"/>
  <c r="BA3" i="2"/>
  <c r="BA252" i="2"/>
  <c r="BA248" i="2"/>
  <c r="BA244" i="2"/>
  <c r="BA240" i="2"/>
  <c r="BC3" i="2"/>
  <c r="BC250" i="2"/>
  <c r="BC246" i="2"/>
  <c r="BC242" i="2"/>
  <c r="BC238" i="2"/>
  <c r="BC234" i="2"/>
  <c r="BD249" i="2"/>
  <c r="AZ249" i="2"/>
  <c r="BD245" i="2"/>
  <c r="AZ245" i="2"/>
  <c r="BD241" i="2"/>
  <c r="AZ241" i="2"/>
  <c r="BD237" i="2"/>
  <c r="AZ237" i="2"/>
  <c r="BB235" i="2"/>
  <c r="BA5" i="2"/>
  <c r="BA9" i="2"/>
  <c r="BA13" i="2"/>
  <c r="BA17" i="2"/>
  <c r="BA21" i="2"/>
  <c r="BA25" i="2"/>
  <c r="BA29" i="2"/>
  <c r="BA33" i="2"/>
  <c r="BA6" i="2"/>
  <c r="BA10" i="2"/>
  <c r="BA14" i="2"/>
  <c r="BA18" i="2"/>
  <c r="BA22" i="2"/>
  <c r="BA26" i="2"/>
  <c r="BA30" i="2"/>
  <c r="BA34" i="2"/>
  <c r="BA38" i="2"/>
  <c r="BA42" i="2"/>
  <c r="BA46" i="2"/>
  <c r="BA50" i="2"/>
  <c r="BA54" i="2"/>
  <c r="BA58" i="2"/>
  <c r="BA62" i="2"/>
  <c r="BA66" i="2"/>
  <c r="BA70" i="2"/>
  <c r="BA74" i="2"/>
  <c r="BA78" i="2"/>
  <c r="BA82" i="2"/>
  <c r="BA86" i="2"/>
  <c r="BA7" i="2"/>
  <c r="BA11" i="2"/>
  <c r="BA15" i="2"/>
  <c r="BA19" i="2"/>
  <c r="BA23" i="2"/>
  <c r="BA27" i="2"/>
  <c r="BA31" i="2"/>
  <c r="BA35" i="2"/>
  <c r="BA4" i="2"/>
  <c r="BA8" i="2"/>
  <c r="BA12" i="2"/>
  <c r="BA16" i="2"/>
  <c r="BA20" i="2"/>
  <c r="BA24" i="2"/>
  <c r="BA28" i="2"/>
  <c r="BA32" i="2"/>
  <c r="BA36" i="2"/>
  <c r="BA40" i="2"/>
  <c r="BA44" i="2"/>
  <c r="BA48" i="2"/>
  <c r="BA52" i="2"/>
  <c r="BA56" i="2"/>
  <c r="BA60" i="2"/>
  <c r="BA64" i="2"/>
  <c r="BA68" i="2"/>
  <c r="BA72" i="2"/>
  <c r="BA76" i="2"/>
  <c r="BA80" i="2"/>
  <c r="BA84" i="2"/>
  <c r="BA88" i="2"/>
  <c r="BE3" i="2"/>
  <c r="BI3" i="2"/>
  <c r="BM3" i="2"/>
  <c r="BQ3" i="2"/>
  <c r="BD3" i="2"/>
  <c r="BD252" i="2"/>
  <c r="AZ252" i="2"/>
  <c r="BA251" i="2"/>
  <c r="BB250" i="2"/>
  <c r="BC249" i="2"/>
  <c r="BD248" i="2"/>
  <c r="AZ248" i="2"/>
  <c r="BA247" i="2"/>
  <c r="BB246" i="2"/>
  <c r="BC245" i="2"/>
  <c r="BD244" i="2"/>
  <c r="AZ244" i="2"/>
  <c r="BA243" i="2"/>
  <c r="BB242" i="2"/>
  <c r="BC241" i="2"/>
  <c r="BD240" i="2"/>
  <c r="AZ240" i="2"/>
  <c r="BA239" i="2"/>
  <c r="BB238" i="2"/>
  <c r="BC237" i="2"/>
  <c r="BD236" i="2"/>
  <c r="AZ236" i="2"/>
  <c r="BA235" i="2"/>
  <c r="BB234" i="2"/>
  <c r="BC233" i="2"/>
  <c r="BD232" i="2"/>
  <c r="AZ232" i="2"/>
  <c r="BA231" i="2"/>
  <c r="BB230" i="2"/>
  <c r="BC229" i="2"/>
  <c r="BD228" i="2"/>
  <c r="AZ228" i="2"/>
  <c r="BA227" i="2"/>
  <c r="BB226" i="2"/>
  <c r="BC225" i="2"/>
  <c r="BD224" i="2"/>
  <c r="AZ224" i="2"/>
  <c r="BA223" i="2"/>
  <c r="BB222" i="2"/>
  <c r="BC221" i="2"/>
  <c r="BD220" i="2"/>
  <c r="AZ220" i="2"/>
  <c r="BA219" i="2"/>
  <c r="BB218" i="2"/>
  <c r="BC217" i="2"/>
  <c r="BD216" i="2"/>
  <c r="AZ216" i="2"/>
  <c r="BA215" i="2"/>
  <c r="BB214" i="2"/>
  <c r="BC213" i="2"/>
  <c r="BD212" i="2"/>
  <c r="AZ212" i="2"/>
  <c r="BA211" i="2"/>
  <c r="BB210" i="2"/>
  <c r="BC209" i="2"/>
  <c r="BD208" i="2"/>
  <c r="AZ208" i="2"/>
  <c r="BA207" i="2"/>
  <c r="BB206" i="2"/>
  <c r="BC205" i="2"/>
  <c r="BD204" i="2"/>
  <c r="AZ204" i="2"/>
  <c r="BA203" i="2"/>
  <c r="BB202" i="2"/>
  <c r="BC201" i="2"/>
  <c r="BD200" i="2"/>
  <c r="AZ200" i="2"/>
  <c r="BA199" i="2"/>
  <c r="BB198" i="2"/>
  <c r="BC197" i="2"/>
  <c r="BD196" i="2"/>
  <c r="AZ196" i="2"/>
  <c r="BA195" i="2"/>
  <c r="BB194" i="2"/>
  <c r="BC193" i="2"/>
  <c r="BD192" i="2"/>
  <c r="AZ192" i="2"/>
  <c r="BA191" i="2"/>
  <c r="BB190" i="2"/>
  <c r="BC189" i="2"/>
  <c r="BD188" i="2"/>
  <c r="AZ188" i="2"/>
  <c r="BA187" i="2"/>
  <c r="BB186" i="2"/>
  <c r="BC185" i="2"/>
  <c r="BD184" i="2"/>
  <c r="AZ184" i="2"/>
  <c r="BA183" i="2"/>
  <c r="BB182" i="2"/>
  <c r="BC181" i="2"/>
  <c r="BD180" i="2"/>
  <c r="AZ180" i="2"/>
  <c r="BA179" i="2"/>
  <c r="BB178" i="2"/>
  <c r="BC177" i="2"/>
  <c r="BD176" i="2"/>
  <c r="AZ176" i="2"/>
  <c r="BA175" i="2"/>
  <c r="BB174" i="2"/>
  <c r="BC173" i="2"/>
  <c r="BD172" i="2"/>
  <c r="AZ172" i="2"/>
  <c r="BA171" i="2"/>
  <c r="BB170" i="2"/>
  <c r="BC169" i="2"/>
  <c r="BD168" i="2"/>
  <c r="AZ168" i="2"/>
  <c r="BA167" i="2"/>
  <c r="BB166" i="2"/>
  <c r="BC165" i="2"/>
  <c r="BD164" i="2"/>
  <c r="AZ164" i="2"/>
  <c r="BA163" i="2"/>
  <c r="BB162" i="2"/>
  <c r="BC161" i="2"/>
  <c r="BD160" i="2"/>
  <c r="AZ160" i="2"/>
  <c r="BA159" i="2"/>
  <c r="BB158" i="2"/>
  <c r="BC157" i="2"/>
  <c r="BD156" i="2"/>
  <c r="AZ156" i="2"/>
  <c r="BA155" i="2"/>
  <c r="BB154" i="2"/>
  <c r="BC153" i="2"/>
  <c r="BD152" i="2"/>
  <c r="AZ152" i="2"/>
  <c r="BA151" i="2"/>
  <c r="BB150" i="2"/>
  <c r="BC149" i="2"/>
  <c r="BD148" i="2"/>
  <c r="AZ148" i="2"/>
  <c r="BA147" i="2"/>
  <c r="BB146" i="2"/>
  <c r="BC145" i="2"/>
  <c r="BD144" i="2"/>
  <c r="AZ144" i="2"/>
  <c r="BA143" i="2"/>
  <c r="BB142" i="2"/>
  <c r="BC141" i="2"/>
  <c r="BD140" i="2"/>
  <c r="AZ140" i="2"/>
  <c r="BA139" i="2"/>
  <c r="BB138" i="2"/>
  <c r="BC137" i="2"/>
  <c r="BD136" i="2"/>
  <c r="AZ136" i="2"/>
  <c r="BA135" i="2"/>
  <c r="BB134" i="2"/>
  <c r="BC133" i="2"/>
  <c r="BD132" i="2"/>
  <c r="AZ132" i="2"/>
  <c r="BA131" i="2"/>
  <c r="BB130" i="2"/>
  <c r="BC129" i="2"/>
  <c r="BD128" i="2"/>
  <c r="AZ128" i="2"/>
  <c r="BA127" i="2"/>
  <c r="BB126" i="2"/>
  <c r="BC125" i="2"/>
  <c r="BD124" i="2"/>
  <c r="AZ124" i="2"/>
  <c r="BA123" i="2"/>
  <c r="BB122" i="2"/>
  <c r="BC121" i="2"/>
  <c r="BD120" i="2"/>
  <c r="AZ120" i="2"/>
  <c r="BA119" i="2"/>
  <c r="BB118" i="2"/>
  <c r="BC117" i="2"/>
  <c r="BD116" i="2"/>
  <c r="AZ116" i="2"/>
  <c r="BA115" i="2"/>
  <c r="BB114" i="2"/>
  <c r="BC113" i="2"/>
  <c r="BD112" i="2"/>
  <c r="AZ112" i="2"/>
  <c r="BA111" i="2"/>
  <c r="BB110" i="2"/>
  <c r="BC109" i="2"/>
  <c r="BD108" i="2"/>
  <c r="AZ108" i="2"/>
  <c r="BA107" i="2"/>
  <c r="BB106" i="2"/>
  <c r="BC105" i="2"/>
  <c r="BD104" i="2"/>
  <c r="AZ104" i="2"/>
  <c r="BA103" i="2"/>
  <c r="BB102" i="2"/>
  <c r="BC101" i="2"/>
  <c r="BD100" i="2"/>
  <c r="AZ100" i="2"/>
  <c r="BA99" i="2"/>
  <c r="BB98" i="2"/>
  <c r="BC97" i="2"/>
  <c r="BD96" i="2"/>
  <c r="AZ96" i="2"/>
  <c r="BA95" i="2"/>
  <c r="BB94" i="2"/>
  <c r="BC93" i="2"/>
  <c r="BD92" i="2"/>
  <c r="AZ92" i="2"/>
  <c r="BA91" i="2"/>
  <c r="BB90" i="2"/>
  <c r="BC89" i="2"/>
  <c r="BD88" i="2"/>
  <c r="BA87" i="2"/>
  <c r="BC85" i="2"/>
  <c r="AZ84" i="2"/>
  <c r="BB82" i="2"/>
  <c r="BD80" i="2"/>
  <c r="BA79" i="2"/>
  <c r="BC77" i="2"/>
  <c r="AZ76" i="2"/>
  <c r="BB74" i="2"/>
  <c r="BD72" i="2"/>
  <c r="BA71" i="2"/>
  <c r="BC69" i="2"/>
  <c r="AZ68" i="2"/>
  <c r="BB66" i="2"/>
  <c r="BD64" i="2"/>
  <c r="BA63" i="2"/>
  <c r="BC61" i="2"/>
  <c r="AZ60" i="2"/>
  <c r="BB58" i="2"/>
  <c r="BD56" i="2"/>
  <c r="BA55" i="2"/>
  <c r="BC53" i="2"/>
  <c r="AZ52" i="2"/>
  <c r="BB50" i="2"/>
  <c r="BD48" i="2"/>
  <c r="BA47" i="2"/>
  <c r="BC45" i="2"/>
  <c r="AZ44" i="2"/>
  <c r="BB42" i="2"/>
  <c r="BD40" i="2"/>
  <c r="BA39" i="2"/>
  <c r="BC37" i="2"/>
  <c r="BB249" i="2"/>
  <c r="BB245" i="2"/>
  <c r="BB241" i="2"/>
  <c r="BB237" i="2"/>
  <c r="BD235" i="2"/>
  <c r="AZ235" i="2"/>
  <c r="BA234" i="2"/>
  <c r="BB233" i="2"/>
  <c r="BC232" i="2"/>
  <c r="BD231" i="2"/>
  <c r="AZ231" i="2"/>
  <c r="BA230" i="2"/>
  <c r="BB229" i="2"/>
  <c r="BC228" i="2"/>
  <c r="BD227" i="2"/>
  <c r="AZ227" i="2"/>
  <c r="BA226" i="2"/>
  <c r="BB225" i="2"/>
  <c r="BC224" i="2"/>
  <c r="BD223" i="2"/>
  <c r="AZ223" i="2"/>
  <c r="BA222" i="2"/>
  <c r="BB221" i="2"/>
  <c r="BC220" i="2"/>
  <c r="BD219" i="2"/>
  <c r="AZ219" i="2"/>
  <c r="BA218" i="2"/>
  <c r="BB217" i="2"/>
  <c r="BC216" i="2"/>
  <c r="BD215" i="2"/>
  <c r="AZ215" i="2"/>
  <c r="BA214" i="2"/>
  <c r="BB213" i="2"/>
  <c r="BC212" i="2"/>
  <c r="BD211" i="2"/>
  <c r="AZ211" i="2"/>
  <c r="BA210" i="2"/>
  <c r="BB209" i="2"/>
  <c r="BC208" i="2"/>
  <c r="BD207" i="2"/>
  <c r="AZ207" i="2"/>
  <c r="BA206" i="2"/>
  <c r="BB205" i="2"/>
  <c r="BC204" i="2"/>
  <c r="BD203" i="2"/>
  <c r="AZ203" i="2"/>
  <c r="BA202" i="2"/>
  <c r="BB201" i="2"/>
  <c r="BC200" i="2"/>
  <c r="BD199" i="2"/>
  <c r="AZ199" i="2"/>
  <c r="BA198" i="2"/>
  <c r="BB197" i="2"/>
  <c r="BC196" i="2"/>
  <c r="BD195" i="2"/>
  <c r="AZ195" i="2"/>
  <c r="BA194" i="2"/>
  <c r="BB193" i="2"/>
  <c r="BC192" i="2"/>
  <c r="BD191" i="2"/>
  <c r="AZ191" i="2"/>
  <c r="BA190" i="2"/>
  <c r="BB189" i="2"/>
  <c r="BC188" i="2"/>
  <c r="BD187" i="2"/>
  <c r="AZ187" i="2"/>
  <c r="BA186" i="2"/>
  <c r="BB185" i="2"/>
  <c r="BC184" i="2"/>
  <c r="BD183" i="2"/>
  <c r="AZ183" i="2"/>
  <c r="BA182" i="2"/>
  <c r="BB181" i="2"/>
  <c r="BC180" i="2"/>
  <c r="BD179" i="2"/>
  <c r="AZ179" i="2"/>
  <c r="BA178" i="2"/>
  <c r="BB177" i="2"/>
  <c r="BC176" i="2"/>
  <c r="BD175" i="2"/>
  <c r="AZ175" i="2"/>
  <c r="BA174" i="2"/>
  <c r="BB173" i="2"/>
  <c r="BC172" i="2"/>
  <c r="BD171" i="2"/>
  <c r="AZ171" i="2"/>
  <c r="BA170" i="2"/>
  <c r="BB169" i="2"/>
  <c r="BC168" i="2"/>
  <c r="BD167" i="2"/>
  <c r="AZ167" i="2"/>
  <c r="BA166" i="2"/>
  <c r="BB165" i="2"/>
  <c r="BC164" i="2"/>
  <c r="BD163" i="2"/>
  <c r="AZ163" i="2"/>
  <c r="BA162" i="2"/>
  <c r="BB161" i="2"/>
  <c r="BC160" i="2"/>
  <c r="BD159" i="2"/>
  <c r="AZ159" i="2"/>
  <c r="BA158" i="2"/>
  <c r="BB157" i="2"/>
  <c r="BC156" i="2"/>
  <c r="BD155" i="2"/>
  <c r="AZ155" i="2"/>
  <c r="BA154" i="2"/>
  <c r="BB153" i="2"/>
  <c r="BC152" i="2"/>
  <c r="BD151" i="2"/>
  <c r="AZ151" i="2"/>
  <c r="BA150" i="2"/>
  <c r="BB149" i="2"/>
  <c r="BC148" i="2"/>
  <c r="BD147" i="2"/>
  <c r="AZ147" i="2"/>
  <c r="BA146" i="2"/>
  <c r="BB145" i="2"/>
  <c r="BC144" i="2"/>
  <c r="BD143" i="2"/>
  <c r="AZ143" i="2"/>
  <c r="BA142" i="2"/>
  <c r="BB141" i="2"/>
  <c r="BC140" i="2"/>
  <c r="BD139" i="2"/>
  <c r="AZ139" i="2"/>
  <c r="BA138" i="2"/>
  <c r="BB137" i="2"/>
  <c r="BC136" i="2"/>
  <c r="BD135" i="2"/>
  <c r="AZ135" i="2"/>
  <c r="BA134" i="2"/>
  <c r="BB133" i="2"/>
  <c r="BC132" i="2"/>
  <c r="BD131" i="2"/>
  <c r="AZ131" i="2"/>
  <c r="BA130" i="2"/>
  <c r="BB129" i="2"/>
  <c r="BC128" i="2"/>
  <c r="BD127" i="2"/>
  <c r="AZ127" i="2"/>
  <c r="BA126" i="2"/>
  <c r="BB125" i="2"/>
  <c r="BC124" i="2"/>
  <c r="BD123" i="2"/>
  <c r="AZ123" i="2"/>
  <c r="BA122" i="2"/>
  <c r="BB121" i="2"/>
  <c r="BC120" i="2"/>
  <c r="BD119" i="2"/>
  <c r="AZ119" i="2"/>
  <c r="BA118" i="2"/>
  <c r="BB117" i="2"/>
  <c r="BC116" i="2"/>
  <c r="BD115" i="2"/>
  <c r="AZ115" i="2"/>
  <c r="BA114" i="2"/>
  <c r="BB113" i="2"/>
  <c r="BC112" i="2"/>
  <c r="BD111" i="2"/>
  <c r="AZ111" i="2"/>
  <c r="BA110" i="2"/>
  <c r="BB109" i="2"/>
  <c r="BC108" i="2"/>
  <c r="BD107" i="2"/>
  <c r="AZ107" i="2"/>
  <c r="BA106" i="2"/>
  <c r="BB105" i="2"/>
  <c r="BC104" i="2"/>
  <c r="BD103" i="2"/>
  <c r="AZ103" i="2"/>
  <c r="BA102" i="2"/>
  <c r="BB101" i="2"/>
  <c r="BC100" i="2"/>
  <c r="BD99" i="2"/>
  <c r="AZ99" i="2"/>
  <c r="BA98" i="2"/>
  <c r="BB97" i="2"/>
  <c r="BC96" i="2"/>
  <c r="BD95" i="2"/>
  <c r="AZ95" i="2"/>
  <c r="BA94" i="2"/>
  <c r="BB93" i="2"/>
  <c r="BC92" i="2"/>
  <c r="BD91" i="2"/>
  <c r="AZ91" i="2"/>
  <c r="BA90" i="2"/>
  <c r="BB89" i="2"/>
  <c r="BB88" i="2"/>
  <c r="BD86" i="2"/>
  <c r="BA85" i="2"/>
  <c r="BC83" i="2"/>
  <c r="AZ82" i="2"/>
  <c r="BB80" i="2"/>
  <c r="BD78" i="2"/>
  <c r="BA77" i="2"/>
  <c r="BC75" i="2"/>
  <c r="AZ74" i="2"/>
  <c r="BB72" i="2"/>
  <c r="BD70" i="2"/>
  <c r="BA69" i="2"/>
  <c r="BC67" i="2"/>
  <c r="AZ66" i="2"/>
  <c r="BB64" i="2"/>
  <c r="BD62" i="2"/>
  <c r="BA61" i="2"/>
  <c r="BC59" i="2"/>
  <c r="AZ58" i="2"/>
  <c r="BB56" i="2"/>
  <c r="BD54" i="2"/>
  <c r="BA53" i="2"/>
  <c r="BC51" i="2"/>
  <c r="AZ50" i="2"/>
  <c r="BB48" i="2"/>
  <c r="BD46" i="2"/>
  <c r="BA45" i="2"/>
  <c r="AZ42" i="2"/>
  <c r="BA37" i="2"/>
  <c r="BD6" i="2"/>
  <c r="BD10" i="2"/>
  <c r="BD14" i="2"/>
  <c r="BD18" i="2"/>
  <c r="BD22" i="2"/>
  <c r="BD26" i="2"/>
  <c r="BD30" i="2"/>
  <c r="BD34" i="2"/>
  <c r="BD7" i="2"/>
  <c r="BD11" i="2"/>
  <c r="BD15" i="2"/>
  <c r="BD19" i="2"/>
  <c r="BD23" i="2"/>
  <c r="BD27" i="2"/>
  <c r="BD31" i="2"/>
  <c r="BD35" i="2"/>
  <c r="BD39" i="2"/>
  <c r="BD43" i="2"/>
  <c r="BD47" i="2"/>
  <c r="BD51" i="2"/>
  <c r="BD55" i="2"/>
  <c r="BD59" i="2"/>
  <c r="BD63" i="2"/>
  <c r="BD67" i="2"/>
  <c r="BD71" i="2"/>
  <c r="BD75" i="2"/>
  <c r="BD79" i="2"/>
  <c r="BD83" i="2"/>
  <c r="BD87" i="2"/>
  <c r="BD4" i="2"/>
  <c r="BD8" i="2"/>
  <c r="BD12" i="2"/>
  <c r="BD16" i="2"/>
  <c r="BD20" i="2"/>
  <c r="BD24" i="2"/>
  <c r="BD28" i="2"/>
  <c r="BD32" i="2"/>
  <c r="BD5" i="2"/>
  <c r="BD9" i="2"/>
  <c r="BD13" i="2"/>
  <c r="BD17" i="2"/>
  <c r="BD21" i="2"/>
  <c r="BD25" i="2"/>
  <c r="BD29" i="2"/>
  <c r="BD33" i="2"/>
  <c r="BD37" i="2"/>
  <c r="BD41" i="2"/>
  <c r="BD45" i="2"/>
  <c r="BD49" i="2"/>
  <c r="BD53" i="2"/>
  <c r="BD57" i="2"/>
  <c r="BD61" i="2"/>
  <c r="BD65" i="2"/>
  <c r="BD69" i="2"/>
  <c r="BD73" i="2"/>
  <c r="BD77" i="2"/>
  <c r="BD81" i="2"/>
  <c r="BD85" i="2"/>
  <c r="BB4" i="2"/>
  <c r="BB8" i="2"/>
  <c r="BB12" i="2"/>
  <c r="BB16" i="2"/>
  <c r="BB20" i="2"/>
  <c r="BB24" i="2"/>
  <c r="BB28" i="2"/>
  <c r="BB32" i="2"/>
  <c r="BB36" i="2"/>
  <c r="BB5" i="2"/>
  <c r="BB9" i="2"/>
  <c r="BB13" i="2"/>
  <c r="BB17" i="2"/>
  <c r="BB21" i="2"/>
  <c r="BB25" i="2"/>
  <c r="BB29" i="2"/>
  <c r="BB33" i="2"/>
  <c r="BB37" i="2"/>
  <c r="BB41" i="2"/>
  <c r="BB45" i="2"/>
  <c r="BB49" i="2"/>
  <c r="BB53" i="2"/>
  <c r="BB57" i="2"/>
  <c r="BB61" i="2"/>
  <c r="BB65" i="2"/>
  <c r="BB69" i="2"/>
  <c r="BB73" i="2"/>
  <c r="BB77" i="2"/>
  <c r="BB81" i="2"/>
  <c r="BB85" i="2"/>
  <c r="BB6" i="2"/>
  <c r="BB10" i="2"/>
  <c r="BB14" i="2"/>
  <c r="BB18" i="2"/>
  <c r="BB22" i="2"/>
  <c r="BB26" i="2"/>
  <c r="BB30" i="2"/>
  <c r="BB34" i="2"/>
  <c r="BB7" i="2"/>
  <c r="BB11" i="2"/>
  <c r="BB15" i="2"/>
  <c r="BB19" i="2"/>
  <c r="BB23" i="2"/>
  <c r="BB27" i="2"/>
  <c r="BB31" i="2"/>
  <c r="BB35" i="2"/>
  <c r="BB39" i="2"/>
  <c r="BB43" i="2"/>
  <c r="BB47" i="2"/>
  <c r="BB51" i="2"/>
  <c r="BB55" i="2"/>
  <c r="BB59" i="2"/>
  <c r="BB63" i="2"/>
  <c r="BB67" i="2"/>
  <c r="BB71" i="2"/>
  <c r="BB75" i="2"/>
  <c r="BB79" i="2"/>
  <c r="BB83" i="2"/>
  <c r="BB87" i="2"/>
  <c r="BF3" i="2"/>
  <c r="BJ3" i="2"/>
  <c r="BN3" i="2"/>
  <c r="BR3" i="2"/>
  <c r="BD251" i="2"/>
  <c r="AZ251" i="2"/>
  <c r="BD247" i="2"/>
  <c r="AZ247" i="2"/>
  <c r="BD243" i="2"/>
  <c r="AZ243" i="2"/>
  <c r="BD239" i="2"/>
  <c r="AZ239" i="2"/>
  <c r="BC7" i="2"/>
  <c r="BC11" i="2"/>
  <c r="BC15" i="2"/>
  <c r="BC19" i="2"/>
  <c r="BC23" i="2"/>
  <c r="BC27" i="2"/>
  <c r="BC31" i="2"/>
  <c r="BC35" i="2"/>
  <c r="BC4" i="2"/>
  <c r="BC8" i="2"/>
  <c r="BC12" i="2"/>
  <c r="BC16" i="2"/>
  <c r="BC20" i="2"/>
  <c r="BC24" i="2"/>
  <c r="BC28" i="2"/>
  <c r="BC32" i="2"/>
  <c r="BC36" i="2"/>
  <c r="BC40" i="2"/>
  <c r="BC44" i="2"/>
  <c r="BC48" i="2"/>
  <c r="BC52" i="2"/>
  <c r="BC56" i="2"/>
  <c r="BC60" i="2"/>
  <c r="BC64" i="2"/>
  <c r="BC68" i="2"/>
  <c r="BC72" i="2"/>
  <c r="BC76" i="2"/>
  <c r="BC80" i="2"/>
  <c r="BC84" i="2"/>
  <c r="BC88" i="2"/>
  <c r="BC5" i="2"/>
  <c r="BC9" i="2"/>
  <c r="BC13" i="2"/>
  <c r="BC17" i="2"/>
  <c r="BC21" i="2"/>
  <c r="BC25" i="2"/>
  <c r="BC29" i="2"/>
  <c r="BC33" i="2"/>
  <c r="BC6" i="2"/>
  <c r="BC10" i="2"/>
  <c r="BC14" i="2"/>
  <c r="BC18" i="2"/>
  <c r="BC22" i="2"/>
  <c r="BC26" i="2"/>
  <c r="BC30" i="2"/>
  <c r="BC34" i="2"/>
  <c r="BC38" i="2"/>
  <c r="BC42" i="2"/>
  <c r="BC46" i="2"/>
  <c r="BC50" i="2"/>
  <c r="BC54" i="2"/>
  <c r="BC58" i="2"/>
  <c r="BC62" i="2"/>
  <c r="BC66" i="2"/>
  <c r="BC70" i="2"/>
  <c r="BC74" i="2"/>
  <c r="BC78" i="2"/>
  <c r="BC82" i="2"/>
  <c r="BC86" i="2"/>
  <c r="BG3" i="2"/>
  <c r="BK3" i="2"/>
  <c r="BO3" i="2"/>
  <c r="BS3" i="2"/>
  <c r="BB3" i="2"/>
  <c r="BB252" i="2"/>
  <c r="BC251" i="2"/>
  <c r="BD250" i="2"/>
  <c r="AZ250" i="2"/>
  <c r="BA249" i="2"/>
  <c r="BB248" i="2"/>
  <c r="BC247" i="2"/>
  <c r="BD246" i="2"/>
  <c r="AZ246" i="2"/>
  <c r="BA245" i="2"/>
  <c r="BB244" i="2"/>
  <c r="BC243" i="2"/>
  <c r="BD242" i="2"/>
  <c r="AZ242" i="2"/>
  <c r="BA241" i="2"/>
  <c r="BB240" i="2"/>
  <c r="BC239" i="2"/>
  <c r="BD238" i="2"/>
  <c r="AZ238" i="2"/>
  <c r="BA237" i="2"/>
  <c r="BB236" i="2"/>
  <c r="BC235" i="2"/>
  <c r="BD234" i="2"/>
  <c r="AZ234" i="2"/>
  <c r="BA233" i="2"/>
  <c r="BB232" i="2"/>
  <c r="BC231" i="2"/>
  <c r="BD230" i="2"/>
  <c r="AZ230" i="2"/>
  <c r="BA229" i="2"/>
  <c r="BB228" i="2"/>
  <c r="BC227" i="2"/>
  <c r="BD226" i="2"/>
  <c r="AZ226" i="2"/>
  <c r="BA225" i="2"/>
  <c r="BB224" i="2"/>
  <c r="BC223" i="2"/>
  <c r="BD222" i="2"/>
  <c r="AZ222" i="2"/>
  <c r="BA221" i="2"/>
  <c r="BB220" i="2"/>
  <c r="BC219" i="2"/>
  <c r="BD218" i="2"/>
  <c r="AZ218" i="2"/>
  <c r="BA217" i="2"/>
  <c r="BB216" i="2"/>
  <c r="BC215" i="2"/>
  <c r="BD214" i="2"/>
  <c r="AZ214" i="2"/>
  <c r="BA213" i="2"/>
  <c r="BB212" i="2"/>
  <c r="BC211" i="2"/>
  <c r="BD210" i="2"/>
  <c r="AZ210" i="2"/>
  <c r="BA209" i="2"/>
  <c r="BB208" i="2"/>
  <c r="BC207" i="2"/>
  <c r="BD206" i="2"/>
  <c r="AZ206" i="2"/>
  <c r="BA205" i="2"/>
  <c r="BB204" i="2"/>
  <c r="BC203" i="2"/>
  <c r="BD202" i="2"/>
  <c r="AZ202" i="2"/>
  <c r="BA201" i="2"/>
  <c r="BB200" i="2"/>
  <c r="BC199" i="2"/>
  <c r="BD198" i="2"/>
  <c r="AZ198" i="2"/>
  <c r="BA197" i="2"/>
  <c r="BB196" i="2"/>
  <c r="BC195" i="2"/>
  <c r="BD194" i="2"/>
  <c r="AZ194" i="2"/>
  <c r="BA193" i="2"/>
  <c r="BB192" i="2"/>
  <c r="BC191" i="2"/>
  <c r="BD190" i="2"/>
  <c r="AZ190" i="2"/>
  <c r="BA189" i="2"/>
  <c r="BB188" i="2"/>
  <c r="BC187" i="2"/>
  <c r="BD186" i="2"/>
  <c r="AZ186" i="2"/>
  <c r="BA185" i="2"/>
  <c r="BB184" i="2"/>
  <c r="BC183" i="2"/>
  <c r="BD182" i="2"/>
  <c r="AZ182" i="2"/>
  <c r="BA181" i="2"/>
  <c r="BB180" i="2"/>
  <c r="BC179" i="2"/>
  <c r="BD178" i="2"/>
  <c r="AZ178" i="2"/>
  <c r="BA177" i="2"/>
  <c r="BB176" i="2"/>
  <c r="BC175" i="2"/>
  <c r="BD174" i="2"/>
  <c r="AZ174" i="2"/>
  <c r="BA173" i="2"/>
  <c r="BB172" i="2"/>
  <c r="BC171" i="2"/>
  <c r="BD170" i="2"/>
  <c r="AZ170" i="2"/>
  <c r="BA169" i="2"/>
  <c r="BB168" i="2"/>
  <c r="BC167" i="2"/>
  <c r="BD166" i="2"/>
  <c r="AZ166" i="2"/>
  <c r="BA165" i="2"/>
  <c r="BB164" i="2"/>
  <c r="BC163" i="2"/>
  <c r="BD162" i="2"/>
  <c r="AZ162" i="2"/>
  <c r="BA161" i="2"/>
  <c r="BB160" i="2"/>
  <c r="BC159" i="2"/>
  <c r="BD158" i="2"/>
  <c r="AZ158" i="2"/>
  <c r="BA157" i="2"/>
  <c r="BB156" i="2"/>
  <c r="BC155" i="2"/>
  <c r="BD154" i="2"/>
  <c r="AZ154" i="2"/>
  <c r="BA153" i="2"/>
  <c r="BB152" i="2"/>
  <c r="BC151" i="2"/>
  <c r="BD150" i="2"/>
  <c r="AZ150" i="2"/>
  <c r="BA149" i="2"/>
  <c r="BB148" i="2"/>
  <c r="BC147" i="2"/>
  <c r="BD146" i="2"/>
  <c r="AZ146" i="2"/>
  <c r="BA145" i="2"/>
  <c r="BB144" i="2"/>
  <c r="BC143" i="2"/>
  <c r="BD142" i="2"/>
  <c r="AZ142" i="2"/>
  <c r="BA141" i="2"/>
  <c r="BB140" i="2"/>
  <c r="BC139" i="2"/>
  <c r="BD138" i="2"/>
  <c r="AZ138" i="2"/>
  <c r="BA137" i="2"/>
  <c r="BB136" i="2"/>
  <c r="BC135" i="2"/>
  <c r="BD134" i="2"/>
  <c r="AZ134" i="2"/>
  <c r="BA133" i="2"/>
  <c r="BB132" i="2"/>
  <c r="BC131" i="2"/>
  <c r="BD130" i="2"/>
  <c r="AZ130" i="2"/>
  <c r="BA129" i="2"/>
  <c r="BB128" i="2"/>
  <c r="BC127" i="2"/>
  <c r="BD126" i="2"/>
  <c r="AZ126" i="2"/>
  <c r="BA125" i="2"/>
  <c r="BB124" i="2"/>
  <c r="BC123" i="2"/>
  <c r="BD122" i="2"/>
  <c r="AZ122" i="2"/>
  <c r="BA121" i="2"/>
  <c r="BB120" i="2"/>
  <c r="BC119" i="2"/>
  <c r="BD118" i="2"/>
  <c r="AZ118" i="2"/>
  <c r="BA117" i="2"/>
  <c r="BB116" i="2"/>
  <c r="BC115" i="2"/>
  <c r="BD114" i="2"/>
  <c r="AZ114" i="2"/>
  <c r="BA113" i="2"/>
  <c r="BB112" i="2"/>
  <c r="BC111" i="2"/>
  <c r="BD110" i="2"/>
  <c r="AZ110" i="2"/>
  <c r="BA109" i="2"/>
  <c r="BB108" i="2"/>
  <c r="BC107" i="2"/>
  <c r="BD106" i="2"/>
  <c r="AZ106" i="2"/>
  <c r="BA105" i="2"/>
  <c r="BB104" i="2"/>
  <c r="BC103" i="2"/>
  <c r="BD102" i="2"/>
  <c r="AZ102" i="2"/>
  <c r="BA101" i="2"/>
  <c r="BB100" i="2"/>
  <c r="BC99" i="2"/>
  <c r="BD98" i="2"/>
  <c r="AZ98" i="2"/>
  <c r="BA97" i="2"/>
  <c r="BB96" i="2"/>
  <c r="BC95" i="2"/>
  <c r="BD94" i="2"/>
  <c r="AZ94" i="2"/>
  <c r="BA93" i="2"/>
  <c r="BB92" i="2"/>
  <c r="BC91" i="2"/>
  <c r="BD90" i="2"/>
  <c r="AZ90" i="2"/>
  <c r="BA89" i="2"/>
  <c r="AZ88" i="2"/>
  <c r="BB86" i="2"/>
  <c r="BD84" i="2"/>
  <c r="BA83" i="2"/>
  <c r="BC81" i="2"/>
  <c r="AZ80" i="2"/>
  <c r="BB78" i="2"/>
  <c r="BD76" i="2"/>
  <c r="BA75" i="2"/>
  <c r="BC73" i="2"/>
  <c r="AZ72" i="2"/>
  <c r="BB70" i="2"/>
  <c r="BD68" i="2"/>
  <c r="BA67" i="2"/>
  <c r="BC65" i="2"/>
  <c r="AZ64" i="2"/>
  <c r="BB62" i="2"/>
  <c r="BD60" i="2"/>
  <c r="BA59" i="2"/>
  <c r="BC57" i="2"/>
  <c r="AZ56" i="2"/>
  <c r="BB54" i="2"/>
  <c r="BD52" i="2"/>
  <c r="BA51" i="2"/>
  <c r="BC49" i="2"/>
  <c r="AZ48" i="2"/>
  <c r="BB46" i="2"/>
  <c r="BD44" i="2"/>
  <c r="BA43" i="2"/>
  <c r="BC41" i="2"/>
  <c r="BB38" i="2"/>
  <c r="BD36" i="2"/>
  <c r="AZ6" i="2"/>
  <c r="AZ10" i="2"/>
  <c r="AZ14" i="2"/>
  <c r="AZ18" i="2"/>
  <c r="AZ22" i="2"/>
  <c r="AZ26" i="2"/>
  <c r="AZ30" i="2"/>
  <c r="AZ34" i="2"/>
  <c r="AZ7" i="2"/>
  <c r="AZ11" i="2"/>
  <c r="AZ15" i="2"/>
  <c r="AZ19" i="2"/>
  <c r="AZ23" i="2"/>
  <c r="AZ27" i="2"/>
  <c r="AZ31" i="2"/>
  <c r="AZ35" i="2"/>
  <c r="AZ39" i="2"/>
  <c r="AZ43" i="2"/>
  <c r="AZ47" i="2"/>
  <c r="AZ51" i="2"/>
  <c r="AZ55" i="2"/>
  <c r="AZ59" i="2"/>
  <c r="AZ63" i="2"/>
  <c r="AZ67" i="2"/>
  <c r="AZ71" i="2"/>
  <c r="AZ75" i="2"/>
  <c r="AZ79" i="2"/>
  <c r="AZ83" i="2"/>
  <c r="AZ87" i="2"/>
  <c r="AZ4" i="2"/>
  <c r="AZ8" i="2"/>
  <c r="AZ12" i="2"/>
  <c r="AZ16" i="2"/>
  <c r="AZ20" i="2"/>
  <c r="AZ24" i="2"/>
  <c r="AZ28" i="2"/>
  <c r="AZ32" i="2"/>
  <c r="AZ5" i="2"/>
  <c r="AZ9" i="2"/>
  <c r="AZ13" i="2"/>
  <c r="AZ17" i="2"/>
  <c r="AZ21" i="2"/>
  <c r="AZ25" i="2"/>
  <c r="AZ29" i="2"/>
  <c r="AZ33" i="2"/>
  <c r="AZ37" i="2"/>
  <c r="AZ41" i="2"/>
  <c r="AZ45" i="2"/>
  <c r="AZ49" i="2"/>
  <c r="AZ53" i="2"/>
  <c r="AZ57" i="2"/>
  <c r="AZ61" i="2"/>
  <c r="AZ65" i="2"/>
  <c r="AZ69" i="2"/>
  <c r="AZ73" i="2"/>
  <c r="AZ77" i="2"/>
  <c r="AZ81" i="2"/>
  <c r="AZ85" i="2"/>
  <c r="BH3" i="2"/>
  <c r="BL3" i="2"/>
  <c r="BP3" i="2"/>
  <c r="AZ3" i="2"/>
  <c r="BB251" i="2"/>
  <c r="BB247" i="2"/>
  <c r="BB243" i="2"/>
  <c r="BB239" i="2"/>
  <c r="BD233" i="2"/>
  <c r="AZ233" i="2"/>
  <c r="BA232" i="2"/>
  <c r="BB231" i="2"/>
  <c r="BC230" i="2"/>
  <c r="BD229" i="2"/>
  <c r="AZ229" i="2"/>
  <c r="BA228" i="2"/>
  <c r="BB227" i="2"/>
  <c r="BC226" i="2"/>
  <c r="BD225" i="2"/>
  <c r="AZ225" i="2"/>
  <c r="BA224" i="2"/>
  <c r="BB223" i="2"/>
  <c r="BC222" i="2"/>
  <c r="BD221" i="2"/>
  <c r="AZ221" i="2"/>
  <c r="BA220" i="2"/>
  <c r="BB219" i="2"/>
  <c r="BC218" i="2"/>
  <c r="BD217" i="2"/>
  <c r="AZ217" i="2"/>
  <c r="BA216" i="2"/>
  <c r="BB215" i="2"/>
  <c r="BC214" i="2"/>
  <c r="BD213" i="2"/>
  <c r="AZ213" i="2"/>
  <c r="BA212" i="2"/>
  <c r="BB211" i="2"/>
  <c r="BC210" i="2"/>
  <c r="BD209" i="2"/>
  <c r="AZ209" i="2"/>
  <c r="BA208" i="2"/>
  <c r="BB207" i="2"/>
  <c r="BC206" i="2"/>
  <c r="BD205" i="2"/>
  <c r="AZ205" i="2"/>
  <c r="BA204" i="2"/>
  <c r="BB203" i="2"/>
  <c r="BC202" i="2"/>
  <c r="BD201" i="2"/>
  <c r="AZ201" i="2"/>
  <c r="BA200" i="2"/>
  <c r="BB199" i="2"/>
  <c r="BC198" i="2"/>
  <c r="BD197" i="2"/>
  <c r="AZ197" i="2"/>
  <c r="BA196" i="2"/>
  <c r="BB195" i="2"/>
  <c r="BC194" i="2"/>
  <c r="BD193" i="2"/>
  <c r="AZ193" i="2"/>
  <c r="BA192" i="2"/>
  <c r="BB191" i="2"/>
  <c r="BC190" i="2"/>
  <c r="BD189" i="2"/>
  <c r="AZ189" i="2"/>
  <c r="BA188" i="2"/>
  <c r="BB187" i="2"/>
  <c r="BC186" i="2"/>
  <c r="BD185" i="2"/>
  <c r="AZ185" i="2"/>
  <c r="BA184" i="2"/>
  <c r="BB183" i="2"/>
  <c r="BC182" i="2"/>
  <c r="BD181" i="2"/>
  <c r="AZ181" i="2"/>
  <c r="BA180" i="2"/>
  <c r="BB179" i="2"/>
  <c r="BC178" i="2"/>
  <c r="BD177" i="2"/>
  <c r="AZ177" i="2"/>
  <c r="BA176" i="2"/>
  <c r="BB175" i="2"/>
  <c r="BC174" i="2"/>
  <c r="BD173" i="2"/>
  <c r="AZ173" i="2"/>
  <c r="BA172" i="2"/>
  <c r="BB171" i="2"/>
  <c r="BC170" i="2"/>
  <c r="BD169" i="2"/>
  <c r="AZ169" i="2"/>
  <c r="BA168" i="2"/>
  <c r="BB167" i="2"/>
  <c r="BC166" i="2"/>
  <c r="BD165" i="2"/>
  <c r="AZ165" i="2"/>
  <c r="BA164" i="2"/>
  <c r="BB163" i="2"/>
  <c r="BC162" i="2"/>
  <c r="BD161" i="2"/>
  <c r="AZ161" i="2"/>
  <c r="BA160" i="2"/>
  <c r="BB159" i="2"/>
  <c r="BC158" i="2"/>
  <c r="BD157" i="2"/>
  <c r="AZ157" i="2"/>
  <c r="BA156" i="2"/>
  <c r="BB155" i="2"/>
  <c r="BC154" i="2"/>
  <c r="BD153" i="2"/>
  <c r="AZ153" i="2"/>
  <c r="BA152" i="2"/>
  <c r="BB151" i="2"/>
  <c r="BC150" i="2"/>
  <c r="BD149" i="2"/>
  <c r="AZ149" i="2"/>
  <c r="BA148" i="2"/>
  <c r="BB147" i="2"/>
  <c r="BC146" i="2"/>
  <c r="BD145" i="2"/>
  <c r="AZ145" i="2"/>
  <c r="BA144" i="2"/>
  <c r="BB143" i="2"/>
  <c r="BC142" i="2"/>
  <c r="BD141" i="2"/>
  <c r="AZ141" i="2"/>
  <c r="BA140" i="2"/>
  <c r="BB139" i="2"/>
  <c r="BC138" i="2"/>
  <c r="BD137" i="2"/>
  <c r="AZ137" i="2"/>
  <c r="BA136" i="2"/>
  <c r="BB135" i="2"/>
  <c r="BC134" i="2"/>
  <c r="BD133" i="2"/>
  <c r="AZ133" i="2"/>
  <c r="BA132" i="2"/>
  <c r="BB131" i="2"/>
  <c r="BC130" i="2"/>
  <c r="BD129" i="2"/>
  <c r="AZ129" i="2"/>
  <c r="BA128" i="2"/>
  <c r="BB127" i="2"/>
  <c r="BC126" i="2"/>
  <c r="BD125" i="2"/>
  <c r="AZ125" i="2"/>
  <c r="BA124" i="2"/>
  <c r="BB123" i="2"/>
  <c r="BC122" i="2"/>
  <c r="BD121" i="2"/>
  <c r="AZ121" i="2"/>
  <c r="BA120" i="2"/>
  <c r="BB119" i="2"/>
  <c r="BC118" i="2"/>
  <c r="BD117" i="2"/>
  <c r="AZ117" i="2"/>
  <c r="BA116" i="2"/>
  <c r="BB115" i="2"/>
  <c r="BC114" i="2"/>
  <c r="BD113" i="2"/>
  <c r="AZ113" i="2"/>
  <c r="BA112" i="2"/>
  <c r="BB111" i="2"/>
  <c r="BC110" i="2"/>
  <c r="BD109" i="2"/>
  <c r="AZ109" i="2"/>
  <c r="BA108" i="2"/>
  <c r="BB107" i="2"/>
  <c r="BC106" i="2"/>
  <c r="BD105" i="2"/>
  <c r="AZ105" i="2"/>
  <c r="BA104" i="2"/>
  <c r="BB103" i="2"/>
  <c r="BC102" i="2"/>
  <c r="BD101" i="2"/>
  <c r="AZ101" i="2"/>
  <c r="BA100" i="2"/>
  <c r="BB99" i="2"/>
  <c r="BC98" i="2"/>
  <c r="BD97" i="2"/>
  <c r="AZ97" i="2"/>
  <c r="BA96" i="2"/>
  <c r="BB95" i="2"/>
  <c r="BC94" i="2"/>
  <c r="BD93" i="2"/>
  <c r="AZ93" i="2"/>
  <c r="BA92" i="2"/>
  <c r="BB91" i="2"/>
  <c r="BC90" i="2"/>
  <c r="BD89" i="2"/>
  <c r="AZ89" i="2"/>
  <c r="BC87" i="2"/>
  <c r="AZ86" i="2"/>
  <c r="BB84" i="2"/>
  <c r="BD82" i="2"/>
  <c r="BA81" i="2"/>
  <c r="BC79" i="2"/>
  <c r="AZ78" i="2"/>
  <c r="BB76" i="2"/>
  <c r="BD74" i="2"/>
  <c r="BA73" i="2"/>
  <c r="BC71" i="2"/>
  <c r="AZ70" i="2"/>
  <c r="BB68" i="2"/>
  <c r="BD66" i="2"/>
  <c r="BA65" i="2"/>
  <c r="BC63" i="2"/>
  <c r="AZ62" i="2"/>
  <c r="BB60" i="2"/>
  <c r="BD58" i="2"/>
  <c r="BA57" i="2"/>
  <c r="BC55" i="2"/>
  <c r="AZ54" i="2"/>
  <c r="BB52" i="2"/>
  <c r="BD50" i="2"/>
  <c r="BA49" i="2"/>
  <c r="BC47" i="2"/>
  <c r="AZ46" i="2"/>
  <c r="BB44" i="2"/>
  <c r="BD42" i="2"/>
  <c r="BA41" i="2"/>
  <c r="BC39" i="2"/>
  <c r="AZ38" i="2"/>
  <c r="AZ36" i="2"/>
  <c r="J2" i="13"/>
  <c r="C4" i="24" l="1"/>
  <c r="F3" i="7" l="1"/>
  <c r="F4" i="7"/>
  <c r="F5" i="7"/>
  <c r="F6" i="7"/>
  <c r="F2" i="7"/>
  <c r="A12" i="33"/>
  <c r="J12" i="43" s="1"/>
  <c r="A13" i="33"/>
  <c r="D22" i="42" s="1"/>
  <c r="D28" i="42" s="1"/>
  <c r="A14" i="33"/>
  <c r="J14" i="43" s="1"/>
  <c r="A15" i="33"/>
  <c r="J15" i="43" s="1"/>
  <c r="A11" i="33"/>
  <c r="J11" i="43" s="1"/>
  <c r="D2" i="43"/>
  <c r="A7" i="43"/>
  <c r="D7" i="43" s="1"/>
  <c r="A4" i="43"/>
  <c r="C4" i="43" s="1"/>
  <c r="A5" i="43"/>
  <c r="C5" i="43" s="1"/>
  <c r="A6" i="43"/>
  <c r="D6" i="43" s="1"/>
  <c r="A3" i="43"/>
  <c r="C3" i="43" s="1"/>
  <c r="P12" i="33"/>
  <c r="P13" i="33"/>
  <c r="P14" i="33"/>
  <c r="P15" i="33"/>
  <c r="P11" i="33"/>
  <c r="O12" i="33"/>
  <c r="O13" i="33"/>
  <c r="O14" i="33"/>
  <c r="O15" i="33"/>
  <c r="O11" i="33"/>
  <c r="B27" i="42"/>
  <c r="A27" i="42" s="1"/>
  <c r="B28" i="42"/>
  <c r="A28" i="42" s="1"/>
  <c r="B29" i="42"/>
  <c r="A29" i="42" s="1"/>
  <c r="B30" i="42"/>
  <c r="A30" i="42" s="1"/>
  <c r="B26" i="42"/>
  <c r="A26" i="42" s="1"/>
  <c r="B21" i="42"/>
  <c r="A21" i="42" s="1"/>
  <c r="B22" i="42"/>
  <c r="A22" i="42" s="1"/>
  <c r="B23" i="42"/>
  <c r="A23" i="42" s="1"/>
  <c r="B24" i="42"/>
  <c r="A24" i="42" s="1"/>
  <c r="B20" i="42"/>
  <c r="A20" i="42" s="1"/>
  <c r="W15" i="33"/>
  <c r="W14" i="33"/>
  <c r="W13" i="33"/>
  <c r="W12" i="33"/>
  <c r="W11" i="33"/>
  <c r="U13" i="36"/>
  <c r="U14" i="36"/>
  <c r="U15" i="36"/>
  <c r="U16" i="36"/>
  <c r="U12" i="36"/>
  <c r="S13" i="36"/>
  <c r="S14" i="36"/>
  <c r="S15" i="36"/>
  <c r="S16" i="36"/>
  <c r="S12" i="36"/>
  <c r="Q13" i="36"/>
  <c r="Q14" i="36"/>
  <c r="Q15" i="36"/>
  <c r="Q16" i="36"/>
  <c r="Q12" i="36"/>
  <c r="J13" i="36"/>
  <c r="L13" i="36"/>
  <c r="R13" i="36" s="1"/>
  <c r="M13" i="36"/>
  <c r="O13" i="36" s="1"/>
  <c r="V13" i="36" s="1"/>
  <c r="J14" i="36"/>
  <c r="L14" i="36"/>
  <c r="R14" i="36" s="1"/>
  <c r="M14" i="36"/>
  <c r="O14" i="36" s="1"/>
  <c r="V14" i="36" s="1"/>
  <c r="J15" i="36"/>
  <c r="L15" i="36"/>
  <c r="R15" i="36" s="1"/>
  <c r="M15" i="36"/>
  <c r="O15" i="36" s="1"/>
  <c r="V15" i="36" s="1"/>
  <c r="J16" i="36"/>
  <c r="L16" i="36"/>
  <c r="R16" i="36" s="1"/>
  <c r="M16" i="36"/>
  <c r="O16" i="36" s="1"/>
  <c r="T16" i="36" s="1"/>
  <c r="M12" i="36"/>
  <c r="O12" i="36" s="1"/>
  <c r="T12" i="36" s="1"/>
  <c r="L12" i="36"/>
  <c r="R12" i="36" s="1"/>
  <c r="J12" i="36"/>
  <c r="S12" i="33"/>
  <c r="T12" i="33" s="1"/>
  <c r="S13" i="33"/>
  <c r="T13" i="33" s="1"/>
  <c r="S14" i="33"/>
  <c r="T14" i="33" s="1"/>
  <c r="S15" i="33"/>
  <c r="T15" i="33" s="1"/>
  <c r="S11" i="33"/>
  <c r="T11" i="33" s="1"/>
  <c r="R12" i="33"/>
  <c r="R13" i="33"/>
  <c r="R14" i="33"/>
  <c r="R15" i="33"/>
  <c r="R11" i="33"/>
  <c r="C12" i="33"/>
  <c r="C13" i="33"/>
  <c r="C14" i="33"/>
  <c r="C15" i="33"/>
  <c r="E12" i="33"/>
  <c r="F12" i="33"/>
  <c r="G12" i="33"/>
  <c r="K12" i="33"/>
  <c r="L12" i="33"/>
  <c r="M12" i="33"/>
  <c r="N12" i="33"/>
  <c r="E13" i="33"/>
  <c r="F13" i="33"/>
  <c r="G13" i="33"/>
  <c r="K13" i="33"/>
  <c r="L13" i="33"/>
  <c r="M13" i="33"/>
  <c r="N13" i="33"/>
  <c r="E14" i="33"/>
  <c r="F14" i="33"/>
  <c r="G14" i="33"/>
  <c r="K14" i="33"/>
  <c r="L14" i="33"/>
  <c r="M14" i="33"/>
  <c r="N14" i="33"/>
  <c r="E15" i="33"/>
  <c r="F15" i="33"/>
  <c r="G15" i="33"/>
  <c r="K15" i="33"/>
  <c r="L15" i="33"/>
  <c r="M15" i="33"/>
  <c r="N15" i="33"/>
  <c r="N11" i="33"/>
  <c r="M11" i="33"/>
  <c r="L11" i="33"/>
  <c r="K11" i="33"/>
  <c r="F11" i="33"/>
  <c r="G11" i="33"/>
  <c r="E11" i="33"/>
  <c r="C11" i="33"/>
  <c r="A3" i="33"/>
  <c r="A4" i="33"/>
  <c r="A5" i="33"/>
  <c r="A6" i="33"/>
  <c r="A7" i="33"/>
  <c r="A8" i="33"/>
  <c r="A9" i="33"/>
  <c r="A10" i="33"/>
  <c r="A2" i="33"/>
  <c r="D2" i="13"/>
  <c r="A2" i="13"/>
  <c r="A16" i="12"/>
  <c r="A15" i="12"/>
  <c r="A14" i="12"/>
  <c r="A13" i="12"/>
  <c r="A12" i="12"/>
  <c r="A11" i="12"/>
  <c r="A10" i="12"/>
  <c r="A9" i="12"/>
  <c r="A8" i="12"/>
  <c r="A7" i="12"/>
  <c r="A6" i="12"/>
  <c r="A5" i="12"/>
  <c r="A4" i="12"/>
  <c r="A3" i="12"/>
  <c r="A2" i="12"/>
  <c r="A3" i="7"/>
  <c r="A4" i="7"/>
  <c r="A5" i="7"/>
  <c r="A6" i="7"/>
  <c r="A2" i="43" l="1"/>
  <c r="C2" i="43" s="1"/>
  <c r="C6" i="43"/>
  <c r="D21" i="42"/>
  <c r="D27" i="42" s="1"/>
  <c r="J13" i="43"/>
  <c r="D5" i="43"/>
  <c r="C7" i="43"/>
  <c r="T15" i="36"/>
  <c r="X15" i="36" s="1"/>
  <c r="U14" i="33" s="1"/>
  <c r="D20" i="42"/>
  <c r="D26" i="42" s="1"/>
  <c r="D23" i="42"/>
  <c r="D29" i="42" s="1"/>
  <c r="D4" i="43"/>
  <c r="D3" i="43"/>
  <c r="D24" i="42"/>
  <c r="D30" i="42" s="1"/>
  <c r="T14" i="36"/>
  <c r="X14" i="36" s="1"/>
  <c r="U13" i="33" s="1"/>
  <c r="V16" i="36"/>
  <c r="X16" i="36" s="1"/>
  <c r="U15" i="33" s="1"/>
  <c r="T13" i="36"/>
  <c r="X13" i="36" s="1"/>
  <c r="U12" i="33" s="1"/>
  <c r="V12" i="36"/>
  <c r="X12" i="36" s="1"/>
  <c r="U11" i="33" s="1"/>
  <c r="E6" i="44" l="1"/>
  <c r="C6" i="44" s="1"/>
  <c r="E3" i="44"/>
  <c r="C3" i="44" s="1"/>
  <c r="E4" i="44"/>
  <c r="C4" i="44" s="1"/>
  <c r="E9" i="44"/>
  <c r="C9" i="44" s="1"/>
  <c r="E2" i="44"/>
  <c r="C2" i="44" s="1"/>
  <c r="E7" i="44"/>
  <c r="C7" i="44" s="1"/>
  <c r="E8" i="44"/>
  <c r="C8" i="44" s="1"/>
  <c r="E5" i="44"/>
  <c r="C5" i="44" s="1"/>
  <c r="E29" i="45"/>
  <c r="C29" i="45" s="1"/>
  <c r="E26" i="45"/>
  <c r="C26" i="45" s="1"/>
  <c r="E20" i="45"/>
  <c r="C20" i="45" s="1"/>
  <c r="E14" i="45"/>
  <c r="C14" i="45" s="1"/>
  <c r="E8" i="45"/>
  <c r="C8" i="45" s="1"/>
  <c r="E4" i="45"/>
  <c r="C4" i="45" s="1"/>
  <c r="E23" i="45"/>
  <c r="C23" i="45" s="1"/>
  <c r="E17" i="45"/>
  <c r="C17" i="45" s="1"/>
  <c r="E11" i="45"/>
  <c r="C11" i="45" s="1"/>
  <c r="E3" i="45"/>
  <c r="C3" i="45" s="1"/>
  <c r="E9" i="45"/>
  <c r="C9" i="45" s="1"/>
  <c r="E28" i="45"/>
  <c r="C28" i="45" s="1"/>
  <c r="E7" i="45"/>
  <c r="C7" i="45" s="1"/>
  <c r="E5" i="45"/>
  <c r="C5" i="45" s="1"/>
  <c r="E31" i="45"/>
  <c r="C31" i="45" s="1"/>
  <c r="E25" i="45"/>
  <c r="C25" i="45" s="1"/>
  <c r="E22" i="45"/>
  <c r="C22" i="45" s="1"/>
  <c r="E19" i="45"/>
  <c r="C19" i="45" s="1"/>
  <c r="E16" i="45"/>
  <c r="C16" i="45" s="1"/>
  <c r="E13" i="45"/>
  <c r="C13" i="45" s="1"/>
  <c r="E10" i="45"/>
  <c r="C10" i="45" s="1"/>
  <c r="E6" i="45"/>
  <c r="C6" i="45" s="1"/>
  <c r="E2" i="45"/>
  <c r="C2" i="45" s="1"/>
  <c r="E30" i="45"/>
  <c r="C30" i="45" s="1"/>
  <c r="E27" i="45"/>
  <c r="C27" i="45" s="1"/>
  <c r="E24" i="45"/>
  <c r="C24" i="45" s="1"/>
  <c r="E21" i="45"/>
  <c r="C21" i="45" s="1"/>
  <c r="E18" i="45"/>
  <c r="C18" i="45" s="1"/>
  <c r="E15" i="45"/>
  <c r="C15" i="45" s="1"/>
  <c r="E12" i="45"/>
  <c r="C12" i="45" s="1"/>
  <c r="G3" i="33"/>
  <c r="G4" i="33"/>
  <c r="G5" i="33"/>
  <c r="G6" i="33"/>
  <c r="G7" i="33"/>
  <c r="G8" i="33"/>
  <c r="G9" i="33"/>
  <c r="G10" i="33"/>
  <c r="G2" i="33"/>
  <c r="S3" i="33"/>
  <c r="S4" i="33"/>
  <c r="S5" i="33"/>
  <c r="S6" i="33"/>
  <c r="S7" i="33"/>
  <c r="S8" i="33"/>
  <c r="S9" i="33"/>
  <c r="S10" i="33"/>
  <c r="S2" i="33"/>
  <c r="J3" i="43"/>
  <c r="K3" i="43" s="1" a="1"/>
  <c r="K3" i="43" s="1"/>
  <c r="J4" i="43"/>
  <c r="K4" i="43" s="1" a="1"/>
  <c r="K4" i="43" s="1"/>
  <c r="J5" i="43"/>
  <c r="K5" i="43" s="1" a="1"/>
  <c r="K5" i="43" s="1"/>
  <c r="J6" i="43"/>
  <c r="K6" i="43" s="1" a="1"/>
  <c r="K6" i="43" s="1"/>
  <c r="J7" i="43"/>
  <c r="K7" i="43" s="1" a="1"/>
  <c r="K7" i="43" s="1"/>
  <c r="J8" i="43"/>
  <c r="K8" i="43" s="1" a="1"/>
  <c r="K8" i="43" s="1"/>
  <c r="J9" i="43"/>
  <c r="K9" i="43" s="1" a="1"/>
  <c r="K9" i="43" s="1"/>
  <c r="J10" i="43"/>
  <c r="K10" i="43" s="1" a="1"/>
  <c r="K10" i="43" s="1"/>
  <c r="J2" i="43"/>
  <c r="K2" i="43" s="1" a="1"/>
  <c r="K2" i="43" s="1"/>
  <c r="P3" i="33" l="1"/>
  <c r="P2" i="33"/>
  <c r="K2" i="33"/>
  <c r="O2" i="33"/>
  <c r="F3" i="33"/>
  <c r="O3" i="33"/>
  <c r="N2" i="33"/>
  <c r="N3" i="33"/>
  <c r="M2" i="33"/>
  <c r="M3" i="33"/>
  <c r="L2" i="33"/>
  <c r="L3" i="33"/>
  <c r="K3" i="33"/>
  <c r="Q4" i="36" l="1"/>
  <c r="U4" i="36"/>
  <c r="Q5" i="36"/>
  <c r="U5" i="36"/>
  <c r="F2" i="33" l="1"/>
  <c r="P10" i="33" l="1"/>
  <c r="P9" i="33"/>
  <c r="P8" i="33"/>
  <c r="P7" i="33"/>
  <c r="P6" i="33"/>
  <c r="P5" i="33"/>
  <c r="P4" i="33"/>
  <c r="O8" i="33"/>
  <c r="O9" i="33"/>
  <c r="O7" i="33"/>
  <c r="O4" i="33"/>
  <c r="O5" i="33"/>
  <c r="O6" i="33"/>
  <c r="O10" i="33"/>
  <c r="F4" i="33"/>
  <c r="N4" i="33"/>
  <c r="K4" i="33"/>
  <c r="L4" i="33"/>
  <c r="M4" i="33"/>
  <c r="N8" i="33"/>
  <c r="K8" i="33"/>
  <c r="F8" i="33"/>
  <c r="L8" i="33"/>
  <c r="M8" i="33"/>
  <c r="M5" i="33"/>
  <c r="N5" i="33"/>
  <c r="K5" i="33"/>
  <c r="F5" i="33"/>
  <c r="L5" i="33"/>
  <c r="M9" i="33"/>
  <c r="N9" i="33"/>
  <c r="K9" i="33"/>
  <c r="F9" i="33"/>
  <c r="L9" i="33"/>
  <c r="K7" i="33"/>
  <c r="F7" i="33"/>
  <c r="L7" i="33"/>
  <c r="M7" i="33"/>
  <c r="N7" i="33"/>
  <c r="L6" i="33"/>
  <c r="M6" i="33"/>
  <c r="N6" i="33"/>
  <c r="K6" i="33"/>
  <c r="F6" i="33"/>
  <c r="L10" i="33"/>
  <c r="M10" i="33"/>
  <c r="N10" i="33"/>
  <c r="K10" i="33"/>
  <c r="F10" i="33"/>
  <c r="S5" i="36"/>
  <c r="S4" i="36"/>
  <c r="D3" i="42" l="1"/>
  <c r="D12" i="42" s="1"/>
  <c r="D4" i="42"/>
  <c r="D13" i="42" s="1"/>
  <c r="D5" i="42"/>
  <c r="D14" i="42" s="1"/>
  <c r="D6" i="42"/>
  <c r="D15" i="42" s="1"/>
  <c r="D7" i="42"/>
  <c r="D16" i="42" s="1"/>
  <c r="D8" i="42"/>
  <c r="D17" i="42" s="1"/>
  <c r="D9" i="42"/>
  <c r="D18" i="42" s="1"/>
  <c r="D10" i="42"/>
  <c r="D19" i="42" s="1"/>
  <c r="D2" i="42"/>
  <c r="D11" i="42" s="1"/>
  <c r="B12" i="42"/>
  <c r="A12" i="42" s="1"/>
  <c r="B13" i="42"/>
  <c r="A13" i="42" s="1"/>
  <c r="B14" i="42"/>
  <c r="A14" i="42" s="1"/>
  <c r="B15" i="42"/>
  <c r="A15" i="42" s="1"/>
  <c r="B16" i="42"/>
  <c r="A16" i="42" s="1"/>
  <c r="B17" i="42"/>
  <c r="A17" i="42" s="1"/>
  <c r="B18" i="42"/>
  <c r="A18" i="42" s="1"/>
  <c r="B19" i="42"/>
  <c r="A19" i="42" s="1"/>
  <c r="B11" i="42"/>
  <c r="A11" i="42" s="1"/>
  <c r="B3" i="42"/>
  <c r="A3" i="42" s="1"/>
  <c r="B4" i="42"/>
  <c r="A4" i="42" s="1"/>
  <c r="B5" i="42"/>
  <c r="A5" i="42" s="1"/>
  <c r="B6" i="42"/>
  <c r="A6" i="42" s="1"/>
  <c r="B7" i="42"/>
  <c r="A7" i="42" s="1"/>
  <c r="B8" i="42"/>
  <c r="A8" i="42" s="1"/>
  <c r="B9" i="42"/>
  <c r="A9" i="42" s="1"/>
  <c r="B10" i="42"/>
  <c r="A10" i="42" s="1"/>
  <c r="B2" i="42"/>
  <c r="A2" i="42" s="1"/>
  <c r="S11" i="36"/>
  <c r="S10" i="36"/>
  <c r="S9" i="36"/>
  <c r="S8" i="36"/>
  <c r="S7" i="36"/>
  <c r="N6" i="36"/>
  <c r="P6" i="36" s="1"/>
  <c r="N5" i="36"/>
  <c r="P5" i="36" s="1"/>
  <c r="N3" i="36"/>
  <c r="P3" i="36" s="1"/>
  <c r="J3" i="36"/>
  <c r="Q6" i="36"/>
  <c r="Q7" i="36"/>
  <c r="Q8" i="36"/>
  <c r="Q9" i="36"/>
  <c r="Q10" i="36"/>
  <c r="Q11" i="36"/>
  <c r="U6" i="36"/>
  <c r="U7" i="36"/>
  <c r="U8" i="36"/>
  <c r="U9" i="36"/>
  <c r="U10" i="36"/>
  <c r="U11" i="36"/>
  <c r="U3" i="36"/>
  <c r="Q3" i="36"/>
  <c r="N7" i="36" l="1"/>
  <c r="P7" i="36" s="1"/>
  <c r="S6" i="36"/>
  <c r="N10" i="36"/>
  <c r="P10" i="36" s="1"/>
  <c r="N11" i="36"/>
  <c r="P11" i="36" s="1"/>
  <c r="N4" i="36"/>
  <c r="P4" i="36" s="1"/>
  <c r="N8" i="36"/>
  <c r="P8" i="36" s="1"/>
  <c r="N9" i="36"/>
  <c r="P9" i="36" s="1"/>
  <c r="S3" i="36"/>
  <c r="W3" i="33" l="1"/>
  <c r="W4" i="33"/>
  <c r="W5" i="33"/>
  <c r="W6" i="33"/>
  <c r="W7" i="33"/>
  <c r="W8" i="33"/>
  <c r="W9" i="33"/>
  <c r="W10" i="33"/>
  <c r="W2" i="33"/>
  <c r="R3" i="33"/>
  <c r="R4" i="33"/>
  <c r="R5" i="33"/>
  <c r="R6" i="33"/>
  <c r="R7" i="33"/>
  <c r="R8" i="33"/>
  <c r="R9" i="33"/>
  <c r="R10" i="33"/>
  <c r="R2" i="33"/>
  <c r="T3" i="33"/>
  <c r="T4" i="33"/>
  <c r="T6" i="33"/>
  <c r="T7" i="33"/>
  <c r="T8" i="33"/>
  <c r="T9" i="33"/>
  <c r="T10" i="33"/>
  <c r="T2" i="33"/>
  <c r="K11" i="36"/>
  <c r="K10" i="36"/>
  <c r="K9" i="36"/>
  <c r="K8" i="36"/>
  <c r="K7" i="36"/>
  <c r="K6" i="36"/>
  <c r="K5" i="36"/>
  <c r="K4" i="36"/>
  <c r="K3" i="36"/>
  <c r="M11" i="36"/>
  <c r="O11" i="36" s="1"/>
  <c r="L11" i="36"/>
  <c r="M10" i="36"/>
  <c r="O10" i="36" s="1"/>
  <c r="L10" i="36"/>
  <c r="M9" i="36"/>
  <c r="O9" i="36" s="1"/>
  <c r="L9" i="36"/>
  <c r="M8" i="36"/>
  <c r="O8" i="36" s="1"/>
  <c r="L8" i="36"/>
  <c r="M7" i="36"/>
  <c r="O7" i="36" s="1"/>
  <c r="L7" i="36"/>
  <c r="M6" i="36"/>
  <c r="O6" i="36" s="1"/>
  <c r="L6" i="36"/>
  <c r="M5" i="36"/>
  <c r="O5" i="36" s="1"/>
  <c r="L5" i="36"/>
  <c r="M4" i="36"/>
  <c r="O4" i="36" s="1"/>
  <c r="L4" i="36"/>
  <c r="L3" i="36"/>
  <c r="M3" i="36"/>
  <c r="CX6" i="3"/>
  <c r="CX5" i="3"/>
  <c r="CX4" i="3"/>
  <c r="CD7" i="3"/>
  <c r="CC7" i="3"/>
  <c r="CB7" i="3"/>
  <c r="CA7" i="3"/>
  <c r="BZ7" i="3"/>
  <c r="BY7" i="3"/>
  <c r="CD6" i="3"/>
  <c r="CC6" i="3"/>
  <c r="CB6" i="3"/>
  <c r="CA6" i="3"/>
  <c r="BZ6" i="3"/>
  <c r="BY6" i="3"/>
  <c r="CD5" i="3"/>
  <c r="CC5" i="3"/>
  <c r="CB5" i="3"/>
  <c r="CA5" i="3"/>
  <c r="BZ5" i="3"/>
  <c r="BY5" i="3"/>
  <c r="CD4" i="3"/>
  <c r="CC4" i="3"/>
  <c r="CB4" i="3"/>
  <c r="CA4" i="3"/>
  <c r="BZ4" i="3"/>
  <c r="BY4" i="3"/>
  <c r="BV5" i="3"/>
  <c r="BU5" i="3"/>
  <c r="BT5" i="3"/>
  <c r="BS5" i="3"/>
  <c r="BR5" i="3"/>
  <c r="BQ5" i="3"/>
  <c r="BV4" i="3"/>
  <c r="BU4" i="3"/>
  <c r="BT4" i="3"/>
  <c r="BS4" i="3"/>
  <c r="BR4" i="3"/>
  <c r="BQ4" i="3"/>
  <c r="AF7" i="3"/>
  <c r="AE7" i="3"/>
  <c r="AD7" i="3"/>
  <c r="AC7" i="3"/>
  <c r="AB7" i="3"/>
  <c r="AA7" i="3"/>
  <c r="AF6" i="3"/>
  <c r="AE6" i="3"/>
  <c r="AD6" i="3"/>
  <c r="AC6" i="3"/>
  <c r="AB6" i="3"/>
  <c r="AA6" i="3"/>
  <c r="AF5" i="3"/>
  <c r="AE5" i="3"/>
  <c r="AD5" i="3"/>
  <c r="AC5" i="3"/>
  <c r="AB5" i="3"/>
  <c r="AA5" i="3"/>
  <c r="AF4" i="3"/>
  <c r="AE4" i="3"/>
  <c r="AD4" i="3"/>
  <c r="AC4" i="3"/>
  <c r="AB4" i="3"/>
  <c r="AA4" i="3"/>
  <c r="X7" i="3"/>
  <c r="W7" i="3"/>
  <c r="V7" i="3"/>
  <c r="U7" i="3"/>
  <c r="T7" i="3"/>
  <c r="S7" i="3"/>
  <c r="X6" i="3"/>
  <c r="W6" i="3"/>
  <c r="V6" i="3"/>
  <c r="U6" i="3"/>
  <c r="T6" i="3"/>
  <c r="S6" i="3"/>
  <c r="X5" i="3"/>
  <c r="W5" i="3"/>
  <c r="V5" i="3"/>
  <c r="U5" i="3"/>
  <c r="T5" i="3"/>
  <c r="S5" i="3"/>
  <c r="X4" i="3"/>
  <c r="W4" i="3"/>
  <c r="V4" i="3"/>
  <c r="U4" i="3"/>
  <c r="T4" i="3"/>
  <c r="S4" i="3"/>
  <c r="P7" i="3"/>
  <c r="BN7" i="3" s="1"/>
  <c r="O7" i="3"/>
  <c r="BM7" i="3" s="1"/>
  <c r="N7" i="3"/>
  <c r="BL7" i="3" s="1"/>
  <c r="M7" i="3"/>
  <c r="BK7" i="3" s="1"/>
  <c r="L7" i="3"/>
  <c r="BJ7" i="3" s="1"/>
  <c r="K7" i="3"/>
  <c r="BI7" i="3" s="1"/>
  <c r="P6" i="3"/>
  <c r="BN6" i="3" s="1"/>
  <c r="O6" i="3"/>
  <c r="BM6" i="3" s="1"/>
  <c r="N6" i="3"/>
  <c r="BL6" i="3" s="1"/>
  <c r="M6" i="3"/>
  <c r="BK6" i="3" s="1"/>
  <c r="L6" i="3"/>
  <c r="BJ6" i="3" s="1"/>
  <c r="K6" i="3"/>
  <c r="BI6" i="3" s="1"/>
  <c r="P5" i="3"/>
  <c r="BN5" i="3" s="1"/>
  <c r="O5" i="3"/>
  <c r="BM5" i="3" s="1"/>
  <c r="N5" i="3"/>
  <c r="BL5" i="3" s="1"/>
  <c r="M5" i="3"/>
  <c r="BK5" i="3" s="1"/>
  <c r="L5" i="3"/>
  <c r="BJ5" i="3" s="1"/>
  <c r="K5" i="3"/>
  <c r="BI5" i="3" s="1"/>
  <c r="P4" i="3"/>
  <c r="BN4" i="3" s="1"/>
  <c r="O4" i="3"/>
  <c r="BM4" i="3" s="1"/>
  <c r="N4" i="3"/>
  <c r="BL4" i="3" s="1"/>
  <c r="M4" i="3"/>
  <c r="BK4" i="3" s="1"/>
  <c r="L4" i="3"/>
  <c r="BJ4" i="3" s="1"/>
  <c r="K4" i="3"/>
  <c r="BI4" i="3" s="1"/>
  <c r="J11" i="36"/>
  <c r="J10" i="36"/>
  <c r="J9" i="36"/>
  <c r="J8" i="36"/>
  <c r="J7" i="36"/>
  <c r="J6" i="36"/>
  <c r="J5" i="36"/>
  <c r="J4" i="36"/>
  <c r="I4" i="36"/>
  <c r="I5" i="36" s="1"/>
  <c r="I6" i="36" s="1"/>
  <c r="I7" i="36" s="1"/>
  <c r="I8" i="36" s="1"/>
  <c r="I9" i="36" s="1"/>
  <c r="I10" i="36" s="1"/>
  <c r="I11" i="36" s="1"/>
  <c r="I3" i="33"/>
  <c r="J3" i="33" s="1"/>
  <c r="I4" i="33"/>
  <c r="J4" i="33" s="1"/>
  <c r="I5" i="33"/>
  <c r="J5" i="33" s="1"/>
  <c r="I6" i="33"/>
  <c r="J6" i="33" s="1"/>
  <c r="I7" i="33"/>
  <c r="J7" i="33" s="1"/>
  <c r="I8" i="33"/>
  <c r="J8" i="33" s="1"/>
  <c r="I9" i="33"/>
  <c r="J9" i="33" s="1"/>
  <c r="I10" i="33"/>
  <c r="J10" i="33" s="1"/>
  <c r="I2" i="33"/>
  <c r="J2" i="33" s="1"/>
  <c r="O4" i="5"/>
  <c r="O5" i="5" s="1"/>
  <c r="O6" i="5" s="1"/>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O54" i="5" s="1"/>
  <c r="O55" i="5" s="1"/>
  <c r="O56" i="5" s="1"/>
  <c r="O57" i="5" s="1"/>
  <c r="O58" i="5" s="1"/>
  <c r="O59" i="5" s="1"/>
  <c r="O60" i="5" s="1"/>
  <c r="O61" i="5" s="1"/>
  <c r="O62" i="5" s="1"/>
  <c r="O63" i="5" s="1"/>
  <c r="O64" i="5" s="1"/>
  <c r="O65" i="5" s="1"/>
  <c r="O66" i="5" s="1"/>
  <c r="O67" i="5" s="1"/>
  <c r="O68" i="5" s="1"/>
  <c r="O69" i="5" s="1"/>
  <c r="O70" i="5" s="1"/>
  <c r="O71" i="5" s="1"/>
  <c r="O72" i="5" s="1"/>
  <c r="O73" i="5" s="1"/>
  <c r="O74" i="5" s="1"/>
  <c r="O75" i="5" s="1"/>
  <c r="O76" i="5" s="1"/>
  <c r="O77" i="5" s="1"/>
  <c r="O78" i="5" s="1"/>
  <c r="O79" i="5" s="1"/>
  <c r="O80" i="5" s="1"/>
  <c r="O81" i="5" s="1"/>
  <c r="O82" i="5" s="1"/>
  <c r="O83" i="5" s="1"/>
  <c r="O84" i="5" s="1"/>
  <c r="O85" i="5" s="1"/>
  <c r="O86" i="5" s="1"/>
  <c r="O87" i="5" s="1"/>
  <c r="O88" i="5" s="1"/>
  <c r="O89" i="5" s="1"/>
  <c r="O90" i="5" s="1"/>
  <c r="O91" i="5" s="1"/>
  <c r="O92" i="5" s="1"/>
  <c r="O93" i="5" s="1"/>
  <c r="O94" i="5" s="1"/>
  <c r="O95" i="5" s="1"/>
  <c r="O96" i="5" s="1"/>
  <c r="O97" i="5" s="1"/>
  <c r="O98" i="5" s="1"/>
  <c r="O99" i="5" s="1"/>
  <c r="O100" i="5" s="1"/>
  <c r="O101" i="5" s="1"/>
  <c r="O102" i="5" s="1"/>
  <c r="K4" i="5"/>
  <c r="K5" i="5" s="1"/>
  <c r="K6" i="5" s="1"/>
  <c r="K7" i="5" s="1"/>
  <c r="K8" i="5" s="1"/>
  <c r="K9" i="5" s="1"/>
  <c r="K10" i="5" s="1"/>
  <c r="K11" i="5" s="1"/>
  <c r="K12" i="5" s="1"/>
  <c r="K13" i="5" s="1"/>
  <c r="K14" i="5" s="1"/>
  <c r="K15" i="5" s="1"/>
  <c r="K16" i="5" s="1"/>
  <c r="K17" i="5" s="1"/>
  <c r="K18" i="5" s="1"/>
  <c r="K19" i="5" s="1"/>
  <c r="K20" i="5" s="1"/>
  <c r="K21" i="5" s="1"/>
  <c r="K22" i="5" s="1"/>
  <c r="K23" i="5" s="1"/>
  <c r="K24" i="5" s="1"/>
  <c r="K25" i="5" s="1"/>
  <c r="K26" i="5" s="1"/>
  <c r="K27" i="5" s="1"/>
  <c r="K28" i="5" s="1"/>
  <c r="K29" i="5" s="1"/>
  <c r="K30" i="5" s="1"/>
  <c r="K31" i="5" s="1"/>
  <c r="K32" i="5" s="1"/>
  <c r="K33" i="5" s="1"/>
  <c r="K34" i="5" s="1"/>
  <c r="K35" i="5" s="1"/>
  <c r="K36" i="5" s="1"/>
  <c r="K37" i="5" s="1"/>
  <c r="K38" i="5" s="1"/>
  <c r="K39" i="5" s="1"/>
  <c r="K40" i="5" s="1"/>
  <c r="K41" i="5" s="1"/>
  <c r="K42" i="5" s="1"/>
  <c r="K43" i="5" s="1"/>
  <c r="K44" i="5" s="1"/>
  <c r="K45" i="5" s="1"/>
  <c r="K46" i="5" s="1"/>
  <c r="K47" i="5" s="1"/>
  <c r="K48" i="5" s="1"/>
  <c r="K49" i="5" s="1"/>
  <c r="K50" i="5" s="1"/>
  <c r="K51" i="5" s="1"/>
  <c r="K52" i="5" s="1"/>
  <c r="K53" i="5" s="1"/>
  <c r="K54" i="5" s="1"/>
  <c r="K55" i="5" s="1"/>
  <c r="K56" i="5" s="1"/>
  <c r="K57" i="5" s="1"/>
  <c r="K58" i="5" s="1"/>
  <c r="K59" i="5" s="1"/>
  <c r="K60" i="5" s="1"/>
  <c r="K61" i="5" s="1"/>
  <c r="K62" i="5" s="1"/>
  <c r="K63" i="5" s="1"/>
  <c r="K64" i="5" s="1"/>
  <c r="K65" i="5" s="1"/>
  <c r="K66" i="5" s="1"/>
  <c r="K67" i="5" s="1"/>
  <c r="K68" i="5" s="1"/>
  <c r="K69" i="5" s="1"/>
  <c r="K70" i="5" s="1"/>
  <c r="K71" i="5" s="1"/>
  <c r="K72" i="5" s="1"/>
  <c r="K73" i="5" s="1"/>
  <c r="K74" i="5" s="1"/>
  <c r="K75" i="5" s="1"/>
  <c r="K76" i="5" s="1"/>
  <c r="K77" i="5" s="1"/>
  <c r="K78" i="5" s="1"/>
  <c r="K79" i="5" s="1"/>
  <c r="K80" i="5" s="1"/>
  <c r="K81" i="5" s="1"/>
  <c r="K82" i="5" s="1"/>
  <c r="K83" i="5" s="1"/>
  <c r="K84" i="5" s="1"/>
  <c r="K85" i="5" s="1"/>
  <c r="K86" i="5" s="1"/>
  <c r="K87" i="5" s="1"/>
  <c r="K88" i="5" s="1"/>
  <c r="K89" i="5" s="1"/>
  <c r="K90" i="5" s="1"/>
  <c r="K91" i="5" s="1"/>
  <c r="K92" i="5" s="1"/>
  <c r="K93" i="5" s="1"/>
  <c r="K94" i="5" s="1"/>
  <c r="K95" i="5" s="1"/>
  <c r="K96" i="5" s="1"/>
  <c r="K97" i="5" s="1"/>
  <c r="K98" i="5" s="1"/>
  <c r="K99" i="5" s="1"/>
  <c r="K100" i="5" s="1"/>
  <c r="K101" i="5" s="1"/>
  <c r="K102" i="5" s="1"/>
  <c r="G4" i="5"/>
  <c r="G5" i="5" s="1"/>
  <c r="G6" i="5" s="1"/>
  <c r="G7" i="5" s="1"/>
  <c r="G8" i="5" s="1"/>
  <c r="G9" i="5" s="1"/>
  <c r="G10" i="5" s="1"/>
  <c r="G11" i="5" s="1"/>
  <c r="G12" i="5" s="1"/>
  <c r="G13" i="5" s="1"/>
  <c r="G14" i="5" s="1"/>
  <c r="G15" i="5" s="1"/>
  <c r="G16" i="5" s="1"/>
  <c r="G17" i="5" s="1"/>
  <c r="G18" i="5" s="1"/>
  <c r="G19" i="5" s="1"/>
  <c r="G20" i="5" s="1"/>
  <c r="G21" i="5" s="1"/>
  <c r="G22" i="5" s="1"/>
  <c r="G23" i="5" s="1"/>
  <c r="G24" i="5" s="1"/>
  <c r="G25" i="5" s="1"/>
  <c r="G26" i="5" s="1"/>
  <c r="G27" i="5" s="1"/>
  <c r="G28" i="5" s="1"/>
  <c r="G29" i="5" s="1"/>
  <c r="G30" i="5" s="1"/>
  <c r="G31" i="5" s="1"/>
  <c r="G32" i="5" s="1"/>
  <c r="G33" i="5" s="1"/>
  <c r="G34" i="5" s="1"/>
  <c r="G35" i="5" s="1"/>
  <c r="G36" i="5" s="1"/>
  <c r="G37" i="5" s="1"/>
  <c r="G38" i="5" s="1"/>
  <c r="G39" i="5" s="1"/>
  <c r="G40" i="5" s="1"/>
  <c r="G41" i="5" s="1"/>
  <c r="G42" i="5" s="1"/>
  <c r="G43" i="5" s="1"/>
  <c r="G44" i="5" s="1"/>
  <c r="G45" i="5" s="1"/>
  <c r="G46" i="5" s="1"/>
  <c r="G47" i="5" s="1"/>
  <c r="G48" i="5" s="1"/>
  <c r="G49" i="5" s="1"/>
  <c r="G50" i="5" s="1"/>
  <c r="G51" i="5" s="1"/>
  <c r="G52" i="5" s="1"/>
  <c r="G53" i="5" s="1"/>
  <c r="G54" i="5" s="1"/>
  <c r="G55" i="5" s="1"/>
  <c r="G56" i="5" s="1"/>
  <c r="G57" i="5" s="1"/>
  <c r="G58" i="5" s="1"/>
  <c r="G59" i="5" s="1"/>
  <c r="G60" i="5" s="1"/>
  <c r="G61" i="5" s="1"/>
  <c r="G62" i="5" s="1"/>
  <c r="G63" i="5" s="1"/>
  <c r="G64" i="5" s="1"/>
  <c r="G65" i="5" s="1"/>
  <c r="G66" i="5" s="1"/>
  <c r="G67" i="5" s="1"/>
  <c r="G68" i="5" s="1"/>
  <c r="G69" i="5" s="1"/>
  <c r="G70" i="5" s="1"/>
  <c r="G71" i="5" s="1"/>
  <c r="G72" i="5" s="1"/>
  <c r="G73" i="5" s="1"/>
  <c r="G74" i="5" s="1"/>
  <c r="G75" i="5" s="1"/>
  <c r="G76" i="5" s="1"/>
  <c r="G77" i="5" s="1"/>
  <c r="G78" i="5" s="1"/>
  <c r="G79" i="5" s="1"/>
  <c r="G80" i="5" s="1"/>
  <c r="G81" i="5" s="1"/>
  <c r="G82" i="5" s="1"/>
  <c r="G83" i="5" s="1"/>
  <c r="G84" i="5" s="1"/>
  <c r="G85" i="5" s="1"/>
  <c r="G86" i="5" s="1"/>
  <c r="G87" i="5" s="1"/>
  <c r="G88" i="5" s="1"/>
  <c r="G89" i="5" s="1"/>
  <c r="G90" i="5" s="1"/>
  <c r="G91" i="5" s="1"/>
  <c r="G92" i="5" s="1"/>
  <c r="G93" i="5" s="1"/>
  <c r="G94" i="5" s="1"/>
  <c r="G95" i="5" s="1"/>
  <c r="G96" i="5" s="1"/>
  <c r="G97" i="5" s="1"/>
  <c r="G98" i="5" s="1"/>
  <c r="G99" i="5" s="1"/>
  <c r="G100" i="5" s="1"/>
  <c r="G101" i="5" s="1"/>
  <c r="G102" i="5" s="1"/>
  <c r="C4" i="5"/>
  <c r="T5" i="33"/>
  <c r="C3" i="33"/>
  <c r="C4" i="33"/>
  <c r="C5" i="33"/>
  <c r="C6" i="33"/>
  <c r="C7" i="33"/>
  <c r="C8" i="33"/>
  <c r="C9" i="33"/>
  <c r="C10" i="33"/>
  <c r="C2" i="33"/>
  <c r="E3" i="33"/>
  <c r="D3" i="33" s="1"/>
  <c r="E4" i="33"/>
  <c r="D4" i="33" s="1"/>
  <c r="E5" i="33"/>
  <c r="D5" i="33" s="1"/>
  <c r="E6" i="33"/>
  <c r="D6" i="33" s="1"/>
  <c r="E7" i="33"/>
  <c r="D7" i="33" s="1"/>
  <c r="E8" i="33"/>
  <c r="D8" i="33" s="1"/>
  <c r="E9" i="33"/>
  <c r="D9" i="33" s="1"/>
  <c r="E10" i="33"/>
  <c r="D10" i="33" s="1"/>
  <c r="E2" i="33"/>
  <c r="D2" i="33" s="1"/>
  <c r="D11" i="26" l="1"/>
  <c r="D15" i="26"/>
  <c r="D14" i="26"/>
  <c r="D16" i="26"/>
  <c r="D13" i="26"/>
  <c r="D5" i="26"/>
  <c r="D8" i="26"/>
  <c r="D10" i="26"/>
  <c r="D4" i="26"/>
  <c r="D3" i="26"/>
  <c r="D6" i="26"/>
  <c r="D9" i="26"/>
  <c r="D7" i="26"/>
  <c r="D17" i="33"/>
  <c r="D16" i="33"/>
  <c r="D13" i="33"/>
  <c r="D11" i="33"/>
  <c r="D12" i="33"/>
  <c r="D14" i="33"/>
  <c r="D15" i="33"/>
  <c r="C5" i="5"/>
  <c r="C6" i="5" s="1"/>
  <c r="C7" i="5" s="1"/>
  <c r="C8" i="5" s="1"/>
  <c r="C9" i="5" s="1"/>
  <c r="C10" i="5" s="1"/>
  <c r="C11" i="5" s="1"/>
  <c r="C12" i="5" s="1"/>
  <c r="C13" i="5" s="1"/>
  <c r="C14" i="5" s="1"/>
  <c r="C15" i="5" s="1"/>
  <c r="C16" i="5" s="1"/>
  <c r="C17" i="5" s="1"/>
  <c r="C18" i="5" s="1"/>
  <c r="C19" i="5" s="1"/>
  <c r="C20" i="5" s="1"/>
  <c r="C21" i="5" s="1"/>
  <c r="C22" i="5" s="1"/>
  <c r="C23" i="5" s="1"/>
  <c r="C24" i="5" s="1"/>
  <c r="C25" i="5" s="1"/>
  <c r="C26" i="5" s="1"/>
  <c r="C27" i="5" s="1"/>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R9" i="36"/>
  <c r="R4" i="36"/>
  <c r="R5" i="36"/>
  <c r="V5" i="36"/>
  <c r="T5" i="36"/>
  <c r="T4" i="36"/>
  <c r="V4" i="36"/>
  <c r="R7" i="36"/>
  <c r="R11" i="36"/>
  <c r="T6" i="36"/>
  <c r="V6" i="36"/>
  <c r="T8" i="36"/>
  <c r="V8" i="36"/>
  <c r="T7" i="36"/>
  <c r="V7" i="36"/>
  <c r="V9" i="36"/>
  <c r="T9" i="36"/>
  <c r="T11" i="36"/>
  <c r="V11" i="36"/>
  <c r="V10" i="36"/>
  <c r="T10" i="36"/>
  <c r="R3" i="36"/>
  <c r="O3" i="36"/>
  <c r="T3" i="36" s="1"/>
  <c r="R6" i="36"/>
  <c r="R8" i="36"/>
  <c r="R10" i="36"/>
  <c r="C103" i="5" l="1"/>
  <c r="C104" i="5" s="1"/>
  <c r="C105" i="5" s="1"/>
  <c r="C106" i="5" s="1"/>
  <c r="C107" i="5" s="1"/>
  <c r="C108" i="5" s="1"/>
  <c r="C109" i="5" s="1"/>
  <c r="C110" i="5" s="1"/>
  <c r="C111" i="5" s="1"/>
  <c r="C112" i="5" s="1"/>
  <c r="C113" i="5" s="1"/>
  <c r="C114" i="5" s="1"/>
  <c r="C115" i="5" s="1"/>
  <c r="C116" i="5" s="1"/>
  <c r="C117" i="5" s="1"/>
  <c r="C118" i="5" s="1"/>
  <c r="C119" i="5" s="1"/>
  <c r="C120" i="5" s="1"/>
  <c r="C121" i="5" s="1"/>
  <c r="C122" i="5" s="1"/>
  <c r="D22" i="7"/>
  <c r="D24" i="7"/>
  <c r="D23" i="7"/>
  <c r="X5" i="36"/>
  <c r="U4" i="33" s="1"/>
  <c r="X4" i="36"/>
  <c r="U3" i="33" s="1"/>
  <c r="X6" i="36"/>
  <c r="U5" i="33" s="1"/>
  <c r="X9" i="36"/>
  <c r="U8" i="33" s="1"/>
  <c r="X11" i="36"/>
  <c r="U10" i="33" s="1"/>
  <c r="X7" i="36"/>
  <c r="U6" i="33" s="1"/>
  <c r="X10" i="36"/>
  <c r="U9" i="33" s="1"/>
  <c r="X8" i="36"/>
  <c r="U7" i="33" s="1"/>
  <c r="V3" i="36"/>
  <c r="X3" i="36" s="1"/>
  <c r="U2" i="33" s="1"/>
  <c r="H11" i="18"/>
  <c r="G11" i="18"/>
  <c r="H10" i="18"/>
  <c r="G10" i="18"/>
  <c r="H9" i="18"/>
  <c r="G9" i="18"/>
  <c r="C14" i="18"/>
  <c r="C15" i="18" l="1"/>
  <c r="C16" i="18" s="1"/>
  <c r="C17" i="18" s="1"/>
  <c r="C18" i="18" l="1"/>
  <c r="C4" i="20" s="1"/>
  <c r="U2" i="26" l="1"/>
  <c r="V2" i="26"/>
  <c r="T2" i="26"/>
  <c r="D2" i="26"/>
  <c r="C2" i="24" l="1"/>
  <c r="B6" i="20"/>
  <c r="B2" i="20"/>
  <c r="BE7" i="3" l="1"/>
  <c r="BD7" i="3"/>
  <c r="DD7" i="3" s="1"/>
  <c r="BC7" i="3"/>
  <c r="BB7" i="3"/>
  <c r="BA7" i="3"/>
  <c r="AZ7" i="3"/>
  <c r="AY7" i="3"/>
  <c r="CY7" i="3" s="1"/>
  <c r="BE6" i="3"/>
  <c r="BD6" i="3"/>
  <c r="DD6" i="3" s="1"/>
  <c r="BC6" i="3"/>
  <c r="BB6" i="3"/>
  <c r="BA6" i="3"/>
  <c r="AZ6" i="3"/>
  <c r="AY6" i="3"/>
  <c r="CY6" i="3" s="1"/>
  <c r="BE5" i="3"/>
  <c r="BD5" i="3"/>
  <c r="DD5" i="3" s="1"/>
  <c r="BC5" i="3"/>
  <c r="BB5" i="3"/>
  <c r="BA5" i="3"/>
  <c r="AZ5" i="3"/>
  <c r="AY5" i="3"/>
  <c r="CY5" i="3" s="1"/>
  <c r="BE4" i="3"/>
  <c r="BD4" i="3"/>
  <c r="DD4" i="3" s="1"/>
  <c r="BC4" i="3"/>
  <c r="BB4" i="3"/>
  <c r="BA4" i="3"/>
  <c r="AZ4" i="3"/>
  <c r="AY4" i="3"/>
  <c r="CY4" i="3" s="1"/>
  <c r="BE3" i="3"/>
  <c r="BD3" i="3"/>
  <c r="BC3" i="3"/>
  <c r="BB3" i="3"/>
  <c r="BA3" i="3"/>
  <c r="AZ3" i="3"/>
  <c r="AY3" i="3"/>
  <c r="CT7" i="3"/>
  <c r="CS7" i="3"/>
  <c r="CR7" i="3"/>
  <c r="CQ7" i="3"/>
  <c r="CP7" i="3"/>
  <c r="CO7" i="3"/>
  <c r="AV7" i="3"/>
  <c r="AU7" i="3"/>
  <c r="AT7" i="3"/>
  <c r="AS7" i="3"/>
  <c r="AR7" i="3"/>
  <c r="AQ7" i="3"/>
  <c r="CT6" i="3"/>
  <c r="CS6" i="3"/>
  <c r="CR6" i="3"/>
  <c r="CQ6" i="3"/>
  <c r="CP6" i="3"/>
  <c r="CO6" i="3"/>
  <c r="AV6" i="3"/>
  <c r="AU6" i="3"/>
  <c r="AT6" i="3"/>
  <c r="AS6" i="3"/>
  <c r="AR6" i="3"/>
  <c r="AQ6" i="3"/>
  <c r="CT5" i="3"/>
  <c r="CS5" i="3"/>
  <c r="CR5" i="3"/>
  <c r="CQ5" i="3"/>
  <c r="CP5" i="3"/>
  <c r="CO5" i="3"/>
  <c r="AV5" i="3"/>
  <c r="AU5" i="3"/>
  <c r="AT5" i="3"/>
  <c r="AS5" i="3"/>
  <c r="AR5" i="3"/>
  <c r="AQ5" i="3"/>
  <c r="CT4" i="3"/>
  <c r="CS4" i="3"/>
  <c r="CR4" i="3"/>
  <c r="CQ4" i="3"/>
  <c r="CP4" i="3"/>
  <c r="CO4" i="3"/>
  <c r="AV4" i="3"/>
  <c r="AU4" i="3"/>
  <c r="AT4" i="3"/>
  <c r="AS4" i="3"/>
  <c r="AR4" i="3"/>
  <c r="AQ4" i="3"/>
  <c r="CT3" i="3"/>
  <c r="CS3" i="3"/>
  <c r="CR3" i="3"/>
  <c r="CQ3" i="3"/>
  <c r="CP3" i="3"/>
  <c r="CO3" i="3"/>
  <c r="AV3" i="3"/>
  <c r="AU3" i="3"/>
  <c r="AT3" i="3"/>
  <c r="AS3" i="3"/>
  <c r="AR3" i="3"/>
  <c r="AQ3" i="3"/>
  <c r="AN7" i="3"/>
  <c r="AM7" i="3"/>
  <c r="AL7" i="3"/>
  <c r="AK7" i="3"/>
  <c r="AJ7" i="3"/>
  <c r="AI7" i="3"/>
  <c r="CL6" i="3"/>
  <c r="CK6" i="3"/>
  <c r="CJ6" i="3"/>
  <c r="CI6" i="3"/>
  <c r="CH6" i="3"/>
  <c r="CG6" i="3"/>
  <c r="AN6" i="3"/>
  <c r="AM6" i="3"/>
  <c r="AL6" i="3"/>
  <c r="AK6" i="3"/>
  <c r="AJ6" i="3"/>
  <c r="AI6" i="3"/>
  <c r="CL5" i="3"/>
  <c r="CK5" i="3"/>
  <c r="CJ5" i="3"/>
  <c r="CI5" i="3"/>
  <c r="CH5" i="3"/>
  <c r="CG5" i="3"/>
  <c r="AN5" i="3"/>
  <c r="AM5" i="3"/>
  <c r="AL5" i="3"/>
  <c r="AK5" i="3"/>
  <c r="AJ5" i="3"/>
  <c r="AI5" i="3"/>
  <c r="CL4" i="3"/>
  <c r="CK4" i="3"/>
  <c r="CJ4" i="3"/>
  <c r="CI4" i="3"/>
  <c r="CH4" i="3"/>
  <c r="CG4" i="3"/>
  <c r="AN4" i="3"/>
  <c r="AM4" i="3"/>
  <c r="AL4" i="3"/>
  <c r="AK4" i="3"/>
  <c r="AJ4" i="3"/>
  <c r="AI4" i="3"/>
  <c r="CL3" i="3"/>
  <c r="CK3" i="3"/>
  <c r="CJ3" i="3"/>
  <c r="CI3" i="3"/>
  <c r="CH3" i="3"/>
  <c r="CG3" i="3"/>
  <c r="AN3" i="3"/>
  <c r="AM3" i="3"/>
  <c r="AL3" i="3"/>
  <c r="AK3" i="3"/>
  <c r="AJ3" i="3"/>
  <c r="AI3" i="3"/>
  <c r="CD3" i="3"/>
  <c r="CC3" i="3"/>
  <c r="CB3" i="3"/>
  <c r="CA3" i="3"/>
  <c r="BZ3" i="3"/>
  <c r="BY3" i="3"/>
  <c r="AF3" i="3"/>
  <c r="AE3" i="3"/>
  <c r="AD3" i="3"/>
  <c r="AC3" i="3"/>
  <c r="AB3" i="3"/>
  <c r="AA3" i="3"/>
  <c r="BV3" i="3"/>
  <c r="BU3" i="3"/>
  <c r="BT3" i="3"/>
  <c r="BS3" i="3"/>
  <c r="BR3" i="3"/>
  <c r="BQ3" i="3"/>
  <c r="X3" i="3"/>
  <c r="W3" i="3"/>
  <c r="V3" i="3"/>
  <c r="U3" i="3"/>
  <c r="T3" i="3"/>
  <c r="S3" i="3"/>
  <c r="CX3" i="3"/>
  <c r="P3" i="3"/>
  <c r="O3" i="3"/>
  <c r="N3" i="3"/>
  <c r="M3" i="3"/>
  <c r="L3" i="3"/>
  <c r="K3" i="3"/>
  <c r="C7" i="24"/>
  <c r="C6" i="24"/>
  <c r="C5" i="24"/>
  <c r="C3" i="24"/>
  <c r="I2" i="13"/>
  <c r="G2" i="13"/>
  <c r="E2" i="13"/>
  <c r="F2" i="13" s="1"/>
  <c r="C2" i="13"/>
  <c r="F16" i="12"/>
  <c r="E16" i="12" s="1"/>
  <c r="D16" i="12"/>
  <c r="T16" i="12" s="1"/>
  <c r="F15" i="12"/>
  <c r="E15" i="12" s="1"/>
  <c r="D15" i="12"/>
  <c r="T15" i="12" s="1"/>
  <c r="F14" i="12"/>
  <c r="E14" i="12" s="1"/>
  <c r="D14" i="12"/>
  <c r="T14" i="12" s="1"/>
  <c r="F13" i="12"/>
  <c r="E13" i="12" s="1"/>
  <c r="D13" i="12"/>
  <c r="T13" i="12" s="1"/>
  <c r="F12" i="12"/>
  <c r="E12" i="12" s="1"/>
  <c r="D12" i="12"/>
  <c r="T12" i="12" s="1"/>
  <c r="F11" i="12"/>
  <c r="E11" i="12" s="1"/>
  <c r="D11" i="12"/>
  <c r="Q11" i="12" s="1"/>
  <c r="F10" i="12"/>
  <c r="E10" i="12" s="1"/>
  <c r="D10" i="12"/>
  <c r="F9" i="12"/>
  <c r="E9" i="12" s="1"/>
  <c r="D9" i="12"/>
  <c r="N9" i="12" s="1"/>
  <c r="F8" i="12"/>
  <c r="E8" i="12" s="1"/>
  <c r="D8" i="12"/>
  <c r="N8" i="12" s="1"/>
  <c r="F7" i="12"/>
  <c r="E7" i="12" s="1"/>
  <c r="D7" i="12"/>
  <c r="S7" i="12" s="1"/>
  <c r="F6" i="12"/>
  <c r="E6" i="12" s="1"/>
  <c r="D6" i="12"/>
  <c r="F5" i="12"/>
  <c r="E5" i="12" s="1"/>
  <c r="D5" i="12"/>
  <c r="P5" i="12" s="1"/>
  <c r="F4" i="12"/>
  <c r="E4" i="12" s="1"/>
  <c r="D4" i="12"/>
  <c r="R4" i="12" s="1"/>
  <c r="F3" i="12"/>
  <c r="E3" i="12" s="1"/>
  <c r="D3" i="12"/>
  <c r="S3" i="12" s="1"/>
  <c r="F2" i="12"/>
  <c r="E2" i="12" s="1"/>
  <c r="D2" i="12"/>
  <c r="S2" i="12" s="1"/>
  <c r="AC6" i="7"/>
  <c r="AA6" i="7"/>
  <c r="AB6" i="7" s="1"/>
  <c r="Z6" i="7"/>
  <c r="U6" i="7"/>
  <c r="R6" i="7"/>
  <c r="Q6" i="7"/>
  <c r="H6" i="7"/>
  <c r="I6" i="7" s="1" a="1"/>
  <c r="I6" i="7" s="1"/>
  <c r="G6" i="7"/>
  <c r="E6" i="7"/>
  <c r="D6" i="7" s="1"/>
  <c r="C6" i="7"/>
  <c r="C6" i="12" s="1"/>
  <c r="C11" i="12" s="1"/>
  <c r="C16" i="12" s="1"/>
  <c r="AC5" i="7"/>
  <c r="AA5" i="7"/>
  <c r="AB5" i="7" s="1"/>
  <c r="Z5" i="7"/>
  <c r="U5" i="7"/>
  <c r="R5" i="7"/>
  <c r="Q5" i="7"/>
  <c r="H5" i="7"/>
  <c r="I5" i="7" s="1" a="1"/>
  <c r="I5" i="7" s="1"/>
  <c r="G5" i="7"/>
  <c r="E5" i="7"/>
  <c r="D5" i="7" s="1"/>
  <c r="C5" i="7"/>
  <c r="C5" i="12" s="1"/>
  <c r="C10" i="12" s="1"/>
  <c r="C15" i="12" s="1"/>
  <c r="AC4" i="7"/>
  <c r="AA4" i="7"/>
  <c r="AB4" i="7" s="1"/>
  <c r="Z4" i="7"/>
  <c r="U4" i="7"/>
  <c r="R4" i="7"/>
  <c r="Q4" i="7"/>
  <c r="H4" i="7"/>
  <c r="I4" i="7" s="1" a="1"/>
  <c r="I4" i="7" s="1"/>
  <c r="G4" i="7"/>
  <c r="E4" i="7"/>
  <c r="D4" i="7" s="1"/>
  <c r="C4" i="7"/>
  <c r="C4" i="12" s="1"/>
  <c r="C9" i="12" s="1"/>
  <c r="C14" i="12" s="1"/>
  <c r="AC3" i="7"/>
  <c r="AA3" i="7"/>
  <c r="AB3" i="7" s="1"/>
  <c r="Z3" i="7"/>
  <c r="V3" i="7"/>
  <c r="V4" i="7" s="1"/>
  <c r="V5" i="7" s="1"/>
  <c r="V6" i="7" s="1"/>
  <c r="U3" i="7"/>
  <c r="R3" i="7"/>
  <c r="Q3" i="7"/>
  <c r="H3" i="7"/>
  <c r="I3" i="7" s="1" a="1"/>
  <c r="I3" i="7" s="1"/>
  <c r="G3" i="7"/>
  <c r="E3" i="7"/>
  <c r="D3" i="7" s="1"/>
  <c r="C3" i="7"/>
  <c r="C3" i="12" s="1"/>
  <c r="C8" i="12" s="1"/>
  <c r="C13" i="12" s="1"/>
  <c r="AC2" i="7"/>
  <c r="AA2" i="7"/>
  <c r="AB2" i="7" s="1"/>
  <c r="Z2" i="7"/>
  <c r="W2" i="7"/>
  <c r="W3" i="7" s="1"/>
  <c r="W4" i="7" s="1"/>
  <c r="W5" i="7" s="1"/>
  <c r="W6" i="7" s="1"/>
  <c r="U2" i="7"/>
  <c r="R2" i="7"/>
  <c r="Q2" i="7"/>
  <c r="H2" i="7"/>
  <c r="I2" i="7" s="1" a="1"/>
  <c r="I2" i="7" s="1"/>
  <c r="G2" i="7"/>
  <c r="E2" i="7"/>
  <c r="D2" i="7" s="1"/>
  <c r="C2" i="7"/>
  <c r="C2" i="12" s="1"/>
  <c r="C7" i="12" s="1"/>
  <c r="C12" i="12" s="1"/>
  <c r="X2" i="7" l="1"/>
  <c r="X3" i="7" s="1"/>
  <c r="X4" i="7" s="1"/>
  <c r="X5" i="7" s="1"/>
  <c r="X6" i="7" s="1"/>
  <c r="CY3" i="3"/>
  <c r="DC3" i="3"/>
  <c r="DA3" i="3"/>
  <c r="DB3" i="3"/>
  <c r="DC4" i="3"/>
  <c r="CZ5" i="3"/>
  <c r="DA6" i="3"/>
  <c r="DB7" i="3"/>
  <c r="CZ4" i="3"/>
  <c r="DA5" i="3"/>
  <c r="DC7" i="3"/>
  <c r="CZ3" i="3"/>
  <c r="DA4" i="3"/>
  <c r="DB5" i="3"/>
  <c r="CZ7" i="3"/>
  <c r="DB4" i="3"/>
  <c r="DC5" i="3"/>
  <c r="DA7" i="3"/>
  <c r="DB6" i="3"/>
  <c r="DC6" i="3"/>
  <c r="CZ6" i="3"/>
  <c r="DH4" i="3"/>
  <c r="DL4" i="3"/>
  <c r="DI5" i="3"/>
  <c r="DM5" i="3"/>
  <c r="DJ6" i="3"/>
  <c r="DK7" i="3"/>
  <c r="DI4" i="3"/>
  <c r="DM4" i="3"/>
  <c r="DJ5" i="3"/>
  <c r="DK6" i="3"/>
  <c r="DH7" i="3"/>
  <c r="DL7" i="3"/>
  <c r="DJ4" i="3"/>
  <c r="DK5" i="3"/>
  <c r="DH6" i="3"/>
  <c r="DL6" i="3"/>
  <c r="DI7" i="3"/>
  <c r="DM7" i="3"/>
  <c r="DK4" i="3"/>
  <c r="DH5" i="3"/>
  <c r="DL5" i="3"/>
  <c r="DI6" i="3"/>
  <c r="DM6" i="3"/>
  <c r="DJ7" i="3"/>
  <c r="BK3" i="3"/>
  <c r="DJ3" i="3" s="1"/>
  <c r="BL3" i="3"/>
  <c r="DK3" i="3" s="1"/>
  <c r="BM3" i="3"/>
  <c r="DL3" i="3" s="1"/>
  <c r="BI3" i="3"/>
  <c r="DH3" i="3" s="1"/>
  <c r="BJ3" i="3"/>
  <c r="DI3" i="3" s="1"/>
  <c r="BN3" i="3"/>
  <c r="DM3" i="3" s="1"/>
  <c r="DD3" i="3"/>
  <c r="N5" i="12"/>
  <c r="H7" i="12"/>
  <c r="G15" i="12"/>
  <c r="S16" i="12"/>
  <c r="G7" i="12"/>
  <c r="I15" i="12"/>
  <c r="I16" i="12"/>
  <c r="H8" i="12"/>
  <c r="H2" i="13"/>
  <c r="I11" i="12"/>
  <c r="M16" i="12"/>
  <c r="H3" i="12"/>
  <c r="R15" i="12"/>
  <c r="N16" i="12"/>
  <c r="P7" i="12"/>
  <c r="G8" i="12"/>
  <c r="S11" i="12"/>
  <c r="S15" i="12"/>
  <c r="G16" i="12"/>
  <c r="Q16" i="12"/>
  <c r="N12" i="12"/>
  <c r="N3" i="12"/>
  <c r="P3" i="12"/>
  <c r="H4" i="12"/>
  <c r="R8" i="12"/>
  <c r="M12" i="12"/>
  <c r="S14" i="12"/>
  <c r="G12" i="12"/>
  <c r="R12" i="12"/>
  <c r="I14" i="12"/>
  <c r="M15" i="12"/>
  <c r="G3" i="12"/>
  <c r="S4" i="12"/>
  <c r="H5" i="12"/>
  <c r="N7" i="12"/>
  <c r="S8" i="12"/>
  <c r="I12" i="12"/>
  <c r="S12" i="12"/>
  <c r="N14" i="12"/>
  <c r="N15" i="12"/>
  <c r="K16" i="12"/>
  <c r="R16" i="12"/>
  <c r="M11" i="12"/>
  <c r="J14" i="12"/>
  <c r="O14" i="12"/>
  <c r="K3" i="12"/>
  <c r="R3" i="12"/>
  <c r="N4" i="12"/>
  <c r="S5" i="12"/>
  <c r="K7" i="12"/>
  <c r="R7" i="12"/>
  <c r="L8" i="12"/>
  <c r="H9" i="12"/>
  <c r="N11" i="12"/>
  <c r="J12" i="12"/>
  <c r="O12" i="12"/>
  <c r="G13" i="12"/>
  <c r="M13" i="12"/>
  <c r="R13" i="12"/>
  <c r="K14" i="12"/>
  <c r="Q14" i="12"/>
  <c r="J15" i="12"/>
  <c r="O15" i="12"/>
  <c r="S9" i="12"/>
  <c r="J13" i="12"/>
  <c r="O13" i="12"/>
  <c r="L4" i="12"/>
  <c r="K13" i="12"/>
  <c r="Q13" i="12"/>
  <c r="L3" i="12"/>
  <c r="G4" i="12"/>
  <c r="L7" i="12"/>
  <c r="G11" i="12"/>
  <c r="K12" i="12"/>
  <c r="Q12" i="12"/>
  <c r="I13" i="12"/>
  <c r="N13" i="12"/>
  <c r="S13" i="12"/>
  <c r="G14" i="12"/>
  <c r="M14" i="12"/>
  <c r="R14" i="12"/>
  <c r="K15" i="12"/>
  <c r="Q15" i="12"/>
  <c r="J16" i="12"/>
  <c r="O16" i="12"/>
  <c r="Q6" i="12"/>
  <c r="M6" i="12"/>
  <c r="I6" i="12"/>
  <c r="J6" i="12"/>
  <c r="O6" i="12"/>
  <c r="T6" i="12"/>
  <c r="J2" i="12"/>
  <c r="N2" i="12"/>
  <c r="R2" i="12"/>
  <c r="K5" i="12"/>
  <c r="G6" i="12"/>
  <c r="L6" i="12"/>
  <c r="R6" i="12"/>
  <c r="H2" i="12"/>
  <c r="L2" i="12"/>
  <c r="P2" i="12"/>
  <c r="T2" i="12"/>
  <c r="Q10" i="12"/>
  <c r="M10" i="12"/>
  <c r="I10" i="12"/>
  <c r="J10" i="12"/>
  <c r="O10" i="12"/>
  <c r="T10" i="12"/>
  <c r="I2" i="12"/>
  <c r="M2" i="12"/>
  <c r="Q2" i="12"/>
  <c r="Q5" i="12"/>
  <c r="M5" i="12"/>
  <c r="I5" i="12"/>
  <c r="J5" i="12"/>
  <c r="O5" i="12"/>
  <c r="T5" i="12"/>
  <c r="K6" i="12"/>
  <c r="P6" i="12"/>
  <c r="Q9" i="12"/>
  <c r="M9" i="12"/>
  <c r="I9" i="12"/>
  <c r="J9" i="12"/>
  <c r="O9" i="12"/>
  <c r="T9" i="12"/>
  <c r="K10" i="12"/>
  <c r="P10" i="12"/>
  <c r="Q4" i="12"/>
  <c r="M4" i="12"/>
  <c r="I4" i="12"/>
  <c r="J4" i="12"/>
  <c r="O4" i="12"/>
  <c r="T4" i="12"/>
  <c r="Q8" i="12"/>
  <c r="M8" i="12"/>
  <c r="I8" i="12"/>
  <c r="J8" i="12"/>
  <c r="O8" i="12"/>
  <c r="T8" i="12"/>
  <c r="K9" i="12"/>
  <c r="P9" i="12"/>
  <c r="G10" i="12"/>
  <c r="L10" i="12"/>
  <c r="R10" i="12"/>
  <c r="G2" i="12"/>
  <c r="K2" i="12"/>
  <c r="O2" i="12"/>
  <c r="Q3" i="12"/>
  <c r="M3" i="12"/>
  <c r="I3" i="12"/>
  <c r="J3" i="12"/>
  <c r="O3" i="12"/>
  <c r="T3" i="12"/>
  <c r="K4" i="12"/>
  <c r="P4" i="12"/>
  <c r="G5" i="12"/>
  <c r="L5" i="12"/>
  <c r="R5" i="12"/>
  <c r="H6" i="12"/>
  <c r="N6" i="12"/>
  <c r="S6" i="12"/>
  <c r="Q7" i="12"/>
  <c r="M7" i="12"/>
  <c r="I7" i="12"/>
  <c r="J7" i="12"/>
  <c r="O7" i="12"/>
  <c r="T7" i="12"/>
  <c r="K8" i="12"/>
  <c r="P8" i="12"/>
  <c r="G9" i="12"/>
  <c r="L9" i="12"/>
  <c r="R9" i="12"/>
  <c r="H10" i="12"/>
  <c r="N10" i="12"/>
  <c r="S10" i="12"/>
  <c r="T11" i="12"/>
  <c r="P11" i="12"/>
  <c r="L11" i="12"/>
  <c r="H11" i="12"/>
  <c r="O11" i="12"/>
  <c r="J11" i="12"/>
  <c r="K11" i="12"/>
  <c r="R11" i="12"/>
  <c r="H12" i="12"/>
  <c r="L12" i="12"/>
  <c r="P12" i="12"/>
  <c r="H13" i="12"/>
  <c r="L13" i="12"/>
  <c r="P13" i="12"/>
  <c r="H14" i="12"/>
  <c r="L14" i="12"/>
  <c r="P14" i="12"/>
  <c r="H15" i="12"/>
  <c r="L15" i="12"/>
  <c r="P15" i="12"/>
  <c r="H16" i="12"/>
  <c r="L16" i="12"/>
  <c r="P16" i="12"/>
  <c r="DT5" i="3" l="1"/>
  <c r="DT7" i="3"/>
  <c r="DU5" i="3"/>
  <c r="O4" i="7" s="1"/>
  <c r="DR7" i="3"/>
  <c r="DS5" i="3"/>
  <c r="DS7" i="3"/>
  <c r="DR6" i="3"/>
  <c r="DU6" i="3"/>
  <c r="DU7" i="3"/>
  <c r="DT6" i="3"/>
  <c r="DU4" i="3"/>
  <c r="DT4" i="3"/>
  <c r="DS4" i="3"/>
  <c r="P3" i="7" s="1"/>
  <c r="DR4" i="3"/>
  <c r="DS6" i="3"/>
  <c r="DR5" i="3"/>
  <c r="J4" i="7"/>
  <c r="J2" i="7"/>
  <c r="J6" i="7"/>
  <c r="J5" i="7"/>
  <c r="J3" i="7"/>
  <c r="DU3" i="3"/>
  <c r="DR3" i="3"/>
  <c r="DS3" i="3"/>
  <c r="DT3" i="3"/>
  <c r="N4" i="7" l="1"/>
  <c r="N5" i="7"/>
  <c r="M6" i="7"/>
  <c r="O5" i="7"/>
  <c r="M4" i="7"/>
  <c r="N2" i="7"/>
  <c r="M2" i="7"/>
  <c r="O2" i="7"/>
  <c r="P5" i="7"/>
  <c r="M3" i="7"/>
  <c r="P6" i="7"/>
  <c r="M5" i="7"/>
  <c r="P4" i="7"/>
  <c r="O3" i="7"/>
  <c r="P2" i="7"/>
  <c r="O6" i="7"/>
  <c r="N3" i="7"/>
  <c r="N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A7" authorId="0" shapeId="0" xr:uid="{E9561FD4-965B-4F6E-B911-FDEDE13F2E93}">
      <text>
        <r>
          <rPr>
            <sz val="9"/>
            <color indexed="81"/>
            <rFont val="Tahoma"/>
            <family val="2"/>
          </rPr>
          <t>Note: SF is buggy
- If simming over 36 cost, do not enter formation screen
- Retreating w/o winning will keep restarting the fight
- May not load G&amp;K echelons after simming SF. In this case, replace JSONs with clean ones from the original KR sim download.</t>
        </r>
      </text>
    </comment>
    <comment ref="D7" authorId="0" shapeId="0" xr:uid="{5485C5A4-3A5F-4D6B-BB32-395B6558BE14}">
      <text>
        <r>
          <rPr>
            <b/>
            <sz val="9"/>
            <color indexed="81"/>
            <rFont val="Tahoma"/>
            <family val="2"/>
          </rPr>
          <t xml:space="preserve">If entering a comma-delimited list of IDs for TargetTrain mode, add an apostrophe (') so that Excel treats it as a string.
Training Dummy IDs (1-link, no armor/shields)
</t>
        </r>
        <r>
          <rPr>
            <sz val="9"/>
            <color indexed="81"/>
            <rFont val="Tahoma"/>
            <family val="2"/>
          </rPr>
          <t>id950046: 5k HP, 10 eva
id950047: 10k HP, 16 eva
id950048: 20k HP, 26 eva
id950049: 40k HP, 42 eva
id950050: 100k HP, 60 eva
id10004:   10k HP, 0 eva (basic data)
id10005:   20k HP, 0 eva (int data)
id10006:   40k HP, 0 eva (adv data)
id12411:   (100m - 1) HP, 999 eva
id310 / 50 1-link dummies, 100k HP, 0 eva</t>
        </r>
      </text>
    </comment>
    <comment ref="A10" authorId="0" shapeId="0" xr:uid="{8F29F841-F98E-4C2D-A4E7-6C7F5EB6698C}">
      <text>
        <r>
          <rPr>
            <sz val="9"/>
            <color indexed="81"/>
            <rFont val="Tahoma"/>
            <family val="2"/>
          </rPr>
          <t>Affects enemy stats if they have turn scaling (e.g., ranking enemies)</t>
        </r>
      </text>
    </comment>
    <comment ref="A11" authorId="0" shapeId="0" xr:uid="{E3CFF51A-C1B2-4A30-9727-CD29508A7ECE}">
      <text>
        <r>
          <rPr>
            <sz val="9"/>
            <color indexed="81"/>
            <rFont val="Tahoma"/>
            <family val="2"/>
          </rPr>
          <t>Enter an integer from 1 to 9999. Only affects Day/Night mode, does not affect TargetTrain.</t>
        </r>
      </text>
    </comment>
    <comment ref="A12" authorId="0" shapeId="0" xr:uid="{805909BE-CC7E-4B75-90EF-62F48BFBA3E8}">
      <text>
        <r>
          <rPr>
            <b/>
            <sz val="9"/>
            <color indexed="81"/>
            <rFont val="Tahoma"/>
            <family val="2"/>
          </rPr>
          <t>Off:</t>
        </r>
        <r>
          <rPr>
            <sz val="9"/>
            <color indexed="81"/>
            <rFont val="Tahoma"/>
            <family val="2"/>
          </rPr>
          <t xml:space="preserve"> vehicles will not be placed on the map
</t>
        </r>
        <r>
          <rPr>
            <b/>
            <sz val="9"/>
            <color indexed="81"/>
            <rFont val="Tahoma"/>
            <family val="2"/>
          </rPr>
          <t>Support:</t>
        </r>
        <r>
          <rPr>
            <sz val="9"/>
            <color indexed="81"/>
            <rFont val="Tahoma"/>
            <family val="2"/>
          </rPr>
          <t xml:space="preserve"> tank will support a G&amp;K/SF echelon like a HOC</t>
        </r>
        <r>
          <rPr>
            <b/>
            <sz val="9"/>
            <color indexed="81"/>
            <rFont val="Tahoma"/>
            <family val="2"/>
          </rPr>
          <t xml:space="preserve">
RangeCombat:</t>
        </r>
        <r>
          <rPr>
            <sz val="9"/>
            <color indexed="81"/>
            <rFont val="Tahoma"/>
            <family val="2"/>
          </rPr>
          <t xml:space="preserve"> tank will launch a ranged attack, nothing will fight the enemy directly</t>
        </r>
        <r>
          <rPr>
            <b/>
            <sz val="9"/>
            <color indexed="81"/>
            <rFont val="Tahoma"/>
            <family val="2"/>
          </rPr>
          <t xml:space="preserve">
Combat: </t>
        </r>
        <r>
          <rPr>
            <sz val="9"/>
            <color indexed="81"/>
            <rFont val="Tahoma"/>
            <family val="2"/>
          </rPr>
          <t>vehicle will fight the enemy directly. If both tank and mech are enabled, only the mech will fight.</t>
        </r>
      </text>
    </comment>
    <comment ref="O19" authorId="0" shapeId="0" xr:uid="{E9F4FD57-6629-4268-AE87-A912247D41FE}">
      <text>
        <r>
          <rPr>
            <sz val="9"/>
            <color indexed="81"/>
            <rFont val="Tahoma"/>
            <family val="2"/>
          </rPr>
          <t>For simplicity, all stats are assumed to have the same calibration %. Manually adjust this in the JSON if something else is desired.
Note: calibration %s can be negative or exceed 100%. For example, setting a VFL to have 500% calibration will result in a VFL that gives over 100% crit rate.</t>
        </r>
      </text>
    </comment>
    <comment ref="AB19" authorId="0" shapeId="0" xr:uid="{EABEB290-BA72-4AC3-AB52-08D41335FB6C}">
      <text>
        <r>
          <rPr>
            <sz val="9"/>
            <color indexed="81"/>
            <rFont val="Tahoma"/>
            <family val="2"/>
          </rPr>
          <t>If TRUE, this will allow you to use custom *base* stats for dolls. Modifiers from other sources (affection, equipment, fairies, etc.) will be applied.
Can be useful for theorycrafting, e.g., testing if enemies have a minimum hit rate (they don't), testing multiplicative vs. additive staking, round numbers for easy calculations, etc.</t>
        </r>
      </text>
    </comment>
    <comment ref="L57" authorId="0" shapeId="0" xr:uid="{6CA094D6-A925-45DF-AF1E-DDC9181E8068}">
      <text>
        <r>
          <rPr>
            <sz val="9"/>
            <color indexed="81"/>
            <rFont val="Tahoma"/>
            <family val="2"/>
          </rPr>
          <t>Regular SF skill levels must be an integer from 1-5.
Ringleader skill levels must be an integer from 1-10 for skills #1/2, and 1-5 for skills #3/4</t>
        </r>
      </text>
    </comment>
    <comment ref="E58" authorId="0" shapeId="0" xr:uid="{0C200A2F-DC09-487E-95A3-49FD3B0FC791}">
      <text>
        <r>
          <rPr>
            <sz val="9"/>
            <color indexed="81"/>
            <rFont val="Tahoma"/>
            <family val="2"/>
          </rPr>
          <t>Cannot exceed 5 and cannot be lower than the base number of stars.</t>
        </r>
      </text>
    </comment>
    <comment ref="F58" authorId="0" shapeId="0" xr:uid="{56EF5B92-68DB-4EE6-9397-022B2ADFD076}">
      <text>
        <r>
          <rPr>
            <sz val="9"/>
            <color indexed="81"/>
            <rFont val="Tahoma"/>
            <family val="2"/>
          </rPr>
          <t>Number of times you've "dummy linked" the SF. Equivalently, the number of extra dupes you've obtained.</t>
        </r>
      </text>
    </comment>
    <comment ref="H58" authorId="0" shapeId="0" xr:uid="{20B9BD68-0C87-40DB-ACEE-30E001327BDE}">
      <text>
        <r>
          <rPr>
            <sz val="9"/>
            <color indexed="81"/>
            <rFont val="Tahoma"/>
            <family val="2"/>
          </rPr>
          <t>Bosses: integer from 0 to 150
Others: integer from 0 to 100</t>
        </r>
      </text>
    </comment>
    <comment ref="C110" authorId="0" shapeId="0" xr:uid="{23F53127-FAEE-4B0B-9160-93A6B5806730}">
      <text>
        <r>
          <rPr>
            <sz val="9"/>
            <color indexed="81"/>
            <rFont val="Tahoma"/>
            <family val="2"/>
          </rPr>
          <t>Stats do not matter, deals a fixed 1500 damage and 1200 pierce on a 5s cooldown.</t>
        </r>
      </text>
    </comment>
    <comment ref="C125" authorId="0" shapeId="0" xr:uid="{91A1E50F-7C65-47B8-96C6-D1F3D5548173}">
      <text>
        <r>
          <rPr>
            <sz val="9"/>
            <color indexed="81"/>
            <rFont val="Tahoma"/>
            <family val="2"/>
          </rPr>
          <t>Do not enter dupes.
- Dandelion Clone: select skill level 1
- Fatigue: select skill level 10
- Gospel Axis: leave skill level blank
- LS Kill Ranks: leave skill level blank</t>
        </r>
      </text>
    </comment>
    <comment ref="E125" authorId="0" shapeId="0" xr:uid="{1A8CA851-5B77-43B1-89B1-18BEC7526EBF}">
      <text>
        <r>
          <rPr>
            <sz val="9"/>
            <color indexed="81"/>
            <rFont val="Tahoma"/>
            <family val="2"/>
          </rPr>
          <t>Debuffs in general may not stack.
- EMP: use SL1, can use other SLs for weaker EMP
- Dandelion Debuff: use SL2</t>
        </r>
      </text>
    </comment>
    <comment ref="G125" authorId="0" shapeId="0" xr:uid="{28268973-4D07-4FED-B73A-578AEF3687EE}">
      <text>
        <r>
          <rPr>
            <sz val="9"/>
            <color indexed="81"/>
            <rFont val="Tahoma"/>
            <family val="2"/>
          </rPr>
          <t>Spot IDs from 1-3 or 8-2N, see GFLMaps or the References link in the SF HOC section.</t>
        </r>
      </text>
    </comment>
    <comment ref="H125" authorId="0" shapeId="0" xr:uid="{AABDB7AF-46A1-42CA-915F-5271DAEE79BC}">
      <text>
        <r>
          <rPr>
            <sz val="9"/>
            <color indexed="81"/>
            <rFont val="Tahoma"/>
            <family val="2"/>
          </rPr>
          <t>SC+ Gustav: 9550105</t>
        </r>
      </text>
    </comment>
    <comment ref="I125" authorId="0" shapeId="0" xr:uid="{2A6C7F87-5028-472D-83DF-D17596A7BD1D}">
      <text>
        <r>
          <rPr>
            <sz val="9"/>
            <color indexed="81"/>
            <rFont val="Tahoma"/>
            <family val="2"/>
          </rPr>
          <t>Spot IDs from 1-3 or 8-2N, see GFLMaps or the References link in the SF HOC section.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3" authorId="0" shapeId="0" xr:uid="{D1A4E12A-1CE8-4B3E-AC43-F974CD11C59F}">
      <text>
        <r>
          <rPr>
            <sz val="9"/>
            <color indexed="81"/>
            <rFont val="Tahoma"/>
            <family val="2"/>
          </rPr>
          <t>All stats assumed to have the same calibration % for simplicity. Manually adjust JSON if something else is needed.</t>
        </r>
      </text>
    </comment>
    <comment ref="U3" authorId="0" shapeId="0" xr:uid="{9B9D0C07-6896-4E63-9220-172AE7890E4B}">
      <text>
        <r>
          <rPr>
            <sz val="9"/>
            <color indexed="81"/>
            <rFont val="Tahoma"/>
            <family val="2"/>
          </rPr>
          <t>All stats assumed to have the same calibration % for simplicity. Manually adjust JSON if something else is needed.</t>
        </r>
      </text>
    </comment>
    <comment ref="Y3" authorId="0" shapeId="0" xr:uid="{8C1768F5-235A-4875-84CE-D2217F5796E5}">
      <text>
        <r>
          <rPr>
            <sz val="9"/>
            <color indexed="81"/>
            <rFont val="Tahoma"/>
            <family val="2"/>
          </rPr>
          <t>All stats assumed to have the same calibration % for simplicity. Manually adjust JSON if something else is needed.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B14" authorId="0" shapeId="0" xr:uid="{5D71D19B-0289-4060-8DD5-A695F204703E}">
      <text>
        <r>
          <rPr>
            <sz val="9"/>
            <color indexed="81"/>
            <rFont val="Tahoma"/>
            <family val="2"/>
          </rPr>
          <t>Baseline string to be adjusted.</t>
        </r>
      </text>
    </comment>
    <comment ref="B15" authorId="0" shapeId="0" xr:uid="{9F7A8AE6-F5E7-4AEE-AEDF-C6D599CD7190}">
      <text>
        <r>
          <rPr>
            <sz val="9"/>
            <color indexed="81"/>
            <rFont val="Tahoma"/>
            <family val="2"/>
          </rPr>
          <t>Adjusts baseline to contain the proper buff IDs.</t>
        </r>
      </text>
    </comment>
    <comment ref="B16" authorId="0" shapeId="0" xr:uid="{A97A0CAC-2F45-4FFC-8B7E-1B2EA900BE0B}">
      <text>
        <r>
          <rPr>
            <sz val="9"/>
            <color indexed="81"/>
            <rFont val="Tahoma"/>
            <family val="2"/>
          </rPr>
          <t>Adjusts to contain the proper config IDs.</t>
        </r>
      </text>
    </comment>
    <comment ref="B17" authorId="0" shapeId="0" xr:uid="{895CBA08-4D7F-481C-AB93-6E26C40C0896}">
      <text>
        <r>
          <rPr>
            <sz val="9"/>
            <color indexed="81"/>
            <rFont val="Tahoma"/>
            <family val="2"/>
          </rPr>
          <t>Adjusts to contain the proper skill levels.</t>
        </r>
      </text>
    </comment>
    <comment ref="B18" authorId="0" shapeId="0" xr:uid="{399E8BFE-1629-4E66-AC73-6B4E06A4F7E9}">
      <text>
        <r>
          <rPr>
            <sz val="9"/>
            <color indexed="81"/>
            <rFont val="Tahoma"/>
            <family val="2"/>
          </rPr>
          <t>Adjusts to contain the proper turn number.</t>
        </r>
      </text>
    </comment>
    <comment ref="B21" authorId="0" shapeId="0" xr:uid="{B4D50808-FF30-4F2C-9640-65FE4C183330}">
      <text>
        <r>
          <rPr>
            <sz val="9"/>
            <color indexed="81"/>
            <rFont val="Tahoma"/>
            <family val="2"/>
          </rPr>
          <t>Baseline string to be adjusted.</t>
        </r>
      </text>
    </comment>
    <comment ref="B22" authorId="0" shapeId="0" xr:uid="{F22A81D6-186C-436D-9925-B559FAD7FA17}">
      <text>
        <r>
          <rPr>
            <sz val="9"/>
            <color indexed="81"/>
            <rFont val="Tahoma"/>
            <family val="2"/>
          </rPr>
          <t>Adjusts baseline to contain the proper buff IDs.</t>
        </r>
      </text>
    </comment>
    <comment ref="B23" authorId="0" shapeId="0" xr:uid="{06122283-F547-40B8-9DB8-5371D32B5F3E}">
      <text>
        <r>
          <rPr>
            <sz val="9"/>
            <color indexed="81"/>
            <rFont val="Tahoma"/>
            <family val="2"/>
          </rPr>
          <t>Adjusts to contain the proper config IDs.</t>
        </r>
      </text>
    </comment>
    <comment ref="B24" authorId="0" shapeId="0" xr:uid="{15D01344-0CEE-4FF8-9186-E0CA18A1D39A}">
      <text>
        <r>
          <rPr>
            <sz val="9"/>
            <color indexed="81"/>
            <rFont val="Tahoma"/>
            <family val="2"/>
          </rPr>
          <t>Adjusts to contain the proper skill levels.</t>
        </r>
      </text>
    </comment>
    <comment ref="B25" authorId="0" shapeId="0" xr:uid="{961774DC-A535-4E87-98EB-AB9F68DB1CE0}">
      <text>
        <r>
          <rPr>
            <sz val="9"/>
            <color indexed="81"/>
            <rFont val="Tahoma"/>
            <family val="2"/>
          </rPr>
          <t>Adjusts to contain the proper turn number.</t>
        </r>
      </text>
    </comment>
  </commentList>
</comments>
</file>

<file path=xl/sharedStrings.xml><?xml version="1.0" encoding="utf-8"?>
<sst xmlns="http://schemas.openxmlformats.org/spreadsheetml/2006/main" count="29446" uniqueCount="9299">
  <si>
    <t>Doll #</t>
  </si>
  <si>
    <t>Class</t>
  </si>
  <si>
    <t>AR</t>
  </si>
  <si>
    <t>HG</t>
  </si>
  <si>
    <t>MG</t>
  </si>
  <si>
    <t>SG</t>
  </si>
  <si>
    <t>RF</t>
  </si>
  <si>
    <t>SMG</t>
  </si>
  <si>
    <t>Name</t>
  </si>
  <si>
    <t>HP</t>
  </si>
  <si>
    <t>FP</t>
  </si>
  <si>
    <t>ROF</t>
  </si>
  <si>
    <t>ACC</t>
  </si>
  <si>
    <t>EVA</t>
  </si>
  <si>
    <t>ARMOR</t>
  </si>
  <si>
    <t>Scalars</t>
  </si>
  <si>
    <t>Mod Basic</t>
  </si>
  <si>
    <t>Mod Grow</t>
  </si>
  <si>
    <t>Level</t>
  </si>
  <si>
    <t>SAA</t>
  </si>
  <si>
    <t>Exp Needed</t>
  </si>
  <si>
    <t>Total Exp</t>
  </si>
  <si>
    <t>M4A1</t>
  </si>
  <si>
    <t>UMP45</t>
  </si>
  <si>
    <t>UMP40</t>
  </si>
  <si>
    <t>id</t>
  </si>
  <si>
    <t>user_id</t>
  </si>
  <si>
    <t>gun_id</t>
  </si>
  <si>
    <t>gun_exp</t>
  </si>
  <si>
    <t>gun_level</t>
  </si>
  <si>
    <t>team_id</t>
  </si>
  <si>
    <t>if_modification</t>
  </si>
  <si>
    <t>location</t>
  </si>
  <si>
    <t>position</t>
  </si>
  <si>
    <t>life</t>
  </si>
  <si>
    <t>ammo</t>
  </si>
  <si>
    <t>mre</t>
  </si>
  <si>
    <t>pow</t>
  </si>
  <si>
    <t>hit</t>
  </si>
  <si>
    <t>dodge</t>
  </si>
  <si>
    <t>rate</t>
  </si>
  <si>
    <t>skill1</t>
  </si>
  <si>
    <t>skill2</t>
  </si>
  <si>
    <t>fix_end_time</t>
  </si>
  <si>
    <t>is_locked</t>
  </si>
  <si>
    <t>number</t>
  </si>
  <si>
    <t>equip1</t>
  </si>
  <si>
    <t>equip2</t>
  </si>
  <si>
    <t>equip3</t>
  </si>
  <si>
    <t>equip4</t>
  </si>
  <si>
    <t>favor</t>
  </si>
  <si>
    <t>max_favor</t>
  </si>
  <si>
    <t>favor_toplimit</t>
  </si>
  <si>
    <t>soul_bond</t>
  </si>
  <si>
    <t>skin</t>
  </si>
  <si>
    <t>can_click</t>
  </si>
  <si>
    <t>soul_bond_time</t>
  </si>
  <si>
    <t>special_effect</t>
  </si>
  <si>
    <t>Skill 1</t>
  </si>
  <si>
    <t>Skill 2</t>
  </si>
  <si>
    <t>Affection</t>
  </si>
  <si>
    <t>type</t>
  </si>
  <si>
    <t>M1911</t>
  </si>
  <si>
    <t>M9</t>
  </si>
  <si>
    <t>Python</t>
  </si>
  <si>
    <t>M1895</t>
  </si>
  <si>
    <t>Tokarev</t>
  </si>
  <si>
    <t>Stechkin</t>
  </si>
  <si>
    <t>Makarov</t>
  </si>
  <si>
    <t>P38</t>
  </si>
  <si>
    <t>PPK</t>
  </si>
  <si>
    <t>P08</t>
  </si>
  <si>
    <t>C96</t>
  </si>
  <si>
    <t>Type92</t>
  </si>
  <si>
    <t>Astra</t>
  </si>
  <si>
    <t>G17</t>
  </si>
  <si>
    <t>Thompson</t>
  </si>
  <si>
    <t>M3</t>
  </si>
  <si>
    <t>Ingram</t>
  </si>
  <si>
    <t>Vector</t>
  </si>
  <si>
    <t>MP40</t>
  </si>
  <si>
    <t>Skorpion</t>
  </si>
  <si>
    <t>MP7</t>
  </si>
  <si>
    <t>M38</t>
  </si>
  <si>
    <t>Micro Uzi</t>
  </si>
  <si>
    <t>m45</t>
  </si>
  <si>
    <t>M1 Garand</t>
  </si>
  <si>
    <t>Springfield</t>
  </si>
  <si>
    <t>M14</t>
  </si>
  <si>
    <t>M21</t>
  </si>
  <si>
    <t>SKS</t>
  </si>
  <si>
    <t>PTRD</t>
  </si>
  <si>
    <t>SVD</t>
  </si>
  <si>
    <t>Kar98k</t>
  </si>
  <si>
    <t>G43</t>
  </si>
  <si>
    <t>WA2000</t>
  </si>
  <si>
    <t>Lee Enfield</t>
  </si>
  <si>
    <t>VM59</t>
  </si>
  <si>
    <t>M16A1</t>
  </si>
  <si>
    <t>M4 SOPMOD II</t>
  </si>
  <si>
    <t>ST AR-15</t>
  </si>
  <si>
    <t>AS Val</t>
  </si>
  <si>
    <t>StG44</t>
  </si>
  <si>
    <t>L85A1</t>
  </si>
  <si>
    <t>AUG</t>
  </si>
  <si>
    <t>M1918</t>
  </si>
  <si>
    <t>M60</t>
  </si>
  <si>
    <t>M1919A4</t>
  </si>
  <si>
    <t>LWMMG</t>
  </si>
  <si>
    <t>DP28</t>
  </si>
  <si>
    <t>RPD</t>
  </si>
  <si>
    <t>PK</t>
  </si>
  <si>
    <t>MG42</t>
  </si>
  <si>
    <t>MG34</t>
  </si>
  <si>
    <t>MG3</t>
  </si>
  <si>
    <t>Bren</t>
  </si>
  <si>
    <t>Spectre M4</t>
  </si>
  <si>
    <t>IDW</t>
  </si>
  <si>
    <t>Type64</t>
  </si>
  <si>
    <t>Type88</t>
  </si>
  <si>
    <t>Grizzly</t>
  </si>
  <si>
    <t>M950A</t>
  </si>
  <si>
    <t>P7</t>
  </si>
  <si>
    <t>UMP9</t>
  </si>
  <si>
    <t>FAL</t>
  </si>
  <si>
    <t>FG42</t>
  </si>
  <si>
    <t>Negev</t>
  </si>
  <si>
    <t>Suomi</t>
  </si>
  <si>
    <t>Mk48</t>
  </si>
  <si>
    <t>P99</t>
  </si>
  <si>
    <t>Super SASS</t>
  </si>
  <si>
    <t>NZ75</t>
  </si>
  <si>
    <t>M99</t>
  </si>
  <si>
    <t>Type95</t>
  </si>
  <si>
    <t>Type97</t>
  </si>
  <si>
    <t>EVO 3</t>
  </si>
  <si>
    <t>Type63</t>
  </si>
  <si>
    <t>AR70</t>
  </si>
  <si>
    <t>6P62</t>
  </si>
  <si>
    <t>Bren Ten</t>
  </si>
  <si>
    <t>PSM</t>
  </si>
  <si>
    <t>RO635</t>
  </si>
  <si>
    <t>SSG 69</t>
  </si>
  <si>
    <t>IWS 2000</t>
  </si>
  <si>
    <t>Shipka</t>
  </si>
  <si>
    <t>M1887</t>
  </si>
  <si>
    <t>M1897</t>
  </si>
  <si>
    <t>M37</t>
  </si>
  <si>
    <t>M500</t>
  </si>
  <si>
    <t>M590</t>
  </si>
  <si>
    <t>Type97S</t>
  </si>
  <si>
    <t>M1014</t>
  </si>
  <si>
    <t>CZ75</t>
  </si>
  <si>
    <t>Spitfire</t>
  </si>
  <si>
    <t>PKP</t>
  </si>
  <si>
    <t>ART556</t>
  </si>
  <si>
    <t>TMP</t>
  </si>
  <si>
    <t>KLIN</t>
  </si>
  <si>
    <t>F1</t>
  </si>
  <si>
    <t>PzB39</t>
  </si>
  <si>
    <t>T91</t>
  </si>
  <si>
    <t>Contender</t>
  </si>
  <si>
    <t>Ameli</t>
  </si>
  <si>
    <t>P226</t>
  </si>
  <si>
    <t>NS2000</t>
  </si>
  <si>
    <t>M12</t>
  </si>
  <si>
    <t>JS05</t>
  </si>
  <si>
    <t>T65</t>
  </si>
  <si>
    <t>K2</t>
  </si>
  <si>
    <t>Zas M21</t>
  </si>
  <si>
    <t>Carcano M1891</t>
  </si>
  <si>
    <t>Carcano M91/38</t>
  </si>
  <si>
    <t>XM3</t>
  </si>
  <si>
    <t>Gepard M1</t>
  </si>
  <si>
    <t>Ballista</t>
  </si>
  <si>
    <t>CZ2000</t>
  </si>
  <si>
    <t>HK21</t>
  </si>
  <si>
    <t>CZ52</t>
  </si>
  <si>
    <t>K5</t>
  </si>
  <si>
    <t>MDR</t>
  </si>
  <si>
    <t>XM8</t>
  </si>
  <si>
    <t>T77</t>
  </si>
  <si>
    <t>Model L</t>
  </si>
  <si>
    <t>Cx4 Storm</t>
  </si>
  <si>
    <t>OBR</t>
  </si>
  <si>
    <t>M82A1</t>
  </si>
  <si>
    <t>Px4 Storm</t>
  </si>
  <si>
    <t>SPR A3G</t>
  </si>
  <si>
    <t>K11</t>
  </si>
  <si>
    <t>Mk46</t>
  </si>
  <si>
    <t>P90</t>
  </si>
  <si>
    <t>K31</t>
  </si>
  <si>
    <t>Jericho</t>
  </si>
  <si>
    <t>Noel</t>
  </si>
  <si>
    <t>Elphelt</t>
  </si>
  <si>
    <t>CLEAR</t>
  </si>
  <si>
    <t>FAIL</t>
  </si>
  <si>
    <t>P22</t>
  </si>
  <si>
    <t>X95</t>
  </si>
  <si>
    <t>KSVK</t>
  </si>
  <si>
    <t>HS2000</t>
  </si>
  <si>
    <t>M200</t>
  </si>
  <si>
    <t>Falcon</t>
  </si>
  <si>
    <t>Magal</t>
  </si>
  <si>
    <t>Chauchat</t>
  </si>
  <si>
    <t>MG36</t>
  </si>
  <si>
    <t>HK33</t>
  </si>
  <si>
    <t>R93</t>
  </si>
  <si>
    <t>MP41</t>
  </si>
  <si>
    <t>P30</t>
  </si>
  <si>
    <t>ADS</t>
  </si>
  <si>
    <t>K3</t>
  </si>
  <si>
    <t>Kord</t>
  </si>
  <si>
    <t>ACR</t>
  </si>
  <si>
    <t>VP70</t>
  </si>
  <si>
    <t>Six12</t>
  </si>
  <si>
    <t>INSAS</t>
  </si>
  <si>
    <t>Liberator</t>
  </si>
  <si>
    <t>Zas M76</t>
  </si>
  <si>
    <t>en_name</t>
  </si>
  <si>
    <t>rank</t>
  </si>
  <si>
    <t>armor_piercing</t>
  </si>
  <si>
    <t>Type 56 R</t>
  </si>
  <si>
    <t>HK416</t>
  </si>
  <si>
    <t>Type 59</t>
  </si>
  <si>
    <t>PP1901</t>
  </si>
  <si>
    <t>G28</t>
  </si>
  <si>
    <t>HK45</t>
  </si>
  <si>
    <t>Ribeyrolles1918</t>
  </si>
  <si>
    <t>RFB</t>
  </si>
  <si>
    <t>Ak5</t>
  </si>
  <si>
    <t>HK23</t>
  </si>
  <si>
    <t>AN94</t>
  </si>
  <si>
    <t>AK12</t>
  </si>
  <si>
    <t>DTASRS</t>
  </si>
  <si>
    <t>Sakura</t>
  </si>
  <si>
    <t>M870P</t>
  </si>
  <si>
    <t>JS 9 mm</t>
  </si>
  <si>
    <t>Type03</t>
  </si>
  <si>
    <t>Type62</t>
  </si>
  <si>
    <t>Lewis</t>
  </si>
  <si>
    <t>Scout</t>
  </si>
  <si>
    <t>Type 4</t>
  </si>
  <si>
    <t>SSG3000</t>
  </si>
  <si>
    <t>CAWS</t>
  </si>
  <si>
    <t>SIG556</t>
  </si>
  <si>
    <t>HSM10</t>
  </si>
  <si>
    <t>Henrietta</t>
  </si>
  <si>
    <t>Rico</t>
  </si>
  <si>
    <t>Triela</t>
  </si>
  <si>
    <t>Claes</t>
  </si>
  <si>
    <t>Angelica</t>
  </si>
  <si>
    <t>M1911Mod</t>
  </si>
  <si>
    <t>Micro UziMod</t>
  </si>
  <si>
    <t>M14Mod</t>
  </si>
  <si>
    <t>M4A1Mod</t>
  </si>
  <si>
    <t>M4 SOPMOD IIMod</t>
  </si>
  <si>
    <t>AS ValMod</t>
  </si>
  <si>
    <t>HK416Mod</t>
  </si>
  <si>
    <t>M1918Mod</t>
  </si>
  <si>
    <t>LWMMGMod</t>
  </si>
  <si>
    <t>IDWMod</t>
  </si>
  <si>
    <t>M950AMod</t>
  </si>
  <si>
    <t>UMP9Mod</t>
  </si>
  <si>
    <t>UMP45Mod</t>
  </si>
  <si>
    <t>KSVKMod</t>
  </si>
  <si>
    <t>SAAMod</t>
  </si>
  <si>
    <t>Classes</t>
  </si>
  <si>
    <t>Mod</t>
  </si>
  <si>
    <t>Basic 1</t>
  </si>
  <si>
    <t>Basic 2</t>
  </si>
  <si>
    <t>Grow 1</t>
  </si>
  <si>
    <t>Grow 2</t>
  </si>
  <si>
    <t>Raw Inputs</t>
  </si>
  <si>
    <t>Unmod Basic</t>
  </si>
  <si>
    <t>Unmod Grow</t>
  </si>
  <si>
    <t>Doll Data</t>
  </si>
  <si>
    <t>armor</t>
  </si>
  <si>
    <t>Actual</t>
  </si>
  <si>
    <t>Level 1</t>
  </si>
  <si>
    <t>Links</t>
  </si>
  <si>
    <t>Rarity</t>
  </si>
  <si>
    <t>HG2</t>
  </si>
  <si>
    <t>HG3</t>
  </si>
  <si>
    <t>HG4</t>
  </si>
  <si>
    <t>HG5</t>
  </si>
  <si>
    <t>SMG2</t>
  </si>
  <si>
    <t>SMG3</t>
  </si>
  <si>
    <t>SMG4</t>
  </si>
  <si>
    <t>SMG5</t>
  </si>
  <si>
    <t>RF2</t>
  </si>
  <si>
    <t>RF3</t>
  </si>
  <si>
    <t>RF4</t>
  </si>
  <si>
    <t>RF5</t>
  </si>
  <si>
    <t>AR2</t>
  </si>
  <si>
    <t>AR3</t>
  </si>
  <si>
    <t>AR4</t>
  </si>
  <si>
    <t>AR5</t>
  </si>
  <si>
    <t>MG2</t>
  </si>
  <si>
    <t>MG4</t>
  </si>
  <si>
    <t>MG5</t>
  </si>
  <si>
    <t>SG2</t>
  </si>
  <si>
    <t>SG3</t>
  </si>
  <si>
    <t>SG4</t>
  </si>
  <si>
    <t>SG5</t>
  </si>
  <si>
    <t>HG6</t>
  </si>
  <si>
    <t>SMG6</t>
  </si>
  <si>
    <t>RF6</t>
  </si>
  <si>
    <t>AR6</t>
  </si>
  <si>
    <t>MG6</t>
  </si>
  <si>
    <t>SG6</t>
  </si>
  <si>
    <t>category</t>
  </si>
  <si>
    <t>speed</t>
  </si>
  <si>
    <t>critical_harm_rate</t>
  </si>
  <si>
    <t>critical_percent</t>
  </si>
  <si>
    <t>shield</t>
  </si>
  <si>
    <t>damage_amplify</t>
  </si>
  <si>
    <t>damage_reduction</t>
  </si>
  <si>
    <t>night_view_percent</t>
  </si>
  <si>
    <t>bullet_number_up</t>
  </si>
  <si>
    <t>skill_effect_per</t>
  </si>
  <si>
    <t>code</t>
  </si>
  <si>
    <t>develop_duration</t>
  </si>
  <si>
    <t>fit_guns</t>
  </si>
  <si>
    <t>5,8</t>
  </si>
  <si>
    <t>9,12</t>
  </si>
  <si>
    <t>13,16</t>
  </si>
  <si>
    <t>17,24</t>
  </si>
  <si>
    <t/>
  </si>
  <si>
    <t>1,1</t>
  </si>
  <si>
    <t>-1,-1</t>
  </si>
  <si>
    <t>1,2</t>
  </si>
  <si>
    <t>2,2</t>
  </si>
  <si>
    <t>-2,-2</t>
  </si>
  <si>
    <t>2,3</t>
  </si>
  <si>
    <t>3,5</t>
  </si>
  <si>
    <t>-4,-3</t>
  </si>
  <si>
    <t>4,6</t>
  </si>
  <si>
    <t>6,10</t>
  </si>
  <si>
    <t>-6,-4</t>
  </si>
  <si>
    <t>-2,-1</t>
  </si>
  <si>
    <t>7,10</t>
  </si>
  <si>
    <t>-3,-1</t>
  </si>
  <si>
    <t>11,15</t>
  </si>
  <si>
    <t>-4,-1</t>
  </si>
  <si>
    <t>51,55</t>
  </si>
  <si>
    <t>61,70</t>
  </si>
  <si>
    <t>76,85</t>
  </si>
  <si>
    <t>91,100</t>
  </si>
  <si>
    <t>45,55</t>
  </si>
  <si>
    <t>65,75</t>
  </si>
  <si>
    <t>90,100</t>
  </si>
  <si>
    <t>110,120</t>
  </si>
  <si>
    <t>27</t>
  </si>
  <si>
    <t>3,4</t>
  </si>
  <si>
    <t>5,7</t>
  </si>
  <si>
    <t>8,12</t>
  </si>
  <si>
    <t>36</t>
  </si>
  <si>
    <t>6,8</t>
  </si>
  <si>
    <t>10,12</t>
  </si>
  <si>
    <t>-6,-5</t>
  </si>
  <si>
    <t>14,16</t>
  </si>
  <si>
    <t>-8,-6</t>
  </si>
  <si>
    <t>20,25</t>
  </si>
  <si>
    <t>3,3</t>
  </si>
  <si>
    <t>4,5</t>
  </si>
  <si>
    <t>-3,-2</t>
  </si>
  <si>
    <t>46</t>
  </si>
  <si>
    <t>100,100</t>
  </si>
  <si>
    <t>-10,-5</t>
  </si>
  <si>
    <t>52</t>
  </si>
  <si>
    <t>54</t>
  </si>
  <si>
    <t>6,7</t>
  </si>
  <si>
    <t>1,8</t>
  </si>
  <si>
    <t>120,130</t>
  </si>
  <si>
    <t>12,16</t>
  </si>
  <si>
    <t>-5,-1</t>
  </si>
  <si>
    <t>57,20057</t>
  </si>
  <si>
    <t>-4,-2</t>
  </si>
  <si>
    <t>-8,-1</t>
  </si>
  <si>
    <t>75,20075</t>
  </si>
  <si>
    <t>-10,-6</t>
  </si>
  <si>
    <t>30,45</t>
  </si>
  <si>
    <t>20026,26</t>
  </si>
  <si>
    <t>9,11</t>
  </si>
  <si>
    <t>12,15</t>
  </si>
  <si>
    <t>-10,-7</t>
  </si>
  <si>
    <t>5,6</t>
  </si>
  <si>
    <t>7,9</t>
  </si>
  <si>
    <t>10,15</t>
  </si>
  <si>
    <t>8,8</t>
  </si>
  <si>
    <t>10,10</t>
  </si>
  <si>
    <t>15,15</t>
  </si>
  <si>
    <t>40,40</t>
  </si>
  <si>
    <t>32,32</t>
  </si>
  <si>
    <t>58,66</t>
  </si>
  <si>
    <t>25,25</t>
  </si>
  <si>
    <t>18,25</t>
  </si>
  <si>
    <t>2,4</t>
  </si>
  <si>
    <t>15,20</t>
  </si>
  <si>
    <t>39,20039</t>
  </si>
  <si>
    <t>-3,-3</t>
  </si>
  <si>
    <t>8,10</t>
  </si>
  <si>
    <t>-20,-20</t>
  </si>
  <si>
    <t>-10,-10</t>
  </si>
  <si>
    <t>101,102,103,20103,20101</t>
  </si>
  <si>
    <t>5,5</t>
  </si>
  <si>
    <t>118</t>
  </si>
  <si>
    <t>-5,-3</t>
  </si>
  <si>
    <t>185</t>
  </si>
  <si>
    <t>-7,-7</t>
  </si>
  <si>
    <t>20055,55</t>
  </si>
  <si>
    <t>20057,57</t>
  </si>
  <si>
    <t>8,11</t>
  </si>
  <si>
    <t>20002,2</t>
  </si>
  <si>
    <t>21,26</t>
  </si>
  <si>
    <t>20093,93</t>
  </si>
  <si>
    <t>20094,94</t>
  </si>
  <si>
    <t>20051,51</t>
  </si>
  <si>
    <t>24,24</t>
  </si>
  <si>
    <t>20065,65</t>
  </si>
  <si>
    <t>-25,-25</t>
  </si>
  <si>
    <t>20,20</t>
  </si>
  <si>
    <t>88</t>
  </si>
  <si>
    <t>42</t>
  </si>
  <si>
    <t>12,12</t>
  </si>
  <si>
    <t>20039,39</t>
  </si>
  <si>
    <t>20075,75</t>
  </si>
  <si>
    <t>20005,5</t>
  </si>
  <si>
    <t>20091,91</t>
  </si>
  <si>
    <t>20044,44</t>
  </si>
  <si>
    <t>1009</t>
  </si>
  <si>
    <t>1010</t>
  </si>
  <si>
    <t>69</t>
  </si>
  <si>
    <t>-6,-6</t>
  </si>
  <si>
    <t>20001,1</t>
  </si>
  <si>
    <t>20089,89</t>
  </si>
  <si>
    <t>20063,63</t>
  </si>
  <si>
    <t>15,18</t>
  </si>
  <si>
    <t>20103,103</t>
  </si>
  <si>
    <t>6,9</t>
  </si>
  <si>
    <t>20056,56</t>
  </si>
  <si>
    <t>62</t>
  </si>
  <si>
    <t>20029,29</t>
  </si>
  <si>
    <t>20037,37</t>
  </si>
  <si>
    <t>20064,64</t>
  </si>
  <si>
    <t>13,17</t>
  </si>
  <si>
    <t>20081,81</t>
  </si>
  <si>
    <t>18,18</t>
  </si>
  <si>
    <t>20007,7</t>
  </si>
  <si>
    <t>14,18</t>
  </si>
  <si>
    <t>20032,32</t>
  </si>
  <si>
    <t>10,14</t>
  </si>
  <si>
    <t>20060,60</t>
  </si>
  <si>
    <t>20061,61</t>
  </si>
  <si>
    <t>1017</t>
  </si>
  <si>
    <t>1022</t>
  </si>
  <si>
    <t>1019</t>
  </si>
  <si>
    <t>1018</t>
  </si>
  <si>
    <t>1020</t>
  </si>
  <si>
    <t>1021</t>
  </si>
  <si>
    <t>110</t>
  </si>
  <si>
    <t>158</t>
  </si>
  <si>
    <t>74</t>
  </si>
  <si>
    <t>12,14</t>
  </si>
  <si>
    <t>17</t>
  </si>
  <si>
    <t>11,13</t>
  </si>
  <si>
    <t>10</t>
  </si>
  <si>
    <t>20101,101</t>
  </si>
  <si>
    <t>7,11</t>
  </si>
  <si>
    <t>1,3</t>
  </si>
  <si>
    <t>20095,95</t>
  </si>
  <si>
    <t>50</t>
  </si>
  <si>
    <t>129,130</t>
  </si>
  <si>
    <t>84</t>
  </si>
  <si>
    <t>18</t>
  </si>
  <si>
    <t>3</t>
  </si>
  <si>
    <t>72</t>
  </si>
  <si>
    <t>31,20031</t>
  </si>
  <si>
    <t>12,20012</t>
  </si>
  <si>
    <t>228</t>
  </si>
  <si>
    <t>172</t>
  </si>
  <si>
    <t>53,20053</t>
  </si>
  <si>
    <t>7,20007</t>
  </si>
  <si>
    <t>38</t>
  </si>
  <si>
    <t>105</t>
  </si>
  <si>
    <t>163</t>
  </si>
  <si>
    <t>215</t>
  </si>
  <si>
    <t>16,20</t>
  </si>
  <si>
    <t>221,20221</t>
  </si>
  <si>
    <t>154,20154</t>
  </si>
  <si>
    <t>252,20252</t>
  </si>
  <si>
    <t>97,20097</t>
  </si>
  <si>
    <t>-4,-4</t>
  </si>
  <si>
    <t>127</t>
  </si>
  <si>
    <t>1024</t>
  </si>
  <si>
    <t>1027</t>
  </si>
  <si>
    <t>1026</t>
  </si>
  <si>
    <t>11,14</t>
  </si>
  <si>
    <t>1025</t>
  </si>
  <si>
    <t>1023</t>
  </si>
  <si>
    <t>122,20122</t>
  </si>
  <si>
    <t>124,20124</t>
  </si>
  <si>
    <t>143,20143</t>
  </si>
  <si>
    <t>161,20161</t>
  </si>
  <si>
    <t>113</t>
  </si>
  <si>
    <t>14</t>
  </si>
  <si>
    <t>92</t>
  </si>
  <si>
    <t>115</t>
  </si>
  <si>
    <t>126</t>
  </si>
  <si>
    <t>1028</t>
  </si>
  <si>
    <t>1029</t>
  </si>
  <si>
    <t>71,20071</t>
  </si>
  <si>
    <t>152,20152</t>
  </si>
  <si>
    <t>136,20136</t>
  </si>
  <si>
    <t>145</t>
  </si>
  <si>
    <t>133</t>
  </si>
  <si>
    <t>169</t>
  </si>
  <si>
    <t>270</t>
  </si>
  <si>
    <t>VFL2</t>
  </si>
  <si>
    <t>VFL3</t>
  </si>
  <si>
    <t>VFL4</t>
  </si>
  <si>
    <t>VFL5</t>
  </si>
  <si>
    <t>EOT2</t>
  </si>
  <si>
    <t>EOT3</t>
  </si>
  <si>
    <t>EOT4</t>
  </si>
  <si>
    <t>EOT5</t>
  </si>
  <si>
    <t>PEQ2</t>
  </si>
  <si>
    <t>PEQ3</t>
  </si>
  <si>
    <t>PEQ4</t>
  </si>
  <si>
    <t>PEQ5</t>
  </si>
  <si>
    <t>AP2</t>
  </si>
  <si>
    <t>AP3</t>
  </si>
  <si>
    <t>AP4</t>
  </si>
  <si>
    <t>AP5</t>
  </si>
  <si>
    <t>HV2</t>
  </si>
  <si>
    <t>HV3</t>
  </si>
  <si>
    <t>HV4</t>
  </si>
  <si>
    <t>HV5</t>
  </si>
  <si>
    <t>TExo2</t>
  </si>
  <si>
    <t>TExo3</t>
  </si>
  <si>
    <t>TExo4</t>
  </si>
  <si>
    <t>TExo5</t>
  </si>
  <si>
    <t>Armor3</t>
  </si>
  <si>
    <t>Armor4</t>
  </si>
  <si>
    <t>Armor5</t>
  </si>
  <si>
    <t>XExo2</t>
  </si>
  <si>
    <t>XExo3</t>
  </si>
  <si>
    <t>XExo4</t>
  </si>
  <si>
    <t>XExo5</t>
  </si>
  <si>
    <t>SPP2</t>
  </si>
  <si>
    <t>SPP3</t>
  </si>
  <si>
    <t>SPP4</t>
  </si>
  <si>
    <t>SPP5</t>
  </si>
  <si>
    <t>Ammo4</t>
  </si>
  <si>
    <t>Ammo5</t>
  </si>
  <si>
    <t>HP2</t>
  </si>
  <si>
    <t>HP3</t>
  </si>
  <si>
    <t>HP4</t>
  </si>
  <si>
    <t>HP5</t>
  </si>
  <si>
    <t>Buck2</t>
  </si>
  <si>
    <t>Buck3</t>
  </si>
  <si>
    <t>Buck4</t>
  </si>
  <si>
    <t>Buck5</t>
  </si>
  <si>
    <t>Slug2</t>
  </si>
  <si>
    <t>Slug3</t>
  </si>
  <si>
    <t>Slug4</t>
  </si>
  <si>
    <t>Slug5</t>
  </si>
  <si>
    <t>Cape2</t>
  </si>
  <si>
    <t>Cape3</t>
  </si>
  <si>
    <t>Cape4</t>
  </si>
  <si>
    <t>Cape5</t>
  </si>
  <si>
    <t>Doll Info</t>
  </si>
  <si>
    <t>gun_with_user_id</t>
  </si>
  <si>
    <t>equip_id</t>
  </si>
  <si>
    <t>equip_exp</t>
  </si>
  <si>
    <t>equip_level</t>
  </si>
  <si>
    <t>adjust_count</t>
  </si>
  <si>
    <t>last_adjust</t>
  </si>
  <si>
    <t>Talent</t>
  </si>
  <si>
    <t>skill_id</t>
  </si>
  <si>
    <t>quality_exp</t>
  </si>
  <si>
    <t>is_additional</t>
  </si>
  <si>
    <t>900110</t>
  </si>
  <si>
    <t>900111</t>
  </si>
  <si>
    <t>900103</t>
  </si>
  <si>
    <t>900101</t>
  </si>
  <si>
    <t>*6</t>
  </si>
  <si>
    <t>900104</t>
  </si>
  <si>
    <t>900102</t>
  </si>
  <si>
    <t>900108</t>
  </si>
  <si>
    <t>900109</t>
  </si>
  <si>
    <t>*8</t>
  </si>
  <si>
    <t>*9</t>
  </si>
  <si>
    <t>Landmines</t>
  </si>
  <si>
    <t>*10</t>
  </si>
  <si>
    <t>*11</t>
  </si>
  <si>
    <t>*12</t>
  </si>
  <si>
    <t>1000002</t>
  </si>
  <si>
    <t>1000001</t>
  </si>
  <si>
    <t>*15</t>
  </si>
  <si>
    <t>900117</t>
  </si>
  <si>
    <t>900151</t>
  </si>
  <si>
    <t>900155</t>
  </si>
  <si>
    <t>Nian</t>
  </si>
  <si>
    <t>900157</t>
  </si>
  <si>
    <t>900165</t>
  </si>
  <si>
    <t>*17</t>
  </si>
  <si>
    <t>900168</t>
  </si>
  <si>
    <t>900159</t>
  </si>
  <si>
    <t>901001</t>
  </si>
  <si>
    <t>*18</t>
  </si>
  <si>
    <t>*19</t>
  </si>
  <si>
    <t>902378</t>
  </si>
  <si>
    <t>900118</t>
  </si>
  <si>
    <t>Kaguya</t>
  </si>
  <si>
    <t>*1002</t>
  </si>
  <si>
    <t>Chloe</t>
  </si>
  <si>
    <t>900119</t>
  </si>
  <si>
    <t>*1004</t>
  </si>
  <si>
    <t>900152</t>
  </si>
  <si>
    <t>900153</t>
  </si>
  <si>
    <t>Anna</t>
  </si>
  <si>
    <t>900158</t>
  </si>
  <si>
    <t>fairy_id</t>
  </si>
  <si>
    <t>fairy_lv</t>
  </si>
  <si>
    <t>fairy_exp</t>
  </si>
  <si>
    <t>quality_lv</t>
  </si>
  <si>
    <t>skill_lv</t>
  </si>
  <si>
    <t>passive_skill</t>
  </si>
  <si>
    <t>passive_skill_collect</t>
  </si>
  <si>
    <t>exp1</t>
  </si>
  <si>
    <t>exp2</t>
  </si>
  <si>
    <t>exp3</t>
  </si>
  <si>
    <t>exp4</t>
  </si>
  <si>
    <t>exp5</t>
  </si>
  <si>
    <t>Fury</t>
  </si>
  <si>
    <t>Armor</t>
  </si>
  <si>
    <t>Shield</t>
  </si>
  <si>
    <t>Defense</t>
  </si>
  <si>
    <t>Taunt</t>
  </si>
  <si>
    <t>Sniper</t>
  </si>
  <si>
    <t>Artillery</t>
  </si>
  <si>
    <t>Airstrike</t>
  </si>
  <si>
    <t>Reinforcement</t>
  </si>
  <si>
    <t>Parachute</t>
  </si>
  <si>
    <t>Warrior</t>
  </si>
  <si>
    <t>Rocket</t>
  </si>
  <si>
    <t>Construction</t>
  </si>
  <si>
    <t>Command</t>
  </si>
  <si>
    <t>Rescue</t>
  </si>
  <si>
    <t>Illumination</t>
  </si>
  <si>
    <t>Golden</t>
  </si>
  <si>
    <t>Cooking</t>
  </si>
  <si>
    <t>Fireworks</t>
  </si>
  <si>
    <t>Beach</t>
  </si>
  <si>
    <t>Combo</t>
  </si>
  <si>
    <t>Twin</t>
  </si>
  <si>
    <t>Prototype</t>
  </si>
  <si>
    <t>Auspicious</t>
  </si>
  <si>
    <t>Desert</t>
  </si>
  <si>
    <t>Cheering</t>
  </si>
  <si>
    <t>Suee</t>
  </si>
  <si>
    <t>Preiya</t>
  </si>
  <si>
    <t>Sehra</t>
  </si>
  <si>
    <t>Damage 1</t>
  </si>
  <si>
    <t>Increases fire power by 12%</t>
  </si>
  <si>
    <t>Damage 2</t>
  </si>
  <si>
    <t>Increases fire power by 15%</t>
  </si>
  <si>
    <t>Accuracy 1</t>
  </si>
  <si>
    <t>Increases accuracy by 20%</t>
  </si>
  <si>
    <t>Accuracy 2</t>
  </si>
  <si>
    <t>increases accuracy by 25%</t>
  </si>
  <si>
    <t>Evasion 1</t>
  </si>
  <si>
    <t>Increases Evasion by 15%</t>
  </si>
  <si>
    <t>Evasion 2</t>
  </si>
  <si>
    <t>Increases Evasion by 20%</t>
  </si>
  <si>
    <t>Armor 1</t>
  </si>
  <si>
    <t>Increases armor by 8%</t>
  </si>
  <si>
    <t>Armor 2</t>
  </si>
  <si>
    <t>Increases armor by 10%</t>
  </si>
  <si>
    <t>Critical 1</t>
  </si>
  <si>
    <t>Increases Critical rate by 40%</t>
  </si>
  <si>
    <t>Critical 2</t>
  </si>
  <si>
    <t>Increases Critical rate by 50%</t>
  </si>
  <si>
    <t>Charge</t>
  </si>
  <si>
    <t>Increases SMG FP by 8% and evasion by 12%</t>
  </si>
  <si>
    <t>Assault</t>
  </si>
  <si>
    <t>Increases AR RoF by 8% and FP by 10%</t>
  </si>
  <si>
    <t>Aim</t>
  </si>
  <si>
    <t>Increases RF FP by 8% and RoF by 10%</t>
  </si>
  <si>
    <t>Sturdy</t>
  </si>
  <si>
    <t>Increases MG FP by 10% and accuracy by 15%</t>
  </si>
  <si>
    <t>Suppression</t>
  </si>
  <si>
    <t>Increases HG evasion by 10% and crit rate by 30%</t>
  </si>
  <si>
    <t>Keen</t>
  </si>
  <si>
    <t>Increases SG armor by 8% and crit rate by 20%</t>
  </si>
  <si>
    <t>Fervor</t>
  </si>
  <si>
    <t>10% FP buff every 8 seconds, 3 stacks max.</t>
  </si>
  <si>
    <t>ID</t>
  </si>
  <si>
    <t>Description</t>
  </si>
  <si>
    <t>SPEQ</t>
  </si>
  <si>
    <t>Type</t>
  </si>
  <si>
    <t>Calib %</t>
  </si>
  <si>
    <t>Equip #1</t>
  </si>
  <si>
    <t>Equip #2</t>
  </si>
  <si>
    <t>Equip #3</t>
  </si>
  <si>
    <t>AK47-1</t>
  </si>
  <si>
    <t>AK47-2</t>
  </si>
  <si>
    <t>AK47-3</t>
  </si>
  <si>
    <t>FAMAS</t>
  </si>
  <si>
    <t>Type95/97</t>
  </si>
  <si>
    <t>VFL</t>
  </si>
  <si>
    <t>EOT</t>
  </si>
  <si>
    <t>M38Mod</t>
  </si>
  <si>
    <t>M500Mod</t>
  </si>
  <si>
    <t>9A91</t>
  </si>
  <si>
    <t>Clear</t>
  </si>
  <si>
    <t>Fail</t>
  </si>
  <si>
    <t>PEQ</t>
  </si>
  <si>
    <t>AP</t>
  </si>
  <si>
    <t>Dorothy</t>
  </si>
  <si>
    <t>KS23</t>
  </si>
  <si>
    <t>AA12</t>
  </si>
  <si>
    <t>M1897Mod</t>
  </si>
  <si>
    <t>Stg44Mod</t>
  </si>
  <si>
    <t>OTs12</t>
  </si>
  <si>
    <t>HV</t>
  </si>
  <si>
    <t>MosinNagant</t>
  </si>
  <si>
    <t>MP5</t>
  </si>
  <si>
    <t>UMP</t>
  </si>
  <si>
    <t>Sei</t>
  </si>
  <si>
    <t>Exo</t>
  </si>
  <si>
    <t>Type97SMod</t>
  </si>
  <si>
    <t>G41</t>
  </si>
  <si>
    <t>Dana</t>
  </si>
  <si>
    <t>Stella</t>
  </si>
  <si>
    <t>Alma</t>
  </si>
  <si>
    <t>TAR21</t>
  </si>
  <si>
    <t>StechkinMod</t>
  </si>
  <si>
    <t>Type64Mod</t>
  </si>
  <si>
    <t>Ammo</t>
  </si>
  <si>
    <t>Cape</t>
  </si>
  <si>
    <t>BrenMod</t>
  </si>
  <si>
    <t>SIG510</t>
  </si>
  <si>
    <t>C96Mod</t>
  </si>
  <si>
    <t>ClaesSpectacles</t>
  </si>
  <si>
    <t>ClaesMeteorite</t>
  </si>
  <si>
    <t>ClaesWristwatch</t>
  </si>
  <si>
    <t>Serdyukov</t>
  </si>
  <si>
    <t>SCW</t>
  </si>
  <si>
    <t>100Shiki</t>
  </si>
  <si>
    <t>Shell</t>
  </si>
  <si>
    <t>SPP</t>
  </si>
  <si>
    <t>JillKarmotrine1</t>
  </si>
  <si>
    <t>JillAdelhyde1</t>
  </si>
  <si>
    <t>JillFlanergide</t>
  </si>
  <si>
    <t>JillKarmotrine2</t>
  </si>
  <si>
    <t>JillAdelhyde2</t>
  </si>
  <si>
    <t>JillBronsonExtract</t>
  </si>
  <si>
    <t>JillKarmotrine3</t>
  </si>
  <si>
    <t>Level \ *</t>
  </si>
  <si>
    <t>Inputs</t>
  </si>
  <si>
    <t>Fairy Info</t>
  </si>
  <si>
    <t>Doll Exp</t>
  </si>
  <si>
    <t>Fairy Exp</t>
  </si>
  <si>
    <t>Equipment Exp</t>
  </si>
  <si>
    <t>Fairy #</t>
  </si>
  <si>
    <t>Skill</t>
  </si>
  <si>
    <t>Doll:</t>
  </si>
  <si>
    <t>Equip:</t>
  </si>
  <si>
    <t>Fairy:</t>
  </si>
  <si>
    <t>3263200];</t>
  </si>
  <si>
    <t>Turn:</t>
  </si>
  <si>
    <t>Mission:</t>
  </si>
  <si>
    <t>Line #</t>
  </si>
  <si>
    <t>fairy_skill_on_team</t>
  </si>
  <si>
    <t>fairy_skill_on_enemy</t>
  </si>
  <si>
    <t>turn</t>
  </si>
  <si>
    <t>field</t>
  </si>
  <si>
    <t>Value</t>
  </si>
  <si>
    <t>KR Sim Grid Numbers:</t>
  </si>
  <si>
    <t>Buff</t>
  </si>
  <si>
    <t>Sim:</t>
  </si>
  <si>
    <t>M1895Mod</t>
  </si>
  <si>
    <t>QJY88</t>
  </si>
  <si>
    <t>Type80</t>
  </si>
  <si>
    <t>Mk12</t>
  </si>
  <si>
    <t>M1A1</t>
  </si>
  <si>
    <t>M2HB</t>
  </si>
  <si>
    <t>R5</t>
  </si>
  <si>
    <t>Type89</t>
  </si>
  <si>
    <t>Webley</t>
  </si>
  <si>
    <t>CF05</t>
  </si>
  <si>
    <t>SL8</t>
  </si>
  <si>
    <t>M82</t>
  </si>
  <si>
    <t>Vepr</t>
  </si>
  <si>
    <t>CAR</t>
  </si>
  <si>
    <t>SAF</t>
  </si>
  <si>
    <t>Tabuk</t>
  </si>
  <si>
    <t>C14</t>
  </si>
  <si>
    <t>WKp</t>
  </si>
  <si>
    <t>Rex Zero 1</t>
  </si>
  <si>
    <t>Lusa</t>
  </si>
  <si>
    <t>GeneralLiu</t>
  </si>
  <si>
    <t>MondragonM1908</t>
  </si>
  <si>
    <t>VHS</t>
  </si>
  <si>
    <t>PM1910</t>
  </si>
  <si>
    <t>GM6 Lynx</t>
  </si>
  <si>
    <t>TS12</t>
  </si>
  <si>
    <t>LTLX7000</t>
  </si>
  <si>
    <t>M6 ASW</t>
  </si>
  <si>
    <t>HK512</t>
  </si>
  <si>
    <t>SVCh</t>
  </si>
  <si>
    <t>Kolibri</t>
  </si>
  <si>
    <t>Derringer</t>
  </si>
  <si>
    <t>VP1915</t>
  </si>
  <si>
    <t>Savage 99</t>
  </si>
  <si>
    <t>Fedorov</t>
  </si>
  <si>
    <t>Kiana</t>
  </si>
  <si>
    <t>Mei</t>
  </si>
  <si>
    <t>Bronya</t>
  </si>
  <si>
    <t>Theresa</t>
  </si>
  <si>
    <t>Himeko</t>
  </si>
  <si>
    <t>Seele</t>
  </si>
  <si>
    <t>RO635Mod</t>
  </si>
  <si>
    <t>F1Mod</t>
  </si>
  <si>
    <t>STEN MkII</t>
  </si>
  <si>
    <t>STEN MkIIMod</t>
  </si>
  <si>
    <t>Type 56 RMod</t>
  </si>
  <si>
    <t>StG44Mod</t>
  </si>
  <si>
    <t>Galil Mod</t>
  </si>
  <si>
    <t>Super SASSMod</t>
  </si>
  <si>
    <t>Type80Mod</t>
  </si>
  <si>
    <t>Welrod MkIIMod</t>
  </si>
  <si>
    <t>Welrod MkII</t>
  </si>
  <si>
    <t>M1895CB</t>
  </si>
  <si>
    <t>64Shiki</t>
  </si>
  <si>
    <t>Type88Mod</t>
  </si>
  <si>
    <t>Galil</t>
  </si>
  <si>
    <t>AUG Para</t>
  </si>
  <si>
    <t>JillPowderedDelta</t>
  </si>
  <si>
    <t>enemy_team_id</t>
  </si>
  <si>
    <t>boss_hp</t>
  </si>
  <si>
    <t>spot_belong</t>
  </si>
  <si>
    <t>fairy_skill</t>
  </si>
  <si>
    <t>squad_skill</t>
  </si>
  <si>
    <t>Boss HP:</t>
  </si>
  <si>
    <t>Fairy Skill:</t>
  </si>
  <si>
    <t>HOC Support:</t>
  </si>
  <si>
    <t>Inputs Per Doll - Accounting for Mod/Unmod</t>
  </si>
  <si>
    <t>Inputs Per Doll - Assuming Unmod</t>
  </si>
  <si>
    <t>Selection</t>
  </si>
  <si>
    <t>This spreadsheet will generate/modify the JSON files needed for the KR Battle Sim based on user inputs.</t>
  </si>
  <si>
    <t>JSON File Paths (autogenerated; assumes workbook is in parent directory):</t>
  </si>
  <si>
    <t>HOC #</t>
  </si>
  <si>
    <t>BGM-71</t>
  </si>
  <si>
    <t>AGS-30</t>
  </si>
  <si>
    <t>2B14</t>
  </si>
  <si>
    <t>M2</t>
  </si>
  <si>
    <t>AT4</t>
  </si>
  <si>
    <t>QLZ-04</t>
  </si>
  <si>
    <t>SMAW</t>
  </si>
  <si>
    <t>HOC Exp</t>
  </si>
  <si>
    <t>Pierce</t>
  </si>
  <si>
    <t>Lethality</t>
  </si>
  <si>
    <t>Precision</t>
  </si>
  <si>
    <t>Reload</t>
  </si>
  <si>
    <t>squad_id</t>
  </si>
  <si>
    <t>squad_exp</t>
  </si>
  <si>
    <t>squad_level</t>
  </si>
  <si>
    <t>advanced_level</t>
  </si>
  <si>
    <t>assist_damage</t>
  </si>
  <si>
    <t>assist_reload</t>
  </si>
  <si>
    <t>assist_hit</t>
  </si>
  <si>
    <t>assist_def_break</t>
  </si>
  <si>
    <t>damage</t>
  </si>
  <si>
    <t>atk_speed</t>
  </si>
  <si>
    <t>def</t>
  </si>
  <si>
    <t>skill3</t>
  </si>
  <si>
    <t>HOC Min Stats</t>
  </si>
  <si>
    <t>HOC:</t>
  </si>
  <si>
    <t>Chip:</t>
  </si>
  <si>
    <t>48</t>
  </si>
  <si>
    <t>49,20049</t>
  </si>
  <si>
    <t>114,20114</t>
  </si>
  <si>
    <t>20178,178</t>
  </si>
  <si>
    <t>199,20199</t>
  </si>
  <si>
    <t>302</t>
  </si>
  <si>
    <t>21</t>
  </si>
  <si>
    <t>SIG MCX</t>
  </si>
  <si>
    <t>DeLisle</t>
  </si>
  <si>
    <t>-20,-10</t>
  </si>
  <si>
    <t>-30,-15</t>
  </si>
  <si>
    <t>94,20094</t>
  </si>
  <si>
    <t>80</t>
  </si>
  <si>
    <t>13,15</t>
  </si>
  <si>
    <t>50,60</t>
  </si>
  <si>
    <t>70,80</t>
  </si>
  <si>
    <t>-5,-5</t>
  </si>
  <si>
    <t>190,200</t>
  </si>
  <si>
    <t>240,250</t>
  </si>
  <si>
    <t>-50,-50</t>
  </si>
  <si>
    <t>16</t>
  </si>
  <si>
    <t>PPSh41</t>
  </si>
  <si>
    <t>Flashbang</t>
  </si>
  <si>
    <t>Chip5</t>
  </si>
  <si>
    <t>Chip4</t>
  </si>
  <si>
    <t>Chip3</t>
  </si>
  <si>
    <t>Birdshot5</t>
  </si>
  <si>
    <t>Birdshot4</t>
  </si>
  <si>
    <t>SLAP5</t>
  </si>
  <si>
    <t>SLAP4</t>
  </si>
  <si>
    <t>Flare</t>
  </si>
  <si>
    <t>New</t>
  </si>
  <si>
    <t>AgentVectorHP</t>
  </si>
  <si>
    <t>AgentVectorTExo</t>
  </si>
  <si>
    <t>AgentVectorSPP</t>
  </si>
  <si>
    <t>Agent416VFL</t>
  </si>
  <si>
    <t>Agent416HV</t>
  </si>
  <si>
    <t>Agent416XExo</t>
  </si>
  <si>
    <t>RMR3</t>
  </si>
  <si>
    <t>RMR4</t>
  </si>
  <si>
    <t>RMR5</t>
  </si>
  <si>
    <t>Barrier</t>
  </si>
  <si>
    <t>https://github.com/randomqwerty/GFLBattleSim-JSONGenerator</t>
  </si>
  <si>
    <t>MG4Mod</t>
  </si>
  <si>
    <t>RMB93Mod</t>
  </si>
  <si>
    <t>XM3Mod</t>
  </si>
  <si>
    <t>125,20125</t>
  </si>
  <si>
    <t>8,20008</t>
  </si>
  <si>
    <t>95,20095</t>
  </si>
  <si>
    <t>10,20</t>
  </si>
  <si>
    <t>96</t>
  </si>
  <si>
    <t>300,300</t>
  </si>
  <si>
    <t>159,20159</t>
  </si>
  <si>
    <t>200,20200</t>
  </si>
  <si>
    <t>MakarovMod</t>
  </si>
  <si>
    <t>Buff ID</t>
  </si>
  <si>
    <t>Config ID</t>
  </si>
  <si>
    <t>Combo 1</t>
  </si>
  <si>
    <t>Combo 2</t>
  </si>
  <si>
    <t>Combo 3</t>
  </si>
  <si>
    <t>Buffs:</t>
  </si>
  <si>
    <t>Config:</t>
  </si>
  <si>
    <t>Enter doll #'s in formation:</t>
  </si>
  <si>
    <t>1 Stack</t>
  </si>
  <si>
    <t>2 Stack</t>
  </si>
  <si>
    <t>3 Stack</t>
  </si>
  <si>
    <t>Base:</t>
  </si>
  <si>
    <t>Skill:</t>
  </si>
  <si>
    <t>None</t>
  </si>
  <si>
    <t>"fairy_skill_on_team": "[]",</t>
  </si>
  <si>
    <t>Custom Stats?</t>
  </si>
  <si>
    <t>HP/Link</t>
  </si>
  <si>
    <t>White</t>
  </si>
  <si>
    <t>DR - KSVK/Liu</t>
  </si>
  <si>
    <t>DR - 416/NTW</t>
  </si>
  <si>
    <t>Ech Preset:</t>
  </si>
  <si>
    <t>Dropdown List</t>
  </si>
  <si>
    <t>Sandstorm</t>
  </si>
  <si>
    <t>Cheer</t>
  </si>
  <si>
    <t>Zodiac</t>
  </si>
  <si>
    <t>Flex talent</t>
  </si>
  <si>
    <t>DR - 416/Kord/Grape</t>
  </si>
  <si>
    <t>character</t>
  </si>
  <si>
    <t>formation</t>
  </si>
  <si>
    <t>resolution</t>
  </si>
  <si>
    <t>shape_scale</t>
  </si>
  <si>
    <t>ap_cost</t>
  </si>
  <si>
    <t>skill_advance</t>
  </si>
  <si>
    <t>Scarecrow</t>
  </si>
  <si>
    <t>2,4,6</t>
  </si>
  <si>
    <t>80,120</t>
  </si>
  <si>
    <t>Excutioner</t>
  </si>
  <si>
    <t>2,4,5</t>
  </si>
  <si>
    <t>Hunter</t>
  </si>
  <si>
    <t>Intruder</t>
  </si>
  <si>
    <t>Destroyer</t>
  </si>
  <si>
    <t>Weaver</t>
  </si>
  <si>
    <t>Alchemist</t>
  </si>
  <si>
    <t>Dreamer</t>
  </si>
  <si>
    <t>Gager</t>
  </si>
  <si>
    <t>Justice</t>
  </si>
  <si>
    <t>1,4,6</t>
  </si>
  <si>
    <t>Agent</t>
  </si>
  <si>
    <t>Nyto_black</t>
  </si>
  <si>
    <t>Nyto_white</t>
  </si>
  <si>
    <t>Brute</t>
  </si>
  <si>
    <t>Dragoon</t>
  </si>
  <si>
    <t>Aegis</t>
  </si>
  <si>
    <t>1,4,5</t>
  </si>
  <si>
    <t>Nemeum</t>
  </si>
  <si>
    <t>1,3,6</t>
  </si>
  <si>
    <t>Tarantula</t>
  </si>
  <si>
    <t>1,3,5</t>
  </si>
  <si>
    <t>Manticore</t>
  </si>
  <si>
    <t>Guard_SWAP</t>
  </si>
  <si>
    <t>Ripper_SWAP</t>
  </si>
  <si>
    <t>Vespid_SWAP</t>
  </si>
  <si>
    <t>Prowler_SWAP</t>
  </si>
  <si>
    <t>2,3,5</t>
  </si>
  <si>
    <t>Dragoon_SWAP</t>
  </si>
  <si>
    <t>Striker_SWAP</t>
  </si>
  <si>
    <t>Aegis_SWAP</t>
  </si>
  <si>
    <t>Ripper</t>
  </si>
  <si>
    <t>Vespid</t>
  </si>
  <si>
    <t>Guard</t>
  </si>
  <si>
    <t>Jaeger</t>
  </si>
  <si>
    <t>Striker</t>
  </si>
  <si>
    <t>Dinergate</t>
  </si>
  <si>
    <t>Scouts</t>
  </si>
  <si>
    <t>Prowler</t>
  </si>
  <si>
    <t>Jaguar</t>
  </si>
  <si>
    <t>2,3,6</t>
  </si>
  <si>
    <t>Golyat_Factory</t>
  </si>
  <si>
    <t>dev_time</t>
  </si>
  <si>
    <t>sangvis_id</t>
  </si>
  <si>
    <t>sangvis_exp</t>
  </si>
  <si>
    <t>sangvis_level</t>
  </si>
  <si>
    <t>sangvis_advance</t>
  </si>
  <si>
    <t>sangvis_resolution</t>
  </si>
  <si>
    <t>sangvis_resolution_level</t>
  </si>
  <si>
    <t>sangvis_shape_n</t>
  </si>
  <si>
    <t>sangvis_is_special</t>
  </si>
  <si>
    <t>chip1</t>
  </si>
  <si>
    <t>chip2</t>
  </si>
  <si>
    <t>sign</t>
  </si>
  <si>
    <t>group_id</t>
  </si>
  <si>
    <t>info</t>
  </si>
  <si>
    <t>SF #</t>
  </si>
  <si>
    <t>Chip</t>
  </si>
  <si>
    <t>Resolution</t>
  </si>
  <si>
    <t>XL</t>
  </si>
  <si>
    <t>Size</t>
  </si>
  <si>
    <t>lv</t>
  </si>
  <si>
    <t>SF Exp</t>
  </si>
  <si>
    <t>Sangvis Info</t>
  </si>
  <si>
    <t>Base Stars</t>
  </si>
  <si>
    <t>Total Stars</t>
  </si>
  <si>
    <t>G&amp;K Echelon Setup</t>
  </si>
  <si>
    <t>SF Echelon Setup</t>
  </si>
  <si>
    <t>Echelon:</t>
  </si>
  <si>
    <t>BOSS</t>
  </si>
  <si>
    <t>Elite</t>
  </si>
  <si>
    <t>Regular</t>
  </si>
  <si>
    <t>Size Factors</t>
  </si>
  <si>
    <t>S</t>
  </si>
  <si>
    <t>M</t>
  </si>
  <si>
    <t>L</t>
  </si>
  <si>
    <t>if_skill_up</t>
  </si>
  <si>
    <t>resolution_number</t>
  </si>
  <si>
    <t>resolution_hp</t>
  </si>
  <si>
    <t>resolution_pow</t>
  </si>
  <si>
    <t>resolution_rate</t>
  </si>
  <si>
    <t>resolution_hit</t>
  </si>
  <si>
    <t>resolution_dodge</t>
  </si>
  <si>
    <t>resolution_armor</t>
  </si>
  <si>
    <t>resolution_armor_piercing</t>
  </si>
  <si>
    <t>resolution_crit</t>
  </si>
  <si>
    <t>resolution_crit_dmg</t>
  </si>
  <si>
    <t>resolution_speed</t>
  </si>
  <si>
    <t>resolution_effect</t>
  </si>
  <si>
    <t>Basic Factors</t>
  </si>
  <si>
    <t>HP Calculation</t>
  </si>
  <si>
    <t>Basic</t>
  </si>
  <si>
    <t>ratio_HP</t>
  </si>
  <si>
    <t>advance_HP</t>
  </si>
  <si>
    <t>Star Factors</t>
  </si>
  <si>
    <t>XS</t>
  </si>
  <si>
    <t>Raw Inputs - from sangvis_type/resolution/advance JSONs</t>
  </si>
  <si>
    <t>Calculations referenced from:</t>
  </si>
  <si>
    <t xml:space="preserve">https://bbs.nga.cn/read.php?tid=20891117&amp;rand=438 </t>
  </si>
  <si>
    <r>
      <t xml:space="preserve">Base </t>
    </r>
    <r>
      <rPr>
        <sz val="11"/>
        <rFont val="Calibri"/>
        <family val="2"/>
      </rPr>
      <t>★</t>
    </r>
  </si>
  <si>
    <t>★</t>
  </si>
  <si>
    <t>NightAccuracy</t>
  </si>
  <si>
    <t>desc</t>
  </si>
  <si>
    <t>Increases vision range by 1 at night</t>
  </si>
  <si>
    <t>Reduces night battle penalty by 100%</t>
  </si>
  <si>
    <t>NightRange</t>
  </si>
  <si>
    <t>Weaken</t>
  </si>
  <si>
    <t>Defend</t>
  </si>
  <si>
    <t>Echelon does not consume AP for one move</t>
  </si>
  <si>
    <t>Echelon can carry extra Ammo and Rations</t>
  </si>
  <si>
    <t>Echelon does not consume Ammo/Ratios and has +15% FP</t>
  </si>
  <si>
    <t>Can pickpocket from an adjacent enemy</t>
  </si>
  <si>
    <t>Can call in an airdrop to resupply</t>
  </si>
  <si>
    <t>Reduce enemy FP by 12%</t>
  </si>
  <si>
    <t>All friendly echelons within 3 nodes get a 6% FP buff</t>
  </si>
  <si>
    <t>If there are no adjacent echelons, gain a 10% FP buff</t>
  </si>
  <si>
    <t>When fighting on a node you own, gain a 100% evasion and 50% armor buff</t>
  </si>
  <si>
    <t>The more units in the echelon, the higher the FP buff, up to 15%</t>
  </si>
  <si>
    <t>The damage of the unit that enters a battle with reinforcements (?) from a friendly echelon within 2 blocks will be increased by 20%</t>
  </si>
  <si>
    <t>Resol. #</t>
  </si>
  <si>
    <t>Resol. HP</t>
  </si>
  <si>
    <t>Formation #</t>
  </si>
  <si>
    <t>Final HP</t>
  </si>
  <si>
    <t>Enter SF #'s in formation:</t>
  </si>
  <si>
    <t>SF:</t>
  </si>
  <si>
    <t>SF Team:</t>
  </si>
  <si>
    <t>SF Chip:</t>
  </si>
  <si>
    <t>chip_id</t>
  </si>
  <si>
    <t>sangvis_with_user_id</t>
  </si>
  <si>
    <t>chip_slot</t>
  </si>
  <si>
    <t>{</t>
  </si>
  <si>
    <t>Custom HP?</t>
  </si>
  <si>
    <t>ratio_life</t>
  </si>
  <si>
    <t>ratio_pow</t>
  </si>
  <si>
    <t>ratio_rate</t>
  </si>
  <si>
    <t>ratio_hit</t>
  </si>
  <si>
    <t>ratio_dodge</t>
  </si>
  <si>
    <t>ratio_armor</t>
  </si>
  <si>
    <t>eat_ratio</t>
  </si>
  <si>
    <t>normal_attack</t>
  </si>
  <si>
    <t>dynamic_passive_skill</t>
  </si>
  <si>
    <t>type_equip1</t>
  </si>
  <si>
    <t>type_equip2</t>
  </si>
  <si>
    <t>type_equip3</t>
  </si>
  <si>
    <t>1;4,13,16</t>
  </si>
  <si>
    <t>2;6</t>
  </si>
  <si>
    <t>3;10</t>
  </si>
  <si>
    <t>900156,999999</t>
  </si>
  <si>
    <t>200422,756001</t>
  </si>
  <si>
    <t>120001,120002,120003,120004,120005,120006,120008,120010,120011</t>
  </si>
  <si>
    <t>800502,800501,999999</t>
  </si>
  <si>
    <t>999999</t>
  </si>
  <si>
    <t>803602</t>
  </si>
  <si>
    <t>702030,999999</t>
  </si>
  <si>
    <t>200421</t>
  </si>
  <si>
    <t>3;9,10</t>
  </si>
  <si>
    <t>1;1,2,3,4,13</t>
  </si>
  <si>
    <t>200486,900156</t>
  </si>
  <si>
    <t>200486</t>
  </si>
  <si>
    <t>PP2000</t>
  </si>
  <si>
    <t>710802</t>
  </si>
  <si>
    <t>108403</t>
  </si>
  <si>
    <t>900156,200427,999999</t>
  </si>
  <si>
    <t>900273</t>
  </si>
  <si>
    <t>802709,802711</t>
  </si>
  <si>
    <t>300113,501032,999999</t>
  </si>
  <si>
    <t>2;5</t>
  </si>
  <si>
    <t>1;1,2,3,13</t>
  </si>
  <si>
    <t>3;15</t>
  </si>
  <si>
    <t>501032</t>
  </si>
  <si>
    <t>501032,999999</t>
  </si>
  <si>
    <t>511030</t>
  </si>
  <si>
    <t>501033</t>
  </si>
  <si>
    <t>501030,999999</t>
  </si>
  <si>
    <t>801411</t>
  </si>
  <si>
    <t>900221,702039</t>
  </si>
  <si>
    <t>710807</t>
  </si>
  <si>
    <t>999999,992227</t>
  </si>
  <si>
    <t>FN49</t>
  </si>
  <si>
    <t>900156,200428,201007,702027</t>
  </si>
  <si>
    <t>2;8</t>
  </si>
  <si>
    <t>200412,201434,201001,202001,702016,702026</t>
  </si>
  <si>
    <t>200464,200413,900156,200417,201432,201005,202007,702020</t>
  </si>
  <si>
    <t>201436,201002,202006,702017</t>
  </si>
  <si>
    <t>802605</t>
  </si>
  <si>
    <t>802505,802501</t>
  </si>
  <si>
    <t>702033</t>
  </si>
  <si>
    <t>G3</t>
  </si>
  <si>
    <t>G36</t>
  </si>
  <si>
    <t>200411,200406,200414,900156,202004,702018,702025,756002</t>
  </si>
  <si>
    <t>900156</t>
  </si>
  <si>
    <t>FNC</t>
  </si>
  <si>
    <t>300201,300202</t>
  </si>
  <si>
    <t>2;5,17</t>
  </si>
  <si>
    <t>1;1,2,3,16</t>
  </si>
  <si>
    <t>3;14</t>
  </si>
  <si>
    <t>300201,300202,999999</t>
  </si>
  <si>
    <t>M249SAW</t>
  </si>
  <si>
    <t>300201,300202,802204,802206,999999</t>
  </si>
  <si>
    <t>FNP9</t>
  </si>
  <si>
    <t>710805,999999</t>
  </si>
  <si>
    <t>710806,999999</t>
  </si>
  <si>
    <t>803010,999999</t>
  </si>
  <si>
    <t>100506</t>
  </si>
  <si>
    <t>Mk23</t>
  </si>
  <si>
    <t>200431,200407,900156,200415,202003</t>
  </si>
  <si>
    <t>106502,106503,106504,106505,106506,106507,106508,106509,106510,106511,106512,106513</t>
  </si>
  <si>
    <t>200431,200407,900156,200420,202002,702019,702024,756001</t>
  </si>
  <si>
    <t>102118</t>
  </si>
  <si>
    <t>F2000</t>
  </si>
  <si>
    <t>300202,200102,200203,200204,200205,200202</t>
  </si>
  <si>
    <t>200416</t>
  </si>
  <si>
    <t>G11</t>
  </si>
  <si>
    <t>301401,301402,200411,200406,200419,202005</t>
  </si>
  <si>
    <t>501032,900884,999999</t>
  </si>
  <si>
    <t>300201,300202,803926</t>
  </si>
  <si>
    <t>900156,702037</t>
  </si>
  <si>
    <t>702029</t>
  </si>
  <si>
    <t>2;5,8</t>
  </si>
  <si>
    <t>USPCompact</t>
  </si>
  <si>
    <t>200474,200432,200425,201431,201006,202008,702015</t>
  </si>
  <si>
    <t>501033,999999</t>
  </si>
  <si>
    <t>710804</t>
  </si>
  <si>
    <t>301604</t>
  </si>
  <si>
    <t>702031</t>
  </si>
  <si>
    <t>300202,300203</t>
  </si>
  <si>
    <t>3;11</t>
  </si>
  <si>
    <t>2;7</t>
  </si>
  <si>
    <t>1;1,2,3,4</t>
  </si>
  <si>
    <t>300202,300203,999999</t>
  </si>
  <si>
    <t>300202,300203,710803</t>
  </si>
  <si>
    <t>KSG</t>
  </si>
  <si>
    <t>300202,300203,300109,999999</t>
  </si>
  <si>
    <t>300202,300203,300109</t>
  </si>
  <si>
    <t>300202,300203,114003</t>
  </si>
  <si>
    <t>110019,114002</t>
  </si>
  <si>
    <t>110024,110025,110026</t>
  </si>
  <si>
    <t>300801</t>
  </si>
  <si>
    <t>900222</t>
  </si>
  <si>
    <t>106702</t>
  </si>
  <si>
    <t>106711,106721,106731</t>
  </si>
  <si>
    <t>2;5,6</t>
  </si>
  <si>
    <t>300201,300202,702033</t>
  </si>
  <si>
    <t>106902,106903,106904,300202,702036</t>
  </si>
  <si>
    <t>107702,107708,107709,107710,107712</t>
  </si>
  <si>
    <t>107703,107704,107705,107706,107711,107714,107715</t>
  </si>
  <si>
    <t>108004,900156</t>
  </si>
  <si>
    <t>108005</t>
  </si>
  <si>
    <t>107806</t>
  </si>
  <si>
    <t>107804,107807</t>
  </si>
  <si>
    <t>107904</t>
  </si>
  <si>
    <t>107902,107905,107906,107908</t>
  </si>
  <si>
    <t>902240</t>
  </si>
  <si>
    <t>803807</t>
  </si>
  <si>
    <t>108806</t>
  </si>
  <si>
    <t>108801,108804,108805</t>
  </si>
  <si>
    <t>108608,108609,108610,108611,200426,201439,201004,702028,200405</t>
  </si>
  <si>
    <t>108703,108704,108705</t>
  </si>
  <si>
    <t>109005,109002,109003,109004</t>
  </si>
  <si>
    <t>112605</t>
  </si>
  <si>
    <t>112602,112606,112607,112608</t>
  </si>
  <si>
    <t>109102</t>
  </si>
  <si>
    <t>110003,702033,999999</t>
  </si>
  <si>
    <t>TAC50</t>
  </si>
  <si>
    <t>110017,900219</t>
  </si>
  <si>
    <t>200423,756001</t>
  </si>
  <si>
    <t>200422,756002</t>
  </si>
  <si>
    <t>110032,702010</t>
  </si>
  <si>
    <t>110030,110031</t>
  </si>
  <si>
    <t>300202,300203,200429,756003</t>
  </si>
  <si>
    <t>110050</t>
  </si>
  <si>
    <t>120101,120102,120103,120104,120105,120111,120112,120113,120114,200430,756002</t>
  </si>
  <si>
    <t>120107,120108,120109,120110</t>
  </si>
  <si>
    <t>110058</t>
  </si>
  <si>
    <t>110056,110057</t>
  </si>
  <si>
    <t>110063,110073</t>
  </si>
  <si>
    <t>110064</t>
  </si>
  <si>
    <t>110071,110072,110083,702029</t>
  </si>
  <si>
    <t>110069,110070</t>
  </si>
  <si>
    <t>110053</t>
  </si>
  <si>
    <t>110077,110080,110082</t>
  </si>
  <si>
    <t>110504</t>
  </si>
  <si>
    <t>110502,110503,110505,110506</t>
  </si>
  <si>
    <t>110304,702037</t>
  </si>
  <si>
    <t>110302</t>
  </si>
  <si>
    <t>200422</t>
  </si>
  <si>
    <t>110402,710801</t>
  </si>
  <si>
    <t>110803</t>
  </si>
  <si>
    <t>900224,900620,910224</t>
  </si>
  <si>
    <t>111202,111205,111203,111204,111206,111207,111208</t>
  </si>
  <si>
    <t>110904,110905</t>
  </si>
  <si>
    <t>110902,110903</t>
  </si>
  <si>
    <t>111502,111503,111504,111505,111508,111511,702035,999999</t>
  </si>
  <si>
    <t>111509,111510</t>
  </si>
  <si>
    <t>111404</t>
  </si>
  <si>
    <t>111402</t>
  </si>
  <si>
    <t>111603</t>
  </si>
  <si>
    <t>111803,900223</t>
  </si>
  <si>
    <t>111804</t>
  </si>
  <si>
    <t>112102</t>
  </si>
  <si>
    <t>111906</t>
  </si>
  <si>
    <t>111709,111702</t>
  </si>
  <si>
    <t>112205,112206,112207,112208,112209</t>
  </si>
  <si>
    <t>112203,112202</t>
  </si>
  <si>
    <t>112405</t>
  </si>
  <si>
    <t>112402,112403,112404</t>
  </si>
  <si>
    <t>112503,702038</t>
  </si>
  <si>
    <t>112504</t>
  </si>
  <si>
    <t>202011</t>
  </si>
  <si>
    <t>113102</t>
  </si>
  <si>
    <t>112704,202010</t>
  </si>
  <si>
    <t>112702</t>
  </si>
  <si>
    <t>202012</t>
  </si>
  <si>
    <t>113003,113002</t>
  </si>
  <si>
    <t>112902,300201,300202,112904,112906,202013</t>
  </si>
  <si>
    <t>112905</t>
  </si>
  <si>
    <t>300201,300202,202009</t>
  </si>
  <si>
    <t>112802,112803,112804,112805</t>
  </si>
  <si>
    <t>113405</t>
  </si>
  <si>
    <t>113403,113404</t>
  </si>
  <si>
    <t>300202,900264,900256,900260,900261,900262,900263,900265</t>
  </si>
  <si>
    <t>900254,900257,900258</t>
  </si>
  <si>
    <t>300202</t>
  </si>
  <si>
    <t>113202,113203,113204</t>
  </si>
  <si>
    <t>900253</t>
  </si>
  <si>
    <t>900283,900286,900293,900288,900289,900290,900291</t>
  </si>
  <si>
    <t>900292</t>
  </si>
  <si>
    <t>113503,113504</t>
  </si>
  <si>
    <t>113505</t>
  </si>
  <si>
    <t>113603,702038</t>
  </si>
  <si>
    <t>901297,901301</t>
  </si>
  <si>
    <t>901296,901299,901300</t>
  </si>
  <si>
    <t>900412,702028</t>
  </si>
  <si>
    <t>900413,900409</t>
  </si>
  <si>
    <t>900423</t>
  </si>
  <si>
    <t>113804,113807</t>
  </si>
  <si>
    <t>113805,113806,113802</t>
  </si>
  <si>
    <t>702037</t>
  </si>
  <si>
    <t>702025,702035</t>
  </si>
  <si>
    <t>900408,900414</t>
  </si>
  <si>
    <t>115804</t>
  </si>
  <si>
    <t>115802,115805,115806</t>
  </si>
  <si>
    <t>900629,900630</t>
  </si>
  <si>
    <t>115601,702030</t>
  </si>
  <si>
    <t>115603,115604,115605</t>
  </si>
  <si>
    <t>115705</t>
  </si>
  <si>
    <t>115904,115905,300202,702035</t>
  </si>
  <si>
    <t>115903</t>
  </si>
  <si>
    <t>900761,999999</t>
  </si>
  <si>
    <t>900762,900764</t>
  </si>
  <si>
    <t>900812</t>
  </si>
  <si>
    <t>900813</t>
  </si>
  <si>
    <t>116002,116004,702039</t>
  </si>
  <si>
    <t>702039</t>
  </si>
  <si>
    <t>900802</t>
  </si>
  <si>
    <t>116102,116103,116108,116109</t>
  </si>
  <si>
    <t>900851,900852,900853,900855,900856,900859,910850</t>
  </si>
  <si>
    <t>900857</t>
  </si>
  <si>
    <t>900861</t>
  </si>
  <si>
    <t>900820</t>
  </si>
  <si>
    <t>900822,900824,900825,900826</t>
  </si>
  <si>
    <t>900864,900865</t>
  </si>
  <si>
    <t>900911,999999</t>
  </si>
  <si>
    <t>300202,900974,999999</t>
  </si>
  <si>
    <t>900972,900973</t>
  </si>
  <si>
    <t>901048,901050,999999</t>
  </si>
  <si>
    <t>901049,901052</t>
  </si>
  <si>
    <t>901055,901058</t>
  </si>
  <si>
    <t>901066,901071</t>
  </si>
  <si>
    <t>901077,901078</t>
  </si>
  <si>
    <t>902160,902161</t>
  </si>
  <si>
    <t>902225</t>
  </si>
  <si>
    <t>902156</t>
  </si>
  <si>
    <t>902280,902281,902282,902284,902285,902286,902287,902288,902289,902290,902291,902292,902293,992294</t>
  </si>
  <si>
    <t>902296,902297</t>
  </si>
  <si>
    <t>902310,902311,902313,902314</t>
  </si>
  <si>
    <t>902308,902309</t>
  </si>
  <si>
    <t>902305,902306</t>
  </si>
  <si>
    <t>902302</t>
  </si>
  <si>
    <t>902321,902322,902323</t>
  </si>
  <si>
    <t>902397</t>
  </si>
  <si>
    <t>902415,902417</t>
  </si>
  <si>
    <t>902404</t>
  </si>
  <si>
    <t>300201,902421,902422,902427,902428,902429</t>
  </si>
  <si>
    <t>902423,902424,902426</t>
  </si>
  <si>
    <t>116302</t>
  </si>
  <si>
    <t>116309</t>
  </si>
  <si>
    <t>200485</t>
  </si>
  <si>
    <t>107503,107504,107505</t>
  </si>
  <si>
    <t>107602</t>
  </si>
  <si>
    <t>107002,200487</t>
  </si>
  <si>
    <t>109404,109405,109407</t>
  </si>
  <si>
    <t>109402</t>
  </si>
  <si>
    <t>109502</t>
  </si>
  <si>
    <t>710123,710124,710125,710126,710127,710128,710129,710130,710131,710132,710133,710813</t>
  </si>
  <si>
    <t>710107,710108,710110,710111,710112,710113,710109</t>
  </si>
  <si>
    <t>710409,710410,710812</t>
  </si>
  <si>
    <t>710406,710407</t>
  </si>
  <si>
    <t>222</t>
  </si>
  <si>
    <t>710302,710305,710306,710810</t>
  </si>
  <si>
    <t>710303,710304</t>
  </si>
  <si>
    <t>710503,710506,710507,710808</t>
  </si>
  <si>
    <t>710504,710505</t>
  </si>
  <si>
    <t>300201,300202,710811</t>
  </si>
  <si>
    <t>710609</t>
  </si>
  <si>
    <t>300202,710205,710203,710206,710809</t>
  </si>
  <si>
    <t>710202</t>
  </si>
  <si>
    <t>900681,900682,900683,910681,910682,910683,910684,910685,910686,910687,910688</t>
  </si>
  <si>
    <t>900684,900685,900686,900687</t>
  </si>
  <si>
    <t>900691,900693,900694</t>
  </si>
  <si>
    <t>300203,900701,900703</t>
  </si>
  <si>
    <t>900702</t>
  </si>
  <si>
    <t>900711,900712,900715</t>
  </si>
  <si>
    <t>900714</t>
  </si>
  <si>
    <t>900722,900723</t>
  </si>
  <si>
    <t>900724</t>
  </si>
  <si>
    <t>900995,900997,900998</t>
  </si>
  <si>
    <t>901010,901017,901021,902017,901013,901024</t>
  </si>
  <si>
    <t>116403,116404</t>
  </si>
  <si>
    <t>Pekola</t>
  </si>
  <si>
    <t>116704,116706</t>
  </si>
  <si>
    <t>116703,116702</t>
  </si>
  <si>
    <t>Medusa</t>
  </si>
  <si>
    <t>116602</t>
  </si>
  <si>
    <t>116502,116505,300202,116518,116519</t>
  </si>
  <si>
    <t>116504,116506,116507</t>
  </si>
  <si>
    <t>Minos</t>
  </si>
  <si>
    <t>300202,116805</t>
  </si>
  <si>
    <t>116803,116804,116807</t>
  </si>
  <si>
    <t>801103,801104,801106,801109</t>
  </si>
  <si>
    <t>800103,800104,800105,800106,800107,800108</t>
  </si>
  <si>
    <t>800502,800501</t>
  </si>
  <si>
    <t>900272</t>
  </si>
  <si>
    <t>803603</t>
  </si>
  <si>
    <t>803602,803606</t>
  </si>
  <si>
    <t>MP5Mod</t>
  </si>
  <si>
    <t>802302</t>
  </si>
  <si>
    <t>900156,200427</t>
  </si>
  <si>
    <t>802705</t>
  </si>
  <si>
    <t>800604</t>
  </si>
  <si>
    <t>801415,801416,501030</t>
  </si>
  <si>
    <t>801412,801411,801418</t>
  </si>
  <si>
    <t>902227,902229,902230,902231,902232</t>
  </si>
  <si>
    <t>FN49Mod</t>
  </si>
  <si>
    <t>803107,803102,803103</t>
  </si>
  <si>
    <t>803104</t>
  </si>
  <si>
    <t>200412,801107,200403,201435,201001,202001,702016,702026</t>
  </si>
  <si>
    <t>801605,801604,900156,200417,201433,201005,202007,702020</t>
  </si>
  <si>
    <t>801603</t>
  </si>
  <si>
    <t>200402,201437,201002,202006,702017</t>
  </si>
  <si>
    <t>801004</t>
  </si>
  <si>
    <t>802604,802605</t>
  </si>
  <si>
    <t>802503,802501</t>
  </si>
  <si>
    <t>G3Mod</t>
  </si>
  <si>
    <t>900156,801306,801307</t>
  </si>
  <si>
    <t>G36Mod</t>
  </si>
  <si>
    <t>802103</t>
  </si>
  <si>
    <t>202004,702018,702025,756002</t>
  </si>
  <si>
    <t>902147</t>
  </si>
  <si>
    <t>800305,800306</t>
  </si>
  <si>
    <t>800301</t>
  </si>
  <si>
    <t>300201,300202,802205</t>
  </si>
  <si>
    <t>802204</t>
  </si>
  <si>
    <t>710805</t>
  </si>
  <si>
    <t>710806</t>
  </si>
  <si>
    <t>800701</t>
  </si>
  <si>
    <t>803005,803007,803009,803006</t>
  </si>
  <si>
    <t>803004</t>
  </si>
  <si>
    <t>803414</t>
  </si>
  <si>
    <t>202003</t>
  </si>
  <si>
    <t>802803</t>
  </si>
  <si>
    <t>200420,900156,202002,702019,702024,756001</t>
  </si>
  <si>
    <t>902242</t>
  </si>
  <si>
    <t>G11Mod</t>
  </si>
  <si>
    <t>900891,900892</t>
  </si>
  <si>
    <t>501032,900884</t>
  </si>
  <si>
    <t>900881</t>
  </si>
  <si>
    <t>803902,803924,803903</t>
  </si>
  <si>
    <t>902134,902135,900156</t>
  </si>
  <si>
    <t>902149</t>
  </si>
  <si>
    <t>803503,803505</t>
  </si>
  <si>
    <t>803506</t>
  </si>
  <si>
    <t>300202,902141,902143,912141,922141</t>
  </si>
  <si>
    <t>300202,300203,803309,803311</t>
  </si>
  <si>
    <t>803303,803304,803305,803306,803307,803308</t>
  </si>
  <si>
    <t>300202,803704,803705</t>
  </si>
  <si>
    <t>803703</t>
  </si>
  <si>
    <t>300202,300203,900885</t>
  </si>
  <si>
    <t>300201,300202,992239</t>
  </si>
  <si>
    <t>803804,803805,803806</t>
  </si>
  <si>
    <t>803204,803206</t>
  </si>
  <si>
    <t>900224,900620</t>
  </si>
  <si>
    <t>bonus_type</t>
  </si>
  <si>
    <t>critical_percent:1000</t>
  </si>
  <si>
    <t>pow:500,hit:500</t>
  </si>
  <si>
    <t>pow:400,hit:400</t>
  </si>
  <si>
    <t>hit:1000</t>
  </si>
  <si>
    <t>armor_piercing:500</t>
  </si>
  <si>
    <t>24</t>
  </si>
  <si>
    <t>pow:1000</t>
  </si>
  <si>
    <t>pow:800</t>
  </si>
  <si>
    <t>pow:700</t>
  </si>
  <si>
    <t>dodge:400</t>
  </si>
  <si>
    <t>armor:400</t>
  </si>
  <si>
    <t>dodge:800</t>
  </si>
  <si>
    <t>dodge:900</t>
  </si>
  <si>
    <t>dodge:700</t>
  </si>
  <si>
    <t>rate:300,armor_piercing:500</t>
  </si>
  <si>
    <t>pow:600</t>
  </si>
  <si>
    <t>bullet_number_up:500</t>
  </si>
  <si>
    <t>dodge:300</t>
  </si>
  <si>
    <t>dodge:400,critical_percent:300</t>
  </si>
  <si>
    <t>dodge:300,critical_percent:350</t>
  </si>
  <si>
    <t>bullet_number_up:2000</t>
  </si>
  <si>
    <t>bullet_number_up:700</t>
  </si>
  <si>
    <t>pow:500</t>
  </si>
  <si>
    <t>pow:500,critical_harm_rate:500</t>
  </si>
  <si>
    <t>pow:500,critical_harm_rate:600</t>
  </si>
  <si>
    <t>hit:900</t>
  </si>
  <si>
    <t>hit:700</t>
  </si>
  <si>
    <t>critical_harm_rate:100,critical_percent:500</t>
  </si>
  <si>
    <t>critical_harm_rate:200,critical_percent:500</t>
  </si>
  <si>
    <t>critical_harm_rate:500,critical_percent:500</t>
  </si>
  <si>
    <t>pow:200,dodge:300,critical_harm_rate:500</t>
  </si>
  <si>
    <t>critical_harm_rate:900</t>
  </si>
  <si>
    <t>critical_harm_rate:800</t>
  </si>
  <si>
    <t>critical_harm_rate:700</t>
  </si>
  <si>
    <t>dodge:300,armor:350</t>
  </si>
  <si>
    <t>dodge:400,critical_harm_rate:700</t>
  </si>
  <si>
    <t>pow:600,bullet_number_up:500</t>
  </si>
  <si>
    <t>pow:1000,armor:250,rate:1000</t>
  </si>
  <si>
    <t>hit:700,critical_harm_rate:350</t>
  </si>
  <si>
    <t>pow:550</t>
  </si>
  <si>
    <t>dodge:450,rate:500</t>
  </si>
  <si>
    <t>dodge:400,critical_percent:350</t>
  </si>
  <si>
    <t>rate:700,critical_percent:1000</t>
  </si>
  <si>
    <t>critical_harm_rate:1000,critical_percent:1000</t>
  </si>
  <si>
    <t>pow:400,hit:400,critical_percent:700</t>
  </si>
  <si>
    <t>critical_harm_rate:700,rate:1000</t>
  </si>
  <si>
    <t>critical_percent:1000,hit:1000</t>
  </si>
  <si>
    <t>hit:1000,critical_percent:1000</t>
  </si>
  <si>
    <t>dodge:400,hit:1000,critical_percent:350</t>
  </si>
  <si>
    <t>dodge:300,hit:1000,critical_percent:350</t>
  </si>
  <si>
    <t>critical_harm_rate:700,pow:1000</t>
  </si>
  <si>
    <t>critical_percent:1000,hit:1000,pow:1000</t>
  </si>
  <si>
    <t>pow:500,dodge:300,critical_percent:350</t>
  </si>
  <si>
    <t>hit:1000,pow:700,critical_percent:1000</t>
  </si>
  <si>
    <t>critical_percent:1000,pow:1000</t>
  </si>
  <si>
    <t>dodge:500,critical_percent:400</t>
  </si>
  <si>
    <t>pow:350,hit:400</t>
  </si>
  <si>
    <t>pow:1500,hit:1000,dodge:700</t>
  </si>
  <si>
    <t>hit:1000,pow:1000,critical_percent:1000</t>
  </si>
  <si>
    <t>hit:1000,critical_percent:750</t>
  </si>
  <si>
    <t>dodge:300,critical_percent:350,hit:1000</t>
  </si>
  <si>
    <t>pow:1000,hit:1000</t>
  </si>
  <si>
    <t>pow:750</t>
  </si>
  <si>
    <t>pow:500,armor:400</t>
  </si>
  <si>
    <t>rate:500,critical_harm_rate:500</t>
  </si>
  <si>
    <t>pow:500,bullet_number_up:500</t>
  </si>
  <si>
    <t>hit:900,critical_percent:500</t>
  </si>
  <si>
    <t>pow:500,hit:1000,critical_harm_rate:500</t>
  </si>
  <si>
    <t>pow:800,hit:1000,critical_percent:1000</t>
  </si>
  <si>
    <t>hit:450,rate:500,critical_percent:1000</t>
  </si>
  <si>
    <t>pow:1000,dodge:500,critical_percent:400</t>
  </si>
  <si>
    <t>dodge:400,critical_percent:500</t>
  </si>
  <si>
    <t>pow:450,hit:500,dodge:500</t>
  </si>
  <si>
    <t>pow:450,hit:400,dodge:500</t>
  </si>
  <si>
    <t>pow:800,critical_percent:1000</t>
  </si>
  <si>
    <t>pow:1500,dodge:700,critical_harm_rate:250</t>
  </si>
  <si>
    <t>rate:1000,critical_percent:1000</t>
  </si>
  <si>
    <t>pow:700,critical_percent:1000</t>
  </si>
  <si>
    <t>bullet_number_up:700,pow:1000</t>
  </si>
  <si>
    <t>dodge:700,critical_percent:750</t>
  </si>
  <si>
    <t>dodge:700,critical_percent:350</t>
  </si>
  <si>
    <t>pow:2000,rate:1000,dodge:700</t>
  </si>
  <si>
    <t>pow:900,hit:500</t>
  </si>
  <si>
    <t>dodge:1000,critical_percent:700</t>
  </si>
  <si>
    <t>critical_percent:1000,critical_harm_rate:800</t>
  </si>
  <si>
    <t>armor_piercing:500,pow:1000</t>
  </si>
  <si>
    <t>critical_percent:1000,pow:800</t>
  </si>
  <si>
    <t>pow:700,critical_harm_rate:500</t>
  </si>
  <si>
    <t>hit:700,pow:900</t>
  </si>
  <si>
    <t>dodge:300,critical_percent:1000,pow:1000</t>
  </si>
  <si>
    <t>pow:500,rate:500,armor_piercing:750</t>
  </si>
  <si>
    <t>hit:1000,critical_harm_rate:650</t>
  </si>
  <si>
    <t>dodge:1000,critical_percent:350</t>
  </si>
  <si>
    <t>dodge:700,pow:900</t>
  </si>
  <si>
    <t>critical_percent:1000,hit:700,pow:1000</t>
  </si>
  <si>
    <t>pow:500,critical_harm_rate:500,critical_percent:800</t>
  </si>
  <si>
    <t>dodge:300,critical_percent:700,hit:700</t>
  </si>
  <si>
    <t>pow:1000,hit:1000,critical_harm_rate:1500</t>
  </si>
  <si>
    <t>dodge:1000,pow:1000</t>
  </si>
  <si>
    <t>dodge:1000,critical_percent:500</t>
  </si>
  <si>
    <t>pow:500,hit:1000</t>
  </si>
  <si>
    <t>critical_percent:1000,critical_harm_rate:1000</t>
  </si>
  <si>
    <t>dodge:900,critical_percent:1000</t>
  </si>
  <si>
    <t>dodge:450,pow:1000</t>
  </si>
  <si>
    <t>critical_percent:1000,pow:900</t>
  </si>
  <si>
    <t>dodge:500</t>
  </si>
  <si>
    <t>hit:1000,critical_harm_rate:1000,critical_percent:1000</t>
  </si>
  <si>
    <t>armor_piercing:500,pow:700</t>
  </si>
  <si>
    <t>hit:600,critical_percent:900</t>
  </si>
  <si>
    <t>hit:700,critical_percent:700</t>
  </si>
  <si>
    <t>hit:700,critical_percent:1000</t>
  </si>
  <si>
    <t>pow:700,armor_piercing:500</t>
  </si>
  <si>
    <t>pow:300,armor_piercing:500</t>
  </si>
  <si>
    <t>armor_piercing:1000</t>
  </si>
  <si>
    <t>rate:500</t>
  </si>
  <si>
    <t>pow:700,rate:600</t>
  </si>
  <si>
    <t>pow:500,rate:600</t>
  </si>
  <si>
    <t>dodge:600</t>
  </si>
  <si>
    <t>armor:500</t>
  </si>
  <si>
    <t>armor_piercing:500,pow:500</t>
  </si>
  <si>
    <t>43</t>
  </si>
  <si>
    <t>107</t>
  </si>
  <si>
    <t>pow:1000,critical_percent:1000</t>
  </si>
  <si>
    <t>pow:400,hit:400,dodge:500</t>
  </si>
  <si>
    <t>15</t>
  </si>
  <si>
    <t>hit:700,dodge:500,critical_percent:1000</t>
  </si>
  <si>
    <t>248</t>
  </si>
  <si>
    <t>dodge:1500,critical_percent:350</t>
  </si>
  <si>
    <t>critical_harm_rate:500,critical_percent:1000</t>
  </si>
  <si>
    <t>12,18</t>
  </si>
  <si>
    <t>1034</t>
  </si>
  <si>
    <t>1033</t>
  </si>
  <si>
    <t>1030</t>
  </si>
  <si>
    <t>1031</t>
  </si>
  <si>
    <t>1032</t>
  </si>
  <si>
    <t>G36c</t>
  </si>
  <si>
    <t>Type 81 R</t>
  </si>
  <si>
    <t>Defender</t>
  </si>
  <si>
    <t>Koji</t>
  </si>
  <si>
    <t>756045</t>
  </si>
  <si>
    <t>-8,-8</t>
  </si>
  <si>
    <t>9A91Login</t>
  </si>
  <si>
    <t>FMG9</t>
  </si>
  <si>
    <t>PPS43</t>
  </si>
  <si>
    <t>PP90</t>
  </si>
  <si>
    <t>SVT38</t>
  </si>
  <si>
    <t>SV98</t>
  </si>
  <si>
    <t>NTW20</t>
  </si>
  <si>
    <t>ST AR15</t>
  </si>
  <si>
    <t>AK47</t>
  </si>
  <si>
    <t>AKS74U</t>
  </si>
  <si>
    <t>MP446</t>
  </si>
  <si>
    <t>SPP1</t>
  </si>
  <si>
    <t>CZ805</t>
  </si>
  <si>
    <t>AAT52</t>
  </si>
  <si>
    <t>Z62</t>
  </si>
  <si>
    <t>PSG1</t>
  </si>
  <si>
    <t>OTs14</t>
  </si>
  <si>
    <t>ARX160</t>
  </si>
  <si>
    <t>SR3MP</t>
  </si>
  <si>
    <t>PP19</t>
  </si>
  <si>
    <t>Fiveseven</t>
  </si>
  <si>
    <t>MT9</t>
  </si>
  <si>
    <t>OTs44</t>
  </si>
  <si>
    <t>AEK999</t>
  </si>
  <si>
    <t>SuperShorty</t>
  </si>
  <si>
    <t>RMB93</t>
  </si>
  <si>
    <t>Saiga12</t>
  </si>
  <si>
    <t>SPAS12</t>
  </si>
  <si>
    <t>FP6</t>
  </si>
  <si>
    <t>DSR50</t>
  </si>
  <si>
    <t>T5000</t>
  </si>
  <si>
    <t>USAS12</t>
  </si>
  <si>
    <t>OTs39</t>
  </si>
  <si>
    <t>CMS</t>
  </si>
  <si>
    <t>SM1</t>
  </si>
  <si>
    <t>MP443</t>
  </si>
  <si>
    <t>GSh18</t>
  </si>
  <si>
    <t>PM06</t>
  </si>
  <si>
    <t>A91</t>
  </si>
  <si>
    <t>MP448</t>
  </si>
  <si>
    <t>SAR21</t>
  </si>
  <si>
    <t>RT20</t>
  </si>
  <si>
    <t>TEC9</t>
  </si>
  <si>
    <t>UKM2000</t>
  </si>
  <si>
    <t>PM9</t>
  </si>
  <si>
    <t>PA15</t>
  </si>
  <si>
    <t>QBU88</t>
  </si>
  <si>
    <t>EM2</t>
  </si>
  <si>
    <t>TCMS</t>
  </si>
  <si>
    <t>MAT49</t>
  </si>
  <si>
    <t>DP12</t>
  </si>
  <si>
    <t>C93</t>
  </si>
  <si>
    <t>KPDW</t>
  </si>
  <si>
    <t>CR21</t>
  </si>
  <si>
    <t>RPK16</t>
  </si>
  <si>
    <t>AK15</t>
  </si>
  <si>
    <t>MAS38</t>
  </si>
  <si>
    <t>HP35</t>
  </si>
  <si>
    <t>AKAlfa</t>
  </si>
  <si>
    <t>ZB26</t>
  </si>
  <si>
    <t>VSK94</t>
  </si>
  <si>
    <t>SACR</t>
  </si>
  <si>
    <t>StG940</t>
  </si>
  <si>
    <t>QSB91</t>
  </si>
  <si>
    <t>VPM5</t>
  </si>
  <si>
    <t>SUB2000</t>
  </si>
  <si>
    <t>AR57</t>
  </si>
  <si>
    <t>FX05</t>
  </si>
  <si>
    <t>PPD40</t>
  </si>
  <si>
    <t>RPK203</t>
  </si>
  <si>
    <t>TKB408</t>
  </si>
  <si>
    <t>MosinNagantMod</t>
  </si>
  <si>
    <t>SV98Mod</t>
  </si>
  <si>
    <t>NTW20Mod</t>
  </si>
  <si>
    <t>ST AR15Mod</t>
  </si>
  <si>
    <t>MP446Mod</t>
  </si>
  <si>
    <t>PP19Mod</t>
  </si>
  <si>
    <t>GSh18Mod</t>
  </si>
  <si>
    <t>Desert Eagle</t>
  </si>
  <si>
    <t>Danuvia 43M</t>
  </si>
  <si>
    <t>Agent Vector</t>
  </si>
  <si>
    <t>Agent 416</t>
  </si>
  <si>
    <t>Yurine</t>
  </si>
  <si>
    <t>Jashin</t>
  </si>
  <si>
    <t>Jill</t>
  </si>
  <si>
    <t>Ots12</t>
  </si>
  <si>
    <t>Ots44</t>
  </si>
  <si>
    <t>Architect</t>
  </si>
  <si>
    <t>ratio_hp</t>
  </si>
  <si>
    <t>Architect_Summer</t>
  </si>
  <si>
    <t>Enemy ID:</t>
  </si>
  <si>
    <t>Turn #:</t>
  </si>
  <si>
    <t>Intruder Dinergate</t>
  </si>
  <si>
    <t>DR - Armor Stack M870</t>
  </si>
  <si>
    <t>SP9</t>
  </si>
  <si>
    <t>117302</t>
  </si>
  <si>
    <t>117304</t>
  </si>
  <si>
    <t>KH2002</t>
  </si>
  <si>
    <t>750035</t>
  </si>
  <si>
    <t>750012</t>
  </si>
  <si>
    <t>APC556</t>
  </si>
  <si>
    <t>117502</t>
  </si>
  <si>
    <t>117504</t>
  </si>
  <si>
    <t>FARA 83</t>
  </si>
  <si>
    <t>117402</t>
  </si>
  <si>
    <t>117404,117435</t>
  </si>
  <si>
    <t>MG338</t>
  </si>
  <si>
    <t>750029,750030,750031,750032,750033,750034</t>
  </si>
  <si>
    <t>FARA83</t>
  </si>
  <si>
    <t>Witch</t>
  </si>
  <si>
    <t>756031</t>
  </si>
  <si>
    <t>Honey Badger</t>
  </si>
  <si>
    <t>6,6</t>
  </si>
  <si>
    <t>135</t>
  </si>
  <si>
    <t>pow:700,hit:1000</t>
  </si>
  <si>
    <t>203</t>
  </si>
  <si>
    <t>pow:500,dodge:400</t>
  </si>
  <si>
    <t>82</t>
  </si>
  <si>
    <t>CZ100</t>
  </si>
  <si>
    <t>750069,750070</t>
  </si>
  <si>
    <t>SR2</t>
  </si>
  <si>
    <t>750071,750076</t>
  </si>
  <si>
    <t>750073,750074</t>
  </si>
  <si>
    <t>HS50</t>
  </si>
  <si>
    <t>117902</t>
  </si>
  <si>
    <t>117903</t>
  </si>
  <si>
    <t>AK74M</t>
  </si>
  <si>
    <t>118012,118013</t>
  </si>
  <si>
    <t>79</t>
  </si>
  <si>
    <t>bullet_number_up:500,critical_percent:700</t>
  </si>
  <si>
    <t>18,20</t>
  </si>
  <si>
    <t>180</t>
  </si>
  <si>
    <t>317</t>
  </si>
  <si>
    <t>PP93</t>
  </si>
  <si>
    <t>G&amp;K</t>
  </si>
  <si>
    <t>2;6,19</t>
  </si>
  <si>
    <t>3;9,10,20</t>
  </si>
  <si>
    <t>1;1,2,3,4,13,18</t>
  </si>
  <si>
    <t>2;5,19</t>
  </si>
  <si>
    <t>702035,756162,756174,756186</t>
  </si>
  <si>
    <t>G36CMod</t>
  </si>
  <si>
    <t>740005,740006,740019,740020,740021,740022,740023,740024</t>
  </si>
  <si>
    <t>740016,740017,740018</t>
  </si>
  <si>
    <t>740015</t>
  </si>
  <si>
    <t>740011,740010</t>
  </si>
  <si>
    <t>MP443Mod</t>
  </si>
  <si>
    <t>Ribeyrolles1918Mod</t>
  </si>
  <si>
    <t>Gepard M1Mod</t>
  </si>
  <si>
    <t>104,20104</t>
  </si>
  <si>
    <t>dodge:1000</t>
  </si>
  <si>
    <t>171,20171</t>
  </si>
  <si>
    <t>95,100</t>
  </si>
  <si>
    <t>201,20201</t>
  </si>
  <si>
    <t>armor_piercing:1000,pow:600</t>
  </si>
  <si>
    <t>220,20220</t>
  </si>
  <si>
    <t>Peak Value</t>
  </si>
  <si>
    <t>Dev Level</t>
  </si>
  <si>
    <t>Sangvis HOC Info</t>
  </si>
  <si>
    <t>Spot ID</t>
  </si>
  <si>
    <t>spot_id</t>
  </si>
  <si>
    <t>sangvis_team_id</t>
  </si>
  <si>
    <t>Team ID</t>
  </si>
  <si>
    <t>Input</t>
  </si>
  <si>
    <t>(References)</t>
  </si>
  <si>
    <r>
      <t xml:space="preserve">Enter "X" to enable a HOC, then fill in the necessary information. </t>
    </r>
    <r>
      <rPr>
        <b/>
        <sz val="11"/>
        <color rgb="FFFF0000"/>
        <rFont val="Calibri"/>
        <family val="2"/>
        <scheme val="minor"/>
      </rPr>
      <t>Select 7 HOCs at most or the sim may error out.</t>
    </r>
  </si>
  <si>
    <r>
      <t xml:space="preserve">Enter "X" to enable an SF HOC, then fill in the necessary information. </t>
    </r>
    <r>
      <rPr>
        <b/>
        <sz val="11"/>
        <color rgb="FFFF0000"/>
        <rFont val="Calibri"/>
        <family val="2"/>
        <scheme val="minor"/>
      </rPr>
      <t>These may conflict with standard HOCs due to conflicting spot IDs. Do NOT select duplicate chips.</t>
    </r>
  </si>
  <si>
    <t>Spot Day:</t>
  </si>
  <si>
    <t>Spot Night:</t>
  </si>
  <si>
    <t>target_train_teams</t>
  </si>
  <si>
    <t>name</t>
  </si>
  <si>
    <t>description</t>
  </si>
  <si>
    <t>slow_down_percent</t>
  </si>
  <si>
    <t>slow_down_rate</t>
  </si>
  <si>
    <t>slow_down_time</t>
  </si>
  <si>
    <t>dot_percent</t>
  </si>
  <si>
    <t>dot_damage</t>
  </si>
  <si>
    <t>dot_time</t>
  </si>
  <si>
    <t>retire_mp</t>
  </si>
  <si>
    <t>retire_ammo</t>
  </si>
  <si>
    <t>retire_mre</t>
  </si>
  <si>
    <t>retire_part</t>
  </si>
  <si>
    <t>company</t>
  </si>
  <si>
    <t>skill_level_up</t>
  </si>
  <si>
    <t>equip_introduction</t>
  </si>
  <si>
    <t>powerup_mp</t>
  </si>
  <si>
    <t>powerup_ammo</t>
  </si>
  <si>
    <t>powerup_mre</t>
  </si>
  <si>
    <t>powerup_part</t>
  </si>
  <si>
    <t>exclusive_rate</t>
  </si>
  <si>
    <t>skill</t>
  </si>
  <si>
    <t>max_level</t>
  </si>
  <si>
    <t>auto_select_id</t>
  </si>
  <si>
    <t>equip_group_id</t>
  </si>
  <si>
    <t>skill_effect</t>
  </si>
  <si>
    <t>equip-10000001</t>
  </si>
  <si>
    <t>equip-20000001</t>
  </si>
  <si>
    <t>BM</t>
  </si>
  <si>
    <t>equip-30000001</t>
  </si>
  <si>
    <t>0</t>
  </si>
  <si>
    <t>equip-10000002</t>
  </si>
  <si>
    <t>equip-20000002</t>
  </si>
  <si>
    <t>equip-30000002</t>
  </si>
  <si>
    <t>equip-10000003</t>
  </si>
  <si>
    <t>equip-20000003</t>
  </si>
  <si>
    <t>equip-30000003</t>
  </si>
  <si>
    <t>equip-10000004</t>
  </si>
  <si>
    <t>equip-20000004</t>
  </si>
  <si>
    <t>equip-30000004</t>
  </si>
  <si>
    <t>equip-10000005</t>
  </si>
  <si>
    <t>equip-20000005</t>
  </si>
  <si>
    <t>equip-30000005</t>
  </si>
  <si>
    <t>equip-10000006</t>
  </si>
  <si>
    <t>equip-20000006</t>
  </si>
  <si>
    <t>equip-30000006</t>
  </si>
  <si>
    <t>equip-10000007</t>
  </si>
  <si>
    <t>equip-20000007</t>
  </si>
  <si>
    <t>equip-30000007</t>
  </si>
  <si>
    <t>equip-10000008</t>
  </si>
  <si>
    <t>equip-20000008</t>
  </si>
  <si>
    <t>equip-30000008</t>
  </si>
  <si>
    <t>equip-10000009</t>
  </si>
  <si>
    <t>equip-20000009</t>
  </si>
  <si>
    <t>AMP</t>
  </si>
  <si>
    <t>equip-30000009</t>
  </si>
  <si>
    <t>equip-10000010</t>
  </si>
  <si>
    <t>equip-20000010</t>
  </si>
  <si>
    <t>equip-30000010</t>
  </si>
  <si>
    <t>equip-10000011</t>
  </si>
  <si>
    <t>equip-20000011</t>
  </si>
  <si>
    <t>equip-30000011</t>
  </si>
  <si>
    <t>equip-10000012</t>
  </si>
  <si>
    <t>equip-20000012</t>
  </si>
  <si>
    <t>equip-30000012</t>
  </si>
  <si>
    <t>equip-10000013</t>
  </si>
  <si>
    <t>equip-20000013</t>
  </si>
  <si>
    <t>IOP</t>
  </si>
  <si>
    <t>equip-30000013</t>
  </si>
  <si>
    <t>equip-10000014</t>
  </si>
  <si>
    <t>equip-20000014</t>
  </si>
  <si>
    <t>equip-30000014</t>
  </si>
  <si>
    <t>equip-10000015</t>
  </si>
  <si>
    <t>equip-20000015</t>
  </si>
  <si>
    <t>equip-30000015</t>
  </si>
  <si>
    <t>equip-10000016</t>
  </si>
  <si>
    <t>equip-20000016</t>
  </si>
  <si>
    <t>equip-30000016</t>
  </si>
  <si>
    <t>equip-10000017</t>
  </si>
  <si>
    <t>equip-20000017</t>
  </si>
  <si>
    <t>equip-30000017</t>
  </si>
  <si>
    <t>equip-10000018</t>
  </si>
  <si>
    <t>equip-20000018</t>
  </si>
  <si>
    <t>equip-30000018</t>
  </si>
  <si>
    <t>equip-10000019</t>
  </si>
  <si>
    <t>equip-20000019</t>
  </si>
  <si>
    <t>equip-30000019</t>
  </si>
  <si>
    <t>equip-10000020</t>
  </si>
  <si>
    <t>equip-20000020</t>
  </si>
  <si>
    <t>equip-30000020</t>
  </si>
  <si>
    <t>equip-10000029</t>
  </si>
  <si>
    <t>equip-20000029</t>
  </si>
  <si>
    <t>PMC</t>
  </si>
  <si>
    <t>equip-30000029</t>
  </si>
  <si>
    <t>equip-10000030</t>
  </si>
  <si>
    <t>equip-20000030</t>
  </si>
  <si>
    <t>equip-30000030</t>
  </si>
  <si>
    <t>equip-10000031</t>
  </si>
  <si>
    <t>equip-20000031</t>
  </si>
  <si>
    <t>equip-30000031</t>
  </si>
  <si>
    <t>equip-10000032</t>
  </si>
  <si>
    <t>equip-20000032</t>
  </si>
  <si>
    <t>equip-30000032</t>
  </si>
  <si>
    <t>equip-10000037</t>
  </si>
  <si>
    <t>equip-20000037</t>
  </si>
  <si>
    <t>equip-30000037</t>
  </si>
  <si>
    <t>equip-10000038</t>
  </si>
  <si>
    <t>equip-20000038</t>
  </si>
  <si>
    <t>equip-30000038</t>
  </si>
  <si>
    <t>equip-10000039</t>
  </si>
  <si>
    <t>equip-20000039</t>
  </si>
  <si>
    <t>equip-30000039</t>
  </si>
  <si>
    <t>equip-10000040</t>
  </si>
  <si>
    <t>equip-20000040</t>
  </si>
  <si>
    <t>equip-30000040</t>
  </si>
  <si>
    <t>equip-10000042</t>
  </si>
  <si>
    <t>equip-20000042</t>
  </si>
  <si>
    <t>equip-30000042</t>
  </si>
  <si>
    <t>equip-10000043</t>
  </si>
  <si>
    <t>equip-20000043</t>
  </si>
  <si>
    <t>equip-30000043</t>
  </si>
  <si>
    <t>equip-10000044</t>
  </si>
  <si>
    <t>equip-20000044</t>
  </si>
  <si>
    <t>equip-30000044</t>
  </si>
  <si>
    <t>equip-10000055</t>
  </si>
  <si>
    <t>equip-20000055</t>
  </si>
  <si>
    <t>equip-30000055</t>
  </si>
  <si>
    <t>equip-10000056</t>
  </si>
  <si>
    <t>equip-20000056</t>
  </si>
  <si>
    <t>equip-30000056</t>
  </si>
  <si>
    <t>equip-10000057</t>
  </si>
  <si>
    <t>equip-20000057</t>
  </si>
  <si>
    <t>equip-30000057</t>
  </si>
  <si>
    <t>equip-10000058</t>
  </si>
  <si>
    <t>equip-20000058</t>
  </si>
  <si>
    <t>equip-30000058</t>
  </si>
  <si>
    <t>equip-10000059</t>
  </si>
  <si>
    <t>equip-20000059</t>
  </si>
  <si>
    <t>NMS</t>
  </si>
  <si>
    <t>equip-30000059</t>
  </si>
  <si>
    <t>equip-10000060</t>
  </si>
  <si>
    <t>equip-20000060</t>
  </si>
  <si>
    <t>16Lab</t>
  </si>
  <si>
    <t>equip-30000060</t>
  </si>
  <si>
    <t>equip-10000061</t>
  </si>
  <si>
    <t>equip-20000061</t>
  </si>
  <si>
    <t>equip-30000061</t>
  </si>
  <si>
    <t>equip-10000062</t>
  </si>
  <si>
    <t>equip-20000062</t>
  </si>
  <si>
    <t>equip-30000062</t>
  </si>
  <si>
    <t>equip-10000063</t>
  </si>
  <si>
    <t>equip-20000063</t>
  </si>
  <si>
    <t>AC</t>
  </si>
  <si>
    <t>equip-30000063</t>
  </si>
  <si>
    <t>equip-10000064</t>
  </si>
  <si>
    <t>equip-20000064</t>
  </si>
  <si>
    <t>equip-30000064</t>
  </si>
  <si>
    <t>equip-10000065</t>
  </si>
  <si>
    <t>equip-20000065</t>
  </si>
  <si>
    <t>equip-30000065</t>
  </si>
  <si>
    <t>equip-10000066</t>
  </si>
  <si>
    <t>equip-20000066</t>
  </si>
  <si>
    <t>equip-30000066</t>
  </si>
  <si>
    <t>equip-10000067</t>
  </si>
  <si>
    <t>equip-20000067</t>
  </si>
  <si>
    <t>equip-30000067</t>
  </si>
  <si>
    <t>equip-10000068</t>
  </si>
  <si>
    <t>equip-20000068</t>
  </si>
  <si>
    <t>equip-30000068</t>
  </si>
  <si>
    <t>equip-10000069</t>
  </si>
  <si>
    <t>equip-20000069</t>
  </si>
  <si>
    <t>ILM</t>
  </si>
  <si>
    <t>equip-30000069</t>
  </si>
  <si>
    <t>equip-10000070</t>
  </si>
  <si>
    <t>equip-20000070</t>
  </si>
  <si>
    <t>equip-30000070</t>
  </si>
  <si>
    <t>equip-10000071</t>
  </si>
  <si>
    <t>equip-20000071</t>
  </si>
  <si>
    <t>equip-30000071</t>
  </si>
  <si>
    <t>equip-10000072</t>
  </si>
  <si>
    <t>equip-20000072</t>
  </si>
  <si>
    <t>equip-30000072</t>
  </si>
  <si>
    <t>equip-10000073</t>
  </si>
  <si>
    <t>equip-20000073</t>
  </si>
  <si>
    <t>equip-30000073</t>
  </si>
  <si>
    <t>equip-10000074</t>
  </si>
  <si>
    <t>equip-20000074</t>
  </si>
  <si>
    <t>equip-30000074</t>
  </si>
  <si>
    <t>equip-10000075</t>
  </si>
  <si>
    <t>equip-20000075</t>
  </si>
  <si>
    <t>equip-30000075</t>
  </si>
  <si>
    <t>equip-10000076</t>
  </si>
  <si>
    <t>equip-20000076</t>
  </si>
  <si>
    <t>equip-30000076</t>
  </si>
  <si>
    <t>equip-10000077</t>
  </si>
  <si>
    <t>equip-20000077</t>
  </si>
  <si>
    <t>equip-30000077</t>
  </si>
  <si>
    <t>equip-10000078</t>
  </si>
  <si>
    <t>equip-20000078</t>
  </si>
  <si>
    <t>equip-30000078</t>
  </si>
  <si>
    <t>equip-10000079</t>
  </si>
  <si>
    <t>equip-20000079</t>
  </si>
  <si>
    <t>equip-30000079</t>
  </si>
  <si>
    <t>equip-10000080</t>
  </si>
  <si>
    <t>equip-20000080</t>
  </si>
  <si>
    <t>equip-30000080</t>
  </si>
  <si>
    <t>equip-10000083</t>
  </si>
  <si>
    <t>equip-20000083</t>
  </si>
  <si>
    <t>KST</t>
  </si>
  <si>
    <t>equip-30000083</t>
  </si>
  <si>
    <t>equip-10000084</t>
  </si>
  <si>
    <t>equip-20000084</t>
  </si>
  <si>
    <t>equip-30000084</t>
  </si>
  <si>
    <t>equip-10000085</t>
  </si>
  <si>
    <t>equip-20000085</t>
  </si>
  <si>
    <t>equip-30000085</t>
  </si>
  <si>
    <t>equip-10000086</t>
  </si>
  <si>
    <t>equip-20000086</t>
  </si>
  <si>
    <t>equip-30000086</t>
  </si>
  <si>
    <t>equip-10000087</t>
  </si>
  <si>
    <t>equip-20000087</t>
  </si>
  <si>
    <t>equip-30000087</t>
  </si>
  <si>
    <t>equip-10000088</t>
  </si>
  <si>
    <t>equip-20000088</t>
  </si>
  <si>
    <t>equip-30000088</t>
  </si>
  <si>
    <t>equip-10000089</t>
  </si>
  <si>
    <t>equip-20000089</t>
  </si>
  <si>
    <t>equip-30000089</t>
  </si>
  <si>
    <t>equip-10000090</t>
  </si>
  <si>
    <t>equip-20000090</t>
  </si>
  <si>
    <t>equip-30000090</t>
  </si>
  <si>
    <t>equip-10000091</t>
  </si>
  <si>
    <t>equip-20000091</t>
  </si>
  <si>
    <t>SF</t>
  </si>
  <si>
    <t>equip-30000091</t>
  </si>
  <si>
    <t>equip-10000092</t>
  </si>
  <si>
    <t>equip-20000092</t>
  </si>
  <si>
    <t>equip-30000092</t>
  </si>
  <si>
    <t>equip-10000093</t>
  </si>
  <si>
    <t>equip-20000093</t>
  </si>
  <si>
    <t>IDB</t>
  </si>
  <si>
    <t>equip-30000093</t>
  </si>
  <si>
    <t>equip-10000094</t>
  </si>
  <si>
    <t>equip-20000094</t>
  </si>
  <si>
    <t>equip-30000094</t>
  </si>
  <si>
    <t>equip-10000099</t>
  </si>
  <si>
    <t>equip-20000099</t>
  </si>
  <si>
    <t>equip-30000099</t>
  </si>
  <si>
    <t>equip-10000100</t>
  </si>
  <si>
    <t>equip-20000100</t>
  </si>
  <si>
    <t>equip-30000100</t>
  </si>
  <si>
    <t>equip-10000101</t>
  </si>
  <si>
    <t>equip-20000101</t>
  </si>
  <si>
    <t>AAI</t>
  </si>
  <si>
    <t>equip-30000101</t>
  </si>
  <si>
    <t>equip-10000102</t>
  </si>
  <si>
    <t>equip-20000102</t>
  </si>
  <si>
    <t>NTD</t>
  </si>
  <si>
    <t>equip-30000102</t>
  </si>
  <si>
    <t>equip-10000103</t>
  </si>
  <si>
    <t>equip-20000103</t>
  </si>
  <si>
    <t>NRC</t>
  </si>
  <si>
    <t>equip-30000103</t>
  </si>
  <si>
    <t>equip-10000104</t>
  </si>
  <si>
    <t>equip-20000104</t>
  </si>
  <si>
    <t>FNH</t>
  </si>
  <si>
    <t>equip-30000104</t>
  </si>
  <si>
    <t>equip-10000105</t>
  </si>
  <si>
    <t>equip-20000105</t>
  </si>
  <si>
    <t>S&amp;B</t>
  </si>
  <si>
    <t>equip-30000105</t>
  </si>
  <si>
    <t>equip-10000106</t>
  </si>
  <si>
    <t>equip-20000106</t>
  </si>
  <si>
    <t>equip-30000106</t>
  </si>
  <si>
    <t>equip-10000107</t>
  </si>
  <si>
    <t>equip-20000107</t>
  </si>
  <si>
    <t>equip-30000107</t>
  </si>
  <si>
    <t>equip-10000108</t>
  </si>
  <si>
    <t>equip-20000108</t>
  </si>
  <si>
    <t>equip-30000108</t>
  </si>
  <si>
    <t>equip-10000111</t>
  </si>
  <si>
    <t>equip-20000111</t>
  </si>
  <si>
    <t>KSH</t>
  </si>
  <si>
    <t>equip-30000111</t>
  </si>
  <si>
    <t>equip-10000112</t>
  </si>
  <si>
    <t>equip-20000112</t>
  </si>
  <si>
    <t>CT</t>
  </si>
  <si>
    <t>equip-30000112</t>
  </si>
  <si>
    <t>equip-10000113</t>
  </si>
  <si>
    <t>equip-20000113</t>
  </si>
  <si>
    <t>NS</t>
  </si>
  <si>
    <t>equip-30000113</t>
  </si>
  <si>
    <t>equip-10000114</t>
  </si>
  <si>
    <t>equip-20000114</t>
  </si>
  <si>
    <t>IMP</t>
  </si>
  <si>
    <t>equip-30000114</t>
  </si>
  <si>
    <t>equip-10000115</t>
  </si>
  <si>
    <t>equip-20000115</t>
  </si>
  <si>
    <t>FSB</t>
  </si>
  <si>
    <t>equip-30000115</t>
  </si>
  <si>
    <t>equip-10000117</t>
  </si>
  <si>
    <t>equip-20000117</t>
  </si>
  <si>
    <t>DJMAX</t>
  </si>
  <si>
    <t>equip-30000117</t>
  </si>
  <si>
    <t>equip-10000118</t>
  </si>
  <si>
    <t>equip-20000118</t>
  </si>
  <si>
    <t>equip-30000118</t>
  </si>
  <si>
    <t>equip-10000119</t>
  </si>
  <si>
    <t>equip-20000119</t>
  </si>
  <si>
    <t>SED</t>
  </si>
  <si>
    <t>equip-30000119</t>
  </si>
  <si>
    <t>equip-10000122</t>
  </si>
  <si>
    <t>equip-20000122</t>
  </si>
  <si>
    <t>equip-30000122</t>
  </si>
  <si>
    <t>equip-10000123</t>
  </si>
  <si>
    <t>equip-20000123</t>
  </si>
  <si>
    <t>LA</t>
  </si>
  <si>
    <t>equip-30000123</t>
  </si>
  <si>
    <t>equip-10000124</t>
  </si>
  <si>
    <t>equip-20000124</t>
  </si>
  <si>
    <t>PTR</t>
  </si>
  <si>
    <t>equip-30000124</t>
  </si>
  <si>
    <t>equip-10000125</t>
  </si>
  <si>
    <t>equip-20000125</t>
  </si>
  <si>
    <t>???</t>
  </si>
  <si>
    <t>equip-30000125</t>
  </si>
  <si>
    <t>equip-10000126</t>
  </si>
  <si>
    <t>equip-20000126</t>
  </si>
  <si>
    <t>equip-30000126</t>
  </si>
  <si>
    <t>equip-10000127</t>
  </si>
  <si>
    <t>equip-20000127</t>
  </si>
  <si>
    <t>MS</t>
  </si>
  <si>
    <t>equip-30000127</t>
  </si>
  <si>
    <t>equip-10000128</t>
  </si>
  <si>
    <t>equip-20000128</t>
  </si>
  <si>
    <t>RSAF</t>
  </si>
  <si>
    <t>equip-30000128</t>
  </si>
  <si>
    <t>equip-10000129</t>
  </si>
  <si>
    <t>equip-20000129</t>
  </si>
  <si>
    <t>SFA</t>
  </si>
  <si>
    <t>equip-30000129</t>
  </si>
  <si>
    <t>equip-10000130</t>
  </si>
  <si>
    <t>equip-20000130</t>
  </si>
  <si>
    <t>ZF</t>
  </si>
  <si>
    <t>equip-30000130</t>
  </si>
  <si>
    <t>equip-10000131</t>
  </si>
  <si>
    <t>equip-20000131</t>
  </si>
  <si>
    <t>TJC</t>
  </si>
  <si>
    <t>equip-30000131</t>
  </si>
  <si>
    <t>equip-10000132</t>
  </si>
  <si>
    <t>equip-20000132</t>
  </si>
  <si>
    <t>equip-30000132</t>
  </si>
  <si>
    <t>equip-10000133</t>
  </si>
  <si>
    <t>equip-20000133</t>
  </si>
  <si>
    <t>USR</t>
  </si>
  <si>
    <t>equip-30000133</t>
  </si>
  <si>
    <t>300120</t>
  </si>
  <si>
    <t>equip-10000134</t>
  </si>
  <si>
    <t>equip-20000134</t>
  </si>
  <si>
    <t>MPL</t>
  </si>
  <si>
    <t>equip-30000134</t>
  </si>
  <si>
    <t>equip-10000135</t>
  </si>
  <si>
    <t>equip-20000135</t>
  </si>
  <si>
    <t>TTM</t>
  </si>
  <si>
    <t>equip-30000135</t>
  </si>
  <si>
    <t>equip-10000136</t>
  </si>
  <si>
    <t>equip-20000136</t>
  </si>
  <si>
    <t>PAW</t>
  </si>
  <si>
    <t>equip-30000136</t>
  </si>
  <si>
    <t>equip-10000137</t>
  </si>
  <si>
    <t>equip-20000137</t>
  </si>
  <si>
    <t>BTC</t>
  </si>
  <si>
    <t>equip-30000137</t>
  </si>
  <si>
    <t>710102</t>
  </si>
  <si>
    <t>equip-10000138</t>
  </si>
  <si>
    <t>equip-20000138</t>
  </si>
  <si>
    <t>equip-30000138</t>
  </si>
  <si>
    <t>710105</t>
  </si>
  <si>
    <t>equip-10000139</t>
  </si>
  <si>
    <t>equip-20000139</t>
  </si>
  <si>
    <t>equip-30000139</t>
  </si>
  <si>
    <t>710122</t>
  </si>
  <si>
    <t>equip-10000140</t>
  </si>
  <si>
    <t>equip-20000140</t>
  </si>
  <si>
    <t>equip-30000140</t>
  </si>
  <si>
    <t>710103</t>
  </si>
  <si>
    <t>equip-10000141</t>
  </si>
  <si>
    <t>equip-20000141</t>
  </si>
  <si>
    <t>equip-30000141</t>
  </si>
  <si>
    <t>710104</t>
  </si>
  <si>
    <t>equip-10000142</t>
  </si>
  <si>
    <t>equip-20000142</t>
  </si>
  <si>
    <t>equip-30000142</t>
  </si>
  <si>
    <t>710106</t>
  </si>
  <si>
    <t>equip-10000143</t>
  </si>
  <si>
    <t>equip-20000143</t>
  </si>
  <si>
    <t>equip-30000143</t>
  </si>
  <si>
    <t>710120</t>
  </si>
  <si>
    <t>equip-10000144</t>
  </si>
  <si>
    <t>equip-20000144</t>
  </si>
  <si>
    <t>equip-30000144</t>
  </si>
  <si>
    <t>710121</t>
  </si>
  <si>
    <t>equip-10000145</t>
  </si>
  <si>
    <t>equip-20000145</t>
  </si>
  <si>
    <t>Zaibatsu Corp.</t>
  </si>
  <si>
    <t>equip-30000145</t>
  </si>
  <si>
    <t>equip-10000146</t>
  </si>
  <si>
    <t>equip-20000146</t>
  </si>
  <si>
    <t>equip-30000146</t>
  </si>
  <si>
    <t>equip-10000147</t>
  </si>
  <si>
    <t>equip-20000147</t>
  </si>
  <si>
    <t>equip-30000147</t>
  </si>
  <si>
    <t>equip-10000148</t>
  </si>
  <si>
    <t>equip-20000148</t>
  </si>
  <si>
    <t>equip-30000148</t>
  </si>
  <si>
    <t>equip-10000149</t>
  </si>
  <si>
    <t>equip-20000149</t>
  </si>
  <si>
    <t>equip-30000149</t>
  </si>
  <si>
    <t>equip-10000150</t>
  </si>
  <si>
    <t>equip-20000150</t>
  </si>
  <si>
    <t>equip-30000150</t>
  </si>
  <si>
    <t>equip-10000151</t>
  </si>
  <si>
    <t>equip-20000151</t>
  </si>
  <si>
    <t>FD</t>
  </si>
  <si>
    <t>equip-30000151</t>
  </si>
  <si>
    <t>equip-10000152</t>
  </si>
  <si>
    <t>equip-20000152</t>
  </si>
  <si>
    <t>SIG</t>
  </si>
  <si>
    <t>equip-30000152</t>
  </si>
  <si>
    <t>equip-10000153</t>
  </si>
  <si>
    <t>equip-20000153</t>
  </si>
  <si>
    <t>BRT</t>
  </si>
  <si>
    <t>equip-30000153</t>
  </si>
  <si>
    <t>equip-10000154</t>
  </si>
  <si>
    <t>equip-20000154</t>
  </si>
  <si>
    <t>OSS</t>
  </si>
  <si>
    <t>equip-30000154</t>
  </si>
  <si>
    <t>equip-10000155</t>
  </si>
  <si>
    <t>equip-20000155</t>
  </si>
  <si>
    <t>WTR</t>
  </si>
  <si>
    <t>equip-30000155</t>
  </si>
  <si>
    <t>equip-10000156</t>
  </si>
  <si>
    <t>equip-20000156</t>
  </si>
  <si>
    <t>equip-30000156</t>
  </si>
  <si>
    <t>equip-10000157</t>
  </si>
  <si>
    <t>equip-20000157</t>
  </si>
  <si>
    <t>equip-30000157</t>
  </si>
  <si>
    <t>equip-10000158</t>
  </si>
  <si>
    <t>equip-20000158</t>
  </si>
  <si>
    <t>KXY</t>
  </si>
  <si>
    <t>equip-30000158</t>
  </si>
  <si>
    <t>equip-10000159</t>
  </si>
  <si>
    <t>equip-20000159</t>
  </si>
  <si>
    <t>HK</t>
  </si>
  <si>
    <t>equip-30000159</t>
  </si>
  <si>
    <t>equip-10000160</t>
  </si>
  <si>
    <t>equip-20000160</t>
  </si>
  <si>
    <t>VKS</t>
  </si>
  <si>
    <t>equip-30000160</t>
  </si>
  <si>
    <t>equip-10000161</t>
  </si>
  <si>
    <t>equip-20000161</t>
  </si>
  <si>
    <t>208</t>
  </si>
  <si>
    <t>equip-30000161</t>
  </si>
  <si>
    <t>equip-10000162</t>
  </si>
  <si>
    <t>equip-20000162</t>
  </si>
  <si>
    <t>GDR</t>
  </si>
  <si>
    <t>equip-30000162</t>
  </si>
  <si>
    <t>equip-10000163</t>
  </si>
  <si>
    <t>equip-20000163</t>
  </si>
  <si>
    <t>LGE</t>
  </si>
  <si>
    <t>equip-30000163</t>
  </si>
  <si>
    <t>equip-10000164</t>
  </si>
  <si>
    <t>equip-20000164</t>
  </si>
  <si>
    <t>RT</t>
  </si>
  <si>
    <t>equip-30000164</t>
  </si>
  <si>
    <t>equip-10000165</t>
  </si>
  <si>
    <t>equip-20000165</t>
  </si>
  <si>
    <t>IRI</t>
  </si>
  <si>
    <t>equip-30000165</t>
  </si>
  <si>
    <t>equip-10000166</t>
  </si>
  <si>
    <t>equip-20000166</t>
  </si>
  <si>
    <t>DO</t>
  </si>
  <si>
    <t>equip-30000166</t>
  </si>
  <si>
    <t>equip-10000167</t>
  </si>
  <si>
    <t>equip-20000167</t>
  </si>
  <si>
    <t>equip-30000167</t>
  </si>
  <si>
    <t>equip-10000168</t>
  </si>
  <si>
    <t>equip-20000168</t>
  </si>
  <si>
    <t>IJ</t>
  </si>
  <si>
    <t>equip-30000168</t>
  </si>
  <si>
    <t>equip-10000169</t>
  </si>
  <si>
    <t>equip-20000169</t>
  </si>
  <si>
    <t>KTC</t>
  </si>
  <si>
    <t>equip-30000169</t>
  </si>
  <si>
    <t>equip-10000170</t>
  </si>
  <si>
    <t>equip-20000170</t>
  </si>
  <si>
    <t>DD</t>
  </si>
  <si>
    <t>equip-30000170</t>
  </si>
  <si>
    <t>equip-10000171</t>
  </si>
  <si>
    <t>equip-20000171</t>
  </si>
  <si>
    <t>WTF</t>
  </si>
  <si>
    <t>equip-30000171</t>
  </si>
  <si>
    <t>equip-10000172</t>
  </si>
  <si>
    <t>equip-20000172</t>
  </si>
  <si>
    <t>Redfield</t>
  </si>
  <si>
    <t>equip-30000172</t>
  </si>
  <si>
    <t>equip-10000173</t>
  </si>
  <si>
    <t>equip-20000173</t>
  </si>
  <si>
    <t>TCP</t>
  </si>
  <si>
    <t>equip-30000173</t>
  </si>
  <si>
    <t>equip-10000174</t>
  </si>
  <si>
    <t>equip-20000174</t>
  </si>
  <si>
    <t>CS</t>
  </si>
  <si>
    <t>equip-30000174</t>
  </si>
  <si>
    <t>114001</t>
  </si>
  <si>
    <t>equip-10000175</t>
  </si>
  <si>
    <t>equip-20000175</t>
  </si>
  <si>
    <t>equip-30000175</t>
  </si>
  <si>
    <t>equip-10000176</t>
  </si>
  <si>
    <t>equip-20000176</t>
  </si>
  <si>
    <t>equip-30000176</t>
  </si>
  <si>
    <t>equip-10000177</t>
  </si>
  <si>
    <t>equip-20000177</t>
  </si>
  <si>
    <t>MGP</t>
  </si>
  <si>
    <t>equip-30000177</t>
  </si>
  <si>
    <t>equip-10000178</t>
  </si>
  <si>
    <t>equip-20000178</t>
  </si>
  <si>
    <t>equip-30000178</t>
  </si>
  <si>
    <t>equip-10000179</t>
  </si>
  <si>
    <t>equip-20000179</t>
  </si>
  <si>
    <t>equip-30000179</t>
  </si>
  <si>
    <t>equip-10000180</t>
  </si>
  <si>
    <t>equip-20000180</t>
  </si>
  <si>
    <t>FAB</t>
  </si>
  <si>
    <t>equip-30000180</t>
  </si>
  <si>
    <t>equip-10000181</t>
  </si>
  <si>
    <t>equip-20000181</t>
  </si>
  <si>
    <t>G2R</t>
  </si>
  <si>
    <t>equip-30000181</t>
  </si>
  <si>
    <t>equip-10000182</t>
  </si>
  <si>
    <t>equip-20000182</t>
  </si>
  <si>
    <t>equip-30000182</t>
  </si>
  <si>
    <t>equip-10000183</t>
  </si>
  <si>
    <t>equip-20000183</t>
  </si>
  <si>
    <t>equip-30000183</t>
  </si>
  <si>
    <t>equip-10000184</t>
  </si>
  <si>
    <t>equip-20000184</t>
  </si>
  <si>
    <t>equip-30000184</t>
  </si>
  <si>
    <t>equip-10000185</t>
  </si>
  <si>
    <t>equip-20000185</t>
  </si>
  <si>
    <t>equip-30000185</t>
  </si>
  <si>
    <t>900716</t>
  </si>
  <si>
    <t>equip-10000186</t>
  </si>
  <si>
    <t>equip-20000186</t>
  </si>
  <si>
    <t>equip-30000186</t>
  </si>
  <si>
    <t>equip-10000187</t>
  </si>
  <si>
    <t>equip-20000187</t>
  </si>
  <si>
    <t>equip-30000187</t>
  </si>
  <si>
    <t>equip-10000188</t>
  </si>
  <si>
    <t>equip-20000188</t>
  </si>
  <si>
    <t>equip-30000188</t>
  </si>
  <si>
    <t>900717</t>
  </si>
  <si>
    <t>equip-10000189</t>
  </si>
  <si>
    <t>equip-20000189</t>
  </si>
  <si>
    <t>equip-30000189</t>
  </si>
  <si>
    <t>900718</t>
  </si>
  <si>
    <t>equip-10000190</t>
  </si>
  <si>
    <t>equip-20000190</t>
  </si>
  <si>
    <t>404后勤部</t>
  </si>
  <si>
    <t>equip-30000190</t>
  </si>
  <si>
    <t>equip-10000191</t>
  </si>
  <si>
    <t>equip-20000191</t>
  </si>
  <si>
    <t>equip-30000191</t>
  </si>
  <si>
    <t>equip-10000192</t>
  </si>
  <si>
    <t>equip-20000192</t>
  </si>
  <si>
    <t>equip-30000192</t>
  </si>
  <si>
    <t>equip-10000193</t>
  </si>
  <si>
    <t>equip-20000193</t>
  </si>
  <si>
    <t>equip-30000193</t>
  </si>
  <si>
    <t>equip-10000194</t>
  </si>
  <si>
    <t>equip-20000194</t>
  </si>
  <si>
    <t>equip-30000194</t>
  </si>
  <si>
    <t>equip-10000195</t>
  </si>
  <si>
    <t>equip-20000195</t>
  </si>
  <si>
    <t>equip-30000195</t>
  </si>
  <si>
    <t>equip-10000196</t>
  </si>
  <si>
    <t>equip-20000196</t>
  </si>
  <si>
    <t>equip-30000196</t>
  </si>
  <si>
    <t>equip-10000197</t>
  </si>
  <si>
    <t>equip-20000197</t>
  </si>
  <si>
    <t>equip-30000197</t>
  </si>
  <si>
    <t>equip-10000198</t>
  </si>
  <si>
    <t>equip-20000198</t>
  </si>
  <si>
    <t>equip-30000198</t>
  </si>
  <si>
    <t>equip-10000199</t>
  </si>
  <si>
    <t>equip-20000199</t>
  </si>
  <si>
    <t>SC</t>
  </si>
  <si>
    <t>equip-30000199</t>
  </si>
  <si>
    <t>900992</t>
  </si>
  <si>
    <t>equip-10000200</t>
  </si>
  <si>
    <t>equip-20000200</t>
  </si>
  <si>
    <t>SHD</t>
  </si>
  <si>
    <t>equip-30000200</t>
  </si>
  <si>
    <t>900993</t>
  </si>
  <si>
    <t>equip-10000201</t>
  </si>
  <si>
    <t>equip-20000201</t>
  </si>
  <si>
    <t>equip-30000201</t>
  </si>
  <si>
    <t>900994</t>
  </si>
  <si>
    <t>equip-10000202</t>
  </si>
  <si>
    <t>equip-20000202</t>
  </si>
  <si>
    <t>TC</t>
  </si>
  <si>
    <t>equip-30000202</t>
  </si>
  <si>
    <t>901014</t>
  </si>
  <si>
    <t>equip-10000203</t>
  </si>
  <si>
    <t>equip-20000203</t>
  </si>
  <si>
    <t>equip-30000203</t>
  </si>
  <si>
    <t>901015</t>
  </si>
  <si>
    <t>equip-10000204</t>
  </si>
  <si>
    <t>equip-20000204</t>
  </si>
  <si>
    <t>equip-30000204</t>
  </si>
  <si>
    <t>901016</t>
  </si>
  <si>
    <t>equip-10000205</t>
  </si>
  <si>
    <t>equip-20000205</t>
  </si>
  <si>
    <t>MI</t>
  </si>
  <si>
    <t>equip-30000205</t>
  </si>
  <si>
    <t>equip-10000206</t>
  </si>
  <si>
    <t>equip-20000206</t>
  </si>
  <si>
    <t>equip-30000206</t>
  </si>
  <si>
    <t>equip-10000207</t>
  </si>
  <si>
    <t>equip-20000207</t>
  </si>
  <si>
    <t>ZNT</t>
  </si>
  <si>
    <t>equip-30000207</t>
  </si>
  <si>
    <t>902133</t>
  </si>
  <si>
    <t>equip-10000208</t>
  </si>
  <si>
    <t>equip-20000208</t>
  </si>
  <si>
    <t>equip-30000208</t>
  </si>
  <si>
    <t>equip-10000209</t>
  </si>
  <si>
    <t>equip-20000209</t>
  </si>
  <si>
    <t>equip-30000209</t>
  </si>
  <si>
    <t>equip-10000210</t>
  </si>
  <si>
    <t>equip-20000210</t>
  </si>
  <si>
    <t>equip-30000210</t>
  </si>
  <si>
    <t>equip-10000211</t>
  </si>
  <si>
    <t>equip-20000211</t>
  </si>
  <si>
    <t>equip-30000211</t>
  </si>
  <si>
    <t>902239</t>
  </si>
  <si>
    <t>equip-10000212</t>
  </si>
  <si>
    <t>equip-20000212</t>
  </si>
  <si>
    <t>equip-30000212</t>
  </si>
  <si>
    <t>equip-10000213</t>
  </si>
  <si>
    <t>equip-20000213</t>
  </si>
  <si>
    <t>equip-30000213</t>
  </si>
  <si>
    <t>902256</t>
  </si>
  <si>
    <t>equip-10000214</t>
  </si>
  <si>
    <t>equip-20000214</t>
  </si>
  <si>
    <t>equip-30000214</t>
  </si>
  <si>
    <t>equip-10000215</t>
  </si>
  <si>
    <t>equip-20000215</t>
  </si>
  <si>
    <t>equip-30000215</t>
  </si>
  <si>
    <t>equip-10000216</t>
  </si>
  <si>
    <t>equip-20000216</t>
  </si>
  <si>
    <t>equip-30000216</t>
  </si>
  <si>
    <t>115807</t>
  </si>
  <si>
    <t>equip-10000217</t>
  </si>
  <si>
    <t>equip-20000217</t>
  </si>
  <si>
    <t>SB</t>
  </si>
  <si>
    <t>equip-30000217</t>
  </si>
  <si>
    <t>equip-10000218</t>
  </si>
  <si>
    <t>equip-20000218</t>
  </si>
  <si>
    <t>equip-30000218</t>
  </si>
  <si>
    <t>902391</t>
  </si>
  <si>
    <t>equip-10000219</t>
  </si>
  <si>
    <t>equip-20000219</t>
  </si>
  <si>
    <t>equip-30000219</t>
  </si>
  <si>
    <t>equip-10000220</t>
  </si>
  <si>
    <t>equip-20000220</t>
  </si>
  <si>
    <t>equip-30000220</t>
  </si>
  <si>
    <t>equip-10000221</t>
  </si>
  <si>
    <t>equip-20000221</t>
  </si>
  <si>
    <t>equip-30000221</t>
  </si>
  <si>
    <t>equip-10000222</t>
  </si>
  <si>
    <t>equip-20000222</t>
  </si>
  <si>
    <t>equip-30000222</t>
  </si>
  <si>
    <t>equip-10000223</t>
  </si>
  <si>
    <t>equip-20000223</t>
  </si>
  <si>
    <t>equip-30000223</t>
  </si>
  <si>
    <t>equip-10000224</t>
  </si>
  <si>
    <t>equip-20000224</t>
  </si>
  <si>
    <t>equip-30000224</t>
  </si>
  <si>
    <t>equip-10000225</t>
  </si>
  <si>
    <t>equip-20000225</t>
  </si>
  <si>
    <t>equip-30000225</t>
  </si>
  <si>
    <t>300903</t>
  </si>
  <si>
    <t>equip-10000226</t>
  </si>
  <si>
    <t>equip-20000226</t>
  </si>
  <si>
    <t>equip-30000226</t>
  </si>
  <si>
    <t>equip-10000227</t>
  </si>
  <si>
    <t>equip-20000227</t>
  </si>
  <si>
    <t>equip-30000227</t>
  </si>
  <si>
    <t>equip-10000228</t>
  </si>
  <si>
    <t>equip-20000228</t>
  </si>
  <si>
    <t>equip-30000228</t>
  </si>
  <si>
    <t>equip-10000229</t>
  </si>
  <si>
    <t>equip-20000229</t>
  </si>
  <si>
    <t>equip-30000229</t>
  </si>
  <si>
    <t>equip-10000230</t>
  </si>
  <si>
    <t>equip-20000230</t>
  </si>
  <si>
    <t>equip-30000230</t>
  </si>
  <si>
    <t>equip-10000231</t>
  </si>
  <si>
    <t>equip-20000231</t>
  </si>
  <si>
    <t>equip-30000231</t>
  </si>
  <si>
    <t>equip-10000232</t>
  </si>
  <si>
    <t>equip-20000232</t>
  </si>
  <si>
    <t>equip-30000232</t>
  </si>
  <si>
    <t>equip-10000233</t>
  </si>
  <si>
    <t>equip-20000233</t>
  </si>
  <si>
    <t>equip-30000233</t>
  </si>
  <si>
    <t>equip-10000234</t>
  </si>
  <si>
    <t>equip-20000234</t>
  </si>
  <si>
    <t>equip-30000234</t>
  </si>
  <si>
    <t>equip-10000235</t>
  </si>
  <si>
    <t>equip-20000235</t>
  </si>
  <si>
    <t>equip-30000235</t>
  </si>
  <si>
    <t>300902</t>
  </si>
  <si>
    <t>equip-10000236</t>
  </si>
  <si>
    <t>equip-20000236</t>
  </si>
  <si>
    <t>AO</t>
  </si>
  <si>
    <t>equip-30000236</t>
  </si>
  <si>
    <t>116201</t>
  </si>
  <si>
    <t>equip-10000237</t>
  </si>
  <si>
    <t>equip-20000237</t>
  </si>
  <si>
    <t>equip-30000237</t>
  </si>
  <si>
    <t>100507</t>
  </si>
  <si>
    <t>equip-10000238</t>
  </si>
  <si>
    <t>equip-20000238</t>
  </si>
  <si>
    <t>HND</t>
  </si>
  <si>
    <t>equip-30000238</t>
  </si>
  <si>
    <t>equip-10000239</t>
  </si>
  <si>
    <t>equip-20000239</t>
  </si>
  <si>
    <t>HST</t>
  </si>
  <si>
    <t>equip-30000239</t>
  </si>
  <si>
    <t>803906</t>
  </si>
  <si>
    <t>equip-10000240</t>
  </si>
  <si>
    <t>equip-20000240</t>
  </si>
  <si>
    <t>equip-30000240</t>
  </si>
  <si>
    <t>equip-10000241</t>
  </si>
  <si>
    <t>equip-20000241</t>
  </si>
  <si>
    <t>equip-30000241</t>
  </si>
  <si>
    <t>equip-10000242</t>
  </si>
  <si>
    <t>equip-20000242</t>
  </si>
  <si>
    <t>equip-30000242</t>
  </si>
  <si>
    <t>756004</t>
  </si>
  <si>
    <t>equip-10000243</t>
  </si>
  <si>
    <t>equip-20000243</t>
  </si>
  <si>
    <t>equip-30000243</t>
  </si>
  <si>
    <t>equip-10000244</t>
  </si>
  <si>
    <t>equip-20000244</t>
  </si>
  <si>
    <t>equip-30000244</t>
  </si>
  <si>
    <t>equip-10000245</t>
  </si>
  <si>
    <t>equip-20000245</t>
  </si>
  <si>
    <t>ZEVT</t>
  </si>
  <si>
    <t>equip-30000245</t>
  </si>
  <si>
    <t>equip-10000246</t>
  </si>
  <si>
    <t>equip-20000246</t>
  </si>
  <si>
    <t>IWI</t>
  </si>
  <si>
    <t>equip-30000246</t>
  </si>
  <si>
    <t>756060</t>
  </si>
  <si>
    <t>equip-10000247</t>
  </si>
  <si>
    <t>equip-20000247</t>
  </si>
  <si>
    <t>MCM</t>
  </si>
  <si>
    <t>equip-30000247</t>
  </si>
  <si>
    <t>equip-10000248</t>
  </si>
  <si>
    <t>equip-20000248</t>
  </si>
  <si>
    <t>equip-30000248</t>
  </si>
  <si>
    <t>756117</t>
  </si>
  <si>
    <t>equip-10000249</t>
  </si>
  <si>
    <t>equip-20000249</t>
  </si>
  <si>
    <t>equip-30000249</t>
  </si>
  <si>
    <t>equip-10000250</t>
  </si>
  <si>
    <t>equip-20000250</t>
  </si>
  <si>
    <t>equip-30000250</t>
  </si>
  <si>
    <t>759011</t>
  </si>
  <si>
    <t>equip-10000251</t>
  </si>
  <si>
    <t>equip-20000251</t>
  </si>
  <si>
    <t>equip-30000251</t>
  </si>
  <si>
    <t>equip-10000252</t>
  </si>
  <si>
    <t>equip-20000252</t>
  </si>
  <si>
    <t>equip-30000252</t>
  </si>
  <si>
    <t>equip-10000253</t>
  </si>
  <si>
    <t>equip-20000253</t>
  </si>
  <si>
    <t>equip-30000253</t>
  </si>
  <si>
    <t>equip-10000254</t>
  </si>
  <si>
    <t>equip-20000254</t>
  </si>
  <si>
    <t>equip-30000254</t>
  </si>
  <si>
    <t>equip-10000255</t>
  </si>
  <si>
    <t>equip-20000255</t>
  </si>
  <si>
    <t>equip-30000255</t>
  </si>
  <si>
    <t>equip-10000256</t>
  </si>
  <si>
    <t>equip-20000256</t>
  </si>
  <si>
    <t>TYRT</t>
  </si>
  <si>
    <t>equip-30000256</t>
  </si>
  <si>
    <t>equip-10000257</t>
  </si>
  <si>
    <t>equip-20000257</t>
  </si>
  <si>
    <t>AXI</t>
  </si>
  <si>
    <t>equip-30000257</t>
  </si>
  <si>
    <t>equip-10000258</t>
  </si>
  <si>
    <t>equip-20000258</t>
  </si>
  <si>
    <t>equip-30000258</t>
  </si>
  <si>
    <t>equip-10000259</t>
  </si>
  <si>
    <t>equip-20000259</t>
  </si>
  <si>
    <t>equip-30000259</t>
  </si>
  <si>
    <t>759012</t>
  </si>
  <si>
    <t>equip-10000260</t>
  </si>
  <si>
    <t>equip-20000260</t>
  </si>
  <si>
    <t>equip-30000260</t>
  </si>
  <si>
    <t>equip-10000261</t>
  </si>
  <si>
    <t>equip-20000261</t>
  </si>
  <si>
    <t>equip-30000261</t>
  </si>
  <si>
    <t>equip-10000262</t>
  </si>
  <si>
    <t>equip-20000262</t>
  </si>
  <si>
    <t>equip-30000262</t>
  </si>
  <si>
    <t>equip-10000263</t>
  </si>
  <si>
    <t>equip-20000263</t>
  </si>
  <si>
    <t>KP/Z</t>
  </si>
  <si>
    <t>equip-30000263</t>
  </si>
  <si>
    <t>equip-10000264</t>
  </si>
  <si>
    <t>equip-20000264</t>
  </si>
  <si>
    <t>85</t>
  </si>
  <si>
    <t>equip-30000264</t>
  </si>
  <si>
    <t>introduce</t>
  </si>
  <si>
    <t>dialogue</t>
  </si>
  <si>
    <t>extra</t>
  </si>
  <si>
    <t>en_introduce</t>
  </si>
  <si>
    <t>baseammo</t>
  </si>
  <si>
    <t>basemre</t>
  </si>
  <si>
    <t>ammo_add_withnumber</t>
  </si>
  <si>
    <t>mre_add_withnumber</t>
  </si>
  <si>
    <t>retiremp</t>
  </si>
  <si>
    <t>retireammo</t>
  </si>
  <si>
    <t>retiremre</t>
  </si>
  <si>
    <t>retirepart</t>
  </si>
  <si>
    <t>ratio_speed</t>
  </si>
  <si>
    <t>crit</t>
  </si>
  <si>
    <t>special</t>
  </si>
  <si>
    <t>ratio_range</t>
  </si>
  <si>
    <t>effect_grid_center</t>
  </si>
  <si>
    <t>effect_guntype</t>
  </si>
  <si>
    <t>effect_grid_pos</t>
  </si>
  <si>
    <t>effect_grid_effect</t>
  </si>
  <si>
    <t>max_equip</t>
  </si>
  <si>
    <t>type_equip4</t>
  </si>
  <si>
    <t>ai</t>
  </si>
  <si>
    <t>launch_time</t>
  </si>
  <si>
    <t>obtain_ids</t>
  </si>
  <si>
    <t>rank_display</t>
  </si>
  <si>
    <t>prize_id</t>
  </si>
  <si>
    <t>mindupdate_consume</t>
  </si>
  <si>
    <t>explore_tag</t>
  </si>
  <si>
    <t>gun_detail_bg</t>
  </si>
  <si>
    <t>org_id</t>
  </si>
  <si>
    <t>gun-10000001</t>
  </si>
  <si>
    <t>M1873</t>
  </si>
  <si>
    <t>gun-40000001</t>
  </si>
  <si>
    <t>gun-50000001</t>
  </si>
  <si>
    <t>gun-60000001</t>
  </si>
  <si>
    <t>gun-10000002</t>
  </si>
  <si>
    <t>gun-40000002</t>
  </si>
  <si>
    <t>gun-50000002</t>
  </si>
  <si>
    <t>gun-60000002</t>
  </si>
  <si>
    <t>gun-10000003</t>
  </si>
  <si>
    <t>gun-40000003</t>
  </si>
  <si>
    <t>gun-50000003</t>
  </si>
  <si>
    <t>gun-60000003</t>
  </si>
  <si>
    <t>gun-10000004</t>
  </si>
  <si>
    <t>gun-40000004</t>
  </si>
  <si>
    <t>gun-50000004</t>
  </si>
  <si>
    <t>gun-60000004</t>
  </si>
  <si>
    <t>gun-10000005</t>
  </si>
  <si>
    <t>gun-40000005</t>
  </si>
  <si>
    <t>gun-50000005</t>
  </si>
  <si>
    <t>gun-60000005</t>
  </si>
  <si>
    <t>gun-10000006</t>
  </si>
  <si>
    <t>TT33</t>
  </si>
  <si>
    <t>gun-40000006</t>
  </si>
  <si>
    <t>gun-50000006</t>
  </si>
  <si>
    <t>gun-60000006</t>
  </si>
  <si>
    <t>gun-10000007</t>
  </si>
  <si>
    <t>APS</t>
  </si>
  <si>
    <t>gun-40000007</t>
  </si>
  <si>
    <t>gun-50000007</t>
  </si>
  <si>
    <t>gun-60000007</t>
  </si>
  <si>
    <t>gun-10000008</t>
  </si>
  <si>
    <t>PM</t>
  </si>
  <si>
    <t>gun-40000008</t>
  </si>
  <si>
    <t>gun-50000008</t>
  </si>
  <si>
    <t>gun-60000008</t>
  </si>
  <si>
    <t>gun-10000009</t>
  </si>
  <si>
    <t>gun-40000009</t>
  </si>
  <si>
    <t>gun-50000009</t>
  </si>
  <si>
    <t>gun-60000009</t>
  </si>
  <si>
    <t>gun-10000010</t>
  </si>
  <si>
    <t>gun-40000010</t>
  </si>
  <si>
    <t>gun-50000010</t>
  </si>
  <si>
    <t>gun-60000010</t>
  </si>
  <si>
    <t>gun-10000011</t>
  </si>
  <si>
    <t>gun-40000011</t>
  </si>
  <si>
    <t>gun-50000011</t>
  </si>
  <si>
    <t>gun-60000011</t>
  </si>
  <si>
    <t>gun-10000012</t>
  </si>
  <si>
    <t>gun-40000012</t>
  </si>
  <si>
    <t>gun-50000012</t>
  </si>
  <si>
    <t>gun-60000012</t>
  </si>
  <si>
    <t>gun-10000013</t>
  </si>
  <si>
    <t>92type</t>
  </si>
  <si>
    <t>gun-40000013</t>
  </si>
  <si>
    <t>gun-50000013</t>
  </si>
  <si>
    <t>gun-60000013</t>
  </si>
  <si>
    <t>gun-10000014</t>
  </si>
  <si>
    <t>357</t>
  </si>
  <si>
    <t>gun-40000014</t>
  </si>
  <si>
    <t>gun-50000014</t>
  </si>
  <si>
    <t>gun-60000014</t>
  </si>
  <si>
    <t>gun-10000015</t>
  </si>
  <si>
    <t>Glock17</t>
  </si>
  <si>
    <t>gun-40000015</t>
  </si>
  <si>
    <t>gun-50000015</t>
  </si>
  <si>
    <t>gun-60000015</t>
  </si>
  <si>
    <t>gun-10000016</t>
  </si>
  <si>
    <t>M1928A1</t>
  </si>
  <si>
    <t>gun-40000016</t>
  </si>
  <si>
    <t>gun-50000016</t>
  </si>
  <si>
    <t>gun-60000016</t>
  </si>
  <si>
    <t>gun-10000017</t>
  </si>
  <si>
    <t>gun-40000017</t>
  </si>
  <si>
    <t>gun-50000017</t>
  </si>
  <si>
    <t>gun-60000017</t>
  </si>
  <si>
    <t>gun-10000018</t>
  </si>
  <si>
    <t>MAC10</t>
  </si>
  <si>
    <t>gun-40000018</t>
  </si>
  <si>
    <t>gun-50000018</t>
  </si>
  <si>
    <t>gun-60000018</t>
  </si>
  <si>
    <t>gun-10000019</t>
  </si>
  <si>
    <t>gun-40000019</t>
  </si>
  <si>
    <t>gun-50000019</t>
  </si>
  <si>
    <t>gun-60000019</t>
  </si>
  <si>
    <t>gun-10000020</t>
  </si>
  <si>
    <t>gun-40000020</t>
  </si>
  <si>
    <t>gun-50000020</t>
  </si>
  <si>
    <t>gun-60000020</t>
  </si>
  <si>
    <t>gun-10000021</t>
  </si>
  <si>
    <t>PPsh41</t>
  </si>
  <si>
    <t>gun-40000021</t>
  </si>
  <si>
    <t>gun-50000021</t>
  </si>
  <si>
    <t>gun-60000021</t>
  </si>
  <si>
    <t>gun-10000022</t>
  </si>
  <si>
    <t>gun-40000022</t>
  </si>
  <si>
    <t>gun-50000022</t>
  </si>
  <si>
    <t>gun-60000022</t>
  </si>
  <si>
    <t>gun-10000023</t>
  </si>
  <si>
    <t>gun-40000023</t>
  </si>
  <si>
    <t>gun-50000023</t>
  </si>
  <si>
    <t>gun-60000023</t>
  </si>
  <si>
    <t>gun-10000024</t>
  </si>
  <si>
    <t>gun-40000024</t>
  </si>
  <si>
    <t>gun-50000024</t>
  </si>
  <si>
    <t>gun-60000024</t>
  </si>
  <si>
    <t>gun-10000025</t>
  </si>
  <si>
    <t>gun-40000025</t>
  </si>
  <si>
    <t>gun-50000025</t>
  </si>
  <si>
    <t>gun-60000025</t>
  </si>
  <si>
    <t>gun-10000026</t>
  </si>
  <si>
    <t>gun-40000026</t>
  </si>
  <si>
    <t>gun-50000026</t>
  </si>
  <si>
    <t>gun-60000026</t>
  </si>
  <si>
    <t>gun-10000027</t>
  </si>
  <si>
    <t>VZ61</t>
  </si>
  <si>
    <t>gun-40000027</t>
  </si>
  <si>
    <t>gun-50000027</t>
  </si>
  <si>
    <t>gun-60000027</t>
  </si>
  <si>
    <t>gun-10000028</t>
  </si>
  <si>
    <t>gun-40000028</t>
  </si>
  <si>
    <t>gun-50000028</t>
  </si>
  <si>
    <t>gun-60000028</t>
  </si>
  <si>
    <t>gun-10000029</t>
  </si>
  <si>
    <t>StenMK2</t>
  </si>
  <si>
    <t>gun-40000029</t>
  </si>
  <si>
    <t>gun-50000029</t>
  </si>
  <si>
    <t>gun-60000029</t>
  </si>
  <si>
    <t>gun-10000031</t>
  </si>
  <si>
    <t>MAB38</t>
  </si>
  <si>
    <t>gun-40000031</t>
  </si>
  <si>
    <t>gun-50000031</t>
  </si>
  <si>
    <t>gun-60000031</t>
  </si>
  <si>
    <t>gun-10000032</t>
  </si>
  <si>
    <t>MicroUZI</t>
  </si>
  <si>
    <t>gun-40000032</t>
  </si>
  <si>
    <t>gun-50000032</t>
  </si>
  <si>
    <t>gun-60000032</t>
  </si>
  <si>
    <t>gun-10000033</t>
  </si>
  <si>
    <t>gun-40000033</t>
  </si>
  <si>
    <t>gun-50000033</t>
  </si>
  <si>
    <t>gun-60000033</t>
  </si>
  <si>
    <t>gun-10000034</t>
  </si>
  <si>
    <t>M1</t>
  </si>
  <si>
    <t>gun-40000034</t>
  </si>
  <si>
    <t>gun-50000034</t>
  </si>
  <si>
    <t>gun-60000034</t>
  </si>
  <si>
    <t>gun-10000035</t>
  </si>
  <si>
    <t>gun-40000035</t>
  </si>
  <si>
    <t>gun-50000035</t>
  </si>
  <si>
    <t>gun-60000035</t>
  </si>
  <si>
    <t>gun-10000036</t>
  </si>
  <si>
    <t>M1903</t>
  </si>
  <si>
    <t>gun-40000036</t>
  </si>
  <si>
    <t>gun-50000036</t>
  </si>
  <si>
    <t>gun-60000036</t>
  </si>
  <si>
    <t>gun-10000037</t>
  </si>
  <si>
    <t>gun-40000037</t>
  </si>
  <si>
    <t>gun-50000037</t>
  </si>
  <si>
    <t>gun-60000037</t>
  </si>
  <si>
    <t>gun-10000038</t>
  </si>
  <si>
    <t>gun-40000038</t>
  </si>
  <si>
    <t>gun-50000038</t>
  </si>
  <si>
    <t>gun-60000038</t>
  </si>
  <si>
    <t>gun-10000039</t>
  </si>
  <si>
    <t>M1891</t>
  </si>
  <si>
    <t>gun-40000039</t>
  </si>
  <si>
    <t>gun-50000039</t>
  </si>
  <si>
    <t>gun-60000039</t>
  </si>
  <si>
    <t>gun-10000040</t>
  </si>
  <si>
    <t>gun-40000040</t>
  </si>
  <si>
    <t>gun-50000040</t>
  </si>
  <si>
    <t>gun-60000040</t>
  </si>
  <si>
    <t>gun-10000041</t>
  </si>
  <si>
    <t>gun-40000041</t>
  </si>
  <si>
    <t>gun-50000041</t>
  </si>
  <si>
    <t>gun-60000041</t>
  </si>
  <si>
    <t>gun-10000042</t>
  </si>
  <si>
    <t>gun-40000042</t>
  </si>
  <si>
    <t>gun-50000042</t>
  </si>
  <si>
    <t>gun-60000042</t>
  </si>
  <si>
    <t>gun-10000043</t>
  </si>
  <si>
    <t>gun-40000043</t>
  </si>
  <si>
    <t>gun-50000043</t>
  </si>
  <si>
    <t>gun-60000043</t>
  </si>
  <si>
    <t>gun-10000044</t>
  </si>
  <si>
    <t>gun-40000044</t>
  </si>
  <si>
    <t>gun-50000044</t>
  </si>
  <si>
    <t>gun-60000044</t>
  </si>
  <si>
    <t>gun-10000046</t>
  </si>
  <si>
    <t>98K</t>
  </si>
  <si>
    <t>gun-40000046</t>
  </si>
  <si>
    <t>gun-50000046</t>
  </si>
  <si>
    <t>gun-60000046</t>
  </si>
  <si>
    <t>gun-10000047</t>
  </si>
  <si>
    <t>gun-40000047</t>
  </si>
  <si>
    <t>gun-50000047</t>
  </si>
  <si>
    <t>gun-60000047</t>
  </si>
  <si>
    <t>gun-10000048</t>
  </si>
  <si>
    <t>gun-40000048</t>
  </si>
  <si>
    <t>gun-50000048</t>
  </si>
  <si>
    <t>gun-60000048</t>
  </si>
  <si>
    <t>gun-10000049</t>
  </si>
  <si>
    <t>56typeR</t>
  </si>
  <si>
    <t>gun-40000049</t>
  </si>
  <si>
    <t>gun-50000049</t>
  </si>
  <si>
    <t>gun-60000049</t>
  </si>
  <si>
    <t>gun-10000050</t>
  </si>
  <si>
    <t>MLEMK1</t>
  </si>
  <si>
    <t>gun-40000050</t>
  </si>
  <si>
    <t>gun-50000050</t>
  </si>
  <si>
    <t>gun-60000050</t>
  </si>
  <si>
    <t>gun-10000051</t>
  </si>
  <si>
    <t>gun-40000051</t>
  </si>
  <si>
    <t>gun-50000051</t>
  </si>
  <si>
    <t>gun-60000051</t>
  </si>
  <si>
    <t>gun-10000052</t>
  </si>
  <si>
    <t>BM59</t>
  </si>
  <si>
    <t>gun-40000052</t>
  </si>
  <si>
    <t>gun-50000052</t>
  </si>
  <si>
    <t>gun-60000052</t>
  </si>
  <si>
    <t>gun-10000053</t>
  </si>
  <si>
    <t>gun-40000053</t>
  </si>
  <si>
    <t>gun-50000053</t>
  </si>
  <si>
    <t>gun-60000053</t>
  </si>
  <si>
    <t>gun-10000054</t>
  </si>
  <si>
    <t>gun-40000054</t>
  </si>
  <si>
    <t>gun-50000054</t>
  </si>
  <si>
    <t>gun-60000054</t>
  </si>
  <si>
    <t>gun-10000055</t>
  </si>
  <si>
    <t>gun-40000055</t>
  </si>
  <si>
    <t>gun-50000055</t>
  </si>
  <si>
    <t>gun-60000055</t>
  </si>
  <si>
    <t>gun-10000056</t>
  </si>
  <si>
    <t>gun-40000056</t>
  </si>
  <si>
    <t>gun-50000056</t>
  </si>
  <si>
    <t>gun-60000056</t>
  </si>
  <si>
    <t>gun-10000057</t>
  </si>
  <si>
    <t>AR15</t>
  </si>
  <si>
    <t>gun-40000057</t>
  </si>
  <si>
    <t>gun-50000057</t>
  </si>
  <si>
    <t>gun-60000057</t>
  </si>
  <si>
    <t>gun-10000058</t>
  </si>
  <si>
    <t>gun-40000058</t>
  </si>
  <si>
    <t>gun-50000058</t>
  </si>
  <si>
    <t>gun-60000058</t>
  </si>
  <si>
    <t>gun-10000059</t>
  </si>
  <si>
    <t>AK74U</t>
  </si>
  <si>
    <t>gun-40000059</t>
  </si>
  <si>
    <t>gun-50000059</t>
  </si>
  <si>
    <t>gun-60000059</t>
  </si>
  <si>
    <t>gun-10000060</t>
  </si>
  <si>
    <t>ASVAL</t>
  </si>
  <si>
    <t>gun-40000060</t>
  </si>
  <si>
    <t>gun-50000060</t>
  </si>
  <si>
    <t>gun-60000060</t>
  </si>
  <si>
    <t>gun-10000061</t>
  </si>
  <si>
    <t>STG44</t>
  </si>
  <si>
    <t>gun-40000061</t>
  </si>
  <si>
    <t>gun-50000061</t>
  </si>
  <si>
    <t>gun-60000061</t>
  </si>
  <si>
    <t>gun-10000062</t>
  </si>
  <si>
    <t>gun-40000062</t>
  </si>
  <si>
    <t>gun-50000062</t>
  </si>
  <si>
    <t>gun-60000062</t>
  </si>
  <si>
    <t>gun-10000063</t>
  </si>
  <si>
    <t>gun-40000063</t>
  </si>
  <si>
    <t>gun-50000063</t>
  </si>
  <si>
    <t>gun-60000063</t>
  </si>
  <si>
    <t>gun-10000064</t>
  </si>
  <si>
    <t>gun-40000064</t>
  </si>
  <si>
    <t>gun-50000064</t>
  </si>
  <si>
    <t>gun-60000064</t>
  </si>
  <si>
    <t>gun-10000065</t>
  </si>
  <si>
    <t>gun-40000065</t>
  </si>
  <si>
    <t>gun-50000065</t>
  </si>
  <si>
    <t>gun-60000065</t>
  </si>
  <si>
    <t>gun-10000066</t>
  </si>
  <si>
    <t>56-1type</t>
  </si>
  <si>
    <t>gun-40000066</t>
  </si>
  <si>
    <t>gun-50000066</t>
  </si>
  <si>
    <t>gun-60000066</t>
  </si>
  <si>
    <t>gun-10000068</t>
  </si>
  <si>
    <t>gun-40000068</t>
  </si>
  <si>
    <t>gun-50000068</t>
  </si>
  <si>
    <t>gun-60000068</t>
  </si>
  <si>
    <t>gun-10000069</t>
  </si>
  <si>
    <t>gun-40000069</t>
  </si>
  <si>
    <t>gun-50000069</t>
  </si>
  <si>
    <t>gun-60000069</t>
  </si>
  <si>
    <t>gun-10000070</t>
  </si>
  <si>
    <t>FNFNC</t>
  </si>
  <si>
    <t>gun-40000070</t>
  </si>
  <si>
    <t>gun-50000070</t>
  </si>
  <si>
    <t>gun-60000070</t>
  </si>
  <si>
    <t>gun-10000071</t>
  </si>
  <si>
    <t>gun-40000071</t>
  </si>
  <si>
    <t>gun-50000071</t>
  </si>
  <si>
    <t>gun-60000071</t>
  </si>
  <si>
    <t>gun-10000072</t>
  </si>
  <si>
    <t>gun-40000072</t>
  </si>
  <si>
    <t>gun-50000072</t>
  </si>
  <si>
    <t>gun-60000072</t>
  </si>
  <si>
    <t>gun-10000073</t>
  </si>
  <si>
    <t>gun-40000073</t>
  </si>
  <si>
    <t>gun-50000073</t>
  </si>
  <si>
    <t>gun-60000073</t>
  </si>
  <si>
    <t>gun-10000074</t>
  </si>
  <si>
    <t>gun-40000074</t>
  </si>
  <si>
    <t>gun-50000074</t>
  </si>
  <si>
    <t>gun-60000074</t>
  </si>
  <si>
    <t>gun-10000075</t>
  </si>
  <si>
    <t>gun-40000075</t>
  </si>
  <si>
    <t>gun-50000075</t>
  </si>
  <si>
    <t>gun-60000075</t>
  </si>
  <si>
    <t>gun-10000077</t>
  </si>
  <si>
    <t>gun-40000077</t>
  </si>
  <si>
    <t>gun-50000077</t>
  </si>
  <si>
    <t>gun-60000077</t>
  </si>
  <si>
    <t>gun-10000078</t>
  </si>
  <si>
    <t>gun-40000078</t>
  </si>
  <si>
    <t>gun-50000078</t>
  </si>
  <si>
    <t>gun-60000078</t>
  </si>
  <si>
    <t>gun-10000079</t>
  </si>
  <si>
    <t>gun-40000079</t>
  </si>
  <si>
    <t>gun-50000079</t>
  </si>
  <si>
    <t>gun-60000079</t>
  </si>
  <si>
    <t>gun-10000080</t>
  </si>
  <si>
    <t>gun-40000080</t>
  </si>
  <si>
    <t>gun-50000080</t>
  </si>
  <si>
    <t>gun-60000080</t>
  </si>
  <si>
    <t>gun-10000081</t>
  </si>
  <si>
    <t>gun-40000081</t>
  </si>
  <si>
    <t>gun-50000081</t>
  </si>
  <si>
    <t>gun-60000081</t>
  </si>
  <si>
    <t>gun-10000082</t>
  </si>
  <si>
    <t>gun-40000082</t>
  </si>
  <si>
    <t>gun-50000082</t>
  </si>
  <si>
    <t>gun-60000082</t>
  </si>
  <si>
    <t>gun-10000084</t>
  </si>
  <si>
    <t>gun-40000084</t>
  </si>
  <si>
    <t>gun-50000084</t>
  </si>
  <si>
    <t>gun-60000084</t>
  </si>
  <si>
    <t>gun-10000085</t>
  </si>
  <si>
    <t>gun-40000085</t>
  </si>
  <si>
    <t>gun-50000085</t>
  </si>
  <si>
    <t>gun-60000085</t>
  </si>
  <si>
    <t>gun-10000086</t>
  </si>
  <si>
    <t>gun-40000086</t>
  </si>
  <si>
    <t>gun-50000086</t>
  </si>
  <si>
    <t>gun-60000086</t>
  </si>
  <si>
    <t>gun-10000087</t>
  </si>
  <si>
    <t>gun-40000087</t>
  </si>
  <si>
    <t>gun-50000087</t>
  </si>
  <si>
    <t>gun-60000087</t>
  </si>
  <si>
    <t>gun-10000088</t>
  </si>
  <si>
    <t>gun-40000088</t>
  </si>
  <si>
    <t>gun-50000088</t>
  </si>
  <si>
    <t>gun-60000088</t>
  </si>
  <si>
    <t>gun-10000089</t>
  </si>
  <si>
    <t>BrenMK</t>
  </si>
  <si>
    <t>gun-40000089</t>
  </si>
  <si>
    <t>gun-50000089</t>
  </si>
  <si>
    <t>gun-60000089</t>
  </si>
  <si>
    <t>gun-10000090</t>
  </si>
  <si>
    <t>gun-40000090</t>
  </si>
  <si>
    <t>gun-50000090</t>
  </si>
  <si>
    <t>gun-60000090</t>
  </si>
  <si>
    <t>gun-10000091</t>
  </si>
  <si>
    <t>gun-40000091</t>
  </si>
  <si>
    <t>gun-50000091</t>
  </si>
  <si>
    <t>gun-60000091</t>
  </si>
  <si>
    <t>gun-10000092</t>
  </si>
  <si>
    <t>SpectreM4</t>
  </si>
  <si>
    <t>gun-40000092</t>
  </si>
  <si>
    <t>gun-50000092</t>
  </si>
  <si>
    <t>gun-60000092</t>
  </si>
  <si>
    <t>gun-10000093</t>
  </si>
  <si>
    <t>gun-40000093</t>
  </si>
  <si>
    <t>gun-50000093</t>
  </si>
  <si>
    <t>gun-60000093</t>
  </si>
  <si>
    <t>gun-10000094</t>
  </si>
  <si>
    <t>64type</t>
  </si>
  <si>
    <t>gun-40000094</t>
  </si>
  <si>
    <t>gun-50000094</t>
  </si>
  <si>
    <t>gun-60000094</t>
  </si>
  <si>
    <t>gun-10000095</t>
  </si>
  <si>
    <t>88type</t>
  </si>
  <si>
    <t>gun-40000095</t>
  </si>
  <si>
    <t>gun-50000095</t>
  </si>
  <si>
    <t>gun-60000095</t>
  </si>
  <si>
    <t>gun-10000096</t>
  </si>
  <si>
    <t>gun-40000096</t>
  </si>
  <si>
    <t>gun-50000096</t>
  </si>
  <si>
    <t>gun-60000096</t>
  </si>
  <si>
    <t>gun-10000097</t>
  </si>
  <si>
    <t>gun-40000097</t>
  </si>
  <si>
    <t>gun-50000097</t>
  </si>
  <si>
    <t>gun-60000097</t>
  </si>
  <si>
    <t>gun-10000098</t>
  </si>
  <si>
    <t>gun-40000098</t>
  </si>
  <si>
    <t>gun-50000098</t>
  </si>
  <si>
    <t>gun-60000098</t>
  </si>
  <si>
    <t>gun-10000099</t>
  </si>
  <si>
    <t>gun-40000099</t>
  </si>
  <si>
    <t>gun-50000099</t>
  </si>
  <si>
    <t>gun-60000099</t>
  </si>
  <si>
    <t>gun-10000100</t>
  </si>
  <si>
    <t>gun-40000100</t>
  </si>
  <si>
    <t>gun-50000100</t>
  </si>
  <si>
    <t>gun-60000100</t>
  </si>
  <si>
    <t>gun-10000101</t>
  </si>
  <si>
    <t>gun-40000101</t>
  </si>
  <si>
    <t>gun-50000101</t>
  </si>
  <si>
    <t>gun-60000101</t>
  </si>
  <si>
    <t>gun-10000102</t>
  </si>
  <si>
    <t>gun-40000102</t>
  </si>
  <si>
    <t>gun-50000102</t>
  </si>
  <si>
    <t>gun-60000102</t>
  </si>
  <si>
    <t>gun-10000103</t>
  </si>
  <si>
    <t>gun-40000103</t>
  </si>
  <si>
    <t>gun-50000103</t>
  </si>
  <si>
    <t>gun-60000103</t>
  </si>
  <si>
    <t>gun-10000104</t>
  </si>
  <si>
    <t>G36C</t>
  </si>
  <si>
    <t>gun-40000104</t>
  </si>
  <si>
    <t>gun-50000104</t>
  </si>
  <si>
    <t>gun-60000104</t>
  </si>
  <si>
    <t>gun-10000105</t>
  </si>
  <si>
    <t>gun-40000105</t>
  </si>
  <si>
    <t>gun-50000105</t>
  </si>
  <si>
    <t>gun-60000105</t>
  </si>
  <si>
    <t>gun-10000106</t>
  </si>
  <si>
    <t>FNFAL</t>
  </si>
  <si>
    <t>gun-40000106</t>
  </si>
  <si>
    <t>gun-50000106</t>
  </si>
  <si>
    <t>gun-60000106</t>
  </si>
  <si>
    <t>gun-10000107</t>
  </si>
  <si>
    <t>gun-40000107</t>
  </si>
  <si>
    <t>gun-50000107</t>
  </si>
  <si>
    <t>gun-60000107</t>
  </si>
  <si>
    <t>gun-10000108</t>
  </si>
  <si>
    <t>gun-40000108</t>
  </si>
  <si>
    <t>gun-50000108</t>
  </si>
  <si>
    <t>gun-60000108</t>
  </si>
  <si>
    <t>gun-10000109</t>
  </si>
  <si>
    <t>gun-40000109</t>
  </si>
  <si>
    <t>gun-50000109</t>
  </si>
  <si>
    <t>gun-60000109</t>
  </si>
  <si>
    <t>gun-10000110</t>
  </si>
  <si>
    <t>gun-40000110</t>
  </si>
  <si>
    <t>gun-50000110</t>
  </si>
  <si>
    <t>gun-60000110</t>
  </si>
  <si>
    <t>gun-10000111</t>
  </si>
  <si>
    <t>gun-40000111</t>
  </si>
  <si>
    <t>gun-50000111</t>
  </si>
  <si>
    <t>gun-60000111</t>
  </si>
  <si>
    <t>gun-10000112</t>
  </si>
  <si>
    <t>NEGEV</t>
  </si>
  <si>
    <t>gun-40000112</t>
  </si>
  <si>
    <t>gun-50000112</t>
  </si>
  <si>
    <t>gun-60000112</t>
  </si>
  <si>
    <t>gun-10000113</t>
  </si>
  <si>
    <t>SPS</t>
  </si>
  <si>
    <t>gun-40000113</t>
  </si>
  <si>
    <t>gun-50000113</t>
  </si>
  <si>
    <t>gun-60000113</t>
  </si>
  <si>
    <t>gun-10000114</t>
  </si>
  <si>
    <t>Welrod</t>
  </si>
  <si>
    <t>gun-40000114</t>
  </si>
  <si>
    <t>gun-50000114</t>
  </si>
  <si>
    <t>gun-60000114</t>
  </si>
  <si>
    <t>gun-10000115</t>
  </si>
  <si>
    <t>KP31</t>
  </si>
  <si>
    <t>gun-40000115</t>
  </si>
  <si>
    <t>gun-50000115</t>
  </si>
  <si>
    <t>gun-60000115</t>
  </si>
  <si>
    <t>gun-10000116</t>
  </si>
  <si>
    <t>gun-40000116</t>
  </si>
  <si>
    <t>gun-50000116</t>
  </si>
  <si>
    <t>gun-60000116</t>
  </si>
  <si>
    <t>gun-10000117</t>
  </si>
  <si>
    <t>gun-40000117</t>
  </si>
  <si>
    <t>gun-50000117</t>
  </si>
  <si>
    <t>gun-60000117</t>
  </si>
  <si>
    <t>gun-10000118</t>
  </si>
  <si>
    <t>gun-40000118</t>
  </si>
  <si>
    <t>gun-50000118</t>
  </si>
  <si>
    <t>gun-60000118</t>
  </si>
  <si>
    <t>gun-10000119</t>
  </si>
  <si>
    <t>gun-40000119</t>
  </si>
  <si>
    <t>gun-50000119</t>
  </si>
  <si>
    <t>gun-60000119</t>
  </si>
  <si>
    <t>gun-10000120</t>
  </si>
  <si>
    <t>gun-40000120</t>
  </si>
  <si>
    <t>gun-50000120</t>
  </si>
  <si>
    <t>gun-60000120</t>
  </si>
  <si>
    <t>gun-10000121</t>
  </si>
  <si>
    <t>gun-40000121</t>
  </si>
  <si>
    <t>gun-50000121</t>
  </si>
  <si>
    <t>gun-60000121</t>
  </si>
  <si>
    <t>gun-10000122</t>
  </si>
  <si>
    <t>gun-40000122</t>
  </si>
  <si>
    <t>gun-50000122</t>
  </si>
  <si>
    <t>gun-60000122</t>
  </si>
  <si>
    <t>gun-10000123</t>
  </si>
  <si>
    <t>gun-40000123</t>
  </si>
  <si>
    <t>gun-50000123</t>
  </si>
  <si>
    <t>gun-60000123</t>
  </si>
  <si>
    <t>gun-10000124</t>
  </si>
  <si>
    <t>SuperSASS</t>
  </si>
  <si>
    <t>gun-40000124</t>
  </si>
  <si>
    <t>gun-50000124</t>
  </si>
  <si>
    <t>gun-60000124</t>
  </si>
  <si>
    <t>gun-10000125</t>
  </si>
  <si>
    <t>gun-40000125</t>
  </si>
  <si>
    <t>gun-50000125</t>
  </si>
  <si>
    <t>gun-60000125</t>
  </si>
  <si>
    <t>gun-10000126</t>
  </si>
  <si>
    <t>gun-40000126</t>
  </si>
  <si>
    <t>gun-50000126</t>
  </si>
  <si>
    <t>gun-60000126</t>
  </si>
  <si>
    <t>gun-10000127</t>
  </si>
  <si>
    <t>79type</t>
  </si>
  <si>
    <t>gun-40000127</t>
  </si>
  <si>
    <t>gun-50000127</t>
  </si>
  <si>
    <t>gun-60000127</t>
  </si>
  <si>
    <t>gun-10000128</t>
  </si>
  <si>
    <t>gun-40000128</t>
  </si>
  <si>
    <t>gun-50000128</t>
  </si>
  <si>
    <t>gun-60000128</t>
  </si>
  <si>
    <t>gun-10000129</t>
  </si>
  <si>
    <t>95type</t>
  </si>
  <si>
    <t>gun-40000129</t>
  </si>
  <si>
    <t>gun-50000129</t>
  </si>
  <si>
    <t>gun-60000129</t>
  </si>
  <si>
    <t>gun-10000130</t>
  </si>
  <si>
    <t>97type</t>
  </si>
  <si>
    <t>gun-40000130</t>
  </si>
  <si>
    <t>gun-50000130</t>
  </si>
  <si>
    <t>gun-60000130</t>
  </si>
  <si>
    <t>gun-10000131</t>
  </si>
  <si>
    <t>EVO3</t>
  </si>
  <si>
    <t>gun-40000131</t>
  </si>
  <si>
    <t>gun-50000131</t>
  </si>
  <si>
    <t>gun-60000131</t>
  </si>
  <si>
    <t>gun-10000132</t>
  </si>
  <si>
    <t>59type</t>
  </si>
  <si>
    <t>gun-40000132</t>
  </si>
  <si>
    <t>gun-50000132</t>
  </si>
  <si>
    <t>gun-60000132</t>
  </si>
  <si>
    <t>gun-10000133</t>
  </si>
  <si>
    <t>63type</t>
  </si>
  <si>
    <t>gun-40000133</t>
  </si>
  <si>
    <t>gun-50000133</t>
  </si>
  <si>
    <t>gun-60000133</t>
  </si>
  <si>
    <t>gun-10000134</t>
  </si>
  <si>
    <t>gun-40000134</t>
  </si>
  <si>
    <t>gun-50000134</t>
  </si>
  <si>
    <t>gun-60000134</t>
  </si>
  <si>
    <t>gun-10000135</t>
  </si>
  <si>
    <t>gun-40000135</t>
  </si>
  <si>
    <t>gun-50000135</t>
  </si>
  <si>
    <t>gun-60000135</t>
  </si>
  <si>
    <t>gun-10000136</t>
  </si>
  <si>
    <t>gun-40000136</t>
  </si>
  <si>
    <t>gun-50000136</t>
  </si>
  <si>
    <t>gun-60000136</t>
  </si>
  <si>
    <t>gun-10000137</t>
  </si>
  <si>
    <t>gun-40000137</t>
  </si>
  <si>
    <t>gun-50000137</t>
  </si>
  <si>
    <t>gun-60000137</t>
  </si>
  <si>
    <t>gun-10000138</t>
  </si>
  <si>
    <t>gun-40000138</t>
  </si>
  <si>
    <t>gun-50000138</t>
  </si>
  <si>
    <t>gun-60000138</t>
  </si>
  <si>
    <t>gun-10000139</t>
  </si>
  <si>
    <t>BrenTen</t>
  </si>
  <si>
    <t>gun-40000139</t>
  </si>
  <si>
    <t>gun-50000139</t>
  </si>
  <si>
    <t>gun-60000139</t>
  </si>
  <si>
    <t>gun-10000140</t>
  </si>
  <si>
    <t>gun-40000140</t>
  </si>
  <si>
    <t>gun-50000140</t>
  </si>
  <si>
    <t>gun-60000140</t>
  </si>
  <si>
    <t>gun-10000141</t>
  </si>
  <si>
    <t>gun-40000141</t>
  </si>
  <si>
    <t>gun-50000141</t>
  </si>
  <si>
    <t>gun-60000141</t>
  </si>
  <si>
    <t>gun-10000142</t>
  </si>
  <si>
    <t>FN57</t>
  </si>
  <si>
    <t>gun-40000142</t>
  </si>
  <si>
    <t>gun-50000142</t>
  </si>
  <si>
    <t>gun-60000142</t>
  </si>
  <si>
    <t>gun-10000143</t>
  </si>
  <si>
    <t>gun-40000143</t>
  </si>
  <si>
    <t>gun-50000143</t>
  </si>
  <si>
    <t>gun-60000143</t>
  </si>
  <si>
    <t>gun-10000144</t>
  </si>
  <si>
    <t>gun-40000144</t>
  </si>
  <si>
    <t>gun-50000144</t>
  </si>
  <si>
    <t>gun-60000144</t>
  </si>
  <si>
    <t>gun-10000145</t>
  </si>
  <si>
    <t>OC44</t>
  </si>
  <si>
    <t>gun-40000145</t>
  </si>
  <si>
    <t>gun-50000145</t>
  </si>
  <si>
    <t>gun-60000145</t>
  </si>
  <si>
    <t>gun-10000146</t>
  </si>
  <si>
    <t>gun-40000146</t>
  </si>
  <si>
    <t>gun-50000146</t>
  </si>
  <si>
    <t>gun-60000146</t>
  </si>
  <si>
    <t>gun-10000147</t>
  </si>
  <si>
    <t>SSG69</t>
  </si>
  <si>
    <t>gun-40000147</t>
  </si>
  <si>
    <t>gun-50000147</t>
  </si>
  <si>
    <t>gun-60000147</t>
  </si>
  <si>
    <t>gun-10000148</t>
  </si>
  <si>
    <t>IWS2000</t>
  </si>
  <si>
    <t>gun-40000148</t>
  </si>
  <si>
    <t>gun-50000148</t>
  </si>
  <si>
    <t>gun-60000148</t>
  </si>
  <si>
    <t>gun-10000149</t>
  </si>
  <si>
    <t>gun-40000149</t>
  </si>
  <si>
    <t>gun-50000149</t>
  </si>
  <si>
    <t>gun-60000149</t>
  </si>
  <si>
    <t>gun-10000150</t>
  </si>
  <si>
    <t>gun-40000150</t>
  </si>
  <si>
    <t>gun-50000150</t>
  </si>
  <si>
    <t>gun-60000150</t>
  </si>
  <si>
    <t>gun-10000151</t>
  </si>
  <si>
    <t>gun-40000151</t>
  </si>
  <si>
    <t>gun-50000151</t>
  </si>
  <si>
    <t>gun-60000151</t>
  </si>
  <si>
    <t>gun-10000152</t>
  </si>
  <si>
    <t>gun-40000152</t>
  </si>
  <si>
    <t>gun-50000152</t>
  </si>
  <si>
    <t>gun-60000152</t>
  </si>
  <si>
    <t>gun-10000153</t>
  </si>
  <si>
    <t>Ithaca37</t>
  </si>
  <si>
    <t>gun-40000153</t>
  </si>
  <si>
    <t>gun-50000153</t>
  </si>
  <si>
    <t>gun-60000153</t>
  </si>
  <si>
    <t>gun-10000154</t>
  </si>
  <si>
    <t>gun-40000154</t>
  </si>
  <si>
    <t>gun-50000154</t>
  </si>
  <si>
    <t>gun-60000154</t>
  </si>
  <si>
    <t>gun-10000155</t>
  </si>
  <si>
    <t>gun-40000155</t>
  </si>
  <si>
    <t>gun-50000155</t>
  </si>
  <si>
    <t>gun-60000155</t>
  </si>
  <si>
    <t>gun-10000156</t>
  </si>
  <si>
    <t>gun-40000156</t>
  </si>
  <si>
    <t>gun-50000156</t>
  </si>
  <si>
    <t>gun-60000156</t>
  </si>
  <si>
    <t>gun-10000157</t>
  </si>
  <si>
    <t>gun-40000157</t>
  </si>
  <si>
    <t>gun-50000157</t>
  </si>
  <si>
    <t>gun-60000157</t>
  </si>
  <si>
    <t>gun-10000158</t>
  </si>
  <si>
    <t>gun-40000158</t>
  </si>
  <si>
    <t>gun-50000158</t>
  </si>
  <si>
    <t>gun-60000158</t>
  </si>
  <si>
    <t>gun-10000159</t>
  </si>
  <si>
    <t>gun-40000159</t>
  </si>
  <si>
    <t>gun-50000159</t>
  </si>
  <si>
    <t>gun-60000159</t>
  </si>
  <si>
    <t>gun-10000160</t>
  </si>
  <si>
    <t>gun-40000160</t>
  </si>
  <si>
    <t>gun-50000160</t>
  </si>
  <si>
    <t>gun-60000160</t>
  </si>
  <si>
    <t>gun-10000161</t>
  </si>
  <si>
    <t>97typeS</t>
  </si>
  <si>
    <t>gun-40000161</t>
  </si>
  <si>
    <t>gun-50000161</t>
  </si>
  <si>
    <t>gun-60000161</t>
  </si>
  <si>
    <t>gun-10000162</t>
  </si>
  <si>
    <t>gun-40000162</t>
  </si>
  <si>
    <t>gun-50000162</t>
  </si>
  <si>
    <t>gun-60000162</t>
  </si>
  <si>
    <t>gun-10000163</t>
  </si>
  <si>
    <t>gun-40000163</t>
  </si>
  <si>
    <t>gun-50000163</t>
  </si>
  <si>
    <t>gun-60000163</t>
  </si>
  <si>
    <t>gun-10000164</t>
  </si>
  <si>
    <t>gun-40000164</t>
  </si>
  <si>
    <t>gun-50000164</t>
  </si>
  <si>
    <t>gun-60000164</t>
  </si>
  <si>
    <t>gun-10000165</t>
  </si>
  <si>
    <t>gun-40000165</t>
  </si>
  <si>
    <t>gun-50000165</t>
  </si>
  <si>
    <t>gun-60000165</t>
  </si>
  <si>
    <t>gun-10000166</t>
  </si>
  <si>
    <t>gun-40000166</t>
  </si>
  <si>
    <t>gun-50000166</t>
  </si>
  <si>
    <t>gun-60000166</t>
  </si>
  <si>
    <t>gun-10000167</t>
  </si>
  <si>
    <t>gun-40000167</t>
  </si>
  <si>
    <t>gun-50000167</t>
  </si>
  <si>
    <t>gun-60000167</t>
  </si>
  <si>
    <t>gun-10000168</t>
  </si>
  <si>
    <t>gun-40000168</t>
  </si>
  <si>
    <t>gun-50000168</t>
  </si>
  <si>
    <t>gun-60000168</t>
  </si>
  <si>
    <t>gun-10000169</t>
  </si>
  <si>
    <t>ColtSCW</t>
  </si>
  <si>
    <t>gun-40000169</t>
  </si>
  <si>
    <t>gun-50000169</t>
  </si>
  <si>
    <t>gun-60000169</t>
  </si>
  <si>
    <t>gun-10000170</t>
  </si>
  <si>
    <t>Ash127</t>
  </si>
  <si>
    <t>gun-40000170</t>
  </si>
  <si>
    <t>gun-50000170</t>
  </si>
  <si>
    <t>gun-60000170</t>
  </si>
  <si>
    <t>gun-10000171</t>
  </si>
  <si>
    <t>Ribeyrolles</t>
  </si>
  <si>
    <t>gun-40000171</t>
  </si>
  <si>
    <t>gun-50000171</t>
  </si>
  <si>
    <t>gun-60000171</t>
  </si>
  <si>
    <t>gun-10000172</t>
  </si>
  <si>
    <t>gun-40000172</t>
  </si>
  <si>
    <t>gun-50000172</t>
  </si>
  <si>
    <t>gun-60000172</t>
  </si>
  <si>
    <t>gun-10000173</t>
  </si>
  <si>
    <t>gun-40000173</t>
  </si>
  <si>
    <t>gun-50000173</t>
  </si>
  <si>
    <t>gun-60000173</t>
  </si>
  <si>
    <t>gun-10000174</t>
  </si>
  <si>
    <t>81typeR</t>
  </si>
  <si>
    <t>gun-40000174</t>
  </si>
  <si>
    <t>gun-50000174</t>
  </si>
  <si>
    <t>gun-60000174</t>
  </si>
  <si>
    <t>gun-10000175</t>
  </si>
  <si>
    <t>gun-40000175</t>
  </si>
  <si>
    <t>gun-50000175</t>
  </si>
  <si>
    <t>gun-60000175</t>
  </si>
  <si>
    <t>gun-10000176</t>
  </si>
  <si>
    <t>gun-40000176</t>
  </si>
  <si>
    <t>gun-50000176</t>
  </si>
  <si>
    <t>gun-60000176</t>
  </si>
  <si>
    <t>gun-10000177</t>
  </si>
  <si>
    <t>gun-40000177</t>
  </si>
  <si>
    <t>gun-50000177</t>
  </si>
  <si>
    <t>gun-60000177</t>
  </si>
  <si>
    <t>gun-10000178</t>
  </si>
  <si>
    <t>gun-40000178</t>
  </si>
  <si>
    <t>gun-50000178</t>
  </si>
  <si>
    <t>gun-60000178</t>
  </si>
  <si>
    <t>gun-10000179</t>
  </si>
  <si>
    <t>gun-40000179</t>
  </si>
  <si>
    <t>gun-50000179</t>
  </si>
  <si>
    <t>gun-60000179</t>
  </si>
  <si>
    <t>gun-10000180</t>
  </si>
  <si>
    <t>gun-40000180</t>
  </si>
  <si>
    <t>gun-50000180</t>
  </si>
  <si>
    <t>gun-60000180</t>
  </si>
  <si>
    <t>gun-10000181</t>
  </si>
  <si>
    <t>gun-40000181</t>
  </si>
  <si>
    <t>gun-50000181</t>
  </si>
  <si>
    <t>gun-60000181</t>
  </si>
  <si>
    <t>gun-10000182</t>
  </si>
  <si>
    <t>wz29</t>
  </si>
  <si>
    <t>gun-40000182</t>
  </si>
  <si>
    <t>gun-50000182</t>
  </si>
  <si>
    <t>gun-60000182</t>
  </si>
  <si>
    <t>gun-10000183</t>
  </si>
  <si>
    <t>gun-40000183</t>
  </si>
  <si>
    <t>gun-50000183</t>
  </si>
  <si>
    <t>gun-60000183</t>
  </si>
  <si>
    <t>gun-10000184</t>
  </si>
  <si>
    <t>gun-40000184</t>
  </si>
  <si>
    <t>gun-50000184</t>
  </si>
  <si>
    <t>gun-60000184</t>
  </si>
  <si>
    <t>gun-10000185</t>
  </si>
  <si>
    <t>gun-40000185</t>
  </si>
  <si>
    <t>gun-50000185</t>
  </si>
  <si>
    <t>gun-60000185</t>
  </si>
  <si>
    <t>gun-10000186</t>
  </si>
  <si>
    <t>gun-40000186</t>
  </si>
  <si>
    <t>gun-50000186</t>
  </si>
  <si>
    <t>gun-60000186</t>
  </si>
  <si>
    <t>gun-10000187</t>
  </si>
  <si>
    <t>gun-40000187</t>
  </si>
  <si>
    <t>gun-50000187</t>
  </si>
  <si>
    <t>gun-60000187</t>
  </si>
  <si>
    <t>gun-10000188</t>
  </si>
  <si>
    <t>SAT8</t>
  </si>
  <si>
    <t>gun-40000188</t>
  </si>
  <si>
    <t>gun-50000188</t>
  </si>
  <si>
    <t>gun-60000188</t>
  </si>
  <si>
    <t>gun-10000189</t>
  </si>
  <si>
    <t>gun-40000189</t>
  </si>
  <si>
    <t>gun-50000189</t>
  </si>
  <si>
    <t>gun-60000189</t>
  </si>
  <si>
    <t>gun-10000190</t>
  </si>
  <si>
    <t>gun-40000190</t>
  </si>
  <si>
    <t>gun-50000190</t>
  </si>
  <si>
    <t>gun-60000190</t>
  </si>
  <si>
    <t>gun-10000191</t>
  </si>
  <si>
    <t>gun-40000191</t>
  </si>
  <si>
    <t>gun-50000191</t>
  </si>
  <si>
    <t>gun-60000191</t>
  </si>
  <si>
    <t>gun-10000192</t>
  </si>
  <si>
    <t>JS-127</t>
  </si>
  <si>
    <t>gun-40000192</t>
  </si>
  <si>
    <t>gun-50000192</t>
  </si>
  <si>
    <t>gun-60000192</t>
  </si>
  <si>
    <t>gun-10000193</t>
  </si>
  <si>
    <t>gun-40000193</t>
  </si>
  <si>
    <t>gun-50000193</t>
  </si>
  <si>
    <t>gun-60000193</t>
  </si>
  <si>
    <t>gun-10000194</t>
  </si>
  <si>
    <t>gun-40000194</t>
  </si>
  <si>
    <t>gun-50000194</t>
  </si>
  <si>
    <t>gun-60000194</t>
  </si>
  <si>
    <t>gun-10000195</t>
  </si>
  <si>
    <t>gun-40000195</t>
  </si>
  <si>
    <t>gun-50000195</t>
  </si>
  <si>
    <t>gun-60000195</t>
  </si>
  <si>
    <t>gun-10000196</t>
  </si>
  <si>
    <t>ZastavaM21</t>
  </si>
  <si>
    <t>gun-40000196</t>
  </si>
  <si>
    <t>gun-50000196</t>
  </si>
  <si>
    <t>gun-60000196</t>
  </si>
  <si>
    <t>gun-10000197</t>
  </si>
  <si>
    <t>Carcano1891</t>
  </si>
  <si>
    <t>gun-40000197</t>
  </si>
  <si>
    <t>gun-50000197</t>
  </si>
  <si>
    <t>gun-60000197</t>
  </si>
  <si>
    <t>gun-10000198</t>
  </si>
  <si>
    <t>Carcano1938</t>
  </si>
  <si>
    <t>gun-40000198</t>
  </si>
  <si>
    <t>gun-50000198</t>
  </si>
  <si>
    <t>gun-60000198</t>
  </si>
  <si>
    <t>gun-10000199</t>
  </si>
  <si>
    <t>80type</t>
  </si>
  <si>
    <t>gun-40000199</t>
  </si>
  <si>
    <t>gun-50000199</t>
  </si>
  <si>
    <t>gun-60000199</t>
  </si>
  <si>
    <t>gun-10000200</t>
  </si>
  <si>
    <t>xm3</t>
  </si>
  <si>
    <t>gun-40000200</t>
  </si>
  <si>
    <t>gun-50000200</t>
  </si>
  <si>
    <t>gun-60000200</t>
  </si>
  <si>
    <t>gun-10000201</t>
  </si>
  <si>
    <t>GepardM1</t>
  </si>
  <si>
    <t>gun-40000201</t>
  </si>
  <si>
    <t>gun-50000201</t>
  </si>
  <si>
    <t>gun-60000201</t>
  </si>
  <si>
    <t>gun-10000202</t>
  </si>
  <si>
    <t>Thunder50</t>
  </si>
  <si>
    <t>gun-40000202</t>
  </si>
  <si>
    <t>gun-50000202</t>
  </si>
  <si>
    <t>gun-60000202</t>
  </si>
  <si>
    <t>gun-10000203</t>
  </si>
  <si>
    <t>PDW</t>
  </si>
  <si>
    <t>gun-40000203</t>
  </si>
  <si>
    <t>gun-50000203</t>
  </si>
  <si>
    <t>gun-60000203</t>
  </si>
  <si>
    <t>gun-10000204</t>
  </si>
  <si>
    <t>gun-40000204</t>
  </si>
  <si>
    <t>gun-50000204</t>
  </si>
  <si>
    <t>gun-60000204</t>
  </si>
  <si>
    <t>gun-10000205</t>
  </si>
  <si>
    <t>gun-40000205</t>
  </si>
  <si>
    <t>gun-50000205</t>
  </si>
  <si>
    <t>gun-60000205</t>
  </si>
  <si>
    <t>gun-10000206</t>
  </si>
  <si>
    <t>gun-40000206</t>
  </si>
  <si>
    <t>gun-50000206</t>
  </si>
  <si>
    <t>gun-60000206</t>
  </si>
  <si>
    <t>gun-10000207</t>
  </si>
  <si>
    <t>gun-40000207</t>
  </si>
  <si>
    <t>gun-50000207</t>
  </si>
  <si>
    <t>gun-60000207</t>
  </si>
  <si>
    <t>gun-10000208</t>
  </si>
  <si>
    <t>gun-40000208</t>
  </si>
  <si>
    <t>gun-50000208</t>
  </si>
  <si>
    <t>gun-60000208</t>
  </si>
  <si>
    <t>gun-10000209</t>
  </si>
  <si>
    <t>gun-40000209</t>
  </si>
  <si>
    <t>gun-50000209</t>
  </si>
  <si>
    <t>gun-60000209</t>
  </si>
  <si>
    <t>gun-10000210</t>
  </si>
  <si>
    <t>gun-40000210</t>
  </si>
  <si>
    <t>gun-50000210</t>
  </si>
  <si>
    <t>gun-60000210</t>
  </si>
  <si>
    <t>gun-10000211</t>
  </si>
  <si>
    <t>gun-40000211</t>
  </si>
  <si>
    <t>gun-50000211</t>
  </si>
  <si>
    <t>gun-60000211</t>
  </si>
  <si>
    <t>gun-10000212</t>
  </si>
  <si>
    <t>gun-40000212</t>
  </si>
  <si>
    <t>gun-50000212</t>
  </si>
  <si>
    <t>gun-60000212</t>
  </si>
  <si>
    <t>gun-10000213</t>
  </si>
  <si>
    <t>CBJMS</t>
  </si>
  <si>
    <t>gun-40000213</t>
  </si>
  <si>
    <t>gun-50000213</t>
  </si>
  <si>
    <t>gun-60000213</t>
  </si>
  <si>
    <t>gun-10000214</t>
  </si>
  <si>
    <t>gun-40000214</t>
  </si>
  <si>
    <t>gun-50000214</t>
  </si>
  <si>
    <t>gun-60000214</t>
  </si>
  <si>
    <t>gun-10000215</t>
  </si>
  <si>
    <t>gun-40000215</t>
  </si>
  <si>
    <t>gun-50000215</t>
  </si>
  <si>
    <t>gun-60000215</t>
  </si>
  <si>
    <t>gun-10000216</t>
  </si>
  <si>
    <t>gun-40000216</t>
  </si>
  <si>
    <t>gun-50000216</t>
  </si>
  <si>
    <t>gun-60000216</t>
  </si>
  <si>
    <t>gun-10000217</t>
  </si>
  <si>
    <t>HEZISM1</t>
  </si>
  <si>
    <t>gun-40000217</t>
  </si>
  <si>
    <t>gun-50000217</t>
  </si>
  <si>
    <t>gun-60000217</t>
  </si>
  <si>
    <t>gun-10000218</t>
  </si>
  <si>
    <t>gun-40000218</t>
  </si>
  <si>
    <t>gun-50000218</t>
  </si>
  <si>
    <t>gun-60000218</t>
  </si>
  <si>
    <t>gun-10000220</t>
  </si>
  <si>
    <t>gun-40000220</t>
  </si>
  <si>
    <t>gun-50000220</t>
  </si>
  <si>
    <t>gun-60000220</t>
  </si>
  <si>
    <t>gun-10000221</t>
  </si>
  <si>
    <t>GSH18</t>
  </si>
  <si>
    <t>gun-40000221</t>
  </si>
  <si>
    <t>gun-50000221</t>
  </si>
  <si>
    <t>gun-60000221</t>
  </si>
  <si>
    <t>gun-10000222</t>
  </si>
  <si>
    <t>gun-40000222</t>
  </si>
  <si>
    <t>gun-50000222</t>
  </si>
  <si>
    <t>gun-60000222</t>
  </si>
  <si>
    <t>gun-10000223</t>
  </si>
  <si>
    <t>CETME556</t>
  </si>
  <si>
    <t>gun-40000223</t>
  </si>
  <si>
    <t>gun-50000223</t>
  </si>
  <si>
    <t>gun-60000223</t>
  </si>
  <si>
    <t>gun-10000224</t>
  </si>
  <si>
    <t>gun-40000224</t>
  </si>
  <si>
    <t>gun-50000224</t>
  </si>
  <si>
    <t>gun-60000224</t>
  </si>
  <si>
    <t>gun-10000225</t>
  </si>
  <si>
    <t>Cx4Storm</t>
  </si>
  <si>
    <t>gun-40000225</t>
  </si>
  <si>
    <t>gun-50000225</t>
  </si>
  <si>
    <t>gun-60000225</t>
  </si>
  <si>
    <t>gun-10000226</t>
  </si>
  <si>
    <t>gun-40000226</t>
  </si>
  <si>
    <t>gun-50000226</t>
  </si>
  <si>
    <t>gun-60000226</t>
  </si>
  <si>
    <t>gun-10000227</t>
  </si>
  <si>
    <t>gun-40000227</t>
  </si>
  <si>
    <t>gun-50000227</t>
  </si>
  <si>
    <t>gun-60000227</t>
  </si>
  <si>
    <t>gun-10000228</t>
  </si>
  <si>
    <t>Type100</t>
  </si>
  <si>
    <t>gun-40000228</t>
  </si>
  <si>
    <t>gun-50000228</t>
  </si>
  <si>
    <t>gun-60000228</t>
  </si>
  <si>
    <t>gun-10000229</t>
  </si>
  <si>
    <t>gun-40000229</t>
  </si>
  <si>
    <t>gun-50000229</t>
  </si>
  <si>
    <t>gun-60000229</t>
  </si>
  <si>
    <t>gun-10000230</t>
  </si>
  <si>
    <t>gun-40000230</t>
  </si>
  <si>
    <t>gun-50000230</t>
  </si>
  <si>
    <t>gun-60000230</t>
  </si>
  <si>
    <t>gun-10000231</t>
  </si>
  <si>
    <t>gun-40000231</t>
  </si>
  <si>
    <t>gun-50000231</t>
  </si>
  <si>
    <t>gun-60000231</t>
  </si>
  <si>
    <t>gun-10000232</t>
  </si>
  <si>
    <t>gun-40000232</t>
  </si>
  <si>
    <t>gun-50000232</t>
  </si>
  <si>
    <t>gun-60000232</t>
  </si>
  <si>
    <t>gun-10000233</t>
  </si>
  <si>
    <t>Px4Storm</t>
  </si>
  <si>
    <t>gun-40000233</t>
  </si>
  <si>
    <t>gun-50000233</t>
  </si>
  <si>
    <t>gun-60000233</t>
  </si>
  <si>
    <t>gun-10000234</t>
  </si>
  <si>
    <t>JS9mm</t>
  </si>
  <si>
    <t>gun-40000234</t>
  </si>
  <si>
    <t>gun-50000234</t>
  </si>
  <si>
    <t>gun-60000234</t>
  </si>
  <si>
    <t>gun-10000235</t>
  </si>
  <si>
    <t>FNSPR</t>
  </si>
  <si>
    <t>gun-40000235</t>
  </si>
  <si>
    <t>gun-50000235</t>
  </si>
  <si>
    <t>gun-60000235</t>
  </si>
  <si>
    <t>gun-10000236</t>
  </si>
  <si>
    <t>gun-40000236</t>
  </si>
  <si>
    <t>gun-50000236</t>
  </si>
  <si>
    <t>gun-60000236</t>
  </si>
  <si>
    <t>gun-10000237</t>
  </si>
  <si>
    <t>gun-40000237</t>
  </si>
  <si>
    <t>gun-50000237</t>
  </si>
  <si>
    <t>gun-60000237</t>
  </si>
  <si>
    <t>gun-10000238</t>
  </si>
  <si>
    <t>gun-40000238</t>
  </si>
  <si>
    <t>gun-50000238</t>
  </si>
  <si>
    <t>gun-60000238</t>
  </si>
  <si>
    <t>gun-10000239</t>
  </si>
  <si>
    <t>gun-40000239</t>
  </si>
  <si>
    <t>gun-50000239</t>
  </si>
  <si>
    <t>gun-60000239</t>
  </si>
  <si>
    <t>gun-10000240</t>
  </si>
  <si>
    <t>gun-40000240</t>
  </si>
  <si>
    <t>gun-50000240</t>
  </si>
  <si>
    <t>gun-60000240</t>
  </si>
  <si>
    <t>gun-10000241</t>
  </si>
  <si>
    <t>gun-40000241</t>
  </si>
  <si>
    <t>gun-50000241</t>
  </si>
  <si>
    <t>gun-60000241</t>
  </si>
  <si>
    <t>gun-10000242</t>
  </si>
  <si>
    <t>gun-40000242</t>
  </si>
  <si>
    <t>gun-50000242</t>
  </si>
  <si>
    <t>gun-60000242</t>
  </si>
  <si>
    <t>gun-10000243</t>
  </si>
  <si>
    <t>Type64-AR</t>
  </si>
  <si>
    <t>gun-40000243</t>
  </si>
  <si>
    <t>gun-50000243</t>
  </si>
  <si>
    <t>gun-60000243</t>
  </si>
  <si>
    <t>gun-10000244</t>
  </si>
  <si>
    <t>gun-40000244</t>
  </si>
  <si>
    <t>gun-50000244</t>
  </si>
  <si>
    <t>gun-60000244</t>
  </si>
  <si>
    <t>gun-10000245</t>
  </si>
  <si>
    <t>gun-40000245</t>
  </si>
  <si>
    <t>gun-50000245</t>
  </si>
  <si>
    <t>gun-60000245</t>
  </si>
  <si>
    <t>gun-10000247</t>
  </si>
  <si>
    <t>gun-40000247</t>
  </si>
  <si>
    <t>gun-50000247</t>
  </si>
  <si>
    <t>gun-60000247</t>
  </si>
  <si>
    <t>gun-10000248</t>
  </si>
  <si>
    <t>gun-40000248</t>
  </si>
  <si>
    <t>gun-50000248</t>
  </si>
  <si>
    <t>gun-60000248</t>
  </si>
  <si>
    <t>gun-10000249</t>
  </si>
  <si>
    <t>gun-40000249</t>
  </si>
  <si>
    <t>gun-50000249</t>
  </si>
  <si>
    <t>gun-60000249</t>
  </si>
  <si>
    <t>gun-10000250</t>
  </si>
  <si>
    <t>gun-40000250</t>
  </si>
  <si>
    <t>gun-50000250</t>
  </si>
  <si>
    <t>gun-60000250</t>
  </si>
  <si>
    <t>gun-10000251</t>
  </si>
  <si>
    <t>gun-40000251</t>
  </si>
  <si>
    <t>gun-50000251</t>
  </si>
  <si>
    <t>gun-60000251</t>
  </si>
  <si>
    <t>gun-10000252</t>
  </si>
  <si>
    <t>gun-40000252</t>
  </si>
  <si>
    <t>gun-50000252</t>
  </si>
  <si>
    <t>gun-60000252</t>
  </si>
  <si>
    <t>gun-10000253</t>
  </si>
  <si>
    <t>gun-40000253</t>
  </si>
  <si>
    <t>gun-50000253</t>
  </si>
  <si>
    <t>gun-60000253</t>
  </si>
  <si>
    <t>gun-10000254</t>
  </si>
  <si>
    <t>gun-40000254</t>
  </si>
  <si>
    <t>gun-50000254</t>
  </si>
  <si>
    <t>gun-60000254</t>
  </si>
  <si>
    <t>gun-10000255</t>
  </si>
  <si>
    <t>scout</t>
  </si>
  <si>
    <t>gun-40000255</t>
  </si>
  <si>
    <t>gun-50000255</t>
  </si>
  <si>
    <t>gun-60000255</t>
  </si>
  <si>
    <t>gun-10000256</t>
  </si>
  <si>
    <t>gun-40000256</t>
  </si>
  <si>
    <t>gun-50000256</t>
  </si>
  <si>
    <t>gun-60000256</t>
  </si>
  <si>
    <t>gun-10000257</t>
  </si>
  <si>
    <t>gun-40000257</t>
  </si>
  <si>
    <t>gun-50000257</t>
  </si>
  <si>
    <t>gun-60000257</t>
  </si>
  <si>
    <t>gun-10000258</t>
  </si>
  <si>
    <t>gun-40000258</t>
  </si>
  <si>
    <t>gun-50000258</t>
  </si>
  <si>
    <t>gun-60000258</t>
  </si>
  <si>
    <t>gun-10000259</t>
  </si>
  <si>
    <t>gun-40000259</t>
  </si>
  <si>
    <t>gun-50000259</t>
  </si>
  <si>
    <t>gun-60000259</t>
  </si>
  <si>
    <t>gun-10000260</t>
  </si>
  <si>
    <t>gun-40000260</t>
  </si>
  <si>
    <t>gun-50000260</t>
  </si>
  <si>
    <t>gun-60000260</t>
  </si>
  <si>
    <t>gun-10000261</t>
  </si>
  <si>
    <t>gun-40000261</t>
  </si>
  <si>
    <t>gun-50000261</t>
  </si>
  <si>
    <t>gun-60000261</t>
  </si>
  <si>
    <t>gun-10000262</t>
  </si>
  <si>
    <t>gun-40000262</t>
  </si>
  <si>
    <t>gun-50000262</t>
  </si>
  <si>
    <t>gun-60000262</t>
  </si>
  <si>
    <t>gun-10000263</t>
  </si>
  <si>
    <t>gun-40000263</t>
  </si>
  <si>
    <t>gun-50000263</t>
  </si>
  <si>
    <t>gun-60000263</t>
  </si>
  <si>
    <t>gun-10000264</t>
  </si>
  <si>
    <t>ChauchatM1915</t>
  </si>
  <si>
    <t>gun-40000264</t>
  </si>
  <si>
    <t>gun-50000264</t>
  </si>
  <si>
    <t>gun-60000264</t>
  </si>
  <si>
    <t>gun-10000265</t>
  </si>
  <si>
    <t>gun-40000265</t>
  </si>
  <si>
    <t>gun-50000265</t>
  </si>
  <si>
    <t>gun-60000265</t>
  </si>
  <si>
    <t>gun-10000266</t>
  </si>
  <si>
    <t>gun-40000266</t>
  </si>
  <si>
    <t>gun-50000266</t>
  </si>
  <si>
    <t>gun-60000266</t>
  </si>
  <si>
    <t>gun-10000267</t>
  </si>
  <si>
    <t>gun-40000267</t>
  </si>
  <si>
    <t>gun-50000267</t>
  </si>
  <si>
    <t>gun-60000267</t>
  </si>
  <si>
    <t>gun-10000268</t>
  </si>
  <si>
    <t>gun-40000268</t>
  </si>
  <si>
    <t>gun-50000268</t>
  </si>
  <si>
    <t>gun-60000268</t>
  </si>
  <si>
    <t>gun-10000269</t>
  </si>
  <si>
    <t>gun-40000269</t>
  </si>
  <si>
    <t>gun-50000269</t>
  </si>
  <si>
    <t>gun-60000269</t>
  </si>
  <si>
    <t>gun-10000270</t>
  </si>
  <si>
    <t>4type</t>
  </si>
  <si>
    <t>gun-40000270</t>
  </si>
  <si>
    <t>gun-50000270</t>
  </si>
  <si>
    <t>gun-60000270</t>
  </si>
  <si>
    <t>gun-10000271</t>
  </si>
  <si>
    <t>gun-40000271</t>
  </si>
  <si>
    <t>gun-50000271</t>
  </si>
  <si>
    <t>gun-60000271</t>
  </si>
  <si>
    <t>gun-10000272</t>
  </si>
  <si>
    <t>DesertEagle</t>
  </si>
  <si>
    <t>gun-40000272</t>
  </si>
  <si>
    <t>gun-50000272</t>
  </si>
  <si>
    <t>gun-60000272</t>
  </si>
  <si>
    <t>gun-10000273</t>
  </si>
  <si>
    <t>gun-40000273</t>
  </si>
  <si>
    <t>gun-50000273</t>
  </si>
  <si>
    <t>gun-60000273</t>
  </si>
  <si>
    <t>gun-10000274</t>
  </si>
  <si>
    <t>gun-40000274</t>
  </si>
  <si>
    <t>gun-50000274</t>
  </si>
  <si>
    <t>gun-60000274</t>
  </si>
  <si>
    <t>gun-10000275</t>
  </si>
  <si>
    <t>M1895MG</t>
  </si>
  <si>
    <t>gun-40000275</t>
  </si>
  <si>
    <t>gun-50000275</t>
  </si>
  <si>
    <t>gun-60000275</t>
  </si>
  <si>
    <t>gun-10000276</t>
  </si>
  <si>
    <t>gun-40000276</t>
  </si>
  <si>
    <t>gun-50000276</t>
  </si>
  <si>
    <t>gun-60000276</t>
  </si>
  <si>
    <t>gun-10000277</t>
  </si>
  <si>
    <t>gun-40000277</t>
  </si>
  <si>
    <t>gun-50000277</t>
  </si>
  <si>
    <t>gun-60000277</t>
  </si>
  <si>
    <t>gun-10000278</t>
  </si>
  <si>
    <t>gun-40000278</t>
  </si>
  <si>
    <t>gun-50000278</t>
  </si>
  <si>
    <t>gun-60000278</t>
  </si>
  <si>
    <t>gun-10000279</t>
  </si>
  <si>
    <t>gun-40000279</t>
  </si>
  <si>
    <t>gun-50000279</t>
  </si>
  <si>
    <t>gun-60000279</t>
  </si>
  <si>
    <t>gun-10000280</t>
  </si>
  <si>
    <t>gun-40000280</t>
  </si>
  <si>
    <t>gun-50000280</t>
  </si>
  <si>
    <t>gun-60000280</t>
  </si>
  <si>
    <t>gun-10000281</t>
  </si>
  <si>
    <t>HKCAWS</t>
  </si>
  <si>
    <t>gun-40000281</t>
  </si>
  <si>
    <t>gun-50000281</t>
  </si>
  <si>
    <t>gun-60000281</t>
  </si>
  <si>
    <t>gun-10000282</t>
  </si>
  <si>
    <t>gun-40000282</t>
  </si>
  <si>
    <t>gun-50000282</t>
  </si>
  <si>
    <t>gun-60000282</t>
  </si>
  <si>
    <t>gun-10000283</t>
  </si>
  <si>
    <t>gun-40000283</t>
  </si>
  <si>
    <t>gun-50000283</t>
  </si>
  <si>
    <t>gun-60000283</t>
  </si>
  <si>
    <t>gun-10000284</t>
  </si>
  <si>
    <t>ZasM76</t>
  </si>
  <si>
    <t>gun-40000284</t>
  </si>
  <si>
    <t>gun-50000284</t>
  </si>
  <si>
    <t>gun-60000284</t>
  </si>
  <si>
    <t>gun-10000285</t>
  </si>
  <si>
    <t>gun-40000285</t>
  </si>
  <si>
    <t>gun-50000285</t>
  </si>
  <si>
    <t>gun-60000285</t>
  </si>
  <si>
    <t>gun-10000286</t>
  </si>
  <si>
    <t>KAC</t>
  </si>
  <si>
    <t>gun-40000286</t>
  </si>
  <si>
    <t>gun-50000286</t>
  </si>
  <si>
    <t>gun-60000286</t>
  </si>
  <si>
    <t>gun-10000287</t>
  </si>
  <si>
    <t>gun-40000287</t>
  </si>
  <si>
    <t>gun-50000287</t>
  </si>
  <si>
    <t>gun-60000287</t>
  </si>
  <si>
    <t>gun-10000288</t>
  </si>
  <si>
    <t>gun-40000288</t>
  </si>
  <si>
    <t>gun-50000288</t>
  </si>
  <si>
    <t>gun-60000288</t>
  </si>
  <si>
    <t>gun-10000289</t>
  </si>
  <si>
    <t>R5RGP</t>
  </si>
  <si>
    <t>gun-40000289</t>
  </si>
  <si>
    <t>gun-50000289</t>
  </si>
  <si>
    <t>gun-60000289</t>
  </si>
  <si>
    <t>gun-10000290</t>
  </si>
  <si>
    <t>HowaType89</t>
  </si>
  <si>
    <t>gun-40000290</t>
  </si>
  <si>
    <t>gun-50000290</t>
  </si>
  <si>
    <t>gun-60000290</t>
  </si>
  <si>
    <t>gun-10000291</t>
  </si>
  <si>
    <t>Danuvia43M</t>
  </si>
  <si>
    <t>gun-40000291</t>
  </si>
  <si>
    <t>gun-50000291</t>
  </si>
  <si>
    <t>gun-60000291</t>
  </si>
  <si>
    <t>gun-10000292</t>
  </si>
  <si>
    <t>gun-40000292</t>
  </si>
  <si>
    <t>gun-50000292</t>
  </si>
  <si>
    <t>gun-60000292</t>
  </si>
  <si>
    <t>gun-10000293</t>
  </si>
  <si>
    <t>gun-40000293</t>
  </si>
  <si>
    <t>gun-50000293</t>
  </si>
  <si>
    <t>gun-60000293</t>
  </si>
  <si>
    <t>gun-10000294</t>
  </si>
  <si>
    <t>gun-40000294</t>
  </si>
  <si>
    <t>gun-50000294</t>
  </si>
  <si>
    <t>gun-60000294</t>
  </si>
  <si>
    <t>gun-10000295</t>
  </si>
  <si>
    <t>06TypeSMG</t>
  </si>
  <si>
    <t>gun-40000295</t>
  </si>
  <si>
    <t>gun-50000295</t>
  </si>
  <si>
    <t>gun-60000295</t>
  </si>
  <si>
    <t>gun-10000296</t>
  </si>
  <si>
    <t>gun-40000296</t>
  </si>
  <si>
    <t>gun-50000296</t>
  </si>
  <si>
    <t>gun-60000296</t>
  </si>
  <si>
    <t>gun-10000297</t>
  </si>
  <si>
    <t>gun-40000297</t>
  </si>
  <si>
    <t>gun-50000297</t>
  </si>
  <si>
    <t>gun-60000297</t>
  </si>
  <si>
    <t>gun-10000298</t>
  </si>
  <si>
    <t>VEPR</t>
  </si>
  <si>
    <t>gun-40000298</t>
  </si>
  <si>
    <t>gun-50000298</t>
  </si>
  <si>
    <t>gun-60000298</t>
  </si>
  <si>
    <t>gun-10000299</t>
  </si>
  <si>
    <t>gun-40000299</t>
  </si>
  <si>
    <t>gun-50000299</t>
  </si>
  <si>
    <t>gun-60000299</t>
  </si>
  <si>
    <t>gun-10000300</t>
  </si>
  <si>
    <t>gun-40000300</t>
  </si>
  <si>
    <t>gun-50000300</t>
  </si>
  <si>
    <t>gun-60000300</t>
  </si>
  <si>
    <t>gun-10000301</t>
  </si>
  <si>
    <t>gun-40000301</t>
  </si>
  <si>
    <t>gun-50000301</t>
  </si>
  <si>
    <t>gun-60000301</t>
  </si>
  <si>
    <t>gun-10000302</t>
  </si>
  <si>
    <t>ColtDefender</t>
  </si>
  <si>
    <t>gun-40000302</t>
  </si>
  <si>
    <t>gun-50000302</t>
  </si>
  <si>
    <t>gun-60000302</t>
  </si>
  <si>
    <t>gun-10000303</t>
  </si>
  <si>
    <t>BrowningHP</t>
  </si>
  <si>
    <t>gun-40000303</t>
  </si>
  <si>
    <t>gun-50000303</t>
  </si>
  <si>
    <t>gun-60000303</t>
  </si>
  <si>
    <t>gun-10000304</t>
  </si>
  <si>
    <t>gun-40000304</t>
  </si>
  <si>
    <t>gun-50000304</t>
  </si>
  <si>
    <t>gun-60000304</t>
  </si>
  <si>
    <t>gun-10000305</t>
  </si>
  <si>
    <t>gun-40000305</t>
  </si>
  <si>
    <t>gun-50000305</t>
  </si>
  <si>
    <t>gun-60000305</t>
  </si>
  <si>
    <t>gun-10000306</t>
  </si>
  <si>
    <t>gun-40000306</t>
  </si>
  <si>
    <t>gun-50000306</t>
  </si>
  <si>
    <t>gun-60000306</t>
  </si>
  <si>
    <t>gun-10000307</t>
  </si>
  <si>
    <t>gun-40000307</t>
  </si>
  <si>
    <t>gun-50000307</t>
  </si>
  <si>
    <t>gun-60000307</t>
  </si>
  <si>
    <t>gun-10000308</t>
  </si>
  <si>
    <t>gun-40000308</t>
  </si>
  <si>
    <t>gun-50000308</t>
  </si>
  <si>
    <t>gun-60000308</t>
  </si>
  <si>
    <t>gun-10000309</t>
  </si>
  <si>
    <t>WKP</t>
  </si>
  <si>
    <t>gun-40000309</t>
  </si>
  <si>
    <t>gun-50000309</t>
  </si>
  <si>
    <t>gun-60000309</t>
  </si>
  <si>
    <t>gun-10000310</t>
  </si>
  <si>
    <t>RexZero1</t>
  </si>
  <si>
    <t>gun-40000310</t>
  </si>
  <si>
    <t>gun-50000310</t>
  </si>
  <si>
    <t>gun-60000310</t>
  </si>
  <si>
    <t>gun-10000311</t>
  </si>
  <si>
    <t>gun-40000311</t>
  </si>
  <si>
    <t>gun-50000311</t>
  </si>
  <si>
    <t>gun-60000311</t>
  </si>
  <si>
    <t>gun-10000312</t>
  </si>
  <si>
    <t>VSK</t>
  </si>
  <si>
    <t>gun-40000312</t>
  </si>
  <si>
    <t>gun-50000312</t>
  </si>
  <si>
    <t>gun-60000312</t>
  </si>
  <si>
    <t>gun-10000313</t>
  </si>
  <si>
    <t>gun-40000313</t>
  </si>
  <si>
    <t>gun-50000313</t>
  </si>
  <si>
    <t>gun-60000313</t>
  </si>
  <si>
    <t>gun-10000314</t>
  </si>
  <si>
    <t>stg940</t>
  </si>
  <si>
    <t>gun-40000314</t>
  </si>
  <si>
    <t>gun-50000314</t>
  </si>
  <si>
    <t>gun-60000314</t>
  </si>
  <si>
    <t>gun-10000315</t>
  </si>
  <si>
    <t>AUGPARA</t>
  </si>
  <si>
    <t>gun-40000315</t>
  </si>
  <si>
    <t>gun-50000315</t>
  </si>
  <si>
    <t>gun-60000315</t>
  </si>
  <si>
    <t>gun-10000316</t>
  </si>
  <si>
    <t>gun-40000316</t>
  </si>
  <si>
    <t>gun-50000316</t>
  </si>
  <si>
    <t>gun-60000316</t>
  </si>
  <si>
    <t>gun-10000317</t>
  </si>
  <si>
    <t>gun-40000317</t>
  </si>
  <si>
    <t>gun-50000317</t>
  </si>
  <si>
    <t>gun-60000317</t>
  </si>
  <si>
    <t>gun-10000318</t>
  </si>
  <si>
    <t>gun-40000318</t>
  </si>
  <si>
    <t>gun-50000318</t>
  </si>
  <si>
    <t>gun-60000318</t>
  </si>
  <si>
    <t>gun-10000319</t>
  </si>
  <si>
    <t>gun-40000319</t>
  </si>
  <si>
    <t>gun-50000319</t>
  </si>
  <si>
    <t>gun-60000319</t>
  </si>
  <si>
    <t>gun-10000320</t>
  </si>
  <si>
    <t>Gm6Lynx</t>
  </si>
  <si>
    <t>gun-40000320</t>
  </si>
  <si>
    <t>gun-50000320</t>
  </si>
  <si>
    <t>gun-60000320</t>
  </si>
  <si>
    <t>gun-10000321</t>
  </si>
  <si>
    <t>TavorTS12</t>
  </si>
  <si>
    <t>gun-40000321</t>
  </si>
  <si>
    <t>gun-50000321</t>
  </si>
  <si>
    <t>gun-60000321</t>
  </si>
  <si>
    <t>gun-10000322</t>
  </si>
  <si>
    <t>gun-40000322</t>
  </si>
  <si>
    <t>gun-50000322</t>
  </si>
  <si>
    <t>gun-60000322</t>
  </si>
  <si>
    <t>gun-10000323</t>
  </si>
  <si>
    <t>gun-40000323</t>
  </si>
  <si>
    <t>gun-50000323</t>
  </si>
  <si>
    <t>gun-60000323</t>
  </si>
  <si>
    <t>gun-10000324</t>
  </si>
  <si>
    <t>M6ASW</t>
  </si>
  <si>
    <t>gun-40000324</t>
  </si>
  <si>
    <t>gun-50000324</t>
  </si>
  <si>
    <t>gun-60000324</t>
  </si>
  <si>
    <t>gun-10000325</t>
  </si>
  <si>
    <t>gun-40000325</t>
  </si>
  <si>
    <t>gun-50000325</t>
  </si>
  <si>
    <t>gun-60000325</t>
  </si>
  <si>
    <t>gun-10000326</t>
  </si>
  <si>
    <t>gun-40000326</t>
  </si>
  <si>
    <t>gun-50000326</t>
  </si>
  <si>
    <t>gun-60000326</t>
  </si>
  <si>
    <t>gun-10000327</t>
  </si>
  <si>
    <t>gun-40000327</t>
  </si>
  <si>
    <t>gun-50000327</t>
  </si>
  <si>
    <t>gun-60000327</t>
  </si>
  <si>
    <t>gun-10000328</t>
  </si>
  <si>
    <t>gun-40000328</t>
  </si>
  <si>
    <t>gun-50000328</t>
  </si>
  <si>
    <t>gun-60000328</t>
  </si>
  <si>
    <t>gun-10000329</t>
  </si>
  <si>
    <t>gun-40000329</t>
  </si>
  <si>
    <t>gun-50000329</t>
  </si>
  <si>
    <t>gun-60000329</t>
  </si>
  <si>
    <t>gun-10000330</t>
  </si>
  <si>
    <t>gun-40000330</t>
  </si>
  <si>
    <t>gun-50000330</t>
  </si>
  <si>
    <t>gun-60000330</t>
  </si>
  <si>
    <t>gun-10000331</t>
  </si>
  <si>
    <t>gun-40000331</t>
  </si>
  <si>
    <t>gun-50000331</t>
  </si>
  <si>
    <t>gun-60000331</t>
  </si>
  <si>
    <t>gun-10000332</t>
  </si>
  <si>
    <t>gun-40000332</t>
  </si>
  <si>
    <t>gun-50000332</t>
  </si>
  <si>
    <t>gun-60000332</t>
  </si>
  <si>
    <t>gun-10000333</t>
  </si>
  <si>
    <t>gun-40000333</t>
  </si>
  <si>
    <t>gun-50000333</t>
  </si>
  <si>
    <t>gun-60000333</t>
  </si>
  <si>
    <t>gun-10000334</t>
  </si>
  <si>
    <t>Savage99</t>
  </si>
  <si>
    <t>gun-40000334</t>
  </si>
  <si>
    <t>gun-50000334</t>
  </si>
  <si>
    <t>gun-60000334</t>
  </si>
  <si>
    <t>gun-10000335</t>
  </si>
  <si>
    <t>gun-40000335</t>
  </si>
  <si>
    <t>gun-50000335</t>
  </si>
  <si>
    <t>gun-60000335</t>
  </si>
  <si>
    <t>gun-10000336</t>
  </si>
  <si>
    <t>gun-40000336</t>
  </si>
  <si>
    <t>gun-50000336</t>
  </si>
  <si>
    <t>gun-60000336</t>
  </si>
  <si>
    <t>gun-10000337</t>
  </si>
  <si>
    <t>Delisle</t>
  </si>
  <si>
    <t>gun-40000337</t>
  </si>
  <si>
    <t>gun-50000337</t>
  </si>
  <si>
    <t>gun-60000337</t>
  </si>
  <si>
    <t>gun-10000338</t>
  </si>
  <si>
    <t>SIGMCX</t>
  </si>
  <si>
    <t>gun-40000338</t>
  </si>
  <si>
    <t>gun-50000338</t>
  </si>
  <si>
    <t>gun-60000338</t>
  </si>
  <si>
    <t>gun-10000339</t>
  </si>
  <si>
    <t>gun-40000339</t>
  </si>
  <si>
    <t>gun-50000339</t>
  </si>
  <si>
    <t>gun-60000339</t>
  </si>
  <si>
    <t>gun-10000340</t>
  </si>
  <si>
    <t>gun-40000340</t>
  </si>
  <si>
    <t>gun-50000340</t>
  </si>
  <si>
    <t>gun-60000340</t>
  </si>
  <si>
    <t>gun-10000341</t>
  </si>
  <si>
    <t>gun-40000341</t>
  </si>
  <si>
    <t>gun-50000341</t>
  </si>
  <si>
    <t>gun-60000341</t>
  </si>
  <si>
    <t>gun-10000342</t>
  </si>
  <si>
    <t>gun-40000342</t>
  </si>
  <si>
    <t>gun-50000342</t>
  </si>
  <si>
    <t>gun-60000342</t>
  </si>
  <si>
    <t>gun-10000343</t>
  </si>
  <si>
    <t>gun-40000343</t>
  </si>
  <si>
    <t>gun-50000343</t>
  </si>
  <si>
    <t>gun-60000343</t>
  </si>
  <si>
    <t>gun-10000344</t>
  </si>
  <si>
    <t>gun-40000344</t>
  </si>
  <si>
    <t>gun-50000344</t>
  </si>
  <si>
    <t>gun-60000344</t>
  </si>
  <si>
    <t>gun-10000345</t>
  </si>
  <si>
    <t>gun-40000345</t>
  </si>
  <si>
    <t>gun-50000345</t>
  </si>
  <si>
    <t>gun-60000345</t>
  </si>
  <si>
    <t>gun-10000346</t>
  </si>
  <si>
    <t>gun-40000346</t>
  </si>
  <si>
    <t>gun-50000346</t>
  </si>
  <si>
    <t>gun-60000346</t>
  </si>
  <si>
    <t>gun-10000347</t>
  </si>
  <si>
    <t>gun-40000347</t>
  </si>
  <si>
    <t>gun-50000347</t>
  </si>
  <si>
    <t>gun-60000347</t>
  </si>
  <si>
    <t>gun-10000348</t>
  </si>
  <si>
    <t>gun-40000348</t>
  </si>
  <si>
    <t>gun-50000348</t>
  </si>
  <si>
    <t>gun-60000348</t>
  </si>
  <si>
    <t>gun-10000349</t>
  </si>
  <si>
    <t>gun-40000349</t>
  </si>
  <si>
    <t>gun-50000349</t>
  </si>
  <si>
    <t>gun-60000349</t>
  </si>
  <si>
    <t>gun-10001001</t>
  </si>
  <si>
    <t>BB_Noel</t>
  </si>
  <si>
    <t>gun-40001001</t>
  </si>
  <si>
    <t>gun-50001001</t>
  </si>
  <si>
    <t>gun-60001001</t>
  </si>
  <si>
    <t>gun-10001002</t>
  </si>
  <si>
    <t>GG_elfeldt</t>
  </si>
  <si>
    <t>gun-40001002</t>
  </si>
  <si>
    <t>gun-50001002</t>
  </si>
  <si>
    <t>gun-60001002</t>
  </si>
  <si>
    <t>gun-10001003</t>
  </si>
  <si>
    <t>gun-40001003</t>
  </si>
  <si>
    <t>gun-50001003</t>
  </si>
  <si>
    <t>gun-60001003</t>
  </si>
  <si>
    <t>gun-10001004</t>
  </si>
  <si>
    <t>RaidenMei</t>
  </si>
  <si>
    <t>gun-40001004</t>
  </si>
  <si>
    <t>gun-50001004</t>
  </si>
  <si>
    <t>gun-60001004</t>
  </si>
  <si>
    <t>gun-10001005</t>
  </si>
  <si>
    <t>gun-40001005</t>
  </si>
  <si>
    <t>gun-50001005</t>
  </si>
  <si>
    <t>gun-60001005</t>
  </si>
  <si>
    <t>gun-10001006</t>
  </si>
  <si>
    <t>gun-40001006</t>
  </si>
  <si>
    <t>gun-50001006</t>
  </si>
  <si>
    <t>gun-60001006</t>
  </si>
  <si>
    <t>gun-10001007</t>
  </si>
  <si>
    <t>gun-40001007</t>
  </si>
  <si>
    <t>gun-50001007</t>
  </si>
  <si>
    <t>gun-60001007</t>
  </si>
  <si>
    <t>gun-10001008</t>
  </si>
  <si>
    <t>gun-40001008</t>
  </si>
  <si>
    <t>gun-50001008</t>
  </si>
  <si>
    <t>gun-60001008</t>
  </si>
  <si>
    <t>gun-10001009</t>
  </si>
  <si>
    <t>gun-40001009</t>
  </si>
  <si>
    <t>gun-50001009</t>
  </si>
  <si>
    <t>gun-60001009</t>
  </si>
  <si>
    <t>gun-10001010</t>
  </si>
  <si>
    <t>gun-40001010</t>
  </si>
  <si>
    <t>gun-50001010</t>
  </si>
  <si>
    <t>gun-60001010</t>
  </si>
  <si>
    <t>gun-10001017</t>
  </si>
  <si>
    <t>gun-40001017</t>
  </si>
  <si>
    <t>gun-50001017</t>
  </si>
  <si>
    <t>gun-60001017</t>
  </si>
  <si>
    <t>gun-10001018</t>
  </si>
  <si>
    <t>SEI</t>
  </si>
  <si>
    <t>gun-40001018</t>
  </si>
  <si>
    <t>gun-50001018</t>
  </si>
  <si>
    <t>gun-60001018</t>
  </si>
  <si>
    <t>gun-10001019</t>
  </si>
  <si>
    <t>gun-40001019</t>
  </si>
  <si>
    <t>gun-50001019</t>
  </si>
  <si>
    <t>gun-60001019</t>
  </si>
  <si>
    <t>gun-10001020</t>
  </si>
  <si>
    <t>gun-40001020</t>
  </si>
  <si>
    <t>gun-50001020</t>
  </si>
  <si>
    <t>gun-60001020</t>
  </si>
  <si>
    <t>gun-10001021</t>
  </si>
  <si>
    <t>gun-40001021</t>
  </si>
  <si>
    <t>gun-50001021</t>
  </si>
  <si>
    <t>gun-60001021</t>
  </si>
  <si>
    <t>gun-10001022</t>
  </si>
  <si>
    <t>gun-40001022</t>
  </si>
  <si>
    <t>gun-50001022</t>
  </si>
  <si>
    <t>gun-60001022</t>
  </si>
  <si>
    <t>gun-10001023</t>
  </si>
  <si>
    <t>gun-40001023</t>
  </si>
  <si>
    <t>gun-50001023</t>
  </si>
  <si>
    <t>gun-60001023</t>
  </si>
  <si>
    <t>gun-10001024</t>
  </si>
  <si>
    <t>gun-40001024</t>
  </si>
  <si>
    <t>gun-50001024</t>
  </si>
  <si>
    <t>gun-60001024</t>
  </si>
  <si>
    <t>gun-10001025</t>
  </si>
  <si>
    <t>gun-40001025</t>
  </si>
  <si>
    <t>gun-50001025</t>
  </si>
  <si>
    <t>gun-60001025</t>
  </si>
  <si>
    <t>gun-10001026</t>
  </si>
  <si>
    <t>gun-40001026</t>
  </si>
  <si>
    <t>gun-50001026</t>
  </si>
  <si>
    <t>gun-60001026</t>
  </si>
  <si>
    <t>gun-10001027</t>
  </si>
  <si>
    <t>gun-40001027</t>
  </si>
  <si>
    <t>gun-50001027</t>
  </si>
  <si>
    <t>gun-60001027</t>
  </si>
  <si>
    <t>gun-10001028</t>
  </si>
  <si>
    <t>VectorAgent</t>
  </si>
  <si>
    <t>gun-40001028</t>
  </si>
  <si>
    <t>gun-50001028</t>
  </si>
  <si>
    <t>gun-60001028</t>
  </si>
  <si>
    <t>gun-10001029</t>
  </si>
  <si>
    <t>HK416Agent</t>
  </si>
  <si>
    <t>gun-40001029</t>
  </si>
  <si>
    <t>gun-50001029</t>
  </si>
  <si>
    <t>gun-60001029</t>
  </si>
  <si>
    <t>gun-10001030</t>
  </si>
  <si>
    <t>Jashinchan</t>
  </si>
  <si>
    <t>gun-40001030</t>
  </si>
  <si>
    <t>gun-50001030</t>
  </si>
  <si>
    <t>gun-60001030</t>
  </si>
  <si>
    <t>gun-10001031</t>
  </si>
  <si>
    <t>Pekora</t>
  </si>
  <si>
    <t>gun-40001031</t>
  </si>
  <si>
    <t>gun-50001031</t>
  </si>
  <si>
    <t>gun-60001031</t>
  </si>
  <si>
    <t>gun-10001032</t>
  </si>
  <si>
    <t>gun-40001032</t>
  </si>
  <si>
    <t>gun-50001032</t>
  </si>
  <si>
    <t>gun-60001032</t>
  </si>
  <si>
    <t>gun-10001033</t>
  </si>
  <si>
    <t>gun-40001033</t>
  </si>
  <si>
    <t>gun-50001033</t>
  </si>
  <si>
    <t>gun-60001033</t>
  </si>
  <si>
    <t>gun-10001034</t>
  </si>
  <si>
    <t>Minosu</t>
  </si>
  <si>
    <t>gun-40001034</t>
  </si>
  <si>
    <t>gun-50001034</t>
  </si>
  <si>
    <t>gun-60001034</t>
  </si>
  <si>
    <t>gun-10020001</t>
  </si>
  <si>
    <t>M1873Mod</t>
  </si>
  <si>
    <t>gun-40020001</t>
  </si>
  <si>
    <t>gun-50020001</t>
  </si>
  <si>
    <t>gun-60020001</t>
  </si>
  <si>
    <t>gun-10020002</t>
  </si>
  <si>
    <t>gun-40020002</t>
  </si>
  <si>
    <t>gun-50020002</t>
  </si>
  <si>
    <t>gun-60020002</t>
  </si>
  <si>
    <t>gun-10020005</t>
  </si>
  <si>
    <t>gun-40020005</t>
  </si>
  <si>
    <t>gun-50020005</t>
  </si>
  <si>
    <t>gun-60020005</t>
  </si>
  <si>
    <t>gun-10020007</t>
  </si>
  <si>
    <t>APSMod</t>
  </si>
  <si>
    <t>gun-40020007</t>
  </si>
  <si>
    <t>gun-50020007</t>
  </si>
  <si>
    <t>gun-60020007</t>
  </si>
  <si>
    <t>gun-10020008</t>
  </si>
  <si>
    <t>PMMod</t>
  </si>
  <si>
    <t>gun-40020008</t>
  </si>
  <si>
    <t>gun-50020008</t>
  </si>
  <si>
    <t>gun-60020008</t>
  </si>
  <si>
    <t>gun-10020012</t>
  </si>
  <si>
    <t>gun-40020012</t>
  </si>
  <si>
    <t>gun-50020012</t>
  </si>
  <si>
    <t>gun-60020012</t>
  </si>
  <si>
    <t>gun-10020026</t>
  </si>
  <si>
    <t>gun-40020026</t>
  </si>
  <si>
    <t>gun-50020026</t>
  </si>
  <si>
    <t>gun-60020026</t>
  </si>
  <si>
    <t>gun-10020029</t>
  </si>
  <si>
    <t>StenMK2Mod</t>
  </si>
  <si>
    <t>gun-40020029</t>
  </si>
  <si>
    <t>gun-50020029</t>
  </si>
  <si>
    <t>gun-60020029</t>
  </si>
  <si>
    <t>gun-10020031</t>
  </si>
  <si>
    <t>MAB38Mod</t>
  </si>
  <si>
    <t>gun-40020031</t>
  </si>
  <si>
    <t>gun-50020031</t>
  </si>
  <si>
    <t>gun-60020031</t>
  </si>
  <si>
    <t>gun-10020032</t>
  </si>
  <si>
    <t>MicroUZIMod</t>
  </si>
  <si>
    <t>gun-40020032</t>
  </si>
  <si>
    <t>gun-50020032</t>
  </si>
  <si>
    <t>gun-60020032</t>
  </si>
  <si>
    <t>gun-10020037</t>
  </si>
  <si>
    <t>gun-40020037</t>
  </si>
  <si>
    <t>gun-50020037</t>
  </si>
  <si>
    <t>gun-60020037</t>
  </si>
  <si>
    <t>gun-10020039</t>
  </si>
  <si>
    <t>M1891Mod</t>
  </si>
  <si>
    <t>gun-40020039</t>
  </si>
  <si>
    <t>gun-50020039</t>
  </si>
  <si>
    <t>gun-60020039</t>
  </si>
  <si>
    <t>gun-10020044</t>
  </si>
  <si>
    <t>gun-40020044</t>
  </si>
  <si>
    <t>gun-50020044</t>
  </si>
  <si>
    <t>gun-60020044</t>
  </si>
  <si>
    <t>gun-10020049</t>
  </si>
  <si>
    <t>56typeRMod</t>
  </si>
  <si>
    <t>gun-40020049</t>
  </si>
  <si>
    <t>gun-50020049</t>
  </si>
  <si>
    <t>gun-60020049</t>
  </si>
  <si>
    <t>gun-10020051</t>
  </si>
  <si>
    <t>gun-40020051</t>
  </si>
  <si>
    <t>gun-50020051</t>
  </si>
  <si>
    <t>gun-60020051</t>
  </si>
  <si>
    <t>gun-10020053</t>
  </si>
  <si>
    <t>gun-40020053</t>
  </si>
  <si>
    <t>gun-50020053</t>
  </si>
  <si>
    <t>gun-60020053</t>
  </si>
  <si>
    <t>gun-10020055</t>
  </si>
  <si>
    <t>gun-40020055</t>
  </si>
  <si>
    <t>gun-50020055</t>
  </si>
  <si>
    <t>gun-60020055</t>
  </si>
  <si>
    <t>gun-10020056</t>
  </si>
  <si>
    <t>gun-40020056</t>
  </si>
  <si>
    <t>gun-50020056</t>
  </si>
  <si>
    <t>gun-60020056</t>
  </si>
  <si>
    <t>gun-10020057</t>
  </si>
  <si>
    <t>AR15Mod</t>
  </si>
  <si>
    <t>gun-40020057</t>
  </si>
  <si>
    <t>gun-50020057</t>
  </si>
  <si>
    <t>gun-60020057</t>
  </si>
  <si>
    <t>gun-10020060</t>
  </si>
  <si>
    <t>ASVALMod</t>
  </si>
  <si>
    <t>gun-40020060</t>
  </si>
  <si>
    <t>gun-50020060</t>
  </si>
  <si>
    <t>gun-60020060</t>
  </si>
  <si>
    <t>gun-10020061</t>
  </si>
  <si>
    <t>STG44Mod</t>
  </si>
  <si>
    <t>gun-40020061</t>
  </si>
  <si>
    <t>gun-50020061</t>
  </si>
  <si>
    <t>gun-60020061</t>
  </si>
  <si>
    <t>gun-10020063</t>
  </si>
  <si>
    <t>gun-40020063</t>
  </si>
  <si>
    <t>gun-50020063</t>
  </si>
  <si>
    <t>gun-60020063</t>
  </si>
  <si>
    <t>gun-10020064</t>
  </si>
  <si>
    <t>gun-40020064</t>
  </si>
  <si>
    <t>gun-50020064</t>
  </si>
  <si>
    <t>gun-60020064</t>
  </si>
  <si>
    <t>gun-10020065</t>
  </si>
  <si>
    <t>gun-40020065</t>
  </si>
  <si>
    <t>gun-50020065</t>
  </si>
  <si>
    <t>gun-60020065</t>
  </si>
  <si>
    <t>gun-10020071</t>
  </si>
  <si>
    <t>ARMod</t>
  </si>
  <si>
    <t>gun-40020071</t>
  </si>
  <si>
    <t>gun-50020071</t>
  </si>
  <si>
    <t>gun-60020071</t>
  </si>
  <si>
    <t>gun-10020075</t>
  </si>
  <si>
    <t>gun-40020075</t>
  </si>
  <si>
    <t>gun-50020075</t>
  </si>
  <si>
    <t>gun-60020075</t>
  </si>
  <si>
    <t>gun-10020081</t>
  </si>
  <si>
    <t>gun-40020081</t>
  </si>
  <si>
    <t>gun-50020081</t>
  </si>
  <si>
    <t>gun-60020081</t>
  </si>
  <si>
    <t>gun-10020089</t>
  </si>
  <si>
    <t>BrenMKMod</t>
  </si>
  <si>
    <t>gun-40020089</t>
  </si>
  <si>
    <t>gun-50020089</t>
  </si>
  <si>
    <t>gun-60020089</t>
  </si>
  <si>
    <t>gun-10020091</t>
  </si>
  <si>
    <t>gun-40020091</t>
  </si>
  <si>
    <t>gun-50020091</t>
  </si>
  <si>
    <t>gun-60020091</t>
  </si>
  <si>
    <t>gun-10020093</t>
  </si>
  <si>
    <t>gun-40020093</t>
  </si>
  <si>
    <t>gun-50020093</t>
  </si>
  <si>
    <t>gun-60020093</t>
  </si>
  <si>
    <t>gun-10020094</t>
  </si>
  <si>
    <t>64typeMod</t>
  </si>
  <si>
    <t>gun-40020094</t>
  </si>
  <si>
    <t>gun-50020094</t>
  </si>
  <si>
    <t>gun-60020094</t>
  </si>
  <si>
    <t>gun-10020095</t>
  </si>
  <si>
    <t>88typeMod</t>
  </si>
  <si>
    <t>gun-40020095</t>
  </si>
  <si>
    <t>gun-50020095</t>
  </si>
  <si>
    <t>gun-60020095</t>
  </si>
  <si>
    <t>gun-10020097</t>
  </si>
  <si>
    <t>gun-40020097</t>
  </si>
  <si>
    <t>gun-50020097</t>
  </si>
  <si>
    <t>gun-60020097</t>
  </si>
  <si>
    <t>gun-10020101</t>
  </si>
  <si>
    <t>gun-40020101</t>
  </si>
  <si>
    <t>gun-50020101</t>
  </si>
  <si>
    <t>gun-60020101</t>
  </si>
  <si>
    <t>gun-10020103</t>
  </si>
  <si>
    <t>gun-40020103</t>
  </si>
  <si>
    <t>gun-50020103</t>
  </si>
  <si>
    <t>gun-60020103</t>
  </si>
  <si>
    <t>gun-10020114</t>
  </si>
  <si>
    <t>WelrodMod</t>
  </si>
  <si>
    <t>gun-40020114</t>
  </si>
  <si>
    <t>gun-50020114</t>
  </si>
  <si>
    <t>gun-60020114</t>
  </si>
  <si>
    <t>gun-10020122</t>
  </si>
  <si>
    <t>gun-40020122</t>
  </si>
  <si>
    <t>gun-50020122</t>
  </si>
  <si>
    <t>gun-60020122</t>
  </si>
  <si>
    <t>gun-10020124</t>
  </si>
  <si>
    <t>SuperSASSMod</t>
  </si>
  <si>
    <t>gun-40020124</t>
  </si>
  <si>
    <t>gun-50020124</t>
  </si>
  <si>
    <t>gun-60020124</t>
  </si>
  <si>
    <t>gun-10020125</t>
  </si>
  <si>
    <t>gun-40020125</t>
  </si>
  <si>
    <t>gun-50020125</t>
  </si>
  <si>
    <t>gun-60020125</t>
  </si>
  <si>
    <t>gun-10020136</t>
  </si>
  <si>
    <t>gun-40020136</t>
  </si>
  <si>
    <t>gun-50020136</t>
  </si>
  <si>
    <t>gun-60020136</t>
  </si>
  <si>
    <t>gun-10020143</t>
  </si>
  <si>
    <t>gun-40020143</t>
  </si>
  <si>
    <t>gun-50020143</t>
  </si>
  <si>
    <t>gun-60020143</t>
  </si>
  <si>
    <t>gun-10020152</t>
  </si>
  <si>
    <t>gun-40020152</t>
  </si>
  <si>
    <t>gun-50020152</t>
  </si>
  <si>
    <t>gun-60020152</t>
  </si>
  <si>
    <t>gun-10020154</t>
  </si>
  <si>
    <t>gun-40020154</t>
  </si>
  <si>
    <t>gun-50020154</t>
  </si>
  <si>
    <t>gun-60020154</t>
  </si>
  <si>
    <t>gun-10020159</t>
  </si>
  <si>
    <t>gun-40020159</t>
  </si>
  <si>
    <t>gun-50020159</t>
  </si>
  <si>
    <t>gun-60020159</t>
  </si>
  <si>
    <t>gun-10020161</t>
  </si>
  <si>
    <t>97typeSMod</t>
  </si>
  <si>
    <t>gun-40020161</t>
  </si>
  <si>
    <t>gun-50020161</t>
  </si>
  <si>
    <t>gun-60020161</t>
  </si>
  <si>
    <t>gun-10020178</t>
  </si>
  <si>
    <t>gun-40020178</t>
  </si>
  <si>
    <t>gun-50020178</t>
  </si>
  <si>
    <t>gun-60020178</t>
  </si>
  <si>
    <t>gun-10020199</t>
  </si>
  <si>
    <t>80typeMod</t>
  </si>
  <si>
    <t>gun-40020199</t>
  </si>
  <si>
    <t>gun-50020199</t>
  </si>
  <si>
    <t>gun-60020199</t>
  </si>
  <si>
    <t>gun-10020200</t>
  </si>
  <si>
    <t>gun-40020200</t>
  </si>
  <si>
    <t>gun-50020200</t>
  </si>
  <si>
    <t>gun-60020200</t>
  </si>
  <si>
    <t>gun-10020221</t>
  </si>
  <si>
    <t>GSH18Mod</t>
  </si>
  <si>
    <t>gun-40020221</t>
  </si>
  <si>
    <t>gun-50020221</t>
  </si>
  <si>
    <t>gun-60020221</t>
  </si>
  <si>
    <t>gun-10020252</t>
  </si>
  <si>
    <t>gun-40020252</t>
  </si>
  <si>
    <t>gun-50020252</t>
  </si>
  <si>
    <t>gun-60020252</t>
  </si>
  <si>
    <t>gun-10020104</t>
  </si>
  <si>
    <t>gun-40020104</t>
  </si>
  <si>
    <t>gun-50020104</t>
  </si>
  <si>
    <t>gun-60020104</t>
  </si>
  <si>
    <t>gun-10020171</t>
  </si>
  <si>
    <t>RibeyrollesMod</t>
  </si>
  <si>
    <t>gun-40020171</t>
  </si>
  <si>
    <t>gun-50020171</t>
  </si>
  <si>
    <t>gun-60020171</t>
  </si>
  <si>
    <t>gun-10020201</t>
  </si>
  <si>
    <t>GepardM1Mod</t>
  </si>
  <si>
    <t>gun-40020201</t>
  </si>
  <si>
    <t>gun-50020201</t>
  </si>
  <si>
    <t>gun-60020201</t>
  </si>
  <si>
    <t>gun-10020220</t>
  </si>
  <si>
    <t>gun-40020220</t>
  </si>
  <si>
    <t>gun-50020220</t>
  </si>
  <si>
    <t>gun-60020220</t>
  </si>
  <si>
    <t>forces</t>
  </si>
  <si>
    <t>ap_add</t>
  </si>
  <si>
    <t>skill2_type</t>
  </si>
  <si>
    <t>skill_resolution</t>
  </si>
  <si>
    <t>passive_skill2</t>
  </si>
  <si>
    <t>crit_dmg</t>
  </si>
  <si>
    <t>attack_range_type</t>
  </si>
  <si>
    <t>assist_attack_range</t>
  </si>
  <si>
    <t>search_range</t>
  </si>
  <si>
    <t>type_chip1</t>
  </si>
  <si>
    <t>type_chip2</t>
  </si>
  <si>
    <t>type_chip3</t>
  </si>
  <si>
    <t>illustration_id</t>
  </si>
  <si>
    <t>display_enemy_team</t>
  </si>
  <si>
    <t>picture_offset</t>
  </si>
  <si>
    <t>picture_scale</t>
  </si>
  <si>
    <t>dorm_scale</t>
  </si>
  <si>
    <t>sangvis-10001016</t>
  </si>
  <si>
    <t>Intruder_Halloween</t>
  </si>
  <si>
    <t>sangvis-40001016</t>
  </si>
  <si>
    <t>,,</t>
  </si>
  <si>
    <t>sangvis-30001016</t>
  </si>
  <si>
    <t>750080</t>
  </si>
  <si>
    <t>750084</t>
  </si>
  <si>
    <t>750085,750083</t>
  </si>
  <si>
    <t>0:4,10;8,10|3:1,15</t>
  </si>
  <si>
    <t>1,2,3</t>
  </si>
  <si>
    <t>2016-05-20 00:00:00</t>
  </si>
  <si>
    <t>-100.001,-65.021</t>
  </si>
  <si>
    <t>0.864,0.864</t>
  </si>
  <si>
    <t>sangvis-10002015</t>
  </si>
  <si>
    <t>Jaeger_SWAP</t>
  </si>
  <si>
    <t>sangvis-40002015</t>
  </si>
  <si>
    <t>sangvis-30002015</t>
  </si>
  <si>
    <t>902167</t>
  </si>
  <si>
    <t>sangvis-10001012</t>
  </si>
  <si>
    <t>sangvis-40001012</t>
  </si>
  <si>
    <t>sangvis-30001012</t>
  </si>
  <si>
    <t>902163</t>
  </si>
  <si>
    <t>902190,902204,902205</t>
  </si>
  <si>
    <t>0:1,15;3,15;4,15</t>
  </si>
  <si>
    <t>sangvis-10001008</t>
  </si>
  <si>
    <t>sangvis-40001008</t>
  </si>
  <si>
    <t>sangvis-30001008</t>
  </si>
  <si>
    <t>900926</t>
  </si>
  <si>
    <t>900929,900930,901920,902920,903920,904920</t>
  </si>
  <si>
    <t>900925,900927</t>
  </si>
  <si>
    <t>0:1,10;5,10|5:3,18;4,18</t>
  </si>
  <si>
    <t>sangvis-10001006</t>
  </si>
  <si>
    <t>BossArchitect</t>
  </si>
  <si>
    <t>sangvis-40001006</t>
  </si>
  <si>
    <t>sangvis-30001006</t>
  </si>
  <si>
    <t>900784</t>
  </si>
  <si>
    <t>900787,900788</t>
  </si>
  <si>
    <t>0:3,12;4,12|3:1,12;3,12</t>
  </si>
  <si>
    <t>sangvis-10001015</t>
  </si>
  <si>
    <t>BossArchitect_Summer</t>
  </si>
  <si>
    <t>sangvis-40001015</t>
  </si>
  <si>
    <t>sangvis-30001015</t>
  </si>
  <si>
    <t>750002</t>
  </si>
  <si>
    <t>750004</t>
  </si>
  <si>
    <t>750005,750006,750010</t>
  </si>
  <si>
    <t>3:1,15;3,15;4,15</t>
  </si>
  <si>
    <t>sangvis-10001005</t>
  </si>
  <si>
    <t>sangvis-40001005</t>
  </si>
  <si>
    <t>sangvis-30001005</t>
  </si>
  <si>
    <t>900738</t>
  </si>
  <si>
    <t>900732,900990</t>
  </si>
  <si>
    <t>900731</t>
  </si>
  <si>
    <t>1:1,10;8,10|3:1,10;3,15</t>
  </si>
  <si>
    <t>sangvis-10001009</t>
  </si>
  <si>
    <t>sangvis-40001009</t>
  </si>
  <si>
    <t>sangvis-30001009</t>
  </si>
  <si>
    <t>900960</t>
  </si>
  <si>
    <t>900966,900967,900968,900969,900989</t>
  </si>
  <si>
    <t>0:3,15;4,15|6:1,10;5,10</t>
  </si>
  <si>
    <t>2020-10-01 10:00:00</t>
  </si>
  <si>
    <t>sangvis-10001002</t>
  </si>
  <si>
    <t>sangvis-40001002</t>
  </si>
  <si>
    <t>sangvis-30001002</t>
  </si>
  <si>
    <t>600308,0,0,0</t>
  </si>
  <si>
    <t>600306</t>
  </si>
  <si>
    <t>600305,600307,600312,600313</t>
  </si>
  <si>
    <t>sangvis-10001010</t>
  </si>
  <si>
    <t>BossGager</t>
  </si>
  <si>
    <t>sangvis-40001010</t>
  </si>
  <si>
    <t>sangvis-30001010</t>
  </si>
  <si>
    <t>901031</t>
  </si>
  <si>
    <t>901036,901037,901038</t>
  </si>
  <si>
    <t>901039,911039</t>
  </si>
  <si>
    <t>0:1,15|4:3,10;5,10|5:4,10;8,10</t>
  </si>
  <si>
    <t>sangvis-10001003</t>
  </si>
  <si>
    <t>sangvis-40001003</t>
  </si>
  <si>
    <t>sangvis-30001003</t>
  </si>
  <si>
    <t>900598,0,0,0</t>
  </si>
  <si>
    <t>900593,900595,900599,901591</t>
  </si>
  <si>
    <t>0:2,6;3,6|5:3,12;4,12|6:1,10;3,12</t>
  </si>
  <si>
    <t>sangvis-10001004</t>
  </si>
  <si>
    <t>sangvis-40001004</t>
  </si>
  <si>
    <t>sangvis-30001004</t>
  </si>
  <si>
    <t>900674</t>
  </si>
  <si>
    <t>0:1,10;3,10;4,10;5,10</t>
  </si>
  <si>
    <t>sangvis-10001011</t>
  </si>
  <si>
    <t>sangvis-40001011</t>
  </si>
  <si>
    <t>sangvis-30001011</t>
  </si>
  <si>
    <t>901201</t>
  </si>
  <si>
    <t>902145</t>
  </si>
  <si>
    <t>901224</t>
  </si>
  <si>
    <t>0:1,10;2,10;5,10;8,10</t>
  </si>
  <si>
    <t>sangvis-10001013</t>
  </si>
  <si>
    <t>sangvis-40001013</t>
  </si>
  <si>
    <t>sangvis-30001013</t>
  </si>
  <si>
    <t>902362</t>
  </si>
  <si>
    <t>902363,902364,902367</t>
  </si>
  <si>
    <t>0:2,20|4:1,10;3,10</t>
  </si>
  <si>
    <t>sangvis-10001014</t>
  </si>
  <si>
    <t>sangvis-40001014</t>
  </si>
  <si>
    <t>sangvis-30001014</t>
  </si>
  <si>
    <t>902442</t>
  </si>
  <si>
    <t>902437,902438,902439</t>
  </si>
  <si>
    <t>902441</t>
  </si>
  <si>
    <t>4:1,12;3,12|5:4,12;5,12</t>
  </si>
  <si>
    <t>sangvis-10001001</t>
  </si>
  <si>
    <t>sangvis-40001001</t>
  </si>
  <si>
    <t>sangvis-30001001</t>
  </si>
  <si>
    <t>900526,0,0,0</t>
  </si>
  <si>
    <t>900513,900514,900517</t>
  </si>
  <si>
    <t>4:2,15;4,20</t>
  </si>
  <si>
    <t>sangvis-10001007</t>
  </si>
  <si>
    <t>sangvis-40001007</t>
  </si>
  <si>
    <t>sangvis-30001007</t>
  </si>
  <si>
    <t>900834</t>
  </si>
  <si>
    <t>900835,900836,900837,900838</t>
  </si>
  <si>
    <t>0:4,15;5,15|2:1,12;3,12</t>
  </si>
  <si>
    <t>sangvis-10002003</t>
  </si>
  <si>
    <t>sangvis-40002003</t>
  </si>
  <si>
    <t>sangvis-30002003</t>
  </si>
  <si>
    <t>600702</t>
  </si>
  <si>
    <t>sangvis-10002014</t>
  </si>
  <si>
    <t>sangvis-40002014</t>
  </si>
  <si>
    <t>sangvis-30002014</t>
  </si>
  <si>
    <t>sangvis-10002001</t>
  </si>
  <si>
    <t>sangvis-40002001</t>
  </si>
  <si>
    <t>sangvis-30002001</t>
  </si>
  <si>
    <t>900580,900581</t>
  </si>
  <si>
    <t>sangvis-10002002</t>
  </si>
  <si>
    <t>sangvis-40002002</t>
  </si>
  <si>
    <t>sangvis-30002002</t>
  </si>
  <si>
    <t>900521,901519,901520,902167</t>
  </si>
  <si>
    <t>sangvis-10002012</t>
  </si>
  <si>
    <t>sangvis-40002012</t>
  </si>
  <si>
    <t>sangvis-30002012</t>
  </si>
  <si>
    <t>900983,900984,900985</t>
  </si>
  <si>
    <t>sangvis-10002008</t>
  </si>
  <si>
    <t>sangvis-40002008</t>
  </si>
  <si>
    <t>sangvis-30002008</t>
  </si>
  <si>
    <t>900749</t>
  </si>
  <si>
    <t>sangvis-10002006</t>
  </si>
  <si>
    <t>sangvis-40002006</t>
  </si>
  <si>
    <t>sangvis-30002006</t>
  </si>
  <si>
    <t>900614,902167</t>
  </si>
  <si>
    <t>900616,901618,902618</t>
  </si>
  <si>
    <t>sangvis-10002004</t>
  </si>
  <si>
    <t>sangvis-40002004</t>
  </si>
  <si>
    <t>sangvis-30002004</t>
  </si>
  <si>
    <t>sangvis-10002011</t>
  </si>
  <si>
    <t>sangvis-40002011</t>
  </si>
  <si>
    <t>sangvis-30002011</t>
  </si>
  <si>
    <t>900935,900936</t>
  </si>
  <si>
    <t>sangvis-10002009</t>
  </si>
  <si>
    <t>sangvis-40002009</t>
  </si>
  <si>
    <t>sangvis-30002009</t>
  </si>
  <si>
    <t>900631,900632,900633,900634,900635,900775,902167</t>
  </si>
  <si>
    <t>900771,900773,900776,900777,900774</t>
  </si>
  <si>
    <t>sangvis-10002013</t>
  </si>
  <si>
    <t>sangvis-40002013</t>
  </si>
  <si>
    <t>sangvis-30002013</t>
  </si>
  <si>
    <t>901254,902167</t>
  </si>
  <si>
    <t>901252,901255</t>
  </si>
  <si>
    <t>sangvis-10002005</t>
  </si>
  <si>
    <t>sangvis-40002005</t>
  </si>
  <si>
    <t>sangvis-30002005</t>
  </si>
  <si>
    <t>900631,900632,900633,900634,900635,902167</t>
  </si>
  <si>
    <t>900651</t>
  </si>
  <si>
    <t>sangvis-10002010</t>
  </si>
  <si>
    <t>sangvis-40002010</t>
  </si>
  <si>
    <t>sangvis-30002010</t>
  </si>
  <si>
    <t>900843</t>
  </si>
  <si>
    <t>sangvis-10003006</t>
  </si>
  <si>
    <t>sangvis-40003006</t>
  </si>
  <si>
    <t>sangvis-30003006</t>
  </si>
  <si>
    <t>900636,900652</t>
  </si>
  <si>
    <t>sangvis-10003010</t>
  </si>
  <si>
    <t>sangvis-40003010</t>
  </si>
  <si>
    <t>sangvis-30003010</t>
  </si>
  <si>
    <t>901040,902167</t>
  </si>
  <si>
    <t>sangvis-10003003</t>
  </si>
  <si>
    <t>sangvis-40003003</t>
  </si>
  <si>
    <t>sangvis-30003003</t>
  </si>
  <si>
    <t>901524,901525</t>
  </si>
  <si>
    <t>sangvis-10003004</t>
  </si>
  <si>
    <t>sangvis-40003004</t>
  </si>
  <si>
    <t>sangvis-30003004</t>
  </si>
  <si>
    <t>sangvis-10003009</t>
  </si>
  <si>
    <t>sangvis-40003009</t>
  </si>
  <si>
    <t>sangvis-30003009</t>
  </si>
  <si>
    <t>sangvis-10003008</t>
  </si>
  <si>
    <t>sangvis-40003008</t>
  </si>
  <si>
    <t>sangvis-30003008</t>
  </si>
  <si>
    <t>901574,900576</t>
  </si>
  <si>
    <t>sangvis-10003001</t>
  </si>
  <si>
    <t>sangvis-40003001</t>
  </si>
  <si>
    <t>sangvis-30003001</t>
  </si>
  <si>
    <t>600502,600504</t>
  </si>
  <si>
    <t>sangvis-10003007</t>
  </si>
  <si>
    <t>sangvis-40003007</t>
  </si>
  <si>
    <t>sangvis-30003007</t>
  </si>
  <si>
    <t>sangvis-10003005</t>
  </si>
  <si>
    <t>sangvis-40003005</t>
  </si>
  <si>
    <t>sangvis-30003005</t>
  </si>
  <si>
    <t>901570</t>
  </si>
  <si>
    <t>sangvis-10003002</t>
  </si>
  <si>
    <t>sangvis-40003002</t>
  </si>
  <si>
    <t>sangvis-30003002</t>
  </si>
  <si>
    <t>unlock_num</t>
  </si>
  <si>
    <t>cost_reduce</t>
  </si>
  <si>
    <t>4:2,6;4,9</t>
  </si>
  <si>
    <t>4:2,10;4,15</t>
  </si>
  <si>
    <t>0:1,6;5,6|5:3,10;4,10</t>
  </si>
  <si>
    <t>0:2,3;3,3|5:3,8;4,8|6:1,6;3,8</t>
  </si>
  <si>
    <t>0:1,6;3,6;4,6;5,6</t>
  </si>
  <si>
    <t>1:1,6;8,6|3:1,6;3,9</t>
  </si>
  <si>
    <t>0:3,8;4,8|3:1,8;3,8</t>
  </si>
  <si>
    <t>0:4,6;5,6|2:1,5;3,5</t>
  </si>
  <si>
    <t>3:2,9;3,9|5:1,9;4,9</t>
  </si>
  <si>
    <t>3:2,15;3,15|5:1,15;4,15</t>
  </si>
  <si>
    <t>0:3,9;4,9|6:1,6;5,6</t>
  </si>
  <si>
    <t>0:1,10|4:3,6;5,6|5:4,6;8,6</t>
  </si>
  <si>
    <t>0:1,6;2,6;5,6;8,6</t>
  </si>
  <si>
    <t>0:1,10;3,10;4,10</t>
  </si>
  <si>
    <t>0:2,12|4:1,6;3,6</t>
  </si>
  <si>
    <t>4:1,8;3,8|5:4,8;5,8</t>
  </si>
  <si>
    <t>3:1,10;3,10;4,10</t>
  </si>
  <si>
    <t>0:4,6;8,6|3:1,10</t>
  </si>
  <si>
    <t>gun-10000350</t>
  </si>
  <si>
    <t>FO12</t>
  </si>
  <si>
    <t>gun-40000350</t>
  </si>
  <si>
    <t>gun-50000350</t>
  </si>
  <si>
    <t>gun-60000350</t>
  </si>
  <si>
    <t>300202,750193,750149,750152,750153,750154,750155,750156,750158,750159,750160,750161,750162,750163,750164,750165,750166,750167</t>
  </si>
  <si>
    <t>750150</t>
  </si>
  <si>
    <t>5</t>
  </si>
  <si>
    <t>1,10;5,30</t>
  </si>
  <si>
    <t>2021-11-18 00:00:00</t>
  </si>
  <si>
    <t>2</t>
  </si>
  <si>
    <t>nation_US</t>
  </si>
  <si>
    <t>gun-10000351</t>
  </si>
  <si>
    <t>M26-MASS</t>
  </si>
  <si>
    <t>M26MASS</t>
  </si>
  <si>
    <t>gun-40000351</t>
  </si>
  <si>
    <t>gun-50000351</t>
  </si>
  <si>
    <t>gun-60000351</t>
  </si>
  <si>
    <t>750142,750143,750144,750145,750146,300202,300203</t>
  </si>
  <si>
    <t>2,3,4</t>
  </si>
  <si>
    <t>1,15;3,10</t>
  </si>
  <si>
    <t>gun-10000352</t>
  </si>
  <si>
    <t>Nova</t>
  </si>
  <si>
    <t>gun-40000352</t>
  </si>
  <si>
    <t>gun-50000352</t>
  </si>
  <si>
    <t>gun-60000352</t>
  </si>
  <si>
    <t>300202,300203,750189,750192</t>
  </si>
  <si>
    <t>750190,750191</t>
  </si>
  <si>
    <t>7,12,17,8,18,9,14,19</t>
  </si>
  <si>
    <t>1,10;8,10</t>
  </si>
  <si>
    <t>nation_Italy</t>
  </si>
  <si>
    <t>8,12,14,18</t>
  </si>
  <si>
    <t>1,12;3,25</t>
  </si>
  <si>
    <t>1;4,13,16,18</t>
  </si>
  <si>
    <t>10:20,45:200;10:40,45:1000;10:60,45:2000</t>
  </si>
  <si>
    <t>2,10;3,25</t>
  </si>
  <si>
    <t>10:10,45:200;10:20,45:600;10:30,45:1200</t>
  </si>
  <si>
    <t>68</t>
  </si>
  <si>
    <t>12,14,17,19</t>
  </si>
  <si>
    <t>1,10;4,10</t>
  </si>
  <si>
    <t>12,24</t>
  </si>
  <si>
    <t>7,8,19,12,14,18</t>
  </si>
  <si>
    <t>1,15;5,10</t>
  </si>
  <si>
    <t>2018-08-16 00:00:00</t>
  </si>
  <si>
    <t>411</t>
  </si>
  <si>
    <t>8,12,14</t>
  </si>
  <si>
    <t>1,16;5,8</t>
  </si>
  <si>
    <t>6,25,54,58,70,73</t>
  </si>
  <si>
    <t>nation_Russia</t>
  </si>
  <si>
    <t>702031,999999,756164</t>
  </si>
  <si>
    <t>57</t>
  </si>
  <si>
    <t>1,6;2,12</t>
  </si>
  <si>
    <t>3;10,20</t>
  </si>
  <si>
    <t>1</t>
  </si>
  <si>
    <t>7,8,9,18</t>
  </si>
  <si>
    <t>1,10;2,6</t>
  </si>
  <si>
    <t>10:15,45:200;10:30,45:800;10:45,45:1600</t>
  </si>
  <si>
    <t>14,37,48</t>
  </si>
  <si>
    <t>2,7;3,28</t>
  </si>
  <si>
    <t>12,55</t>
  </si>
  <si>
    <t>nation_German</t>
  </si>
  <si>
    <t>999999,756161</t>
  </si>
  <si>
    <t>2,16;5,8</t>
  </si>
  <si>
    <t>30,71</t>
  </si>
  <si>
    <t>12,14,18</t>
  </si>
  <si>
    <t>1,7;3,35</t>
  </si>
  <si>
    <t>27,55</t>
  </si>
  <si>
    <t>7,9,18</t>
  </si>
  <si>
    <t>3,32;4,15</t>
  </si>
  <si>
    <t>55,57,67</t>
  </si>
  <si>
    <t>200427,702031,999999,756161</t>
  </si>
  <si>
    <t>7,8,9,12,14,17,18,19</t>
  </si>
  <si>
    <t>3,25;4,20</t>
  </si>
  <si>
    <t>37,38,48,53</t>
  </si>
  <si>
    <t>nation_China</t>
  </si>
  <si>
    <t>7,9,17,19</t>
  </si>
  <si>
    <t>2,10;4,10</t>
  </si>
  <si>
    <t>5,31</t>
  </si>
  <si>
    <t>7,9,17,18,19</t>
  </si>
  <si>
    <t>8,9</t>
  </si>
  <si>
    <t>29,46</t>
  </si>
  <si>
    <t>4</t>
  </si>
  <si>
    <t>1,12;4,15</t>
  </si>
  <si>
    <t>19,34,41,50</t>
  </si>
  <si>
    <t>8</t>
  </si>
  <si>
    <t>3,40;4,30</t>
  </si>
  <si>
    <t>7,8,9</t>
  </si>
  <si>
    <t>1,12</t>
  </si>
  <si>
    <t>1,3,2</t>
  </si>
  <si>
    <t>33,52</t>
  </si>
  <si>
    <t>1,10;4,12</t>
  </si>
  <si>
    <t>10,11</t>
  </si>
  <si>
    <t>29</t>
  </si>
  <si>
    <t>2,25</t>
  </si>
  <si>
    <t>9,10,18,23,35,69</t>
  </si>
  <si>
    <t>1,10;2,5</t>
  </si>
  <si>
    <t>7,50,54,69</t>
  </si>
  <si>
    <t>30,50,54</t>
  </si>
  <si>
    <t>1,8;4,20</t>
  </si>
  <si>
    <t>2016-12-15 00:00:00</t>
  </si>
  <si>
    <t>1,10;3,25</t>
  </si>
  <si>
    <t>12</t>
  </si>
  <si>
    <t>7,27,55</t>
  </si>
  <si>
    <t>3,40;5,20</t>
  </si>
  <si>
    <t>6,18,58,70</t>
  </si>
  <si>
    <t>900156,702031,999999,756175,756160</t>
  </si>
  <si>
    <t>2,15;3,50</t>
  </si>
  <si>
    <t>30,52</t>
  </si>
  <si>
    <t>2,15;3,25</t>
  </si>
  <si>
    <t>2018-02-08 00:00:00</t>
  </si>
  <si>
    <t>403,2</t>
  </si>
  <si>
    <t>2,28</t>
  </si>
  <si>
    <t>3,10;4,30</t>
  </si>
  <si>
    <t>31,47,48,68</t>
  </si>
  <si>
    <t>1,5;2,10</t>
  </si>
  <si>
    <t>1,18</t>
  </si>
  <si>
    <t>3,8</t>
  </si>
  <si>
    <t>6,12</t>
  </si>
  <si>
    <t>26,45,64</t>
  </si>
  <si>
    <t>2016-10-28 00:00:00</t>
  </si>
  <si>
    <t>18,19</t>
  </si>
  <si>
    <t>45,57</t>
  </si>
  <si>
    <t>19</t>
  </si>
  <si>
    <t>6,15</t>
  </si>
  <si>
    <t>3,26,66</t>
  </si>
  <si>
    <t>17,19</t>
  </si>
  <si>
    <t>1;1,2,3,13,18</t>
  </si>
  <si>
    <t>31,45,67</t>
  </si>
  <si>
    <t>14,15</t>
  </si>
  <si>
    <t>11,45,68</t>
  </si>
  <si>
    <t>3;15,20</t>
  </si>
  <si>
    <t>8,50,54,68</t>
  </si>
  <si>
    <t>12,50</t>
  </si>
  <si>
    <t>2016-08-31 00:00:00</t>
  </si>
  <si>
    <t>50,57,59</t>
  </si>
  <si>
    <t>37</t>
  </si>
  <si>
    <t>6,18</t>
  </si>
  <si>
    <t>27,35,41,55,66</t>
  </si>
  <si>
    <t>22,23,55</t>
  </si>
  <si>
    <t>2016-08-21 00:00:00</t>
  </si>
  <si>
    <t>101</t>
  </si>
  <si>
    <t>53,75</t>
  </si>
  <si>
    <t>14,17,35,79</t>
  </si>
  <si>
    <t>3,49,64</t>
  </si>
  <si>
    <t>nation_Belgium</t>
  </si>
  <si>
    <t>13,20</t>
  </si>
  <si>
    <t>10:25,45:200,51:2;10:50,45:1200,51:3;10:75,45:2400,51:5</t>
  </si>
  <si>
    <t>60</t>
  </si>
  <si>
    <t>3;9,10,11,20</t>
  </si>
  <si>
    <t>6</t>
  </si>
  <si>
    <t>50,84</t>
  </si>
  <si>
    <t>team_ar</t>
  </si>
  <si>
    <t>12,14,17,18,19</t>
  </si>
  <si>
    <t>1,18;5,30</t>
  </si>
  <si>
    <t>69,84</t>
  </si>
  <si>
    <t>17,18,19</t>
  </si>
  <si>
    <t>3,50;4,12</t>
  </si>
  <si>
    <t>1;1,2,3,4,13,16,18</t>
  </si>
  <si>
    <t>2,10;4,12</t>
  </si>
  <si>
    <t>2;8,19</t>
  </si>
  <si>
    <t>20,84</t>
  </si>
  <si>
    <t>118013,999999</t>
  </si>
  <si>
    <t>4,18</t>
  </si>
  <si>
    <t>22,50,75</t>
  </si>
  <si>
    <t>200418,118013</t>
  </si>
  <si>
    <t>110044,118004</t>
  </si>
  <si>
    <t>1,15;3,25</t>
  </si>
  <si>
    <t>212</t>
  </si>
  <si>
    <t>1,25;2,10</t>
  </si>
  <si>
    <t>9,50,69</t>
  </si>
  <si>
    <t>4,20;3,60</t>
  </si>
  <si>
    <t>3,50;4,15</t>
  </si>
  <si>
    <t>51</t>
  </si>
  <si>
    <t>2,20;3,50</t>
  </si>
  <si>
    <t>26,69</t>
  </si>
  <si>
    <t>17,18</t>
  </si>
  <si>
    <t>1,30;2,10</t>
  </si>
  <si>
    <t>3,27,34,44,73</t>
  </si>
  <si>
    <t>1,40</t>
  </si>
  <si>
    <t>9,10,83,86</t>
  </si>
  <si>
    <t>team_404</t>
  </si>
  <si>
    <t>4,15;5,10</t>
  </si>
  <si>
    <t>5,53</t>
  </si>
  <si>
    <t>1,20;3,50</t>
  </si>
  <si>
    <t>8,17,31,39,47</t>
  </si>
  <si>
    <t>1,25;3,60</t>
  </si>
  <si>
    <t>10,27,56,77</t>
  </si>
  <si>
    <t>999999,756162</t>
  </si>
  <si>
    <t>1,5,49</t>
  </si>
  <si>
    <t>3,50;4,10</t>
  </si>
  <si>
    <t>5,7,31,39,67</t>
  </si>
  <si>
    <t>37,38,78</t>
  </si>
  <si>
    <t>109702,756162</t>
  </si>
  <si>
    <t>12,18,19,14,17</t>
  </si>
  <si>
    <t>1,12;3,20</t>
  </si>
  <si>
    <t>2018-05-16 00:00:00</t>
  </si>
  <si>
    <t>207</t>
  </si>
  <si>
    <t>9,14,46,51</t>
  </si>
  <si>
    <t>1,20;2,10</t>
  </si>
  <si>
    <t>20</t>
  </si>
  <si>
    <t>23</t>
  </si>
  <si>
    <t>1,15;8,10</t>
  </si>
  <si>
    <t>1;1,2,3,16,18</t>
  </si>
  <si>
    <t>3;14,20</t>
  </si>
  <si>
    <t>28,62</t>
  </si>
  <si>
    <t>1,22</t>
  </si>
  <si>
    <t>28</t>
  </si>
  <si>
    <t>21,23</t>
  </si>
  <si>
    <t>1,10;2,8</t>
  </si>
  <si>
    <t>20,27,41,73</t>
  </si>
  <si>
    <t>22,23</t>
  </si>
  <si>
    <t>2,12;3,10</t>
  </si>
  <si>
    <t>16,17</t>
  </si>
  <si>
    <t>300201,300202,999999,756183</t>
  </si>
  <si>
    <t>25</t>
  </si>
  <si>
    <t>3,25;8,10</t>
  </si>
  <si>
    <t>8,11,60</t>
  </si>
  <si>
    <t>1,10;2,10</t>
  </si>
  <si>
    <t>10,38,78</t>
  </si>
  <si>
    <t>23,25</t>
  </si>
  <si>
    <t>2,15</t>
  </si>
  <si>
    <t>30,54</t>
  </si>
  <si>
    <t>22,24</t>
  </si>
  <si>
    <t>2,16</t>
  </si>
  <si>
    <t>2016-06-21 00:00:00</t>
  </si>
  <si>
    <t>102</t>
  </si>
  <si>
    <t>750194,300202,756177,750195</t>
  </si>
  <si>
    <t>750197</t>
  </si>
  <si>
    <t>23,24</t>
  </si>
  <si>
    <t>9,10,14,69</t>
  </si>
  <si>
    <t>39,43,55,57</t>
  </si>
  <si>
    <t>1,20</t>
  </si>
  <si>
    <t>27,43,55,67</t>
  </si>
  <si>
    <t>1,10;3,15</t>
  </si>
  <si>
    <t>11,43,67</t>
  </si>
  <si>
    <t>2,10;3,12</t>
  </si>
  <si>
    <t>17,20,25,27,47</t>
  </si>
  <si>
    <t>2,10;3,20</t>
  </si>
  <si>
    <t>7,8,9,12,14</t>
  </si>
  <si>
    <t>1,14</t>
  </si>
  <si>
    <t>4,20</t>
  </si>
  <si>
    <t>8,11,47</t>
  </si>
  <si>
    <t>2,20</t>
  </si>
  <si>
    <t>53</t>
  </si>
  <si>
    <t>7,9,12,14,18</t>
  </si>
  <si>
    <t>1,15;4,10</t>
  </si>
  <si>
    <t>11,60,81</t>
  </si>
  <si>
    <t>1,236</t>
  </si>
  <si>
    <t>65,77</t>
  </si>
  <si>
    <t>7,9,12,14</t>
  </si>
  <si>
    <t>1,6;3,45</t>
  </si>
  <si>
    <t>2016-08-11 00:00:00</t>
  </si>
  <si>
    <t>3,51</t>
  </si>
  <si>
    <t>7,9,12,14,17,19</t>
  </si>
  <si>
    <t>8,30</t>
  </si>
  <si>
    <t>2,12;3,30</t>
  </si>
  <si>
    <t>83</t>
  </si>
  <si>
    <t>5,500</t>
  </si>
  <si>
    <t>2017-07-27 00:00:00</t>
  </si>
  <si>
    <t>31</t>
  </si>
  <si>
    <t>2016-07-07 00:00:00</t>
  </si>
  <si>
    <t>35,37,83</t>
  </si>
  <si>
    <t>2016-09-14 00:00:00</t>
  </si>
  <si>
    <t>44</t>
  </si>
  <si>
    <t>1,15;2,20</t>
  </si>
  <si>
    <t>900156,756162</t>
  </si>
  <si>
    <t>16,24,36,41,49,51</t>
  </si>
  <si>
    <t>1,20;4,10</t>
  </si>
  <si>
    <t>5,15,49</t>
  </si>
  <si>
    <t>2,25;3,50</t>
  </si>
  <si>
    <t>12,13</t>
  </si>
  <si>
    <t>1,3,2,236</t>
  </si>
  <si>
    <t>19,35,41</t>
  </si>
  <si>
    <t>3,30</t>
  </si>
  <si>
    <t>39,48</t>
  </si>
  <si>
    <t>22,23,24</t>
  </si>
  <si>
    <t>8,20</t>
  </si>
  <si>
    <t>41</t>
  </si>
  <si>
    <t>999999,756173</t>
  </si>
  <si>
    <t>2016-07-21 00:00:00</t>
  </si>
  <si>
    <t>9,17,27,40,47,82</t>
  </si>
  <si>
    <t>702040,756160</t>
  </si>
  <si>
    <t>2,15;3,30</t>
  </si>
  <si>
    <t>31,40,65</t>
  </si>
  <si>
    <t>7,8</t>
  </si>
  <si>
    <t>1,12;4,10</t>
  </si>
  <si>
    <t>2,102</t>
  </si>
  <si>
    <t>9,14</t>
  </si>
  <si>
    <t>756116</t>
  </si>
  <si>
    <t>2,10;4,15</t>
  </si>
  <si>
    <t>12,33,50</t>
  </si>
  <si>
    <t>2,25;3,65</t>
  </si>
  <si>
    <t>41,51</t>
  </si>
  <si>
    <t>1,25;3,50</t>
  </si>
  <si>
    <t>2,18</t>
  </si>
  <si>
    <t>33</t>
  </si>
  <si>
    <t>1,30;4,10</t>
  </si>
  <si>
    <t>10,18,62,83,86</t>
  </si>
  <si>
    <t>2,6;4,18</t>
  </si>
  <si>
    <t>25,77</t>
  </si>
  <si>
    <t>2016-09-21 00:00:00</t>
  </si>
  <si>
    <t>32</t>
  </si>
  <si>
    <t>3,12;8,15</t>
  </si>
  <si>
    <t>2;5,17,19</t>
  </si>
  <si>
    <t>8,12,14,17,18,19</t>
  </si>
  <si>
    <t>1,10;4,15</t>
  </si>
  <si>
    <t>2016-09-29 00:00:00</t>
  </si>
  <si>
    <t>16,23,24,27,53</t>
  </si>
  <si>
    <t>1,2,236</t>
  </si>
  <si>
    <t>41,53,58</t>
  </si>
  <si>
    <t>1,10;4,18</t>
  </si>
  <si>
    <t>3,42,53,66</t>
  </si>
  <si>
    <t>2,10;4,18</t>
  </si>
  <si>
    <t>8,42,53,67,75</t>
  </si>
  <si>
    <t>3,55</t>
  </si>
  <si>
    <t>2016-10-21 00:00:00</t>
  </si>
  <si>
    <t>2016-11-21 00:00:00</t>
  </si>
  <si>
    <t>25,53</t>
  </si>
  <si>
    <t>1,10;2,20</t>
  </si>
  <si>
    <t>2,16;3,75</t>
  </si>
  <si>
    <t>2016-12-21 00:00:00</t>
  </si>
  <si>
    <t>2,18;5,30</t>
  </si>
  <si>
    <t>8,51,59</t>
  </si>
  <si>
    <t>1,24</t>
  </si>
  <si>
    <t>2017-12-07 00:00:00</t>
  </si>
  <si>
    <t>1,35</t>
  </si>
  <si>
    <t>2017-01-21 00:00:00</t>
  </si>
  <si>
    <t>1,8;2,5</t>
  </si>
  <si>
    <t>2017-01-13 00:00:00</t>
  </si>
  <si>
    <t>8,17,18,19</t>
  </si>
  <si>
    <t>3,28;4,18</t>
  </si>
  <si>
    <t>20,21</t>
  </si>
  <si>
    <t>2,14</t>
  </si>
  <si>
    <t>2,15;5,10</t>
  </si>
  <si>
    <t>2017-01-25 00:00:00</t>
  </si>
  <si>
    <t>234</t>
  </si>
  <si>
    <t>16,36,49,51,57,85</t>
  </si>
  <si>
    <t>2,10;3,35</t>
  </si>
  <si>
    <t>40,48,82,84</t>
  </si>
  <si>
    <t>2017-02-21 00:00:00</t>
  </si>
  <si>
    <t>2,101</t>
  </si>
  <si>
    <t>4,31</t>
  </si>
  <si>
    <t>2017-03-21 00:00:00</t>
  </si>
  <si>
    <t>2017-03-09 00:00:00</t>
  </si>
  <si>
    <t>13,46,57</t>
  </si>
  <si>
    <t>2,15;8,10</t>
  </si>
  <si>
    <t>60,65</t>
  </si>
  <si>
    <t>2,15;4,10</t>
  </si>
  <si>
    <t>1,20;3,20</t>
  </si>
  <si>
    <t>239</t>
  </si>
  <si>
    <t>3,50</t>
  </si>
  <si>
    <t>2;7,19</t>
  </si>
  <si>
    <t>2017-04-06 00:00:00</t>
  </si>
  <si>
    <t>1;1,2,3,4,18</t>
  </si>
  <si>
    <t>1,15;3,20</t>
  </si>
  <si>
    <t>52,58</t>
  </si>
  <si>
    <t>300202,300203,756181</t>
  </si>
  <si>
    <t>1,12;3,30</t>
  </si>
  <si>
    <t>3;11,20</t>
  </si>
  <si>
    <t>1,15</t>
  </si>
  <si>
    <t>7</t>
  </si>
  <si>
    <t>300202,300203,300109,756169,756178</t>
  </si>
  <si>
    <t>2017-06-20 00:00:00</t>
  </si>
  <si>
    <t>300202,300203,110023,756169,756181</t>
  </si>
  <si>
    <t>2,3,1</t>
  </si>
  <si>
    <t>1,12;3,10</t>
  </si>
  <si>
    <t>30,33,40</t>
  </si>
  <si>
    <t>21,51</t>
  </si>
  <si>
    <t>1,8;2,10</t>
  </si>
  <si>
    <t>2017-03-30 00:00:00</t>
  </si>
  <si>
    <t>19,34</t>
  </si>
  <si>
    <t>1,16</t>
  </si>
  <si>
    <t>2017-05-21 00:00:00</t>
  </si>
  <si>
    <t>756173</t>
  </si>
  <si>
    <t>12,14,22,24</t>
  </si>
  <si>
    <t>2017-05-04 00:00:00</t>
  </si>
  <si>
    <t>65</t>
  </si>
  <si>
    <t>1,6;2,10</t>
  </si>
  <si>
    <t>1,30</t>
  </si>
  <si>
    <t>2017-04-21 00:00:00</t>
  </si>
  <si>
    <t>56</t>
  </si>
  <si>
    <t>3,30;4,18</t>
  </si>
  <si>
    <t>15,16</t>
  </si>
  <si>
    <t>300108,300201,300202,756180</t>
  </si>
  <si>
    <t>21,22,23</t>
  </si>
  <si>
    <t>2,15;3,12</t>
  </si>
  <si>
    <t>9,10,20,59,75</t>
  </si>
  <si>
    <t>2017-06-21 00:00:00</t>
  </si>
  <si>
    <t>2017-06-01 00:00:00</t>
  </si>
  <si>
    <t>8,11,30,52,81</t>
  </si>
  <si>
    <t>999999,756166,756175</t>
  </si>
  <si>
    <t>2017-07-21 00:00:00</t>
  </si>
  <si>
    <t>403</t>
  </si>
  <si>
    <t>3,40;4,15</t>
  </si>
  <si>
    <t>2,105</t>
  </si>
  <si>
    <t>14,52</t>
  </si>
  <si>
    <t>18,23</t>
  </si>
  <si>
    <t>71</t>
  </si>
  <si>
    <t>55,60</t>
  </si>
  <si>
    <t>16,18</t>
  </si>
  <si>
    <t>1,20;4,12</t>
  </si>
  <si>
    <t>2017-08-17 00:00:00</t>
  </si>
  <si>
    <t>26,40,53</t>
  </si>
  <si>
    <t>2017-08-21 00:00:00</t>
  </si>
  <si>
    <t>12,17</t>
  </si>
  <si>
    <t>1,10;8,15</t>
  </si>
  <si>
    <t>2017-09-21 00:00:00</t>
  </si>
  <si>
    <t>1709,403</t>
  </si>
  <si>
    <t>756186</t>
  </si>
  <si>
    <t>1,15;3,30</t>
  </si>
  <si>
    <t>27,28</t>
  </si>
  <si>
    <t>21,31,64</t>
  </si>
  <si>
    <t>300202,300203,300109,999999,756184</t>
  </si>
  <si>
    <t>1,8;4,8</t>
  </si>
  <si>
    <t>2017-09-28 00:00:00</t>
  </si>
  <si>
    <t>1710,403</t>
  </si>
  <si>
    <t>301,234</t>
  </si>
  <si>
    <t>15,29,53,68,79</t>
  </si>
  <si>
    <t>2017-11-01 00:00:00</t>
  </si>
  <si>
    <t>1711,403</t>
  </si>
  <si>
    <t>2017-10-26 00:00:00</t>
  </si>
  <si>
    <t>1,8;8,12</t>
  </si>
  <si>
    <t>2017-12-21 00:00:00</t>
  </si>
  <si>
    <t>1712,403</t>
  </si>
  <si>
    <t>2,12;4,15</t>
  </si>
  <si>
    <t>11,12</t>
  </si>
  <si>
    <t>35,51</t>
  </si>
  <si>
    <t>24,25</t>
  </si>
  <si>
    <t>28,53</t>
  </si>
  <si>
    <t>29,30</t>
  </si>
  <si>
    <t>2018-01-21 00:00:00</t>
  </si>
  <si>
    <t>756170</t>
  </si>
  <si>
    <t>9</t>
  </si>
  <si>
    <t>756166,756187</t>
  </si>
  <si>
    <t>759010</t>
  </si>
  <si>
    <t>1,20;5,20</t>
  </si>
  <si>
    <t>204,234</t>
  </si>
  <si>
    <t>205</t>
  </si>
  <si>
    <t>17,18,16</t>
  </si>
  <si>
    <t>3,55;4,16</t>
  </si>
  <si>
    <t>team_defy</t>
  </si>
  <si>
    <t>108503,200404,200426,201438,201003,702028,118013</t>
  </si>
  <si>
    <t>20,18,19</t>
  </si>
  <si>
    <t>1,25;2,15</t>
  </si>
  <si>
    <t>29,32</t>
  </si>
  <si>
    <t>204</t>
  </si>
  <si>
    <t>1,15;8,15</t>
  </si>
  <si>
    <t>900156,999999,756169</t>
  </si>
  <si>
    <t>2018-03-21 00:00:00</t>
  </si>
  <si>
    <t>2018-02-21 00:00:00</t>
  </si>
  <si>
    <t>2018-03-08 00:00:00</t>
  </si>
  <si>
    <t>310</t>
  </si>
  <si>
    <t>7,8,9,12,14,18</t>
  </si>
  <si>
    <t>2018-03-22 00:00:00</t>
  </si>
  <si>
    <t>29,37,61</t>
  </si>
  <si>
    <t>1,15;2,5</t>
  </si>
  <si>
    <t>1,2,241</t>
  </si>
  <si>
    <t>39</t>
  </si>
  <si>
    <t>2019-07-11 00:00:00</t>
  </si>
  <si>
    <t>1,25;3,65</t>
  </si>
  <si>
    <t>1,20;4,15</t>
  </si>
  <si>
    <t>30</t>
  </si>
  <si>
    <t>2,12</t>
  </si>
  <si>
    <t>2018-05-21 00:00:00</t>
  </si>
  <si>
    <t>9,10,36,53</t>
  </si>
  <si>
    <t>2018-06-21 00:00:00</t>
  </si>
  <si>
    <t>12,14,7,8,9</t>
  </si>
  <si>
    <t>2018-06-07 00:00:00</t>
  </si>
  <si>
    <t>13,29</t>
  </si>
  <si>
    <t>2018-06-11 00:00:00</t>
  </si>
  <si>
    <t>209</t>
  </si>
  <si>
    <t>1,81</t>
  </si>
  <si>
    <t>999999,756165</t>
  </si>
  <si>
    <t>2018-07-21 00:00:00</t>
  </si>
  <si>
    <t>415</t>
  </si>
  <si>
    <t>1,12;3,35</t>
  </si>
  <si>
    <t>2018-07-12 00:00:00</t>
  </si>
  <si>
    <t>210</t>
  </si>
  <si>
    <t>212,239</t>
  </si>
  <si>
    <t>16,17,18</t>
  </si>
  <si>
    <t>2018-11-29 00:00:00</t>
  </si>
  <si>
    <t>1,18;3,12</t>
  </si>
  <si>
    <t>2018-08-21 00:00:00</t>
  </si>
  <si>
    <t>31,38</t>
  </si>
  <si>
    <t>213</t>
  </si>
  <si>
    <t>999999,756170</t>
  </si>
  <si>
    <t>2018-09-21 00:00:00</t>
  </si>
  <si>
    <t>6,7,8,12</t>
  </si>
  <si>
    <t>2018-09-06 00:00:00</t>
  </si>
  <si>
    <t>6,7,8</t>
  </si>
  <si>
    <t>2018-09-22 00:00:00</t>
  </si>
  <si>
    <t>214</t>
  </si>
  <si>
    <t>53,73</t>
  </si>
  <si>
    <t>1,20;3,55</t>
  </si>
  <si>
    <t>110081,300202,110074,110075,110076,110079,110105,756180</t>
  </si>
  <si>
    <t>23,24,25</t>
  </si>
  <si>
    <t>3,10;8,15</t>
  </si>
  <si>
    <t>9,24,53</t>
  </si>
  <si>
    <t>1,12;4,12</t>
  </si>
  <si>
    <t>2018-10-21 00:00:00</t>
  </si>
  <si>
    <t>1,10;3,10</t>
  </si>
  <si>
    <t>31,32</t>
  </si>
  <si>
    <t>2018-11-21 00:00:00</t>
  </si>
  <si>
    <t>8,9,10,14,19</t>
  </si>
  <si>
    <t>1,18;4,18</t>
  </si>
  <si>
    <t>8,9,12,14,18</t>
  </si>
  <si>
    <t>2019-01-21 00:00:00</t>
  </si>
  <si>
    <t>424</t>
  </si>
  <si>
    <t>49,52</t>
  </si>
  <si>
    <t>8,9,18,19</t>
  </si>
  <si>
    <t>3,18;8,8</t>
  </si>
  <si>
    <t>2018-12-21 00:00:00</t>
  </si>
  <si>
    <t>9,10,14,15,19,20</t>
  </si>
  <si>
    <t>217,234</t>
  </si>
  <si>
    <t>216,239</t>
  </si>
  <si>
    <t>2019-02-21 00:00:00</t>
  </si>
  <si>
    <t>2019-03-21 00:00:00</t>
  </si>
  <si>
    <t>2019-04-29 00:00:00</t>
  </si>
  <si>
    <t>2019-04-21 00:00:00</t>
  </si>
  <si>
    <t>2019-04-11 00:00:00</t>
  </si>
  <si>
    <t>218</t>
  </si>
  <si>
    <t>112006,702040,756173</t>
  </si>
  <si>
    <t>7,8,11,12,17,18</t>
  </si>
  <si>
    <t>15,18,19,20</t>
  </si>
  <si>
    <t>300202,111902,111907,111908,756180</t>
  </si>
  <si>
    <t>18,23,24</t>
  </si>
  <si>
    <t>300202,111708,111710,111704,111705,111706,111707,111711,756177</t>
  </si>
  <si>
    <t>2,12;8,12</t>
  </si>
  <si>
    <t>2019-05-21 00:00:00</t>
  </si>
  <si>
    <t>2019-05-20 00:00:00</t>
  </si>
  <si>
    <t>219</t>
  </si>
  <si>
    <t>2019-06-21 00:00:00</t>
  </si>
  <si>
    <t>2019-07-21 00:00:00</t>
  </si>
  <si>
    <t>1907</t>
  </si>
  <si>
    <t>7,8,17,18</t>
  </si>
  <si>
    <t>1,9;3,30</t>
  </si>
  <si>
    <t>14,17,18,19</t>
  </si>
  <si>
    <t>3,10;8,10</t>
  </si>
  <si>
    <t>2019-08-21 00:00:00</t>
  </si>
  <si>
    <t>1908</t>
  </si>
  <si>
    <t>11,12,17,18,23</t>
  </si>
  <si>
    <t>2019-08-08 00:00:00</t>
  </si>
  <si>
    <t>225,234</t>
  </si>
  <si>
    <t>18,19,20</t>
  </si>
  <si>
    <t>226</t>
  </si>
  <si>
    <t>3,10;8,12</t>
  </si>
  <si>
    <t>225</t>
  </si>
  <si>
    <t>2019-09-21 00:00:00</t>
  </si>
  <si>
    <t>1909</t>
  </si>
  <si>
    <t>1,10;3,20</t>
  </si>
  <si>
    <t>2019-10-21 00:00:00</t>
  </si>
  <si>
    <t>1910</t>
  </si>
  <si>
    <t>2019-11-21 00:00:00</t>
  </si>
  <si>
    <t>1911</t>
  </si>
  <si>
    <t>2019-12-19 00:00:00</t>
  </si>
  <si>
    <t>33,34</t>
  </si>
  <si>
    <t>2019-11-19 00:00:00</t>
  </si>
  <si>
    <t>2,241</t>
  </si>
  <si>
    <t>1,15;3,15</t>
  </si>
  <si>
    <t>2,236</t>
  </si>
  <si>
    <t>999999,756171</t>
  </si>
  <si>
    <t>2019-12-21 00:00:00</t>
  </si>
  <si>
    <t>1912</t>
  </si>
  <si>
    <t>14,15,18,19,23</t>
  </si>
  <si>
    <t>2019-12-26 00:00:00</t>
  </si>
  <si>
    <t>702034,756169</t>
  </si>
  <si>
    <t>2019-12-28 00:00:00</t>
  </si>
  <si>
    <t>227</t>
  </si>
  <si>
    <t>2020-02-06 00:00:00</t>
  </si>
  <si>
    <t>2020-01-21 00:00:00</t>
  </si>
  <si>
    <t>2001,234</t>
  </si>
  <si>
    <t>11,12,17,22,23</t>
  </si>
  <si>
    <t>1,12;8,18</t>
  </si>
  <si>
    <t>2020-01-16 00:00:00</t>
  </si>
  <si>
    <t>900416,702028,118011,118013</t>
  </si>
  <si>
    <t>8,9,10,14,18</t>
  </si>
  <si>
    <t>229</t>
  </si>
  <si>
    <t>1,20;3,25</t>
  </si>
  <si>
    <t>14,15,19,24</t>
  </si>
  <si>
    <t>230,239</t>
  </si>
  <si>
    <t>228,234</t>
  </si>
  <si>
    <t>2020-02-21 00:00:00</t>
  </si>
  <si>
    <t>2002,234</t>
  </si>
  <si>
    <t>300202,300203,999999,756184</t>
  </si>
  <si>
    <t>2020-03-21 00:00:00</t>
  </si>
  <si>
    <t>2003,234</t>
  </si>
  <si>
    <t>2020-04-21 00:00:00</t>
  </si>
  <si>
    <t>2004,234</t>
  </si>
  <si>
    <t>1,18;5,20</t>
  </si>
  <si>
    <t>2020-05-21 00:00:00</t>
  </si>
  <si>
    <t>2005,234</t>
  </si>
  <si>
    <t>8,3,4,14</t>
  </si>
  <si>
    <t>2020-05-07 00:00:00</t>
  </si>
  <si>
    <t>36,37</t>
  </si>
  <si>
    <t>8,18,9,14,19,15</t>
  </si>
  <si>
    <t>2020-04-30 00:00:00</t>
  </si>
  <si>
    <t>8,7</t>
  </si>
  <si>
    <t>115702,115704,118005,118006,118007,118008,118009,118010,118013</t>
  </si>
  <si>
    <t>18,19,23</t>
  </si>
  <si>
    <t>2,15;8,15</t>
  </si>
  <si>
    <t>2020-06-21 00:00:00</t>
  </si>
  <si>
    <t>2006,234</t>
  </si>
  <si>
    <t>19,14,15</t>
  </si>
  <si>
    <t>2020-07-21 00:00:00</t>
  </si>
  <si>
    <t>2007,239</t>
  </si>
  <si>
    <t>7,12,17,8,18</t>
  </si>
  <si>
    <t>2020-07-30 00:00:00</t>
  </si>
  <si>
    <t>1,18;5,25</t>
  </si>
  <si>
    <t>2020-07-23 00:00:00</t>
  </si>
  <si>
    <t>312</t>
  </si>
  <si>
    <t>4,15</t>
  </si>
  <si>
    <t>2020-08-21 00:00:00</t>
  </si>
  <si>
    <t>2008,239</t>
  </si>
  <si>
    <t>116104,116105,116106,116110,116111,756166</t>
  </si>
  <si>
    <t>2020-08-20 00:00:00</t>
  </si>
  <si>
    <t>236,239</t>
  </si>
  <si>
    <t>900862,756171</t>
  </si>
  <si>
    <t>235</t>
  </si>
  <si>
    <t>300202,900868,756177</t>
  </si>
  <si>
    <t>17,22,18</t>
  </si>
  <si>
    <t>2020-09-21 00:00:00</t>
  </si>
  <si>
    <t>2009,239</t>
  </si>
  <si>
    <t>2020-10-21 00:00:00</t>
  </si>
  <si>
    <t>2010,239</t>
  </si>
  <si>
    <t>2020-11-21 00:00:00</t>
  </si>
  <si>
    <t>2011,239</t>
  </si>
  <si>
    <t>2,3,4,7,8,9</t>
  </si>
  <si>
    <t>2020-11-12 00:00:00</t>
  </si>
  <si>
    <t>901065,901067,901068,901069,901064,756181</t>
  </si>
  <si>
    <t>3,4,5,8,10</t>
  </si>
  <si>
    <t>300202,300203,901062,901063,756178</t>
  </si>
  <si>
    <t>2,4,7,8</t>
  </si>
  <si>
    <t>991077,991078,756178</t>
  </si>
  <si>
    <t>2,3,4,8,12,14</t>
  </si>
  <si>
    <t>999999,756175</t>
  </si>
  <si>
    <t>6,11,16,7,12,17,8,18</t>
  </si>
  <si>
    <t>1,20;3,20;5,10</t>
  </si>
  <si>
    <t>2020-12-21 00:00:00</t>
  </si>
  <si>
    <t>2012,239</t>
  </si>
  <si>
    <t>902159,756160,756187</t>
  </si>
  <si>
    <t>7,8,9,12</t>
  </si>
  <si>
    <t>2021-01-07 00:00:00</t>
  </si>
  <si>
    <t>756171</t>
  </si>
  <si>
    <t>902157,756159,756174,756186</t>
  </si>
  <si>
    <t>8,18,14,10,15,20</t>
  </si>
  <si>
    <t>1,18;3,20</t>
  </si>
  <si>
    <t>2021-02-04 00:00:00</t>
  </si>
  <si>
    <t>240</t>
  </si>
  <si>
    <t>12,17,16</t>
  </si>
  <si>
    <t>1,25</t>
  </si>
  <si>
    <t>241</t>
  </si>
  <si>
    <t>14,15,18</t>
  </si>
  <si>
    <t>902316,902317,902318,902319,902320,756165,756174</t>
  </si>
  <si>
    <t>902396,756187</t>
  </si>
  <si>
    <t>2021-03-25 00:00:00</t>
  </si>
  <si>
    <t>18,19,14,20</t>
  </si>
  <si>
    <t>902401,902402,756165</t>
  </si>
  <si>
    <t>18,17</t>
  </si>
  <si>
    <t>23,22</t>
  </si>
  <si>
    <t>1,18;8,12</t>
  </si>
  <si>
    <t>2021-04-22 00:00:00</t>
  </si>
  <si>
    <t>313</t>
  </si>
  <si>
    <t>8,14,10,15</t>
  </si>
  <si>
    <t>1,30;2,-5;4,20</t>
  </si>
  <si>
    <t>2021-08-26 00:00:00</t>
  </si>
  <si>
    <t>247</t>
  </si>
  <si>
    <t>1,-10;4,35</t>
  </si>
  <si>
    <t>245</t>
  </si>
  <si>
    <t>246</t>
  </si>
  <si>
    <t>18,22,23,24</t>
  </si>
  <si>
    <t>8,9,14</t>
  </si>
  <si>
    <t>2021-09-23 00:00:00</t>
  </si>
  <si>
    <t>7,12,17,8,18,11</t>
  </si>
  <si>
    <t>3,50;5,20</t>
  </si>
  <si>
    <t>11,12,17,18</t>
  </si>
  <si>
    <t>12,17,18,14,19</t>
  </si>
  <si>
    <t>2017-06-22 00:00:00</t>
  </si>
  <si>
    <t>collab</t>
  </si>
  <si>
    <t>2017-11-16 00:00:00</t>
  </si>
  <si>
    <t>309</t>
  </si>
  <si>
    <t>14,19</t>
  </si>
  <si>
    <t>307</t>
  </si>
  <si>
    <t>306</t>
  </si>
  <si>
    <t>1,20;2,20</t>
  </si>
  <si>
    <t>308</t>
  </si>
  <si>
    <t>1,20;3,10</t>
  </si>
  <si>
    <t>206</t>
  </si>
  <si>
    <t>2019-06-13 00:00:00</t>
  </si>
  <si>
    <t>221</t>
  </si>
  <si>
    <t>7,12,18,9,14</t>
  </si>
  <si>
    <t>223</t>
  </si>
  <si>
    <t>220</t>
  </si>
  <si>
    <t>8,9,14,15</t>
  </si>
  <si>
    <t>2020-07-20 00:00:00</t>
  </si>
  <si>
    <t>231</t>
  </si>
  <si>
    <t>12,11,16</t>
  </si>
  <si>
    <t>233</t>
  </si>
  <si>
    <t>8,2,3,4</t>
  </si>
  <si>
    <t>232</t>
  </si>
  <si>
    <t>2020-11-26 00:00:00</t>
  </si>
  <si>
    <t>238</t>
  </si>
  <si>
    <t>237</t>
  </si>
  <si>
    <t>1,25;4,20</t>
  </si>
  <si>
    <t>2021-07-22 00:00:00</t>
  </si>
  <si>
    <t>244</t>
  </si>
  <si>
    <t>242</t>
  </si>
  <si>
    <t>243</t>
  </si>
  <si>
    <t>35</t>
  </si>
  <si>
    <t>2,12;3,25</t>
  </si>
  <si>
    <t>1,18;5,10</t>
  </si>
  <si>
    <t>1,8;2,12</t>
  </si>
  <si>
    <t>18,7,8,9</t>
  </si>
  <si>
    <t>1,12;2,6</t>
  </si>
  <si>
    <t>3,40;4,20</t>
  </si>
  <si>
    <t>3,45;5,20</t>
  </si>
  <si>
    <t>3,30;4,40</t>
  </si>
  <si>
    <t>12,14,8</t>
  </si>
  <si>
    <t>1,18;3,15</t>
  </si>
  <si>
    <t>6,20</t>
  </si>
  <si>
    <t>1,20;5,32</t>
  </si>
  <si>
    <t>2,25;3,55</t>
  </si>
  <si>
    <t>1,30;2,15</t>
  </si>
  <si>
    <t>1,45</t>
  </si>
  <si>
    <t>18,12,14</t>
  </si>
  <si>
    <t>3,55;4,15</t>
  </si>
  <si>
    <t>1,18;8,10</t>
  </si>
  <si>
    <t>1,15;2,15</t>
  </si>
  <si>
    <t>2,10;3,15</t>
  </si>
  <si>
    <t>4,20;5,10</t>
  </si>
  <si>
    <t>2,24</t>
  </si>
  <si>
    <t>7,8,9,17,19</t>
  </si>
  <si>
    <t>2,16;3,30</t>
  </si>
  <si>
    <t>1,20;5,30</t>
  </si>
  <si>
    <t>6,7,8,12,18,17</t>
  </si>
  <si>
    <t>1,12;2,10</t>
  </si>
  <si>
    <t>1,35;4,12</t>
  </si>
  <si>
    <t>3,20;8,18</t>
  </si>
  <si>
    <t>1,25;3,15</t>
  </si>
  <si>
    <t>2,15;3,40</t>
  </si>
  <si>
    <t>8,2,3</t>
  </si>
  <si>
    <t>1,10;3,50</t>
  </si>
  <si>
    <t>1,18;3,10</t>
  </si>
  <si>
    <t>1,12;3,40</t>
  </si>
  <si>
    <t>2,3,4,8</t>
  </si>
  <si>
    <t>12,14,9,7</t>
  </si>
  <si>
    <t>3,50;4,20</t>
  </si>
  <si>
    <t>14,19,24,25</t>
  </si>
  <si>
    <t>12,14,18,7,8,9</t>
  </si>
  <si>
    <t>1,6</t>
  </si>
  <si>
    <t>17,18,23</t>
  </si>
  <si>
    <t>1,15;2,10</t>
  </si>
  <si>
    <t>gun-10000353</t>
  </si>
  <si>
    <t>MAG7</t>
  </si>
  <si>
    <t>gun-40000353</t>
  </si>
  <si>
    <t>gun-50000353</t>
  </si>
  <si>
    <t>gun-60000353</t>
  </si>
  <si>
    <t>300202,300203,750169,750170,750171,750173,750174,750176,750187,750186</t>
  </si>
  <si>
    <t>750175,750177,750178,750179,750180,750181,750182,750184,750185</t>
  </si>
  <si>
    <t>3,4,5</t>
  </si>
  <si>
    <t>gun-10000354</t>
  </si>
  <si>
    <t>ZIP22</t>
  </si>
  <si>
    <t>gun-40000354</t>
  </si>
  <si>
    <t>gun-50000354</t>
  </si>
  <si>
    <t>gun-60000354</t>
  </si>
  <si>
    <t>750209</t>
  </si>
  <si>
    <t>750210,750211,750212,750214</t>
  </si>
  <si>
    <t>6,8,7,16,17,18</t>
  </si>
  <si>
    <t>2021-12-16 00:00:00</t>
  </si>
  <si>
    <t>gun-10000355</t>
  </si>
  <si>
    <t>VigneronM2</t>
  </si>
  <si>
    <t>gun-40000355</t>
  </si>
  <si>
    <t>gun-50000355</t>
  </si>
  <si>
    <t>gun-60000355</t>
  </si>
  <si>
    <t>750227</t>
  </si>
  <si>
    <t>gun-10000356</t>
  </si>
  <si>
    <t>A545</t>
  </si>
  <si>
    <t>gun-40000356</t>
  </si>
  <si>
    <t>gun-50000356</t>
  </si>
  <si>
    <t>gun-60000356</t>
  </si>
  <si>
    <t>750203,750204,750205</t>
  </si>
  <si>
    <t>750200,750201,750207</t>
  </si>
  <si>
    <t>ASh127</t>
  </si>
  <si>
    <t>ZiP 22</t>
  </si>
  <si>
    <t>Thunder</t>
  </si>
  <si>
    <t>equip-10000265</t>
  </si>
  <si>
    <t>equip-20000265</t>
  </si>
  <si>
    <t>ITC</t>
  </si>
  <si>
    <t>153</t>
  </si>
  <si>
    <t>equip-30000265</t>
  </si>
  <si>
    <t>pow:600,hit:1000</t>
  </si>
  <si>
    <t>759019</t>
  </si>
  <si>
    <t>equip-10000266</t>
  </si>
  <si>
    <t>equip-20000266</t>
  </si>
  <si>
    <t>B&amp;T</t>
  </si>
  <si>
    <t>equip-30000266</t>
  </si>
  <si>
    <t>dodge:700,critical_percent:1000</t>
  </si>
  <si>
    <t>DR - PPG</t>
  </si>
  <si>
    <t>DR - M4/Grape</t>
  </si>
  <si>
    <t>DR - G11/Grape</t>
  </si>
  <si>
    <t>M Scripts for Updater:</t>
  </si>
  <si>
    <t>弹匣_穿甲弹_N</t>
  </si>
  <si>
    <t>equip-10000021</t>
  </si>
  <si>
    <t>equip-20000021</t>
  </si>
  <si>
    <t>equip-30000021</t>
  </si>
  <si>
    <t>equip-10000022</t>
  </si>
  <si>
    <t>equip-20000022</t>
  </si>
  <si>
    <t>22</t>
  </si>
  <si>
    <t>equip-30000022</t>
  </si>
  <si>
    <t>equip-10000023</t>
  </si>
  <si>
    <t>equip-20000023</t>
  </si>
  <si>
    <t>equip-30000023</t>
  </si>
  <si>
    <t>equip-10000024</t>
  </si>
  <si>
    <t>equip-20000024</t>
  </si>
  <si>
    <t>equip-30000024</t>
  </si>
  <si>
    <t>equip-10000025</t>
  </si>
  <si>
    <t>equip-20000025</t>
  </si>
  <si>
    <t>equip-30000025</t>
  </si>
  <si>
    <t>equip-10000026</t>
  </si>
  <si>
    <t>equip-20000026</t>
  </si>
  <si>
    <t>26</t>
  </si>
  <si>
    <t>equip-30000026</t>
  </si>
  <si>
    <t>equip-10000027</t>
  </si>
  <si>
    <t>equip-20000027</t>
  </si>
  <si>
    <t>equip-30000027</t>
  </si>
  <si>
    <t>equip-10000028</t>
  </si>
  <si>
    <t>equip-20000028</t>
  </si>
  <si>
    <t>equip-30000028</t>
  </si>
  <si>
    <t>equip-10000033</t>
  </si>
  <si>
    <t>equip-20000033</t>
  </si>
  <si>
    <t>equip-30000033</t>
  </si>
  <si>
    <t>equip-10000034</t>
  </si>
  <si>
    <t>equip-20000034</t>
  </si>
  <si>
    <t>34</t>
  </si>
  <si>
    <t>equip-30000034</t>
  </si>
  <si>
    <t>equip-10000035</t>
  </si>
  <si>
    <t>equip-20000035</t>
  </si>
  <si>
    <t>equip-30000035</t>
  </si>
  <si>
    <t>equip-10000036</t>
  </si>
  <si>
    <t>equip-20000036</t>
  </si>
  <si>
    <t>equip-30000036</t>
  </si>
  <si>
    <t>人形装备_防弹插板_N</t>
  </si>
  <si>
    <t>equip-10000045</t>
  </si>
  <si>
    <t>equip-20000045</t>
  </si>
  <si>
    <t>45</t>
  </si>
  <si>
    <t>equip-30000045</t>
  </si>
  <si>
    <t>equip-10000046</t>
  </si>
  <si>
    <t>equip-20000046</t>
  </si>
  <si>
    <t>equip-30000046</t>
  </si>
  <si>
    <t>equip-10000047</t>
  </si>
  <si>
    <t>equip-20000047</t>
  </si>
  <si>
    <t>47</t>
  </si>
  <si>
    <t>equip-30000047</t>
  </si>
  <si>
    <t>equip-10000048</t>
  </si>
  <si>
    <t>equip-20000048</t>
  </si>
  <si>
    <t>equip-30000048</t>
  </si>
  <si>
    <t>equip-10000049</t>
  </si>
  <si>
    <t>equip-20000049</t>
  </si>
  <si>
    <t>配件_红外夜视仪_S</t>
  </si>
  <si>
    <t>equip-30000049</t>
  </si>
  <si>
    <t>equip-10000050</t>
  </si>
  <si>
    <t>equip-20000050</t>
  </si>
  <si>
    <t>120,120</t>
  </si>
  <si>
    <t>弹匣_穿甲弹_S</t>
  </si>
  <si>
    <t>equip-30000050</t>
  </si>
  <si>
    <t>equip-10000051</t>
  </si>
  <si>
    <t>equip-20000051</t>
  </si>
  <si>
    <t>15,25</t>
  </si>
  <si>
    <t>equip-30000051</t>
  </si>
  <si>
    <t>equip-10000052</t>
  </si>
  <si>
    <t>equip-20000052</t>
  </si>
  <si>
    <t>35,50</t>
  </si>
  <si>
    <t>equip-30000052</t>
  </si>
  <si>
    <t>equip-10000053</t>
  </si>
  <si>
    <t>equip-20000053</t>
  </si>
  <si>
    <t>60,75</t>
  </si>
  <si>
    <t>equip-30000053</t>
  </si>
  <si>
    <t>equip-10000054</t>
  </si>
  <si>
    <t>equip-20000054</t>
  </si>
  <si>
    <t>-40,-25</t>
  </si>
  <si>
    <t>85,100</t>
  </si>
  <si>
    <t>equip-30000054</t>
  </si>
  <si>
    <t>equip-10000081</t>
  </si>
  <si>
    <t>equip-20000081</t>
  </si>
  <si>
    <t>人形装备_防弹插板_S</t>
  </si>
  <si>
    <t>equip-30000081</t>
  </si>
  <si>
    <t>equip-10000082</t>
  </si>
  <si>
    <t>equip-20000082</t>
  </si>
  <si>
    <t>弹匣_霰弹_鹿弹_S</t>
  </si>
  <si>
    <t>equip-30000082</t>
  </si>
  <si>
    <t>equip-10000095</t>
  </si>
  <si>
    <t>equip-20000095</t>
  </si>
  <si>
    <t>弹匣_状态弹_空尖弹_S</t>
  </si>
  <si>
    <t>equip-30000095</t>
  </si>
  <si>
    <t>equip-10000096</t>
  </si>
  <si>
    <t>equip-20000096</t>
  </si>
  <si>
    <t>人形装备_伪装披风_N3_S</t>
  </si>
  <si>
    <t>equip-30000096</t>
  </si>
  <si>
    <t>equip-10000097</t>
  </si>
  <si>
    <t>equip-20000097</t>
  </si>
  <si>
    <t>500,500</t>
  </si>
  <si>
    <t>9001,9002,9003,9004,9005,9006,9007,9008,9009,9010,9011</t>
  </si>
  <si>
    <t>equip-30000097</t>
  </si>
  <si>
    <t>equip-10000098</t>
  </si>
  <si>
    <t>equip-20000098</t>
  </si>
  <si>
    <t>equip-30000098</t>
  </si>
  <si>
    <t>equip-10000109</t>
  </si>
  <si>
    <t>equip-20000109</t>
  </si>
  <si>
    <t>配件_光学瞄准镜_S</t>
  </si>
  <si>
    <t>equip-30000109</t>
  </si>
  <si>
    <t>equip-10000110</t>
  </si>
  <si>
    <t>equip-20000110</t>
  </si>
  <si>
    <t>弹匣_高速弹_S</t>
  </si>
  <si>
    <t>equip-30000110</t>
  </si>
  <si>
    <t>equip-10000120</t>
  </si>
  <si>
    <t>equip-20000120</t>
  </si>
  <si>
    <t>配件_ACOG瞄准镜_S</t>
  </si>
  <si>
    <t>equip-30000120</t>
  </si>
  <si>
    <t>equip-10000121</t>
  </si>
  <si>
    <t>equip-20000121</t>
  </si>
  <si>
    <t>人形装备_外骨骼_S</t>
  </si>
  <si>
    <t>equip-30000121</t>
  </si>
  <si>
    <t>759018</t>
  </si>
  <si>
    <t>M870</t>
  </si>
  <si>
    <t>Place this file in the parent directory of the battle sim (i.e., the same directory as GFBattleSimulator.exe).</t>
  </si>
  <si>
    <t>9411321,9411322,9411323,9411324,9411325,9411326,9411327,9411328,9411329</t>
  </si>
  <si>
    <t>equip-10000267</t>
  </si>
  <si>
    <t>equip-20000267</t>
  </si>
  <si>
    <t>equip-30000267</t>
  </si>
  <si>
    <t>equip-10000268</t>
  </si>
  <si>
    <t>equip-20000268</t>
  </si>
  <si>
    <t>equip-30000268</t>
  </si>
  <si>
    <t>equip-10000269</t>
  </si>
  <si>
    <t>equip-20000269</t>
  </si>
  <si>
    <t>Insight</t>
  </si>
  <si>
    <t>99</t>
  </si>
  <si>
    <t>equip-30000269</t>
  </si>
  <si>
    <t>equip-10000270</t>
  </si>
  <si>
    <t>equip-20000270</t>
  </si>
  <si>
    <t>CZ</t>
  </si>
  <si>
    <t>166</t>
  </si>
  <si>
    <t>equip-30000270</t>
  </si>
  <si>
    <t>pow:700,hit:700,critical_percent:1000</t>
  </si>
  <si>
    <t>sangvis-10001017</t>
  </si>
  <si>
    <t>Destroyer_Christmas</t>
  </si>
  <si>
    <t>sangvis-40001017</t>
  </si>
  <si>
    <t>sangvis-30001017</t>
  </si>
  <si>
    <t>750277</t>
  </si>
  <si>
    <t>750296,750281,750282,750283,750284</t>
  </si>
  <si>
    <t>750295,750285,750286,750287,750288,750289,750290,750291,750292</t>
  </si>
  <si>
    <t>2:1,10;8,10;|3:2,10;3,15</t>
  </si>
  <si>
    <t>sangvis-10002016</t>
  </si>
  <si>
    <t>Guard_chm</t>
  </si>
  <si>
    <t>sangvis-40002016</t>
  </si>
  <si>
    <t>sangvis-30002016</t>
  </si>
  <si>
    <t>Guard_Christmas</t>
  </si>
  <si>
    <t>1:1,6;8,6|4:3,9;4,9</t>
  </si>
  <si>
    <t>1:1,10;8,10|4:3,15;4,15</t>
  </si>
  <si>
    <t>Cost</t>
  </si>
  <si>
    <t>Sniper5</t>
  </si>
  <si>
    <t>Sniper4</t>
  </si>
  <si>
    <t>Sanvis Info</t>
  </si>
  <si>
    <t>PR - Alch, 2 Golyat, 1 SWAP Dragoon</t>
  </si>
  <si>
    <t>gun-10000357</t>
  </si>
  <si>
    <t>Rhino</t>
  </si>
  <si>
    <t>gun-40000357</t>
  </si>
  <si>
    <t>gun-50000357</t>
  </si>
  <si>
    <t>gun-60000357</t>
  </si>
  <si>
    <t>750267,750268,750269,750273,750349,750350,750351,750352,750353,750354,750355,750356,750357,750358,750359,750360</t>
  </si>
  <si>
    <t>750270,750271,750272,750274,750275</t>
  </si>
  <si>
    <t>12,17,18,8,9,14</t>
  </si>
  <si>
    <t>2022-01-13 00:00:00</t>
  </si>
  <si>
    <t>250</t>
  </si>
  <si>
    <t>gun-10000358</t>
  </si>
  <si>
    <t>PPQ</t>
  </si>
  <si>
    <t>gun-40000358</t>
  </si>
  <si>
    <t>gun-50000358</t>
  </si>
  <si>
    <t>gun-60000358</t>
  </si>
  <si>
    <t>750248,750249,750250,750251</t>
  </si>
  <si>
    <t>12,19,18,8,9,14</t>
  </si>
  <si>
    <t>gun-10000359</t>
  </si>
  <si>
    <t>Sterling</t>
  </si>
  <si>
    <t>gun-40000359</t>
  </si>
  <si>
    <t>gun-50000359</t>
  </si>
  <si>
    <t>gun-60000359</t>
  </si>
  <si>
    <t>900156,119102,119106,119104</t>
  </si>
  <si>
    <t>119105</t>
  </si>
  <si>
    <t>12,8,9,14,7</t>
  </si>
  <si>
    <t>gun-10000360</t>
  </si>
  <si>
    <t>TFQ</t>
  </si>
  <si>
    <t>gun-40000360</t>
  </si>
  <si>
    <t>gun-50000360</t>
  </si>
  <si>
    <t>gun-60000360</t>
  </si>
  <si>
    <t>750243</t>
  </si>
  <si>
    <t>750245</t>
  </si>
  <si>
    <t>18,14</t>
  </si>
  <si>
    <t>249</t>
  </si>
  <si>
    <t>gun-10000361</t>
  </si>
  <si>
    <t>QBZ191</t>
  </si>
  <si>
    <t>gun-40000361</t>
  </si>
  <si>
    <t>gun-50000361</t>
  </si>
  <si>
    <t>gun-60000361</t>
  </si>
  <si>
    <t>119002,119004,119005,119006,119007,119008,119030,119031,119032,119033,119034</t>
  </si>
  <si>
    <t>2,-10;4,35</t>
  </si>
  <si>
    <t>gun-10000362</t>
  </si>
  <si>
    <t>LS26</t>
  </si>
  <si>
    <t>gun-40000362</t>
  </si>
  <si>
    <t>gun-50000362</t>
  </si>
  <si>
    <t>gun-60000362</t>
  </si>
  <si>
    <t>750239,750240,750241,750254</t>
  </si>
  <si>
    <t>750253</t>
  </si>
  <si>
    <t>gun-10020021</t>
  </si>
  <si>
    <t>PPsh41Mod</t>
  </si>
  <si>
    <t>gun-40020021</t>
  </si>
  <si>
    <t>gun-50020021</t>
  </si>
  <si>
    <t>gun-60020021</t>
  </si>
  <si>
    <t>750317,750319,750320,900156</t>
  </si>
  <si>
    <t>750321,750322</t>
  </si>
  <si>
    <t>12,18,14</t>
  </si>
  <si>
    <t>gun-10020205</t>
  </si>
  <si>
    <t>AN94Mod</t>
  </si>
  <si>
    <t>gun-40020205</t>
  </si>
  <si>
    <t>gun-50020205</t>
  </si>
  <si>
    <t>gun-60020205</t>
  </si>
  <si>
    <t>750338,750337,750336,750335,750341,750313</t>
  </si>
  <si>
    <t>3,65;4,25</t>
  </si>
  <si>
    <t>gun-10020216</t>
  </si>
  <si>
    <t>XM8Mod</t>
  </si>
  <si>
    <t>gun-40020216</t>
  </si>
  <si>
    <t>gun-50020216</t>
  </si>
  <si>
    <t>gun-60020216</t>
  </si>
  <si>
    <t>750304</t>
  </si>
  <si>
    <t>750302,750303</t>
  </si>
  <si>
    <t>19,20</t>
  </si>
  <si>
    <t>1,20;4,20</t>
  </si>
  <si>
    <t>gun-10020293</t>
  </si>
  <si>
    <t>AK15Mod</t>
  </si>
  <si>
    <t>gun-40020293</t>
  </si>
  <si>
    <t>gun-50020293</t>
  </si>
  <si>
    <t>gun-60020293</t>
  </si>
  <si>
    <t>900416,702028,118011,118013,750325,750326,750327,750328,750329,750333,750344</t>
  </si>
  <si>
    <t>900423,750331</t>
  </si>
  <si>
    <t>1,30;3,65</t>
  </si>
  <si>
    <t>21,20021</t>
  </si>
  <si>
    <t>equip-10000271</t>
  </si>
  <si>
    <t>equip-20000271</t>
  </si>
  <si>
    <t>equip-30000271</t>
  </si>
  <si>
    <t>equip-10000272</t>
  </si>
  <si>
    <t>equip-20000272</t>
  </si>
  <si>
    <t>equip-30000272</t>
  </si>
  <si>
    <t>equip-10000273</t>
  </si>
  <si>
    <t>equip-20000273</t>
  </si>
  <si>
    <t>216,20216</t>
  </si>
  <si>
    <t>equip-30000273</t>
  </si>
  <si>
    <t>equip-10000274</t>
  </si>
  <si>
    <t>equip-20000274</t>
  </si>
  <si>
    <t>20,24</t>
  </si>
  <si>
    <t>205,20205</t>
  </si>
  <si>
    <t>equip-30000274</t>
  </si>
  <si>
    <t>critical_percent:1000,critical_harm_rate:700</t>
  </si>
  <si>
    <t>equip-10000275</t>
  </si>
  <si>
    <t>equip-20000275</t>
  </si>
  <si>
    <t>293,20293</t>
  </si>
  <si>
    <t>equip-30000275</t>
  </si>
  <si>
    <t>pow:1000,dodge:700,critical_harm_rate:1000</t>
  </si>
  <si>
    <t>PPSh41Mod</t>
  </si>
  <si>
    <t>*21</t>
  </si>
  <si>
    <t>Trap</t>
  </si>
  <si>
    <t>PPSh-41</t>
  </si>
  <si>
    <t>Super-Shorty</t>
  </si>
  <si>
    <t>FP-6</t>
  </si>
  <si>
    <t>VSK-94</t>
  </si>
  <si>
    <t>Jashin-chan</t>
  </si>
  <si>
    <t>gun-10009001</t>
  </si>
  <si>
    <t>Cyclops</t>
  </si>
  <si>
    <t>Cyclops_F</t>
  </si>
  <si>
    <t>gun-40009001</t>
  </si>
  <si>
    <t>gun-50009001</t>
  </si>
  <si>
    <t>gun-60009001</t>
  </si>
  <si>
    <t>402604</t>
  </si>
  <si>
    <t>3;9,11</t>
  </si>
  <si>
    <t>3;9,14</t>
  </si>
  <si>
    <t>2030-12-31 23:59:59</t>
  </si>
  <si>
    <t>gun-10009002</t>
  </si>
  <si>
    <t>Cyclops_SG</t>
  </si>
  <si>
    <t>Cyclops_SG_F</t>
  </si>
  <si>
    <t>gun-40009002</t>
  </si>
  <si>
    <t>gun-50009002</t>
  </si>
  <si>
    <t>gun-60009002</t>
  </si>
  <si>
    <t>gun-10009003</t>
  </si>
  <si>
    <t>Cerynitis</t>
  </si>
  <si>
    <t>Cerynitis_F</t>
  </si>
  <si>
    <t>gun-40009003</t>
  </si>
  <si>
    <t>gun-50009003</t>
  </si>
  <si>
    <t>gun-60009003</t>
  </si>
  <si>
    <t>gun-10009004</t>
  </si>
  <si>
    <t>Hydra</t>
  </si>
  <si>
    <t>Hydra_F</t>
  </si>
  <si>
    <t>gun-40009004</t>
  </si>
  <si>
    <t>gun-50009004</t>
  </si>
  <si>
    <t>gun-60009004</t>
  </si>
  <si>
    <t>402602</t>
  </si>
  <si>
    <t>gun-10009005</t>
  </si>
  <si>
    <t>Aegis_GA</t>
  </si>
  <si>
    <t>Aegis_GA_F</t>
  </si>
  <si>
    <t>gun-40009005</t>
  </si>
  <si>
    <t>gun-50009005</t>
  </si>
  <si>
    <t>gun-60009005</t>
  </si>
  <si>
    <t>gun-10009006</t>
  </si>
  <si>
    <t>gun-40009006</t>
  </si>
  <si>
    <t>gun-50009006</t>
  </si>
  <si>
    <t>gun-60009006</t>
  </si>
  <si>
    <t>gun-10009007</t>
  </si>
  <si>
    <t>gun-40009007</t>
  </si>
  <si>
    <t>gun-50009007</t>
  </si>
  <si>
    <t>gun-60009007</t>
  </si>
  <si>
    <t>gun-10009008</t>
  </si>
  <si>
    <t>gun-40009008</t>
  </si>
  <si>
    <t>gun-50009008</t>
  </si>
  <si>
    <t>gun-60009008</t>
  </si>
  <si>
    <t>gun-10009009</t>
  </si>
  <si>
    <t>gun-40009009</t>
  </si>
  <si>
    <t>gun-50009009</t>
  </si>
  <si>
    <t>gun-60009009</t>
  </si>
  <si>
    <t>gun-10009010</t>
  </si>
  <si>
    <t>gun-40009010</t>
  </si>
  <si>
    <t>gun-50009010</t>
  </si>
  <si>
    <t>gun-60009010</t>
  </si>
  <si>
    <t>gun-10009011</t>
  </si>
  <si>
    <t>gun-40009011</t>
  </si>
  <si>
    <t>gun-50009011</t>
  </si>
  <si>
    <t>gun-60009011</t>
  </si>
  <si>
    <t>gun-10009012</t>
  </si>
  <si>
    <t>gun-40009012</t>
  </si>
  <si>
    <t>gun-50009012</t>
  </si>
  <si>
    <t>gun-60009012</t>
  </si>
  <si>
    <t>801202</t>
  </si>
  <si>
    <t>1,20;5,35</t>
  </si>
  <si>
    <t>3;9,10,12</t>
  </si>
  <si>
    <t>gun-10009013</t>
  </si>
  <si>
    <t>gun-40009013</t>
  </si>
  <si>
    <t>gun-50009013</t>
  </si>
  <si>
    <t>gun-60009013</t>
  </si>
  <si>
    <t>700205,700214,700215,700210,700213,700211,700212</t>
  </si>
  <si>
    <t>1;4,13</t>
  </si>
  <si>
    <t>gun-10009014</t>
  </si>
  <si>
    <t>Thunder .50</t>
  </si>
  <si>
    <t>gun-40009014</t>
  </si>
  <si>
    <t>gun-50009014</t>
  </si>
  <si>
    <t>gun-60009014</t>
  </si>
  <si>
    <t>700206,700214,700215,700210,700213,700211,700212</t>
  </si>
  <si>
    <t>gun-10009015</t>
  </si>
  <si>
    <t>gun-40009015</t>
  </si>
  <si>
    <t>gun-50009015</t>
  </si>
  <si>
    <t>gun-60009015</t>
  </si>
  <si>
    <t>700207,700214,700215,700210,700213,700211,700212</t>
  </si>
  <si>
    <t>1;1,2,3</t>
  </si>
  <si>
    <t>gun-10009016</t>
  </si>
  <si>
    <t>gun-40009016</t>
  </si>
  <si>
    <t>gun-50009016</t>
  </si>
  <si>
    <t>gun-60009016</t>
  </si>
  <si>
    <t>700208,700214,700215,700210,700213,700211,700212</t>
  </si>
  <si>
    <t>gun-10009017</t>
  </si>
  <si>
    <t>gun-40009017</t>
  </si>
  <si>
    <t>gun-50009017</t>
  </si>
  <si>
    <t>gun-60009017</t>
  </si>
  <si>
    <t>gun-10009018</t>
  </si>
  <si>
    <t>gun-40009018</t>
  </si>
  <si>
    <t>gun-50009018</t>
  </si>
  <si>
    <t>gun-60009018</t>
  </si>
  <si>
    <t>gun-10009019</t>
  </si>
  <si>
    <t>gun-40009019</t>
  </si>
  <si>
    <t>gun-50009019</t>
  </si>
  <si>
    <t>gun-60009019</t>
  </si>
  <si>
    <t>gun-10009020</t>
  </si>
  <si>
    <t>gun-40009020</t>
  </si>
  <si>
    <t>gun-50009020</t>
  </si>
  <si>
    <t>gun-60009020</t>
  </si>
  <si>
    <t>gun-10009021</t>
  </si>
  <si>
    <t>gun-40009021</t>
  </si>
  <si>
    <t>gun-50009021</t>
  </si>
  <si>
    <t>gun-60009021</t>
  </si>
  <si>
    <t>gun-10009022</t>
  </si>
  <si>
    <t>gun-40009022</t>
  </si>
  <si>
    <t>gun-50009022</t>
  </si>
  <si>
    <t>gun-60009022</t>
  </si>
  <si>
    <t>gun-10009023</t>
  </si>
  <si>
    <t>gun-40009023</t>
  </si>
  <si>
    <t>gun-50009023</t>
  </si>
  <si>
    <t>gun-60009023</t>
  </si>
  <si>
    <t>gun-10009024</t>
  </si>
  <si>
    <t>gun-40009024</t>
  </si>
  <si>
    <t>gun-50009024</t>
  </si>
  <si>
    <t>gun-60009024</t>
  </si>
  <si>
    <t>gun-10009025</t>
  </si>
  <si>
    <t>gun-40009025</t>
  </si>
  <si>
    <t>gun-50009025</t>
  </si>
  <si>
    <t>gun-60009025</t>
  </si>
  <si>
    <t>gun-10009026</t>
  </si>
  <si>
    <t>gun-40009026</t>
  </si>
  <si>
    <t>gun-50009026</t>
  </si>
  <si>
    <t>gun-60009026</t>
  </si>
  <si>
    <t>gun-10009027</t>
  </si>
  <si>
    <t>gun-40009027</t>
  </si>
  <si>
    <t>gun-50009027</t>
  </si>
  <si>
    <t>gun-60009027</t>
  </si>
  <si>
    <t>gun-10009028</t>
  </si>
  <si>
    <t>gun-40009028</t>
  </si>
  <si>
    <t>gun-50009028</t>
  </si>
  <si>
    <t>gun-60009028</t>
  </si>
  <si>
    <t>gun-10009029</t>
  </si>
  <si>
    <t>gun-40009029</t>
  </si>
  <si>
    <t>gun-50009029</t>
  </si>
  <si>
    <t>gun-60009029</t>
  </si>
  <si>
    <t>gun-10009030</t>
  </si>
  <si>
    <t>gun-40009030</t>
  </si>
  <si>
    <t>gun-50009030</t>
  </si>
  <si>
    <t>gun-60009030</t>
  </si>
  <si>
    <t>gun-10009031</t>
  </si>
  <si>
    <t>gun-40009031</t>
  </si>
  <si>
    <t>gun-50009031</t>
  </si>
  <si>
    <t>gun-60009031</t>
  </si>
  <si>
    <t>gun-10009032</t>
  </si>
  <si>
    <t>gun-40009032</t>
  </si>
  <si>
    <t>gun-50009032</t>
  </si>
  <si>
    <t>gun-60009032</t>
  </si>
  <si>
    <t>gun-10009034</t>
  </si>
  <si>
    <t>gun-40009034</t>
  </si>
  <si>
    <t>gun-50009034</t>
  </si>
  <si>
    <t>gun-60009034</t>
  </si>
  <si>
    <t>108503,200404</t>
  </si>
  <si>
    <t>gun-10009035</t>
  </si>
  <si>
    <t>gun-40009035</t>
  </si>
  <si>
    <t>gun-50009035</t>
  </si>
  <si>
    <t>gun-60009035</t>
  </si>
  <si>
    <t>108608,108609,108610,108611</t>
  </si>
  <si>
    <t>gun-10009036</t>
  </si>
  <si>
    <t>M4A1_Motor</t>
  </si>
  <si>
    <t>gun-40009036</t>
  </si>
  <si>
    <t>gun-50009036</t>
  </si>
  <si>
    <t>gun-60009036</t>
  </si>
  <si>
    <t>501098,501104,501115,501119,501093,501109,501114</t>
  </si>
  <si>
    <t>gun-10009037</t>
  </si>
  <si>
    <t>AR15_Motor</t>
  </si>
  <si>
    <t>gun-40009037</t>
  </si>
  <si>
    <t>gun-50009037</t>
  </si>
  <si>
    <t>gun-60009037</t>
  </si>
  <si>
    <t>501100,501105,501094,501111,501116</t>
  </si>
  <si>
    <t>1;1,2,3,4,13,16</t>
  </si>
  <si>
    <t>gun-10009038</t>
  </si>
  <si>
    <t>AK12_Motor</t>
  </si>
  <si>
    <t>gun-40009038</t>
  </si>
  <si>
    <t>gun-50009038</t>
  </si>
  <si>
    <t>gun-60009038</t>
  </si>
  <si>
    <t>501102,501107,501092,501096,501113,501118</t>
  </si>
  <si>
    <t>gun-10009039</t>
  </si>
  <si>
    <t>AN94_Motor</t>
  </si>
  <si>
    <t>gun-40009039</t>
  </si>
  <si>
    <t>gun-50009039</t>
  </si>
  <si>
    <t>gun-60009039</t>
  </si>
  <si>
    <t>501103,501106,501095,501112,501117</t>
  </si>
  <si>
    <t>gun-10009040</t>
  </si>
  <si>
    <t>gun-40009040</t>
  </si>
  <si>
    <t>gun-50009040</t>
  </si>
  <si>
    <t>gun-60009040</t>
  </si>
  <si>
    <t>701006,701005</t>
  </si>
  <si>
    <t>gun-10009041</t>
  </si>
  <si>
    <t>gun-40009041</t>
  </si>
  <si>
    <t>gun-50009041</t>
  </si>
  <si>
    <t>gun-60009041</t>
  </si>
  <si>
    <t>701005</t>
  </si>
  <si>
    <t>gun-10009042</t>
  </si>
  <si>
    <t>gun-40009042</t>
  </si>
  <si>
    <t>gun-50009042</t>
  </si>
  <si>
    <t>gun-60009042</t>
  </si>
  <si>
    <t>gun-10009043</t>
  </si>
  <si>
    <t>gun-40009043</t>
  </si>
  <si>
    <t>gun-50009043</t>
  </si>
  <si>
    <t>gun-60009043</t>
  </si>
  <si>
    <t>gun-10009044</t>
  </si>
  <si>
    <t>M16A1_NPC</t>
  </si>
  <si>
    <t>gun-40009044</t>
  </si>
  <si>
    <t>gun-50009044</t>
  </si>
  <si>
    <t>gun-60009044</t>
  </si>
  <si>
    <t>403415,403416,403417,403418,403419,403420,403405</t>
  </si>
  <si>
    <t>3;9,10,11</t>
  </si>
  <si>
    <t>gun-10009045</t>
  </si>
  <si>
    <t>Carina</t>
  </si>
  <si>
    <t>Tank_R_Ally</t>
  </si>
  <si>
    <t>gun-40009045</t>
  </si>
  <si>
    <t>gun-50009045</t>
  </si>
  <si>
    <t>gun-60009045</t>
  </si>
  <si>
    <t>gun-10009046</t>
  </si>
  <si>
    <t xml:space="preserve">Vela </t>
  </si>
  <si>
    <t>Tank_M_Ally</t>
  </si>
  <si>
    <t>gun-40009046</t>
  </si>
  <si>
    <t>gun-50009046</t>
  </si>
  <si>
    <t>gun-60009046</t>
  </si>
  <si>
    <t>gun-10009047</t>
  </si>
  <si>
    <t>Puppis</t>
  </si>
  <si>
    <t>Tank_L_Ally</t>
  </si>
  <si>
    <t>gun-40009047</t>
  </si>
  <si>
    <t>gun-50009047</t>
  </si>
  <si>
    <t>gun-60009047</t>
  </si>
  <si>
    <t>gun-10009048</t>
  </si>
  <si>
    <t>M4A1Mod_Ogas</t>
  </si>
  <si>
    <t>gun-40009048</t>
  </si>
  <si>
    <t>gun-50009048</t>
  </si>
  <si>
    <t>gun-60009048</t>
  </si>
  <si>
    <t>990101,405402,405403,405404,405405,405409,405410,405411,405412,405413</t>
  </si>
  <si>
    <t>gun-10009049</t>
  </si>
  <si>
    <t>Scarecrow_Ally</t>
  </si>
  <si>
    <t>gun-40009049</t>
  </si>
  <si>
    <t>gun-50009049</t>
  </si>
  <si>
    <t>gun-60009049</t>
  </si>
  <si>
    <t>900511,900512,900513,900514,900517</t>
  </si>
  <si>
    <t>gun-10009050</t>
  </si>
  <si>
    <t>Excutioner_Griffin</t>
  </si>
  <si>
    <t>gun-40009050</t>
  </si>
  <si>
    <t>gun-50009050</t>
  </si>
  <si>
    <t>gun-60009050</t>
  </si>
  <si>
    <t>gun-10009051</t>
  </si>
  <si>
    <t>Boss9_Ally</t>
  </si>
  <si>
    <t>gun-40009051</t>
  </si>
  <si>
    <t>gun-50009051</t>
  </si>
  <si>
    <t>gun-60009051</t>
  </si>
  <si>
    <t>gun-10009052</t>
  </si>
  <si>
    <t>Hunter_Ally</t>
  </si>
  <si>
    <t>gun-40009052</t>
  </si>
  <si>
    <t>gun-50009052</t>
  </si>
  <si>
    <t>gun-60009052</t>
  </si>
  <si>
    <t>gun-10009053</t>
  </si>
  <si>
    <t>gun-40009053</t>
  </si>
  <si>
    <t>gun-50009053</t>
  </si>
  <si>
    <t>gun-60009053</t>
  </si>
  <si>
    <t>200412,801107,200403,201435,201001,202001,702016</t>
  </si>
  <si>
    <t>gun-10009054</t>
  </si>
  <si>
    <t>Scarecrow_shadow</t>
  </si>
  <si>
    <t>gun-40009054</t>
  </si>
  <si>
    <t>gun-50009054</t>
  </si>
  <si>
    <t>gun-60009054</t>
  </si>
  <si>
    <t>gun-10009055</t>
  </si>
  <si>
    <t>HostageCommander</t>
  </si>
  <si>
    <t>gun-40009055</t>
  </si>
  <si>
    <t>gun-50009055</t>
  </si>
  <si>
    <t>gun-60009055</t>
  </si>
  <si>
    <t>gun-10009056</t>
  </si>
  <si>
    <t>gun-40009056</t>
  </si>
  <si>
    <t>gun-50009056</t>
  </si>
  <si>
    <t>gun-60009056</t>
  </si>
  <si>
    <t>406610,406801,406804,406805,406806,406807,406808,406809,406810,406811,406812,406813,406814,406815,406816,406817,406818,406819,406820,406821,406822,406823,406824,406825,406826,406827,406828,406829,406830,406831,406832,406833,406834</t>
  </si>
  <si>
    <t>3;9,15,12</t>
  </si>
  <si>
    <t>gun-10009057</t>
  </si>
  <si>
    <t>gun-40009057</t>
  </si>
  <si>
    <t>gun-50009057</t>
  </si>
  <si>
    <t>gun-60009057</t>
  </si>
  <si>
    <t>406613,406801,406804,406805,406806,406807,406808,406809,406810,406811,406812,406813,406814,406815,406816,406817,406818,406819,406820,406821,406822,406823,406824,406825,406826,406827,406828,406829,406830,406831,406832,406833,406842</t>
  </si>
  <si>
    <t>gun-10009058</t>
  </si>
  <si>
    <t>gun-40009058</t>
  </si>
  <si>
    <t>gun-50009058</t>
  </si>
  <si>
    <t>gun-60009058</t>
  </si>
  <si>
    <t>gun-10009059</t>
  </si>
  <si>
    <t>gun-40009059</t>
  </si>
  <si>
    <t>gun-50009059</t>
  </si>
  <si>
    <t>gun-60009059</t>
  </si>
  <si>
    <t>gun-10009060</t>
  </si>
  <si>
    <t>Ange_Jump</t>
  </si>
  <si>
    <t>gun-40009060</t>
  </si>
  <si>
    <t>gun-50009060</t>
  </si>
  <si>
    <t>gun-60009060</t>
  </si>
  <si>
    <t>406902,406903,406909,406910,406912,406913,406914,406915,406916,406917,406907,406904,406905,406906,406901</t>
  </si>
  <si>
    <t>gun-10009061</t>
  </si>
  <si>
    <t>refugee_hg</t>
  </si>
  <si>
    <t>gun-40009061</t>
  </si>
  <si>
    <t>gun-50009061</t>
  </si>
  <si>
    <t>gun-60009061</t>
  </si>
  <si>
    <t>gun-10009062</t>
  </si>
  <si>
    <t>refugee_smg</t>
  </si>
  <si>
    <t>gun-40009062</t>
  </si>
  <si>
    <t>gun-50009062</t>
  </si>
  <si>
    <t>gun-60009062</t>
  </si>
  <si>
    <t>gun-10009063</t>
  </si>
  <si>
    <t>Ange_Suit</t>
  </si>
  <si>
    <t>gun-40009063</t>
  </si>
  <si>
    <t>gun-50009063</t>
  </si>
  <si>
    <t>gun-60009063</t>
  </si>
  <si>
    <t>900945,900946,900947</t>
  </si>
  <si>
    <t>gun-10009064</t>
  </si>
  <si>
    <t>gun-40009064</t>
  </si>
  <si>
    <t>gun-50009064</t>
  </si>
  <si>
    <t>gun-60009064</t>
  </si>
  <si>
    <t>902001,901080,901082,901091,901094,901097,902100,902106,902107,901083</t>
  </si>
  <si>
    <t>gun-10009065</t>
  </si>
  <si>
    <t>gun-40009065</t>
  </si>
  <si>
    <t>gun-50009065</t>
  </si>
  <si>
    <t>gun-60009065</t>
  </si>
  <si>
    <t>902001,901081,901082,901091,901094,901097,902100,902108,902109,902116,902117,901084</t>
  </si>
  <si>
    <t>gun-10009066</t>
  </si>
  <si>
    <t>Mahelian</t>
  </si>
  <si>
    <t>gun-40009066</t>
  </si>
  <si>
    <t>gun-50009066</t>
  </si>
  <si>
    <t>gun-60009066</t>
  </si>
  <si>
    <t>gun-10009067</t>
  </si>
  <si>
    <t>Rogue_D</t>
  </si>
  <si>
    <t>gun-40009067</t>
  </si>
  <si>
    <t>gun-50009067</t>
  </si>
  <si>
    <t>gun-60009067</t>
  </si>
  <si>
    <t>gun-10009068</t>
  </si>
  <si>
    <t>gun-40009068</t>
  </si>
  <si>
    <t>gun-50009068</t>
  </si>
  <si>
    <t>gun-60009068</t>
  </si>
  <si>
    <t>903100,903201,903301,903102,903103,903104,903105,903106,903202,903302,903107</t>
  </si>
  <si>
    <t>gun-10009069</t>
  </si>
  <si>
    <t>Dandelion_Gri</t>
  </si>
  <si>
    <t>gun-40009069</t>
  </si>
  <si>
    <t>gun-50009069</t>
  </si>
  <si>
    <t>gun-60009069</t>
  </si>
  <si>
    <t>gun-10009070</t>
  </si>
  <si>
    <t>gun-40009070</t>
  </si>
  <si>
    <t>gun-50009070</t>
  </si>
  <si>
    <t>gun-60009070</t>
  </si>
  <si>
    <t>117001,117002,117003,117004,117005,117006</t>
  </si>
  <si>
    <t>gun-10009071</t>
  </si>
  <si>
    <t>NPC_Kevin</t>
  </si>
  <si>
    <t>gun-40009071</t>
  </si>
  <si>
    <t>gun-50009071</t>
  </si>
  <si>
    <t>gun-60009071</t>
  </si>
  <si>
    <t>gun-10009072</t>
  </si>
  <si>
    <t>Jason</t>
  </si>
  <si>
    <t>gun-40009072</t>
  </si>
  <si>
    <t>gun-50009072</t>
  </si>
  <si>
    <t>gun-60009072</t>
  </si>
  <si>
    <t>gun-10009073</t>
  </si>
  <si>
    <t>NPC_Kryuger</t>
  </si>
  <si>
    <t>gun-40009073</t>
  </si>
  <si>
    <t>gun-50009073</t>
  </si>
  <si>
    <t>gun-60009073</t>
  </si>
  <si>
    <t>gun-10009074</t>
  </si>
  <si>
    <t>Kryuger_2021summer</t>
  </si>
  <si>
    <t>gun-40009074</t>
  </si>
  <si>
    <t>gun-50009074</t>
  </si>
  <si>
    <t>gun-60009074</t>
  </si>
  <si>
    <t>gun-10009075</t>
  </si>
  <si>
    <t>Helianthus</t>
  </si>
  <si>
    <t>gun-40009075</t>
  </si>
  <si>
    <t>gun-50009075</t>
  </si>
  <si>
    <t>gun-60009075</t>
  </si>
  <si>
    <t>gun-10009076</t>
  </si>
  <si>
    <t>NPC_Persica</t>
  </si>
  <si>
    <t>gun-40009076</t>
  </si>
  <si>
    <t>gun-50009076</t>
  </si>
  <si>
    <t>gun-60009076</t>
  </si>
  <si>
    <t>gun-10009077</t>
  </si>
  <si>
    <t>Plaincloth_Ally</t>
  </si>
  <si>
    <t>gun-40009077</t>
  </si>
  <si>
    <t>gun-50009077</t>
  </si>
  <si>
    <t>gun-60009077</t>
  </si>
  <si>
    <t>gun-10009078</t>
  </si>
  <si>
    <t>Nele</t>
  </si>
  <si>
    <t>gun-40009078</t>
  </si>
  <si>
    <t>gun-50009078</t>
  </si>
  <si>
    <t>gun-60009078</t>
  </si>
  <si>
    <t>gun-10009079</t>
  </si>
  <si>
    <t>Dandelion_M4</t>
  </si>
  <si>
    <t>gun-40009079</t>
  </si>
  <si>
    <t>gun-50009079</t>
  </si>
  <si>
    <t>gun-60009079</t>
  </si>
  <si>
    <t>117601,117602,117603,117604,117606,117619,117621,117624,117634,117635,117637,117638,117636</t>
  </si>
  <si>
    <t>gun-10009080</t>
  </si>
  <si>
    <t>gun-40009080</t>
  </si>
  <si>
    <t>gun-50009080</t>
  </si>
  <si>
    <t>gun-60009080</t>
  </si>
  <si>
    <t>gun-10009081</t>
  </si>
  <si>
    <t>Dana_Car</t>
  </si>
  <si>
    <t>gun-40009081</t>
  </si>
  <si>
    <t>gun-50009081</t>
  </si>
  <si>
    <t>gun-60009081</t>
  </si>
  <si>
    <t>721006,701005</t>
  </si>
  <si>
    <t>gun-10009082</t>
  </si>
  <si>
    <t>gun-40009082</t>
  </si>
  <si>
    <t>gun-50009082</t>
  </si>
  <si>
    <t>gun-60009082</t>
  </si>
  <si>
    <t>gun-10009083</t>
  </si>
  <si>
    <t>gun-40009083</t>
  </si>
  <si>
    <t>gun-50009083</t>
  </si>
  <si>
    <t>gun-60009083</t>
  </si>
  <si>
    <t>gun-10009084</t>
  </si>
  <si>
    <t>gun-40009084</t>
  </si>
  <si>
    <t>gun-50009084</t>
  </si>
  <si>
    <t>gun-60009084</t>
  </si>
  <si>
    <t>gun-10009085</t>
  </si>
  <si>
    <t>gun-40009085</t>
  </si>
  <si>
    <t>gun-50009085</t>
  </si>
  <si>
    <t>gun-60009085</t>
  </si>
  <si>
    <t>gun-10009086</t>
  </si>
  <si>
    <t>TOW_Ally</t>
  </si>
  <si>
    <t>gun-40009086</t>
  </si>
  <si>
    <t>gun-50009086</t>
  </si>
  <si>
    <t>gun-60009086</t>
  </si>
  <si>
    <t>gun-10009087</t>
  </si>
  <si>
    <t>PP93_Ally</t>
  </si>
  <si>
    <t>gun-40009087</t>
  </si>
  <si>
    <t>gun-50009087</t>
  </si>
  <si>
    <t>gun-60009087</t>
  </si>
  <si>
    <t>gun-10009088</t>
  </si>
  <si>
    <t>QLZ04_Ally</t>
  </si>
  <si>
    <t>gun-40009088</t>
  </si>
  <si>
    <t>gun-50009088</t>
  </si>
  <si>
    <t>gun-60009088</t>
  </si>
  <si>
    <t>gun-10009089</t>
  </si>
  <si>
    <t>empty</t>
  </si>
  <si>
    <t>gun-40009089</t>
  </si>
  <si>
    <t>gun-50009089</t>
  </si>
  <si>
    <t>gun-60009089</t>
  </si>
  <si>
    <t>118301,118304,118302,118309</t>
  </si>
  <si>
    <t>gun-10009090</t>
  </si>
  <si>
    <t>gun-40009090</t>
  </si>
  <si>
    <t>gun-50009090</t>
  </si>
  <si>
    <t>gun-60009090</t>
  </si>
  <si>
    <t>118115,118117,118123,118124,118121,118122,118125,118205,118126,118159,118160,118171</t>
  </si>
  <si>
    <t>1,0;4,0</t>
  </si>
  <si>
    <t>gun-10009091</t>
  </si>
  <si>
    <t>gun-40009091</t>
  </si>
  <si>
    <t>gun-50009091</t>
  </si>
  <si>
    <t>gun-60009091</t>
  </si>
  <si>
    <t>118130,118131,118127,118228,118144,118145,118146,118147,118159,118160</t>
  </si>
  <si>
    <t>6,0</t>
  </si>
  <si>
    <t>gun-10009092</t>
  </si>
  <si>
    <t>gun-40009092</t>
  </si>
  <si>
    <t>gun-50009092</t>
  </si>
  <si>
    <t>gun-60009092</t>
  </si>
  <si>
    <t>118136,118137,118138,118139,118140,118132,118233,118159,118160</t>
  </si>
  <si>
    <t>1,0;3,0</t>
  </si>
  <si>
    <t>gun-10009093</t>
  </si>
  <si>
    <t>DesertEagle_6501</t>
  </si>
  <si>
    <t>gun-40009093</t>
  </si>
  <si>
    <t>gun-50009093</t>
  </si>
  <si>
    <t>gun-60009093</t>
  </si>
  <si>
    <t>118149,118150,118151,118152,118153,118156,118157,118158,118255</t>
  </si>
  <si>
    <t>1,0;5,0</t>
  </si>
  <si>
    <t>gun-10009094</t>
  </si>
  <si>
    <t>gun-40009094</t>
  </si>
  <si>
    <t>gun-50009094</t>
  </si>
  <si>
    <t>gun-60009094</t>
  </si>
  <si>
    <t>118162,118163,118164,118165,118166,118167,118159,118160,118172,118173</t>
  </si>
  <si>
    <t>3,0;8,0</t>
  </si>
  <si>
    <t>gun-10009095</t>
  </si>
  <si>
    <t>gun-40009095</t>
  </si>
  <si>
    <t>gun-50009095</t>
  </si>
  <si>
    <t>gun-60009095</t>
  </si>
  <si>
    <t>118303,118301,118302,118309</t>
  </si>
  <si>
    <t>gun-10009096</t>
  </si>
  <si>
    <t>gun-40009096</t>
  </si>
  <si>
    <t>gun-50009096</t>
  </si>
  <si>
    <t>gun-60009096</t>
  </si>
  <si>
    <t>118305,118301,118302,118307,118308,118309</t>
  </si>
  <si>
    <t>gun-10009097</t>
  </si>
  <si>
    <t>gun-40009097</t>
  </si>
  <si>
    <t>gun-50009097</t>
  </si>
  <si>
    <t>gun-60009097</t>
  </si>
  <si>
    <t>118306,118301,118302,118307,118308,118309</t>
  </si>
  <si>
    <t>gun-10009098</t>
  </si>
  <si>
    <t>gun-40009098</t>
  </si>
  <si>
    <t>gun-50009098</t>
  </si>
  <si>
    <t>gun-60009098</t>
  </si>
  <si>
    <t>403415,403416,403417,403418,403419,403420</t>
  </si>
  <si>
    <t>gun-10009099</t>
  </si>
  <si>
    <t>Beak</t>
  </si>
  <si>
    <t>gun-40009099</t>
  </si>
  <si>
    <t>gun-50009099</t>
  </si>
  <si>
    <t>gun-60009099</t>
  </si>
  <si>
    <t>gun-10009100</t>
  </si>
  <si>
    <t>Dupijin</t>
  </si>
  <si>
    <t>gun-40009100</t>
  </si>
  <si>
    <t>gun-50009100</t>
  </si>
  <si>
    <t>gun-60009100</t>
  </si>
  <si>
    <t>gun-10030156</t>
  </si>
  <si>
    <t>SuperShorty_sangvis</t>
  </si>
  <si>
    <t>gun-40030156</t>
  </si>
  <si>
    <t>gun-50030156</t>
  </si>
  <si>
    <t>gun-60030156</t>
  </si>
  <si>
    <t>gun-10030164</t>
  </si>
  <si>
    <t>FP6_sangvis</t>
  </si>
  <si>
    <t>gun-40030164</t>
  </si>
  <si>
    <t>gun-50030164</t>
  </si>
  <si>
    <t>gun-60030164</t>
  </si>
  <si>
    <t>300202,300203,110023</t>
  </si>
  <si>
    <t>gun-10030229</t>
  </si>
  <si>
    <t>M870_sangvis</t>
  </si>
  <si>
    <t>gun-40030229</t>
  </si>
  <si>
    <t>gun-50030229</t>
  </si>
  <si>
    <t>gun-60030229</t>
  </si>
  <si>
    <t>300202,300203,200429</t>
  </si>
  <si>
    <t>gun-10090001</t>
  </si>
  <si>
    <t>ISC</t>
  </si>
  <si>
    <t>gun-40090001</t>
  </si>
  <si>
    <t>gun-50090001</t>
  </si>
  <si>
    <t>gun-60090001</t>
  </si>
  <si>
    <t>equip-10000276</t>
  </si>
  <si>
    <t>equip-20000276</t>
  </si>
  <si>
    <t>100</t>
  </si>
  <si>
    <t>equip-30000276</t>
  </si>
  <si>
    <t>MS - Hole 1 DEFY</t>
  </si>
  <si>
    <t>DR Hole 2</t>
  </si>
  <si>
    <t>DR Hole 3</t>
  </si>
  <si>
    <t>9411408,9411407,9411409,9411410,9411411,9411412,9411413,9411414,9411415,9411416,9411417,9411418,9411419,9411420,9411421,9411422</t>
  </si>
  <si>
    <t>MS Hole 1</t>
  </si>
  <si>
    <t>44430009,44430008,44430005,44430003,44430004,44430002,44430010,44430006,44430007,44430011</t>
  </si>
  <si>
    <t>MS Hole 2 Layer 1</t>
  </si>
  <si>
    <t>44440001,44440002,44440003,44440004,44440005,44440006,44440035,44440036,44440037,44440038,44440039</t>
  </si>
  <si>
    <t>MS Hole 2 Layer 2</t>
  </si>
  <si>
    <t>44440010,44440017,44440019,44440013,44440014,44440015,44440016,44440040</t>
  </si>
  <si>
    <t>MS Hole 2 Layer 3</t>
  </si>
  <si>
    <t>44440018,44440020,44440022,44440023,44440025,44440026,44440024,44440021</t>
  </si>
  <si>
    <t>MS Hole 2 Layer 4</t>
  </si>
  <si>
    <t>44440027,44440028,44440029,44440030,44440031,44440032,44440033,44440034,44440009,44440043,44440045,44440046,44440047,44440048</t>
  </si>
  <si>
    <t>IDs</t>
  </si>
  <si>
    <t>PL - PPBB</t>
  </si>
  <si>
    <t>PL - 3MG Kordboat</t>
  </si>
  <si>
    <t>DR - 2MG Kordboat</t>
  </si>
  <si>
    <t>Generic - 5HG</t>
  </si>
  <si>
    <t>Generic - ARSMG</t>
  </si>
  <si>
    <t>Generic - RFHG</t>
  </si>
  <si>
    <t>Generic - 2 Manti, 1 Jaeger</t>
  </si>
  <si>
    <t>Generic - 1 Manti, 2 Nem, 1 Jaeger</t>
  </si>
  <si>
    <t>Generic - Intruder Tarantulas</t>
  </si>
  <si>
    <t>"fairy_skill_on_team":"{\"1\":{\"1\":{\"team_id\":1,\"buff_id\":\"buff1\",\"source_type\":1,\"source_value\":1,\"start_turn\":\"turnnum\",\"battle_count\":0,\"battle_finish_count\":0,\"person_move_count\":1,\"person_shift_count\":1,\"mission_skill_config_id\":\"config1skill1\"}}}",</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</si>
  <si>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</si>
  <si>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3\":{\"team_id\":1,\"buff_id\":\"buff3\",\"source_type\":1,\"source_value\":1,\"start_turn\":\"turnnum\",\"battle_count\":1,\"battle_finish_count\":0,\"person_move_count\":1,\"person_shift_count\":1,\"mission_skill_config_id\":\"config3skill3\"}}}",</t>
  </si>
  <si>
    <t>Desert 1 (negation)</t>
  </si>
  <si>
    <t>Desert 2 (debuff)</t>
  </si>
  <si>
    <t>Sangvis:</t>
  </si>
  <si>
    <t>Sangvis Res:</t>
  </si>
  <si>
    <t>equip-10000277</t>
  </si>
  <si>
    <t>equip-20000277</t>
  </si>
  <si>
    <t>DHG</t>
  </si>
  <si>
    <t>equip-30000277</t>
  </si>
  <si>
    <t>dodge:1000,hit:700</t>
  </si>
  <si>
    <t>sangvis-10001018</t>
  </si>
  <si>
    <t>Hunter_WhiteDay</t>
  </si>
  <si>
    <t>sangvis-40001018</t>
  </si>
  <si>
    <t>sangvis-30001018</t>
  </si>
  <si>
    <t>750364</t>
  </si>
  <si>
    <t>750371</t>
  </si>
  <si>
    <t>750368,750369,750372,750374,750375,750376</t>
  </si>
  <si>
    <t>5:2,10;4,15|6:1,10;3,15</t>
  </si>
  <si>
    <t>sangvis-10002017</t>
  </si>
  <si>
    <t>Vespid_bride</t>
  </si>
  <si>
    <t>sangvis-40002017</t>
  </si>
  <si>
    <t>sangvis-30002017</t>
  </si>
  <si>
    <t>5:2,6;4,10|6:1,6;3,10</t>
  </si>
  <si>
    <t>This tab provides a list of comma-delimited IDs that can be used to populate the Enemy ID box when using the TargetTrain feature.</t>
  </si>
  <si>
    <t>Vespid_Bride</t>
  </si>
  <si>
    <t>MS - Layer 1 Armor</t>
  </si>
  <si>
    <t>MS - Layer 3 Alchemist</t>
  </si>
  <si>
    <t>MS - Layer 1 Hunter</t>
  </si>
  <si>
    <t>ITI</t>
  </si>
  <si>
    <t>ITI2</t>
  </si>
  <si>
    <t>ITI3</t>
  </si>
  <si>
    <t>ITI4</t>
  </si>
  <si>
    <t>ITI5</t>
  </si>
  <si>
    <t>MS - Layer 3 M500 Shieldspam</t>
  </si>
  <si>
    <t>MS - Layer 4 Desert</t>
  </si>
  <si>
    <t>For an actual stat calculator:</t>
  </si>
  <si>
    <t>https://docs.google.com/spreadsheets/d/1TYKbdjuOdOMsvaaIduWW_8FF0tm27BjwKbC4uggl1wE/edit#gid=79016818</t>
  </si>
  <si>
    <t>MS - Layer 2 Boss (RFB)</t>
  </si>
  <si>
    <t>G36cMod</t>
  </si>
  <si>
    <t>FP - RO/PPQ/Zip/Pekola/MG338</t>
  </si>
  <si>
    <t>FP - Ribey/AK15/QBZ/G36c/SP9</t>
  </si>
  <si>
    <t>FP - Deagle/SAA/Welmod/M500/Grape</t>
  </si>
  <si>
    <t>gun-10000363</t>
  </si>
  <si>
    <t>gun-40000363</t>
  </si>
  <si>
    <t>gun-50000363</t>
  </si>
  <si>
    <t>gun-60000363</t>
  </si>
  <si>
    <t>119306,119310</t>
  </si>
  <si>
    <t>119302,119303,119304,119308,119309</t>
  </si>
  <si>
    <t>7,8,18,9</t>
  </si>
  <si>
    <t>2022-04-07 00:00:00</t>
  </si>
  <si>
    <t>gun-10000364</t>
  </si>
  <si>
    <t>MPK</t>
  </si>
  <si>
    <t>gun-40000364</t>
  </si>
  <si>
    <t>gun-50000364</t>
  </si>
  <si>
    <t>gun-60000364</t>
  </si>
  <si>
    <t>119202,119210,119211</t>
  </si>
  <si>
    <t>119203,119204,119206,119207,119208,119209</t>
  </si>
  <si>
    <t>2,3,8,4</t>
  </si>
  <si>
    <t>gun-10000365</t>
  </si>
  <si>
    <t>SCR</t>
  </si>
  <si>
    <t>gun-40000365</t>
  </si>
  <si>
    <t>gun-50000365</t>
  </si>
  <si>
    <t>gun-60000365</t>
  </si>
  <si>
    <t>750384,750385,750386,750387,750388,750389,750390,750391,750392,750393,750394,750395,750396</t>
  </si>
  <si>
    <t>4,25</t>
  </si>
  <si>
    <t>equip-10000278</t>
  </si>
  <si>
    <t>equip-20000278</t>
  </si>
  <si>
    <t>equip-30000278</t>
  </si>
  <si>
    <t>equip-10000279</t>
  </si>
  <si>
    <t>equip-20000279</t>
  </si>
  <si>
    <t>equip-30000279</t>
  </si>
  <si>
    <t>equip-10000280</t>
  </si>
  <si>
    <t>equip-20000280</t>
  </si>
  <si>
    <t>7,12</t>
  </si>
  <si>
    <t>WOLF</t>
  </si>
  <si>
    <t>equip-30000280</t>
  </si>
  <si>
    <t>pow:900,hit:700</t>
  </si>
  <si>
    <t>equip-10000281</t>
  </si>
  <si>
    <t>equip-20000281</t>
  </si>
  <si>
    <t>40</t>
  </si>
  <si>
    <t>equip-30000281</t>
  </si>
  <si>
    <t>equip-10000282</t>
  </si>
  <si>
    <t>equip-20000282</t>
  </si>
  <si>
    <t>equip-30000282</t>
  </si>
  <si>
    <t>Doll1</t>
  </si>
  <si>
    <t>Doll2</t>
  </si>
  <si>
    <t>Eq1-1</t>
  </si>
  <si>
    <t>Eq1-2</t>
  </si>
  <si>
    <t>Eq1-3</t>
  </si>
  <si>
    <t>Eq2-1</t>
  </si>
  <si>
    <t>Eq2-2</t>
  </si>
  <si>
    <t>Eq2-3</t>
  </si>
  <si>
    <t>Eq3-1</t>
  </si>
  <si>
    <t>Eq3-2</t>
  </si>
  <si>
    <t>Eq3-3</t>
  </si>
  <si>
    <t>Eq4-1</t>
  </si>
  <si>
    <t>Eq4-2</t>
  </si>
  <si>
    <t>Eq4-3</t>
  </si>
  <si>
    <t>Eq5-1</t>
  </si>
  <si>
    <t>Eq5-2</t>
  </si>
  <si>
    <t>Eq5-3</t>
  </si>
  <si>
    <t>Final Dropdowns -&gt;</t>
  </si>
  <si>
    <t>Doll3</t>
  </si>
  <si>
    <t>Doll4</t>
  </si>
  <si>
    <t>Doll5</t>
  </si>
  <si>
    <t>Base Path (Excel):</t>
  </si>
  <si>
    <t>Base Path (Libre):</t>
  </si>
  <si>
    <r>
      <t xml:space="preserve">Enter equipment info below - recommended to name dropdowns; select equipment type first; paste </t>
    </r>
    <r>
      <rPr>
        <b/>
        <u/>
        <sz val="11"/>
        <rFont val="Calibri"/>
        <family val="2"/>
        <scheme val="minor"/>
      </rPr>
      <t>values</t>
    </r>
    <r>
      <rPr>
        <b/>
        <sz val="11"/>
        <rFont val="Calibri"/>
        <family val="2"/>
        <scheme val="minor"/>
      </rPr>
      <t xml:space="preserve"> instead of filling down:</t>
    </r>
  </si>
  <si>
    <t>Generic - 3MG1SG</t>
  </si>
  <si>
    <r>
      <t xml:space="preserve">Basic equipment presets - copy/paste </t>
    </r>
    <r>
      <rPr>
        <b/>
        <u/>
        <sz val="11"/>
        <rFont val="Calibri"/>
        <family val="2"/>
        <scheme val="minor"/>
      </rPr>
      <t>values</t>
    </r>
    <r>
      <rPr>
        <b/>
        <sz val="11"/>
        <rFont val="Calibri"/>
        <family val="2"/>
        <scheme val="minor"/>
      </rPr>
      <t xml:space="preserve"> to the area above and adjust as needed; does not account for SPEQs:</t>
    </r>
  </si>
  <si>
    <t>equip-10000283</t>
  </si>
  <si>
    <t>equip-20000283</t>
  </si>
  <si>
    <t>equip-30000283</t>
  </si>
  <si>
    <t>sangvis-10001019</t>
  </si>
  <si>
    <t>Cerberus</t>
  </si>
  <si>
    <t>BossCerberus</t>
  </si>
  <si>
    <t>sangvis-40001019</t>
  </si>
  <si>
    <t>sangvis-30001019</t>
  </si>
  <si>
    <t>750398</t>
  </si>
  <si>
    <t>750408</t>
  </si>
  <si>
    <t>3:1,15;4,15;5,15</t>
  </si>
  <si>
    <t>3:1,10;4,10;5,10</t>
  </si>
  <si>
    <t>fairy_skill_on_sangvis</t>
  </si>
  <si>
    <t>Judge Shields &amp; Armor/Eva</t>
  </si>
  <si>
    <t>300201,300202,740029</t>
  </si>
  <si>
    <t>gun-10020010</t>
  </si>
  <si>
    <t>PPKMod</t>
  </si>
  <si>
    <t>gun-40020010</t>
  </si>
  <si>
    <t>gun-50020010</t>
  </si>
  <si>
    <t>gun-60020010</t>
  </si>
  <si>
    <t>804113,804114,804115,804116</t>
  </si>
  <si>
    <t>7,8,9,18,12,14</t>
  </si>
  <si>
    <t>2,18;5,10</t>
  </si>
  <si>
    <t>gun-10020088</t>
  </si>
  <si>
    <t>MG3Mod</t>
  </si>
  <si>
    <t>gun-40020088</t>
  </si>
  <si>
    <t>gun-50020088</t>
  </si>
  <si>
    <t>gun-60020088</t>
  </si>
  <si>
    <t>740028,740031</t>
  </si>
  <si>
    <t>gun-10020115</t>
  </si>
  <si>
    <t>KP31Mod</t>
  </si>
  <si>
    <t>gun-40020115</t>
  </si>
  <si>
    <t>gun-50020115</t>
  </si>
  <si>
    <t>gun-60020115</t>
  </si>
  <si>
    <t>804218,804204</t>
  </si>
  <si>
    <t>804202,804206</t>
  </si>
  <si>
    <t>gun-10020230</t>
  </si>
  <si>
    <t>OBRMod</t>
  </si>
  <si>
    <t>gun-40020230</t>
  </si>
  <si>
    <t>gun-50020230</t>
  </si>
  <si>
    <t>gun-60020230</t>
  </si>
  <si>
    <t>740036</t>
  </si>
  <si>
    <t>740033,740035</t>
  </si>
  <si>
    <t>88,20088</t>
  </si>
  <si>
    <t>10,20010</t>
  </si>
  <si>
    <t>115,20115</t>
  </si>
  <si>
    <t>equip-10000284</t>
  </si>
  <si>
    <t>equip-20000284</t>
  </si>
  <si>
    <t>equip-30000284</t>
  </si>
  <si>
    <t>equip-10000285</t>
  </si>
  <si>
    <t>equip-20000285</t>
  </si>
  <si>
    <t>equip-30000285</t>
  </si>
  <si>
    <t>equip-10000286</t>
  </si>
  <si>
    <t>equip-20000286</t>
  </si>
  <si>
    <t>VKT</t>
  </si>
  <si>
    <t>equip-30000286</t>
  </si>
  <si>
    <t>759034</t>
  </si>
  <si>
    <t>equip-10000287</t>
  </si>
  <si>
    <t>equip-20000287</t>
  </si>
  <si>
    <t>HARRIS</t>
  </si>
  <si>
    <t>230,20230</t>
  </si>
  <si>
    <t>equip-30000287</t>
  </si>
  <si>
    <t>SuomiMod</t>
  </si>
  <si>
    <t>Seed #:</t>
  </si>
  <si>
    <t>Node Color:</t>
  </si>
  <si>
    <t>Mode:</t>
  </si>
  <si>
    <t>GitHub Repo:</t>
  </si>
  <si>
    <t>Generic - MGSG</t>
  </si>
  <si>
    <t>seed</t>
  </si>
  <si>
    <t>equip-10000288</t>
  </si>
  <si>
    <t>equip-20000288</t>
  </si>
  <si>
    <t>187</t>
  </si>
  <si>
    <t>equip-30000288</t>
  </si>
  <si>
    <t>pow:1000,hit:750</t>
  </si>
  <si>
    <t>759041</t>
  </si>
  <si>
    <t>sangvis-10001020</t>
  </si>
  <si>
    <t>Nyto_White_Summer</t>
  </si>
  <si>
    <t>sangvis-40001020</t>
  </si>
  <si>
    <t>sangvis-30001020</t>
  </si>
  <si>
    <t>750410</t>
  </si>
  <si>
    <t>750421,750422,750424,750425,750426,750427,750428,750429,750431,750447</t>
  </si>
  <si>
    <t>750010</t>
  </si>
  <si>
    <t>1:5,10;8,10|4:1,15;4,15</t>
  </si>
  <si>
    <t>sangvis-10002018</t>
  </si>
  <si>
    <t>RecceCentreSwim_buhuo</t>
  </si>
  <si>
    <t>sangvis-40002018</t>
  </si>
  <si>
    <t>sangvis-30002018</t>
  </si>
  <si>
    <t>20,60</t>
  </si>
  <si>
    <t>750432,902167</t>
  </si>
  <si>
    <t>750445,750446</t>
  </si>
  <si>
    <t>1:5,6;8,6|4:1,10;4,10</t>
  </si>
  <si>
    <t>RecceCentre_Swim</t>
  </si>
  <si>
    <t>equip-10000289</t>
  </si>
  <si>
    <t>equip-20000289</t>
  </si>
  <si>
    <t>120</t>
  </si>
  <si>
    <t>equip-30000289</t>
  </si>
  <si>
    <t>pow:1000,critical_percent:800</t>
  </si>
  <si>
    <t>equip-10000290</t>
  </si>
  <si>
    <t>equip-20000290</t>
  </si>
  <si>
    <t>19,24</t>
  </si>
  <si>
    <t>86</t>
  </si>
  <si>
    <t>equip-30000290</t>
  </si>
  <si>
    <t>pow:1000,critical_percent:1000,hit:1000</t>
  </si>
  <si>
    <t>equip-10000291</t>
  </si>
  <si>
    <t>equip-20000291</t>
  </si>
  <si>
    <t>11</t>
  </si>
  <si>
    <t>equip-30000291</t>
  </si>
  <si>
    <t>equip-10000292</t>
  </si>
  <si>
    <t>equip-20000292</t>
  </si>
  <si>
    <t>PT</t>
  </si>
  <si>
    <t>160</t>
  </si>
  <si>
    <t>equip-30000292</t>
  </si>
  <si>
    <t>759044</t>
  </si>
  <si>
    <t xml:space="preserve"> </t>
  </si>
  <si>
    <t>gun-10000366</t>
  </si>
  <si>
    <t>SPAS15</t>
  </si>
  <si>
    <t>gun-40000366</t>
  </si>
  <si>
    <t>gun-50000366</t>
  </si>
  <si>
    <t>gun-60000366</t>
  </si>
  <si>
    <t>300202,300203,750474,750479,750479,750513</t>
  </si>
  <si>
    <t>750480,750481,750482</t>
  </si>
  <si>
    <t>12,14,7,2,3,4,9</t>
  </si>
  <si>
    <t>6,30</t>
  </si>
  <si>
    <t>2022-07-13 00:00:00</t>
  </si>
  <si>
    <t>gun-10000367</t>
  </si>
  <si>
    <t>MK3A1</t>
  </si>
  <si>
    <t>gun-40000367</t>
  </si>
  <si>
    <t>gun-50000367</t>
  </si>
  <si>
    <t>gun-60000367</t>
  </si>
  <si>
    <t>300202,300203,750507,750508,750516</t>
  </si>
  <si>
    <t>750484,750485,750486</t>
  </si>
  <si>
    <t>3,8,4,9,5,10</t>
  </si>
  <si>
    <t>4,100;5,100</t>
  </si>
  <si>
    <t>gun-10000368</t>
  </si>
  <si>
    <t>UTS15</t>
  </si>
  <si>
    <t>gun-40000368</t>
  </si>
  <si>
    <t>gun-50000368</t>
  </si>
  <si>
    <t>gun-60000368</t>
  </si>
  <si>
    <t>750511</t>
  </si>
  <si>
    <t>Debuff ID</t>
  </si>
  <si>
    <t>Debuff</t>
  </si>
  <si>
    <t>(De)Buffs for Player Team</t>
  </si>
  <si>
    <t>(De)Buffs for Enemy</t>
  </si>
  <si>
    <t>Dandelion Clone</t>
  </si>
  <si>
    <t>Dandelion Debuff</t>
  </si>
  <si>
    <t>Strategy Fairy and Debuff Inputs:</t>
  </si>
  <si>
    <t>Strategy Fairy:</t>
  </si>
  <si>
    <t>Debuffs:</t>
  </si>
  <si>
    <t>"fairy_skill_on_enemy":"[]",</t>
  </si>
  <si>
    <t>"fairy_skill_on_enemy":"{\"1\":{\"1\":{\"enemy_instance_id\":1,\"buff_id\":\"buff1\",\"source_type\":61,\"source_value\":1,\"start_turn\":\"turnnum\",\"battle_count\":0,\"battle_finish_count\":0,\"person_move_count\":0,\"person_shift_count\":0,\"mission_skill_config_id\":\"config1skill1\",\"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</si>
  <si>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</si>
  <si>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3\":{\"3\":{\"enemy_instance_id\":1,\"buff_id\":\"buff3\",\"source_type\":61,\"source_value\":1,\"start_turn\":\"turnnum\",\"battle_count\":0,\"battle_finish_count\":0,\"person_move_count\":0,\"person_shift_count\":0,\"mission_skill_config_id\":\"config3skill3\",\"sangvis_chip_info\":[]}}}",</t>
  </si>
  <si>
    <t>Agent Para Debuff</t>
  </si>
  <si>
    <t>Defense (pre-rework)</t>
  </si>
  <si>
    <t>Para Debuff</t>
  </si>
  <si>
    <t>Para Debuff (EMP)</t>
  </si>
  <si>
    <t>MS - Layer 2 M4Exodia</t>
  </si>
  <si>
    <t>gun-10009101</t>
  </si>
  <si>
    <t>summer_commander</t>
  </si>
  <si>
    <t>gun-40009101</t>
  </si>
  <si>
    <t>gun-50009101</t>
  </si>
  <si>
    <t>gun-60009101</t>
  </si>
  <si>
    <t>119401,119402,119403,119404,119415,119416,119417,119414,119470</t>
  </si>
  <si>
    <t>equip-10000293</t>
  </si>
  <si>
    <t>equip-20000293</t>
  </si>
  <si>
    <t>324</t>
  </si>
  <si>
    <t>equip-30000293</t>
  </si>
  <si>
    <t>pow:700,armor:400</t>
  </si>
  <si>
    <t>equip-10000294</t>
  </si>
  <si>
    <t>equip-20000294</t>
  </si>
  <si>
    <t>274</t>
  </si>
  <si>
    <t>equip-30000294</t>
  </si>
  <si>
    <t>759046</t>
  </si>
  <si>
    <t>related_story_id</t>
  </si>
  <si>
    <t>show_damage_skin</t>
  </si>
  <si>
    <t>equip-10000295</t>
  </si>
  <si>
    <t>equip-20000295</t>
  </si>
  <si>
    <t>25,30</t>
  </si>
  <si>
    <t>CG</t>
  </si>
  <si>
    <t>73</t>
  </si>
  <si>
    <t>equip-30000295</t>
  </si>
  <si>
    <t>critical_percent:850,critical_harm_rate:500</t>
  </si>
  <si>
    <t>759055</t>
  </si>
  <si>
    <t>类型            半自动手枪_x000D_
总重            空枪：760克_x000D_
全长            190毫米_x000D_
枪管长度        111毫米_x000D_
弹药            DAP92式9毫米普通弹_x000D_
                9毫米鲁格弹_x000D_
枪机种类        后座作用_x000D_
                闭膛待机_x000D_
                枪管旋转闭锁_x000D_
                双动式_x000D_
枪口初速        350—370 米/秒_x000D_
有效射程        50米_x000D_
供弹方式        10／15发弹匣_x000D_
瞄准具型式      固定准星，缺口式照门</t>
  </si>
  <si>
    <t>92式,报到！那么,我该去哪里？</t>
  </si>
  <si>
    <t>类型            手动步枪_x000D_
总重            3.7-4.1公斤_x000D_
全长            1110毫米_x000D_
枪管长度        610毫米_x000D_
弹药            7.92×57毫米尖头弹_x000D_
枪机种类        旋转后拉式枪机_x000D_
枪口初速        760 米／秒_x000D_
有效射程        500米(机械瞄具)_x000D_
               1000米(架上瞄准镜)_x000D_
供弹方式        5发弹夹_x000D_
瞄准具型式      机械瞄具,加装瞄准镜</t>
  </si>
  <si>
    <t>毛瑟98K,为您效劳。让我来为您扫除前方的障碍吧。</t>
  </si>
  <si>
    <t>类型            手动步枪_x000D_
总重            3.96公斤_x000D_
全长            1130毫米_x000D_
枪管长度        640毫米_x000D_
弹药            .303 British（7.7×56mm R）_x000D_
                7.92×57毫米尖头弹(为适应中国战场所改膛的)_x000D_
枪机种类        旋转后拉式枪机_x000D_
枪口初速        744米／秒_x000D_
有效射程        914米_x000D_
供弹方式        10发内置弹仓（两个5发弹夹）</t>
  </si>
  <si>
    <t>从今天起我就是您的部下了,李·恩菲尔德,将永远跟随您的指挥。</t>
  </si>
  <si>
    <t>类型            突击步枪_x000D_
总重            空枪：4.03公斤_x000D_
全长            874毫米（枪刺折叠）；_x000D_
                1100毫米（枪刺展开）_x000D_
枪管长度         415毫米_x000D_
弹药            7.62 × 39毫米_x000D_
                M1943式中间型威力枪弹_x000D_
枪机种类        长行程导气式活塞、转拴式枪机_x000D_
发射速率        600发/分钟_x000D_
枪口初速        710~730米/每秒_x000D_
有效射程        400米_x000D_
供弹方式        30发弹匣</t>
  </si>
  <si>
    <t>56-1式冲锋枪,前来报到！我会坚决消灭每一个敌人！</t>
  </si>
  <si>
    <t>gun-10000369</t>
  </si>
  <si>
    <t>M327</t>
  </si>
  <si>
    <t>gun-40000369</t>
  </si>
  <si>
    <t>gun-50000369</t>
  </si>
  <si>
    <t>gun-60000369</t>
  </si>
  <si>
    <t>750557,750574,750575,750558,750559</t>
  </si>
  <si>
    <t>750572</t>
  </si>
  <si>
    <t>18,19,14,15</t>
  </si>
  <si>
    <t>2022-09-06 00:00:00</t>
  </si>
  <si>
    <t>252</t>
  </si>
  <si>
    <t>gun-10000370</t>
  </si>
  <si>
    <t>P290</t>
  </si>
  <si>
    <t>gun-40000370</t>
  </si>
  <si>
    <t>gun-50000370</t>
  </si>
  <si>
    <t>gun-60000370</t>
  </si>
  <si>
    <t>750520,750521</t>
  </si>
  <si>
    <t>750518,750519</t>
  </si>
  <si>
    <t>1,16;4,6</t>
  </si>
  <si>
    <t>gun-10000371</t>
  </si>
  <si>
    <t>Saiga308</t>
  </si>
  <si>
    <t>gun-40000371</t>
  </si>
  <si>
    <t>gun-50000371</t>
  </si>
  <si>
    <t>gun-60000371</t>
  </si>
  <si>
    <t>750541</t>
  </si>
  <si>
    <t>251</t>
  </si>
  <si>
    <t>gun-10000372</t>
  </si>
  <si>
    <t>AR18</t>
  </si>
  <si>
    <t>gun-40000372</t>
  </si>
  <si>
    <t>gun-50000372</t>
  </si>
  <si>
    <t>gun-60000372</t>
  </si>
  <si>
    <t>750576,750543</t>
  </si>
  <si>
    <t>750544</t>
  </si>
  <si>
    <t>253</t>
  </si>
  <si>
    <t>gun-10000373</t>
  </si>
  <si>
    <t>CMR30</t>
  </si>
  <si>
    <t>gun-40000373</t>
  </si>
  <si>
    <t>gun-50000373</t>
  </si>
  <si>
    <t>gun-60000373</t>
  </si>
  <si>
    <t>750525,750527</t>
  </si>
  <si>
    <t>gun-10000374</t>
  </si>
  <si>
    <t>M240L</t>
  </si>
  <si>
    <t>gun-40000374</t>
  </si>
  <si>
    <t>gun-50000374</t>
  </si>
  <si>
    <t>gun-60000374</t>
  </si>
  <si>
    <t>750529,750530,750531,750533,750534,750537,750538,300201,300202</t>
  </si>
  <si>
    <t>750535</t>
  </si>
  <si>
    <t>23,14,19,24,15,25</t>
  </si>
  <si>
    <t>1,10;2,10;8,10</t>
  </si>
  <si>
    <t>gun-10009102</t>
  </si>
  <si>
    <t>AR18_NPC</t>
  </si>
  <si>
    <t>gun-40009102</t>
  </si>
  <si>
    <t>gun-50009102</t>
  </si>
  <si>
    <t>gun-60009102</t>
  </si>
  <si>
    <t>gun-10009103</t>
  </si>
  <si>
    <t>ColtWalker_NPC</t>
  </si>
  <si>
    <t>gun-40009103</t>
  </si>
  <si>
    <t>gun-50009103</t>
  </si>
  <si>
    <t>gun-60009103</t>
  </si>
  <si>
    <t>gun-10009104</t>
  </si>
  <si>
    <t>Erma_NPC</t>
  </si>
  <si>
    <t>gun-40009104</t>
  </si>
  <si>
    <t>gun-50009104</t>
  </si>
  <si>
    <t>gun-60009104</t>
  </si>
  <si>
    <t>gun-10020013</t>
  </si>
  <si>
    <t>92typeMod</t>
  </si>
  <si>
    <t>gun-40020013</t>
  </si>
  <si>
    <t>gun-50020013</t>
  </si>
  <si>
    <t>gun-60020013</t>
  </si>
  <si>
    <t>740044,200427,756161</t>
  </si>
  <si>
    <t>740042,740061</t>
  </si>
  <si>
    <t>3,30;4,25</t>
  </si>
  <si>
    <t>gun-10020046</t>
  </si>
  <si>
    <t>98KMod</t>
  </si>
  <si>
    <t>gun-40020046</t>
  </si>
  <si>
    <t>gun-50020046</t>
  </si>
  <si>
    <t>gun-60020046</t>
  </si>
  <si>
    <t>740048,740049,740050,740051,740053,740054,740055</t>
  </si>
  <si>
    <t>gun-10020050</t>
  </si>
  <si>
    <t>MLEMK1Mod</t>
  </si>
  <si>
    <t>gun-40020050</t>
  </si>
  <si>
    <t>gun-50020050</t>
  </si>
  <si>
    <t>gun-60020050</t>
  </si>
  <si>
    <t>740058,740056</t>
  </si>
  <si>
    <t>740059</t>
  </si>
  <si>
    <t>gun-10020066</t>
  </si>
  <si>
    <t>56-1typeMod</t>
  </si>
  <si>
    <t>gun-40020066</t>
  </si>
  <si>
    <t>gun-50020066</t>
  </si>
  <si>
    <t>gun-60020066</t>
  </si>
  <si>
    <t>740046,900156</t>
  </si>
  <si>
    <t>740047</t>
  </si>
  <si>
    <t>4,20;5,15</t>
  </si>
  <si>
    <t>46,20046</t>
  </si>
  <si>
    <t>50,20050</t>
  </si>
  <si>
    <t>equip-10000296</t>
  </si>
  <si>
    <t>equip-20000296</t>
  </si>
  <si>
    <t>13,20013</t>
  </si>
  <si>
    <t>equip-30000296</t>
  </si>
  <si>
    <t>equip-10000297</t>
  </si>
  <si>
    <t>equip-20000297</t>
  </si>
  <si>
    <t>equip-30000297</t>
  </si>
  <si>
    <t>critical_harm_rate:600</t>
  </si>
  <si>
    <t>equip-10000298</t>
  </si>
  <si>
    <t>equip-20000298</t>
  </si>
  <si>
    <t>195,200</t>
  </si>
  <si>
    <t>equip-30000298</t>
  </si>
  <si>
    <t>armor_piercing:250,pow:1000</t>
  </si>
  <si>
    <t>equip-10000299</t>
  </si>
  <si>
    <t>equip-20000299</t>
  </si>
  <si>
    <t>66,20066</t>
  </si>
  <si>
    <t>equip-30000299</t>
  </si>
  <si>
    <t>pow:500,rate:1000</t>
  </si>
  <si>
    <t>equip-10000300</t>
  </si>
  <si>
    <t>equip-20000300</t>
  </si>
  <si>
    <t>KAH</t>
  </si>
  <si>
    <t>261</t>
  </si>
  <si>
    <t>equip-30000300</t>
  </si>
  <si>
    <t>Type92mod</t>
  </si>
  <si>
    <t>Kar98kmod</t>
  </si>
  <si>
    <t>Lee Enfieldmod</t>
  </si>
  <si>
    <t>Type56-1</t>
  </si>
  <si>
    <t>Type56-1mod</t>
  </si>
  <si>
    <t>Edited en_name</t>
  </si>
  <si>
    <t>MK47</t>
  </si>
  <si>
    <t>equip-10000301</t>
  </si>
  <si>
    <t>equip-20000301</t>
  </si>
  <si>
    <t>equip-30000301</t>
  </si>
  <si>
    <t>equip-10000302</t>
  </si>
  <si>
    <t>equip-20000302</t>
  </si>
  <si>
    <t>STN</t>
  </si>
  <si>
    <t>123</t>
  </si>
  <si>
    <t>equip-30000302</t>
  </si>
  <si>
    <t>equip-10000303</t>
  </si>
  <si>
    <t>equip-20000303</t>
  </si>
  <si>
    <t>131</t>
  </si>
  <si>
    <t>equip-30000303</t>
  </si>
  <si>
    <t>equip-10000304</t>
  </si>
  <si>
    <t>equip-20000304</t>
  </si>
  <si>
    <t>MITS</t>
  </si>
  <si>
    <t>194</t>
  </si>
  <si>
    <t>equip-30000304</t>
  </si>
  <si>
    <t>critical_percent:800,pow:700,hit:1000</t>
  </si>
  <si>
    <t>759057</t>
  </si>
  <si>
    <t>待定，单独提出语言包最好</t>
  </si>
  <si>
    <t>sangvis-10001021</t>
  </si>
  <si>
    <t>Excutioner_Halloween</t>
  </si>
  <si>
    <t>sangvis-40001021</t>
  </si>
  <si>
    <t>sangvis-30001021</t>
  </si>
  <si>
    <t>750580</t>
  </si>
  <si>
    <t>750592,750593,750594,750595,750596,750597,750599</t>
  </si>
  <si>
    <t>750598</t>
  </si>
  <si>
    <t>0:5,50|5:1,15;4,15</t>
  </si>
  <si>
    <t>0:5,30|5:1,9;4,9</t>
  </si>
  <si>
    <t>equip-10000305</t>
  </si>
  <si>
    <t>equip-20000305</t>
  </si>
  <si>
    <t>2,5</t>
  </si>
  <si>
    <t>equip-30000305</t>
  </si>
  <si>
    <t>759061</t>
  </si>
  <si>
    <t>equip-10000306</t>
  </si>
  <si>
    <t>equip-20000306</t>
  </si>
  <si>
    <t>equip-30000306</t>
  </si>
  <si>
    <t>bullet_number_up:1000,hit:700</t>
  </si>
  <si>
    <t>equip-10000307</t>
  </si>
  <si>
    <t>equip-20000307</t>
  </si>
  <si>
    <t>equip-30000307</t>
  </si>
  <si>
    <t>bullet_number_up:500,hit:1000</t>
  </si>
  <si>
    <t>equip-10000308</t>
  </si>
  <si>
    <t>equip-20000308</t>
  </si>
  <si>
    <t>equip-30000308</t>
  </si>
  <si>
    <t>bullet_number_up:700,hit:1000</t>
  </si>
  <si>
    <t>equip-10000309</t>
  </si>
  <si>
    <t>equip-20000309</t>
  </si>
  <si>
    <t>-15,-10</t>
  </si>
  <si>
    <t>equip-30000309</t>
  </si>
  <si>
    <t>equip-10000310</t>
  </si>
  <si>
    <t>equip-20000310</t>
  </si>
  <si>
    <t>equip-30000310</t>
  </si>
  <si>
    <t>759060</t>
  </si>
  <si>
    <t>equip-10000311</t>
  </si>
  <si>
    <t>equip-20000311</t>
  </si>
  <si>
    <t>equip-30000311</t>
  </si>
  <si>
    <t>759059</t>
  </si>
  <si>
    <t>equip-10000312</t>
  </si>
  <si>
    <t>equip-20000312</t>
  </si>
  <si>
    <t>equip-30000312</t>
  </si>
  <si>
    <t>759064</t>
  </si>
  <si>
    <t>equip-10000313</t>
  </si>
  <si>
    <t>equip-20000313</t>
  </si>
  <si>
    <t>equip-30000313</t>
  </si>
  <si>
    <t>759063</t>
  </si>
  <si>
    <t>equip-10000314</t>
  </si>
  <si>
    <t>equip-20000314</t>
  </si>
  <si>
    <t>equip-30000314</t>
  </si>
  <si>
    <t>759062</t>
  </si>
  <si>
    <t>equip-10000315</t>
  </si>
  <si>
    <t>equip-20000315</t>
  </si>
  <si>
    <t>164</t>
  </si>
  <si>
    <t>equip-30000315</t>
  </si>
  <si>
    <t>hit:800</t>
  </si>
  <si>
    <t>759065</t>
  </si>
  <si>
    <t>TacLight</t>
  </si>
  <si>
    <t>Choke3</t>
  </si>
  <si>
    <t>Choke4</t>
  </si>
  <si>
    <t>Choke5</t>
  </si>
  <si>
    <t>Rangefinder4</t>
  </si>
  <si>
    <t>Rangefinder5</t>
  </si>
  <si>
    <t>480141,480144,480142,480143,480180,480181,480182,480183,480184,480185,480186,480187,480188,480189,480160,480161,480162,480173,480174,480175,480166,480167,480178,480179,480170,480171,480172,480163,480164,480165,480176,480177,480168,480169</t>
  </si>
  <si>
    <t>PR Turns 4+ (Boss/DS, NW, SW, SE)</t>
  </si>
  <si>
    <t>10004,10005,10006,12411,310,1758,330804,336910</t>
  </si>
  <si>
    <t>Testing (Dummies, M16, Pyxis)</t>
  </si>
  <si>
    <t>Phantom Stance</t>
  </si>
  <si>
    <t>Ample Fuel</t>
  </si>
  <si>
    <t>Frugal Mobilization</t>
  </si>
  <si>
    <t>Pilfer</t>
  </si>
  <si>
    <t>Quick Resupply</t>
  </si>
  <si>
    <t>Fighting Spirit</t>
  </si>
  <si>
    <t>Lone Wolf</t>
  </si>
  <si>
    <t>Strength in Numbers</t>
  </si>
  <si>
    <t>Support</t>
  </si>
  <si>
    <t>PR - LTLX M4ex</t>
  </si>
  <si>
    <t>PR - RMB/Def</t>
  </si>
  <si>
    <t>PR - Pekola</t>
  </si>
  <si>
    <t>FP - RMB/Def</t>
  </si>
  <si>
    <t>PR - FO12/LTLX/Grape/M200</t>
  </si>
  <si>
    <t>PR - MPK/MPL/M870</t>
  </si>
  <si>
    <t>PR - 300k Deathstack</t>
  </si>
  <si>
    <t>equip-10000316</t>
  </si>
  <si>
    <t>equip-20000316</t>
  </si>
  <si>
    <t>173</t>
  </si>
  <si>
    <t>equip-30000316</t>
  </si>
  <si>
    <t>759066</t>
  </si>
  <si>
    <t>Petal</t>
  </si>
  <si>
    <t>Stars</t>
  </si>
  <si>
    <t>Petals</t>
  </si>
  <si>
    <t>PR - Alch, 2 Golyat, 1 Nem, 1 Striker</t>
  </si>
  <si>
    <t>PR - Architect, 1 Golyat, 2 Nem, 1 Aegis_SWAP</t>
  </si>
  <si>
    <t>gun-10000375</t>
  </si>
  <si>
    <t>ColtWalker</t>
  </si>
  <si>
    <t>gun-40000375</t>
  </si>
  <si>
    <t>gun-50000375</t>
  </si>
  <si>
    <t>gun-60000375</t>
  </si>
  <si>
    <t>750612,750613,750614,750615,750621</t>
  </si>
  <si>
    <t>750611</t>
  </si>
  <si>
    <t>12,17,22,18,23,14,19,24</t>
  </si>
  <si>
    <t>1,30;3,40</t>
  </si>
  <si>
    <t>2022-11-08 00:00:00</t>
  </si>
  <si>
    <t>gun-10000376</t>
  </si>
  <si>
    <t>Erma</t>
  </si>
  <si>
    <t>gun-40000376</t>
  </si>
  <si>
    <t>gun-50000376</t>
  </si>
  <si>
    <t>gun-60000376</t>
  </si>
  <si>
    <t>750603,750605,750606,750607,750608</t>
  </si>
  <si>
    <t>750609</t>
  </si>
  <si>
    <t>8,9,14,10,15</t>
  </si>
  <si>
    <t>1,10;3,10;4,10</t>
  </si>
  <si>
    <t>gun-10000377</t>
  </si>
  <si>
    <t>SCAR-H</t>
  </si>
  <si>
    <t>SCARH</t>
  </si>
  <si>
    <t>gun-40000377</t>
  </si>
  <si>
    <t>gun-50000377</t>
  </si>
  <si>
    <t>gun-60000377</t>
  </si>
  <si>
    <t>119702</t>
  </si>
  <si>
    <t>119703</t>
  </si>
  <si>
    <t>gun-10000378</t>
  </si>
  <si>
    <t>SCAR-L</t>
  </si>
  <si>
    <t>SCARL</t>
  </si>
  <si>
    <t>gun-40000378</t>
  </si>
  <si>
    <t>gun-50000378</t>
  </si>
  <si>
    <t>gun-60000378</t>
  </si>
  <si>
    <t>119602,119604,119607</t>
  </si>
  <si>
    <t>equip-10000317</t>
  </si>
  <si>
    <t>equip-20000317</t>
  </si>
  <si>
    <t>378</t>
  </si>
  <si>
    <t>equip-30000317</t>
  </si>
  <si>
    <t>equip-10000318</t>
  </si>
  <si>
    <t>equip-20000318</t>
  </si>
  <si>
    <t>155,160</t>
  </si>
  <si>
    <t>377</t>
  </si>
  <si>
    <t>equip-30000318</t>
  </si>
  <si>
    <t>armor_piercing:250,pow:700</t>
  </si>
  <si>
    <t>sangvis-10001022</t>
  </si>
  <si>
    <t>Nyto_tareus</t>
  </si>
  <si>
    <t>sangvis-40001022</t>
  </si>
  <si>
    <t>sangvis-30001022</t>
  </si>
  <si>
    <t>750623</t>
  </si>
  <si>
    <t>750627,750632,750633,750634,750635,750636,750637,750638,750639,750640,750641</t>
  </si>
  <si>
    <t>750630,750642</t>
  </si>
  <si>
    <t>4:1,20;3,50;5,30</t>
  </si>
  <si>
    <t>4:1,12;3,30;5,15</t>
  </si>
  <si>
    <t>equip-10000319</t>
  </si>
  <si>
    <t>equip-20000319</t>
  </si>
  <si>
    <t>equip-30000319</t>
  </si>
  <si>
    <t>759070</t>
  </si>
  <si>
    <t>FocusChip</t>
  </si>
  <si>
    <t>Bipod3</t>
  </si>
  <si>
    <t>Bipod4</t>
  </si>
  <si>
    <t>Bipod5</t>
  </si>
  <si>
    <t>equip-10000320</t>
  </si>
  <si>
    <t>equip-20000320</t>
  </si>
  <si>
    <t>260</t>
  </si>
  <si>
    <t>equip-30000320</t>
  </si>
  <si>
    <t>pow:700,dodge:600</t>
  </si>
  <si>
    <t>equip-10000321</t>
  </si>
  <si>
    <t>equip-20000321</t>
  </si>
  <si>
    <t>270,275</t>
  </si>
  <si>
    <t>equip-30000321</t>
  </si>
  <si>
    <t>armor_piercing:1000,pow:700</t>
  </si>
  <si>
    <t>759072</t>
  </si>
  <si>
    <t>equip-10000322</t>
  </si>
  <si>
    <t>equip-20000322</t>
  </si>
  <si>
    <t>174</t>
  </si>
  <si>
    <t>equip-30000322</t>
  </si>
  <si>
    <t>equip-10000323</t>
  </si>
  <si>
    <t>equip-20000323</t>
  </si>
  <si>
    <t>DT</t>
  </si>
  <si>
    <t>265</t>
  </si>
  <si>
    <t>equip-30000323</t>
  </si>
  <si>
    <t>equip-10000324</t>
  </si>
  <si>
    <t>equip-20000324</t>
  </si>
  <si>
    <t>87</t>
  </si>
  <si>
    <t>equip-30000324</t>
  </si>
  <si>
    <t>sangvis-10001023</t>
  </si>
  <si>
    <t>Scarecrow_SpringFes</t>
  </si>
  <si>
    <t>sangvis-40001023</t>
  </si>
  <si>
    <t>sangvis-30001023</t>
  </si>
  <si>
    <t>750701</t>
  </si>
  <si>
    <t>750707,750708,750709</t>
  </si>
  <si>
    <t>0:2,10;5,20|4:1,20</t>
  </si>
  <si>
    <t>2023-01-22 00:00:00</t>
  </si>
  <si>
    <t>0:2,6;5,12|4:1,12</t>
  </si>
  <si>
    <t>3;14,21</t>
  </si>
  <si>
    <t>1;1,2,3,4,22</t>
  </si>
  <si>
    <t>gun-10001035</t>
  </si>
  <si>
    <t>Tae</t>
  </si>
  <si>
    <t>gun-40001035</t>
  </si>
  <si>
    <t>gun-50001035</t>
  </si>
  <si>
    <t>gun-60001035</t>
  </si>
  <si>
    <t>120505,120507,750725,750726,750727</t>
  </si>
  <si>
    <t>120501</t>
  </si>
  <si>
    <t>8,12,14,7,9,18</t>
  </si>
  <si>
    <t>2023-02-10 00:00:00</t>
  </si>
  <si>
    <t>254</t>
  </si>
  <si>
    <t>gun-10001036</t>
  </si>
  <si>
    <t>Lily</t>
  </si>
  <si>
    <t>gun-40001036</t>
  </si>
  <si>
    <t>gun-50001036</t>
  </si>
  <si>
    <t>gun-60001036</t>
  </si>
  <si>
    <t>750724,750726,750727,750742</t>
  </si>
  <si>
    <t>7,11,12,6,8,17</t>
  </si>
  <si>
    <t>gun-10001037</t>
  </si>
  <si>
    <t>gun-40001037</t>
  </si>
  <si>
    <t>gun-50001037</t>
  </si>
  <si>
    <t>gun-60001037</t>
  </si>
  <si>
    <t>750719,750726,750727,750728</t>
  </si>
  <si>
    <t>120412</t>
  </si>
  <si>
    <t>12,17,18,14,19,23</t>
  </si>
  <si>
    <t>256</t>
  </si>
  <si>
    <t>gun-10001038</t>
  </si>
  <si>
    <t>Ai</t>
  </si>
  <si>
    <t>gun-40001038</t>
  </si>
  <si>
    <t>gun-50001038</t>
  </si>
  <si>
    <t>gun-60001038</t>
  </si>
  <si>
    <t>750721,750726,750727,750742</t>
  </si>
  <si>
    <t>750716,750717,750718</t>
  </si>
  <si>
    <t>14,18,19,15,20,24</t>
  </si>
  <si>
    <t>255</t>
  </si>
  <si>
    <t>gun-10001039</t>
  </si>
  <si>
    <t>Junko</t>
  </si>
  <si>
    <t>gun-40001039</t>
  </si>
  <si>
    <t>gun-50001039</t>
  </si>
  <si>
    <t>gun-60001039</t>
  </si>
  <si>
    <t>750722,750726,750727,750742</t>
  </si>
  <si>
    <t>12,16,17,11,18,22</t>
  </si>
  <si>
    <t>gun-10001040</t>
  </si>
  <si>
    <t>Yuugiri</t>
  </si>
  <si>
    <t>gun-40001040</t>
  </si>
  <si>
    <t>gun-50001040</t>
  </si>
  <si>
    <t>gun-60001040</t>
  </si>
  <si>
    <t>750723,750726,750727,300202</t>
  </si>
  <si>
    <t>750694</t>
  </si>
  <si>
    <t>9,19,15,8,10,14</t>
  </si>
  <si>
    <t>gun-10001041</t>
  </si>
  <si>
    <t>Saki</t>
  </si>
  <si>
    <t>gun-40001041</t>
  </si>
  <si>
    <t>gun-50001041</t>
  </si>
  <si>
    <t>gun-60001041</t>
  </si>
  <si>
    <t>750692,750720,750726,750727,300202</t>
  </si>
  <si>
    <t>3,7,9,2,4,8</t>
  </si>
  <si>
    <t>gun-10009105</t>
  </si>
  <si>
    <t>gun-40009105</t>
  </si>
  <si>
    <t>gun-50009105</t>
  </si>
  <si>
    <t>gun-60009105</t>
  </si>
  <si>
    <t>119503,119511</t>
  </si>
  <si>
    <t>gun-10009106</t>
  </si>
  <si>
    <t>Bathhouse_guest_2</t>
  </si>
  <si>
    <t>gun-40009106</t>
  </si>
  <si>
    <t>gun-50009106</t>
  </si>
  <si>
    <t>gun-60009106</t>
  </si>
  <si>
    <t>gun-10009107</t>
  </si>
  <si>
    <t>gun-40009107</t>
  </si>
  <si>
    <t>gun-50009107</t>
  </si>
  <si>
    <t>gun-60009107</t>
  </si>
  <si>
    <t>119501</t>
  </si>
  <si>
    <t>11,16,21,12,17,22</t>
  </si>
  <si>
    <t>gun-10009108</t>
  </si>
  <si>
    <t>gun-40009108</t>
  </si>
  <si>
    <t>gun-50009108</t>
  </si>
  <si>
    <t>gun-60009108</t>
  </si>
  <si>
    <t>119502</t>
  </si>
  <si>
    <t>24,18,23,14,19,15</t>
  </si>
  <si>
    <t>gun-10009109</t>
  </si>
  <si>
    <t>CommanderSelf</t>
  </si>
  <si>
    <t>gun-40009109</t>
  </si>
  <si>
    <t>gun-50009109</t>
  </si>
  <si>
    <t>gun-60009109</t>
  </si>
  <si>
    <t>equip-10000325</t>
  </si>
  <si>
    <t>equip-20000325</t>
  </si>
  <si>
    <t>17,20</t>
  </si>
  <si>
    <t>1037</t>
  </si>
  <si>
    <t>equip-30000325</t>
  </si>
  <si>
    <t>equip-10000326</t>
  </si>
  <si>
    <t>equip-20000326</t>
  </si>
  <si>
    <t>1040</t>
  </si>
  <si>
    <t>equip-30000326</t>
  </si>
  <si>
    <t>equip-10000327</t>
  </si>
  <si>
    <t>equip-20000327</t>
  </si>
  <si>
    <t>-8,-5</t>
  </si>
  <si>
    <t>1035</t>
  </si>
  <si>
    <t>equip-30000327</t>
  </si>
  <si>
    <t>equip-10000328</t>
  </si>
  <si>
    <t>equip-20000328</t>
  </si>
  <si>
    <t>1036</t>
  </si>
  <si>
    <t>equip-30000328</t>
  </si>
  <si>
    <t>equip-10000329</t>
  </si>
  <si>
    <t>equip-20000329</t>
  </si>
  <si>
    <t>1038</t>
  </si>
  <si>
    <t>equip-30000329</t>
  </si>
  <si>
    <t>equip-10000330</t>
  </si>
  <si>
    <t>equip-20000330</t>
  </si>
  <si>
    <t>1039</t>
  </si>
  <si>
    <t>equip-30000330</t>
  </si>
  <si>
    <t>pow:900,critical_harm_rate:400</t>
  </si>
  <si>
    <t>equip-10000331</t>
  </si>
  <si>
    <t>equip-20000331</t>
  </si>
  <si>
    <t>1041</t>
  </si>
  <si>
    <t>equip-30000331</t>
  </si>
  <si>
    <t>pow:1000,armor:400</t>
  </si>
  <si>
    <t>Saki_NPC</t>
  </si>
  <si>
    <t>Tae_NPC</t>
  </si>
  <si>
    <t>Sakura_NPC</t>
  </si>
  <si>
    <t>Kokko</t>
  </si>
  <si>
    <t>building_info</t>
  </si>
  <si>
    <t>Buildings:</t>
  </si>
  <si>
    <t>Building ID</t>
  </si>
  <si>
    <t>"building_info": "{}",</t>
  </si>
  <si>
    <t>Building 1:</t>
  </si>
  <si>
    <t>Building 2:</t>
  </si>
  <si>
    <t>Building 3:</t>
  </si>
  <si>
    <t>"building_info": "{\"1\":{\"building_id\":\"building1\",\"spot\":\"spot1\",\"belong\":\"2\",\"defender\":\"400\"}}",</t>
  </si>
  <si>
    <t>"building_info": "{\"1\":{\"building_id\":\"building1\",\"spot\":\"spot1\",\"belong\":\"2\",\"defender\":\"400\"},\"2\":{\"building_id\":\"building2\",\"spot\":\"spot2\",\"belong\":\"2\",\"defender\":\"400\"}}",</t>
  </si>
  <si>
    <t>"building_info": "{\"1\":{\"building_id\":\"building1\",\"spot\":\"spot1\",\"belong\":\"2\",\"defender\":\"400\"},\"2\":{\"building_id\":\"building2\",\"spot\":\"spot2\",\"belong\":\"2\",\"defender\":\"400\"},\"3\":{\"building_id\":\"building3\",\"spot\":\"spot3\",\"belong\":\"2\",\"defender\":\"400\"}}",</t>
  </si>
  <si>
    <t>equip-10000332</t>
  </si>
  <si>
    <t>equip-20000332</t>
  </si>
  <si>
    <t>SO</t>
  </si>
  <si>
    <t>142</t>
  </si>
  <si>
    <t>equip-30000332</t>
  </si>
  <si>
    <t>759061,759073</t>
  </si>
  <si>
    <t>gun-10000379</t>
  </si>
  <si>
    <t>P10C</t>
  </si>
  <si>
    <t>gun-40000379</t>
  </si>
  <si>
    <t>gun-50000379</t>
  </si>
  <si>
    <t>gun-60000379</t>
  </si>
  <si>
    <t>7,12,17,9,14,19</t>
  </si>
  <si>
    <t>2023-03-03 00:00:00</t>
  </si>
  <si>
    <t>gun-10000380</t>
  </si>
  <si>
    <t>APC9K</t>
  </si>
  <si>
    <t>gun-40000380</t>
  </si>
  <si>
    <t>gun-50000380</t>
  </si>
  <si>
    <t>gun-60000380</t>
  </si>
  <si>
    <t>750752,750753</t>
  </si>
  <si>
    <t>750750,750751</t>
  </si>
  <si>
    <t>gun-10000381</t>
  </si>
  <si>
    <t>M110</t>
  </si>
  <si>
    <t>gun-40000381</t>
  </si>
  <si>
    <t>gun-50000381</t>
  </si>
  <si>
    <t>gun-60000381</t>
  </si>
  <si>
    <t>120703,120704</t>
  </si>
  <si>
    <t>11,12,18</t>
  </si>
  <si>
    <t>gun-10000382</t>
  </si>
  <si>
    <t>MSBS</t>
  </si>
  <si>
    <t>gun-40000382</t>
  </si>
  <si>
    <t>gun-50000382</t>
  </si>
  <si>
    <t>gun-60000382</t>
  </si>
  <si>
    <t>120802,120812</t>
  </si>
  <si>
    <t>120807,120808,120809,120810</t>
  </si>
  <si>
    <t>6,7,8,16,17,18</t>
  </si>
  <si>
    <t>类型            中型机枪_x000D_
总重            14公斤_x000D_
全长            964毫米_x000D_
操作人数         2至3名_x000D_
弹药            .30-06 Springfield（U.S.）_x000D_
                7.62×51mm NATO（U.S.）_x000D_
                .303 British_x000D_
枪机种类        后坐作用_x000D_
发射速率        400–600发／分钟_x000D_
枪口初速        850米／秒_x000D_
有效射程        1,400米_x000D_
供弹方式        M9弹链供弹_x000D_
瞄准具型式      可调机械照门</t>
  </si>
  <si>
    <t>M1919A4,加入啦！战斗的盛宴,快开始吧！</t>
  </si>
  <si>
    <t>3;14,21,20</t>
  </si>
  <si>
    <t>类型            半自动手枪
总重            空枪：800克
全长            190毫米
枪管长度        105毫米
弹药            9×19毫米鲁格弹
枪机种类        枪管短行程后座作用，单/双动
枪口初速        350米／秒
有效射程        50米
供弹方式        12、13发可拆卸式弹匣
                异说为13发可拆卸式弹匣事实上可装14发
                10、13、14或15发史密斯威森M5906系列可拆式弹匣（会伸出超过弹匣插槽）
瞄准具型式      机械瞄具：固定金属缺口式照门和准星（三点式准星）</t>
  </si>
  <si>
    <t>果然，无数的迹象都在表明……指挥官，我和您的相遇，是命中注定的。</t>
  </si>
  <si>
    <t>类型            冲锋枪
总重            空枪：3.38公斤
全长            90.3公分/102.5公分
枪管长度        23公分
弹药            8毫米南部子弹
枪机种类        气体反冲式
发射速率        450发/分
枪口初速        334米/秒
有效射程        120米
供弹方式        30发弹夹
瞄准具型式      铁制表尺</t>
  </si>
  <si>
    <t>百式冲锋枪，参上。指挥官，今后的日子，请您多多指教了。</t>
  </si>
  <si>
    <t>gun-10020080</t>
  </si>
  <si>
    <t>M1919A4Mod</t>
  </si>
  <si>
    <t>gun-40020080</t>
  </si>
  <si>
    <t>gun-50020080</t>
  </si>
  <si>
    <t>gun-60020080</t>
  </si>
  <si>
    <t>300201,300202,740087</t>
  </si>
  <si>
    <t>3,30;8,12</t>
  </si>
  <si>
    <t>gun-10020212</t>
  </si>
  <si>
    <t>K5Mod</t>
  </si>
  <si>
    <t>gun-40020212</t>
  </si>
  <si>
    <t>gun-50020212</t>
  </si>
  <si>
    <t>gun-60020212</t>
  </si>
  <si>
    <t>740081,740082,740083</t>
  </si>
  <si>
    <t>gun-10020228</t>
  </si>
  <si>
    <t>Type100Mod</t>
  </si>
  <si>
    <t>gun-40020228</t>
  </si>
  <si>
    <t>gun-50020228</t>
  </si>
  <si>
    <t>gun-60020228</t>
  </si>
  <si>
    <t>740071</t>
  </si>
  <si>
    <t>740069,740070,740073</t>
  </si>
  <si>
    <t>8,9,10</t>
  </si>
  <si>
    <t>1,20;3,40</t>
  </si>
  <si>
    <t>gun-10020282</t>
  </si>
  <si>
    <t>DP12Mod</t>
  </si>
  <si>
    <t>gun-40020282</t>
  </si>
  <si>
    <t>gun-50020282</t>
  </si>
  <si>
    <t>gun-60020282</t>
  </si>
  <si>
    <t>740063,740064,740065,740066</t>
  </si>
  <si>
    <t>1,18;3,18</t>
  </si>
  <si>
    <t>228,20228</t>
  </si>
  <si>
    <t>80,20080</t>
  </si>
  <si>
    <t>equip-10000333</t>
  </si>
  <si>
    <t>equip-20000333</t>
  </si>
  <si>
    <t>equip-30000333</t>
  </si>
  <si>
    <t>equip-10000334</t>
  </si>
  <si>
    <t>equip-20000334</t>
  </si>
  <si>
    <t>212,20212</t>
  </si>
  <si>
    <t>equip-30000334</t>
  </si>
  <si>
    <t>equip-10000335</t>
  </si>
  <si>
    <t>equip-20000335</t>
  </si>
  <si>
    <t>equip-30000335</t>
  </si>
  <si>
    <t>equip-10000336</t>
  </si>
  <si>
    <t>equip-20000336</t>
  </si>
  <si>
    <t>4,8</t>
  </si>
  <si>
    <t>282,20282</t>
  </si>
  <si>
    <t>equip-30000336</t>
  </si>
  <si>
    <t>740091</t>
  </si>
  <si>
    <t>equip-10000339</t>
  </si>
  <si>
    <t>equip-20000339</t>
  </si>
  <si>
    <t>296</t>
  </si>
  <si>
    <t>equip-30000339</t>
  </si>
  <si>
    <t>759101,759108</t>
  </si>
  <si>
    <t>100ShikiMod</t>
  </si>
  <si>
    <t>gun-10000383</t>
  </si>
  <si>
    <t>VP9</t>
  </si>
  <si>
    <t>gun-40000383</t>
  </si>
  <si>
    <t>gun-50000383</t>
  </si>
  <si>
    <t>gun-60000383</t>
  </si>
  <si>
    <t>750760,750761</t>
  </si>
  <si>
    <t>2,18;3,15</t>
  </si>
  <si>
    <t>2023-04-24 00:00:00</t>
  </si>
  <si>
    <t>258</t>
  </si>
  <si>
    <t>gun-10000384</t>
  </si>
  <si>
    <t>Jatimatic</t>
  </si>
  <si>
    <t>gun-40000384</t>
  </si>
  <si>
    <t>gun-50000384</t>
  </si>
  <si>
    <t>gun-60000384</t>
  </si>
  <si>
    <t>750781</t>
  </si>
  <si>
    <t>750758,750759</t>
  </si>
  <si>
    <t>259</t>
  </si>
  <si>
    <t>gun-10000385</t>
  </si>
  <si>
    <t>VRB</t>
  </si>
  <si>
    <t>gun-40000385</t>
  </si>
  <si>
    <t>gun-50000385</t>
  </si>
  <si>
    <t>gun-60000385</t>
  </si>
  <si>
    <t>121502</t>
  </si>
  <si>
    <t>121504</t>
  </si>
  <si>
    <t>257</t>
  </si>
  <si>
    <t>gun-10000386</t>
  </si>
  <si>
    <t>LAMG</t>
  </si>
  <si>
    <t>gun-40000386</t>
  </si>
  <si>
    <t>gun-50000386</t>
  </si>
  <si>
    <t>gun-60000386</t>
  </si>
  <si>
    <t>121404,300202,121403</t>
  </si>
  <si>
    <t>21,22,17,18,23</t>
  </si>
  <si>
    <t>2;5,8,17</t>
  </si>
  <si>
    <t>3;9,10,14,21</t>
  </si>
  <si>
    <t>gun-10000387</t>
  </si>
  <si>
    <t>TPS</t>
  </si>
  <si>
    <t>gun-40000387</t>
  </si>
  <si>
    <t>gun-50000387</t>
  </si>
  <si>
    <t>gun-60000387</t>
  </si>
  <si>
    <t>300202,300203,200429,750775,,750776,750777,750778</t>
  </si>
  <si>
    <t>750772,750773,750774</t>
  </si>
  <si>
    <t>11,12,1,2,3</t>
  </si>
  <si>
    <t>gun-10009110</t>
  </si>
  <si>
    <t>gun-40009110</t>
  </si>
  <si>
    <t>gun-50009110</t>
  </si>
  <si>
    <t>gun-60009110</t>
  </si>
  <si>
    <t>gun-10009111</t>
  </si>
  <si>
    <t>Ahmin</t>
  </si>
  <si>
    <t>Ahmin_battle</t>
  </si>
  <si>
    <t>gun-40009111</t>
  </si>
  <si>
    <t>gun-50009111</t>
  </si>
  <si>
    <t>gun-60009111</t>
  </si>
  <si>
    <t>gun-10009112</t>
  </si>
  <si>
    <t>Pamzan_Young</t>
  </si>
  <si>
    <t>Pamazan_Young_NPC</t>
  </si>
  <si>
    <t>gun-40009112</t>
  </si>
  <si>
    <t>gun-50009112</t>
  </si>
  <si>
    <t>gun-60009112</t>
  </si>
  <si>
    <t>gun-10009113</t>
  </si>
  <si>
    <t>Ange_01</t>
  </si>
  <si>
    <t>Ange_battle_01</t>
  </si>
  <si>
    <t>gun-40009113</t>
  </si>
  <si>
    <t>gun-50009113</t>
  </si>
  <si>
    <t>gun-60009113</t>
  </si>
  <si>
    <t>gun-10009114</t>
  </si>
  <si>
    <t>Ange_02</t>
  </si>
  <si>
    <t>Ange_battle_02</t>
  </si>
  <si>
    <t>gun-40009114</t>
  </si>
  <si>
    <t>gun-50009114</t>
  </si>
  <si>
    <t>gun-60009114</t>
  </si>
  <si>
    <t>gun-10009115</t>
  </si>
  <si>
    <t>Ange_03</t>
  </si>
  <si>
    <t>Ange_battle_03</t>
  </si>
  <si>
    <t>gun-40009115</t>
  </si>
  <si>
    <t>gun-50009115</t>
  </si>
  <si>
    <t>gun-60009115</t>
  </si>
  <si>
    <t>gun-10009116</t>
  </si>
  <si>
    <t>Ange_04</t>
  </si>
  <si>
    <t>Ange_battle_04</t>
  </si>
  <si>
    <t>gun-40009116</t>
  </si>
  <si>
    <t>gun-50009116</t>
  </si>
  <si>
    <t>gun-60009116</t>
  </si>
  <si>
    <t>gun-10009117</t>
  </si>
  <si>
    <t>NPC_Laplace</t>
  </si>
  <si>
    <t>gun-40009117</t>
  </si>
  <si>
    <t>gun-50009117</t>
  </si>
  <si>
    <t>gun-60009117</t>
  </si>
  <si>
    <t>equip-10000337</t>
  </si>
  <si>
    <t>equip-20000337</t>
  </si>
  <si>
    <t>20039</t>
  </si>
  <si>
    <t>equip-30000337</t>
  </si>
  <si>
    <t>armor_piercing:500,rate:700</t>
  </si>
  <si>
    <t>759097</t>
  </si>
  <si>
    <t>equip-10000338</t>
  </si>
  <si>
    <t>equip-20000338</t>
  </si>
  <si>
    <t>20057</t>
  </si>
  <si>
    <t>equip-30000338</t>
  </si>
  <si>
    <t>rate:700,critical_percent:850</t>
  </si>
  <si>
    <t>759091</t>
  </si>
  <si>
    <t>equip-10000340</t>
  </si>
  <si>
    <t>equip-20000340</t>
  </si>
  <si>
    <t>250,250</t>
  </si>
  <si>
    <t>equip-30000340</t>
  </si>
  <si>
    <t>759127</t>
  </si>
  <si>
    <t>equip-10000341</t>
  </si>
  <si>
    <t>equip-20000341</t>
  </si>
  <si>
    <t>245,250</t>
  </si>
  <si>
    <t>equip-30000341</t>
  </si>
  <si>
    <t>759131</t>
  </si>
  <si>
    <t>M1918Ranking</t>
  </si>
  <si>
    <t>Nurse</t>
  </si>
  <si>
    <t>*22</t>
  </si>
  <si>
    <t>Fatigue 1</t>
  </si>
  <si>
    <t>Fatigue 2</t>
  </si>
  <si>
    <t>Fatigue 3</t>
  </si>
  <si>
    <t>Fatigue 4 (Exhausted)</t>
  </si>
  <si>
    <t>Gospel Axis Debuff</t>
  </si>
  <si>
    <t>fight_environment_group</t>
  </si>
  <si>
    <t>enemy_hp_percent</t>
  </si>
  <si>
    <t>Enemy HP %:</t>
  </si>
  <si>
    <t>Energy Shield</t>
  </si>
  <si>
    <t>Grant a shield to all SMGs in the echelon. Each shield can absorb up to 40 points of damage.</t>
  </si>
  <si>
    <t>Sniper Command</t>
  </si>
  <si>
    <t>Aim for the enemy with the highest HP and deal 2500 damage to it.</t>
  </si>
  <si>
    <t>Riot Control</t>
  </si>
  <si>
    <t>Enhance riot control capabilities of all SGs in the echelon, increasing their armor by 15% for 20 seconds.</t>
  </si>
  <si>
    <t>Taunt Target</t>
  </si>
  <si>
    <t>At the start of the battle, deploy a target dummy with 400 HP to attract enemy fire.</t>
  </si>
  <si>
    <t>Bombard Command</t>
  </si>
  <si>
    <t>Fire a mortar shell that deals up to 200 damage to enemy units within a 2.5-unit radius.</t>
  </si>
  <si>
    <t>Fatal Air Raid</t>
  </si>
  <si>
    <t>Launch an airstrike at the start of the battle, dealing 80 damage to all enemy units.</t>
  </si>
  <si>
    <t>Combat Efficiency</t>
  </si>
  <si>
    <t>Increase the echelon's damage and rate of fire by 5% for 20 seconds (does not stack).</t>
  </si>
  <si>
    <t>Unlimited Rage</t>
  </si>
  <si>
    <t>Increase the echelon's accuracy and crit rate by 10% for 20 seconds (does not stack).</t>
  </si>
  <si>
    <t>Night-Time Fury</t>
  </si>
  <si>
    <t>During night battles, increase allies' crit rate and crit damage by 30%.</t>
  </si>
  <si>
    <t>Melee Strike</t>
  </si>
  <si>
    <t>Increase damage dealt to enemy units within a 3-unit distance by 20%.</t>
  </si>
  <si>
    <t>Assault Inertia</t>
  </si>
  <si>
    <t>Increase allies's damage and evasion by 3% every 4 seconds, stacking up to 10 times.</t>
  </si>
  <si>
    <t>Prompt Preparation</t>
  </si>
  <si>
    <t>The duration of all allies' initial cooldown is reduced by 30%.</t>
  </si>
  <si>
    <t>Deflector Shield</t>
  </si>
  <si>
    <t>The unit with the highest HP gains a shield that will deflect 9999 points of damage, lasting 8 seconds.</t>
  </si>
  <si>
    <t>Armor Loss</t>
  </si>
  <si>
    <t>Allies' armor is reduced by 90% in this battle.</t>
  </si>
  <si>
    <t>Fire Suppression</t>
  </si>
  <si>
    <t>The ally with the highest damage output is dazed for 5 seconds every 10 seconds.</t>
  </si>
  <si>
    <t>Incendiary Strike</t>
  </si>
  <si>
    <t>At the start of the battle, the echelon's front row will be engulfed in flame, taking 50 points of damage per Dummy-Link every 10 frames, lasting 10 seconds.</t>
  </si>
  <si>
    <t>Sluggish Cortex</t>
  </si>
  <si>
    <t>The duration of allies' initial cooldown is increased by 30%.</t>
  </si>
  <si>
    <t>Compromised Leader</t>
  </si>
  <si>
    <t>The echelon leader's damage, accuracy, evasion, armor, and crit rate are reduced by 90%.</t>
  </si>
  <si>
    <t>Stagnation</t>
  </si>
  <si>
    <t>The echelon's move speed is reduced by 50%.</t>
  </si>
  <si>
    <t>Stuck Fast</t>
  </si>
  <si>
    <t>The echelon's evasion is reduced by 90% in this battle.</t>
  </si>
  <si>
    <t>Phantom Traces</t>
  </si>
  <si>
    <t>Significantly increase enemies' evasion by 500%.</t>
  </si>
  <si>
    <t>No Slacking</t>
  </si>
  <si>
    <t>Deal 999 points of damage to the ally with the lowest damage output every 15 seconds.</t>
  </si>
  <si>
    <t>Iron Meat Shield</t>
  </si>
  <si>
    <t>The ally with the highest HP gains an additional 50% reduction in damage intake.</t>
  </si>
  <si>
    <t>The Damned</t>
  </si>
  <si>
    <t>Weaken a random T-Doll every 15 seconds, reducing her stats (damage, rate of fire, accuracy, evasion, armor) by 50% for 5 seconds.</t>
  </si>
  <si>
    <t>Charred Earth Stratagem</t>
  </si>
  <si>
    <t>Throw an incendiary object at the enemy unit with the highest HP every 6 seconds, dealing 100 points of damage per 0.33 seconds in an area of 3*3, lasting 15 seconds.</t>
  </si>
  <si>
    <t>Stand Your Ground</t>
  </si>
  <si>
    <t>Increase the evasion and armor of allies on the front row by 10%, stacking up to 10 times.</t>
  </si>
  <si>
    <t>Last-Ditch Struggle</t>
  </si>
  <si>
    <t>Generate a shield with a value that equals 10% of the enemy's lost HP every 15 seconds. The shield lasts for 6 seconds.</t>
  </si>
  <si>
    <t>Target of Steel</t>
  </si>
  <si>
    <t>Summon a fully Dummy-Linked target every 10 seconds. Each Dummy of the target has 1000HP.</t>
  </si>
  <si>
    <t>Hammer and Anvil</t>
  </si>
  <si>
    <t>Generate a group of enemies in front of the echelon every 6 seconds.</t>
  </si>
  <si>
    <t>Undaunted Morale</t>
  </si>
  <si>
    <t>Reduce the duration of all allies' skill cooldown by 20% every time a skill is activated.</t>
  </si>
  <si>
    <t>Maximum Fire</t>
  </si>
  <si>
    <t>The echelon's rate of fire is increased by 100%.</t>
  </si>
  <si>
    <t>Emergency Shield</t>
  </si>
  <si>
    <t>Generate a shield with a value that equals 30% of allies' lost HP every 10 seconds. The shield lasts for 6 seconds.</t>
  </si>
  <si>
    <t>Random Strike</t>
  </si>
  <si>
    <t>Weaken a random enemy unit every 10 seconds, reducing their stats (damage, rate of fire, accuracy, evasion, armor) by 50%.</t>
  </si>
  <si>
    <t>Weapon Malfunction</t>
  </si>
  <si>
    <t>The echelon's rate of fire is reduced by 50%.</t>
  </si>
  <si>
    <t>Prime Leadership</t>
  </si>
  <si>
    <t>The echelon leader's damage, accuracy, evasion, armor, and crit rate are increased by 50%.</t>
  </si>
  <si>
    <t>Focused Shot</t>
  </si>
  <si>
    <t>Reduce allies' rate of fire by 20% while increasing their damage and accuracy by 20%.</t>
  </si>
  <si>
    <t>Generate a shield with a value that equals 30% of the echelon's lost HP every 10 seconds. The shield lasts for 6 seconds.</t>
  </si>
  <si>
    <t>Handgun Mastery</t>
  </si>
  <si>
    <t>Reduce the duration of friendly HG T-Dolls' skill cooldown by 20%.</t>
  </si>
  <si>
    <t>Submachine Gun Mastery</t>
  </si>
  <si>
    <t>Increase friendly SMG T-Dolls' accuracy and evasion by 100%.</t>
  </si>
  <si>
    <t>Rifle Mastery</t>
  </si>
  <si>
    <t>Increase friendly RF T-Dolls' rate of fire and crit rate by 20%.</t>
  </si>
  <si>
    <t>Assault Rifle Mastery</t>
  </si>
  <si>
    <t>Increase friendly AR T-Dolls' damage and accuracy by 20% and 100% respectively.</t>
  </si>
  <si>
    <t>Shotgun Mastery</t>
  </si>
  <si>
    <t>Increase friendly SG T-Dolls' armor by 20% and reduce their damage intake by 20%.</t>
  </si>
  <si>
    <t>Machine Gun Mastery</t>
  </si>
  <si>
    <t>Increase friendly MG T-Dolls' ammo box capacity by 15.</t>
  </si>
  <si>
    <t>The Blessed</t>
  </si>
  <si>
    <t>At the start of the battle, each ally gains a shield with a value that equals 20% of their maximum HP, lasting 10 seconds.</t>
  </si>
  <si>
    <t>Assault Command</t>
  </si>
  <si>
    <t>The echelon's rate of fire is increased by 50%.</t>
  </si>
  <si>
    <t>Rapid Assault</t>
  </si>
  <si>
    <t>The duration of all allies' initial cooldown is reduced by 50%.</t>
  </si>
  <si>
    <t>Rampage Command</t>
  </si>
  <si>
    <t>Crit damage is increased by 50%.</t>
  </si>
  <si>
    <t>All-Out Offensive</t>
  </si>
  <si>
    <t>The echelon's damage, rate of fire, accuracy, and evasion are increased by 30% with each different gun type.</t>
  </si>
  <si>
    <t>Void Command</t>
  </si>
  <si>
    <t>Erase all buffs on the echelon every 8 seconds.</t>
  </si>
  <si>
    <t>Critical Suppression</t>
  </si>
  <si>
    <t>Crit rate is reduced by 100%.</t>
  </si>
  <si>
    <t>Signal Failure</t>
  </si>
  <si>
    <t>Increase the duration of a skill cooldown by 100% every time a skill is used.</t>
  </si>
  <si>
    <t>力不从心</t>
  </si>
  <si>
    <t>我方全体暴击率上升50%，但暴击伤害下降80%</t>
  </si>
  <si>
    <t>击搏挽裂</t>
  </si>
  <si>
    <t>我方全体伤害下降50%，同时赋予敌方全体100%易伤</t>
  </si>
  <si>
    <t>冰消瓦解</t>
  </si>
  <si>
    <t>敌方全体穿甲值增加200点</t>
  </si>
  <si>
    <t>同舟之殇</t>
  </si>
  <si>
    <t>我方除了队长以外的单位伤害下降20%</t>
  </si>
  <si>
    <t>燃烧打击Ⅱ</t>
  </si>
  <si>
    <t>开场在我方第二排生成燃烧区域，每0.33秒造成50点编制伤害，持续10秒</t>
  </si>
  <si>
    <t>巨人痛击</t>
  </si>
  <si>
    <t>每隔10秒对敌我双方血量最高的单位造成10%最大生命值的伤害</t>
  </si>
  <si>
    <t>坚守阵地</t>
  </si>
  <si>
    <t>每隔3秒提升我方前排人形回避和护甲6%，最多10层
&lt;color=#CF8000&gt;效果持续1回合&lt;/color&gt;</t>
  </si>
  <si>
    <t>迅速整备</t>
  </si>
  <si>
    <t>我方前置冷却时间缩减50%
&lt;color=#CF8000&gt;效果持续1回合&lt;/color&gt;</t>
  </si>
  <si>
    <t>焦土战略</t>
  </si>
  <si>
    <t>每隔6秒时间向敌人血量最高单位投掷燃烧物，每0.33秒造成60点伤害，持续15秒，范围3*3
&lt;color=#CF8000&gt;效果持续1回合&lt;/color&gt;</t>
  </si>
  <si>
    <t>应急护盾</t>
  </si>
  <si>
    <t>每隔10秒时间恢复我方已损失血量30%的护盾持续6秒
&lt;color=#CF8000&gt;效果持续1回合&lt;/color&gt;</t>
  </si>
  <si>
    <t>随机打击</t>
  </si>
  <si>
    <t>每隔10秒随机弱化一个敌方单位，大幅降低该单位属性（伤害，射速，命中，闪避，护甲）降低50%
&lt;color=#CF8000&gt;效果持续1回合&lt;/color&gt;</t>
  </si>
  <si>
    <t>偏转力场</t>
  </si>
  <si>
    <t>我方血量最高单位开场获得9999点偏转力场，持续5秒
&lt;color=#CF8000&gt;效果持续1回合&lt;/color&gt;</t>
  </si>
  <si>
    <t>突击惯性</t>
  </si>
  <si>
    <t>该场战斗中提升我方全体伤害和回避每4秒提升3%，最多叠加10层
&lt;color=#CF8000&gt;效果持续1回合&lt;/color&gt;</t>
  </si>
  <si>
    <t>铁甲肉盾</t>
  </si>
  <si>
    <t>我方血量最高的单位额外获得30%减伤
&lt;color=#CF8000&gt;效果持续1回合&lt;/color&gt;</t>
  </si>
  <si>
    <t>突击号令</t>
  </si>
  <si>
    <t>我方全体射速提升30%
&lt;color=#CF8000&gt;效果持续1回合&lt;/color&gt;</t>
  </si>
  <si>
    <t>狙击支援</t>
  </si>
  <si>
    <t>开场后每6秒触发一次[狙击]，对威胁最高的敌人造成18000无视护甲的伤害</t>
  </si>
  <si>
    <t>狙击强化</t>
  </si>
  <si>
    <t>(狙击)造成的伤害提高50%</t>
  </si>
  <si>
    <t>定点清除</t>
  </si>
  <si>
    <t>(狙击)对精英单位造成的伤害提高100%</t>
  </si>
  <si>
    <t>连携炮击</t>
  </si>
  <si>
    <t>(狙击)时额外触发一次[炮击]，对小范围内的敌人造成6000无视护甲的编制伤害，内置CD3秒</t>
  </si>
  <si>
    <t>心眼</t>
  </si>
  <si>
    <t>(狙击)时为所有人形赋予[精密]</t>
  </si>
  <si>
    <t>穿甲弹头</t>
  </si>
  <si>
    <t>(狙击)时为目标赋予[破甲]</t>
  </si>
  <si>
    <t>炮击支援</t>
  </si>
  <si>
    <t>开场后每6秒触发一次[炮击]，对小范围内的敌人造成6000无视护甲的编制伤害</t>
  </si>
  <si>
    <t>炮击强化</t>
  </si>
  <si>
    <t>(炮击)造成的伤害提高50%</t>
  </si>
  <si>
    <t>集束炮击</t>
  </si>
  <si>
    <t>(炮击)对单编制敌人造成的伤害提高100%</t>
  </si>
  <si>
    <t>连携空袭</t>
  </si>
  <si>
    <t>(炮击)时额外触发一次[空袭]，对全部敌人造成2000无视护甲的编制伤害，内置CD3秒</t>
  </si>
  <si>
    <t>英勇</t>
  </si>
  <si>
    <t>(炮击)时为所有人形赋予[专注]</t>
  </si>
  <si>
    <t>冲击弹药</t>
  </si>
  <si>
    <t>(炮击)时为目标赋予[震荡]</t>
  </si>
  <si>
    <t>空袭支援</t>
  </si>
  <si>
    <t>开场后每6秒触发一次[空袭]，对全部敌人造成2000无视护甲的编制伤害</t>
  </si>
  <si>
    <t>空袭强化</t>
  </si>
  <si>
    <t>(空袭)造成的伤害提高50%</t>
  </si>
  <si>
    <t>地毯轰炸</t>
  </si>
  <si>
    <t>(空袭)对非精英敌人造成的伤害提高100%</t>
  </si>
  <si>
    <t>连携狙击</t>
  </si>
  <si>
    <t>(空袭)时额外触发一次[狙击]，对威胁最高的敌人造成18000无视护甲的伤害，内置CD3秒</t>
  </si>
  <si>
    <t>嗜血</t>
  </si>
  <si>
    <t>(空袭)时为所有人形赋予[会心]</t>
  </si>
  <si>
    <t>天降火海</t>
  </si>
  <si>
    <t>(空袭)时为目标赋予[点燃]</t>
  </si>
  <si>
    <t>破甲</t>
  </si>
  <si>
    <t>战斗开始时为所有敌人赋予1层[破甲]，随后每6秒为生命最高和护甲最高的敌人赋予1层[破甲]</t>
  </si>
  <si>
    <t>易碎</t>
  </si>
  <si>
    <t>(破甲)最多可叠加3层</t>
  </si>
  <si>
    <t>破甲强化</t>
  </si>
  <si>
    <t>(破甲)的持续时间提高至12秒</t>
  </si>
  <si>
    <t>震荡</t>
  </si>
  <si>
    <t>战斗开始时为所有敌人赋予1层[震荡]，随后每6秒为伤害最高和最远的敌人赋予1层[震荡]</t>
  </si>
  <si>
    <t>易爆</t>
  </si>
  <si>
    <t>(震荡)最多可叠加3层</t>
  </si>
  <si>
    <t>震荡强化</t>
  </si>
  <si>
    <t>(震荡)的持续时间提高至12秒</t>
  </si>
  <si>
    <t>点燃</t>
  </si>
  <si>
    <t>战斗开始时为所有敌人赋予1层[点燃]，随后每6秒为生命最高和最低的敌人赋予1层[点燃]</t>
  </si>
  <si>
    <t>易燃</t>
  </si>
  <si>
    <t>(点燃)最多可叠加3层</t>
  </si>
  <si>
    <t>点燃强化</t>
  </si>
  <si>
    <t>(点燃)的持续时间提高至12秒</t>
  </si>
  <si>
    <t>专注</t>
  </si>
  <si>
    <t>战斗开始后每6秒为场上输出最高和生命最低的人形赋予1层[专注]</t>
  </si>
  <si>
    <t>专注强化</t>
  </si>
  <si>
    <t>(专注)的效果提高至100%</t>
  </si>
  <si>
    <t>明镜止水</t>
  </si>
  <si>
    <t>(专注)可叠加3层</t>
  </si>
  <si>
    <t>速射</t>
  </si>
  <si>
    <t>战斗开始后每6秒为场上输出最高和生命最低的人形赋予1层[速射]</t>
  </si>
  <si>
    <t>速射强化</t>
  </si>
  <si>
    <t>(速射)的效果提高至100%</t>
  </si>
  <si>
    <t>限制解除</t>
  </si>
  <si>
    <t>赋予(速射)后若目标拥有2层(速射)，则额外赋予1层[专注]</t>
  </si>
  <si>
    <t>精密</t>
  </si>
  <si>
    <t>战斗开始后每6秒为场上输出最高和生命最低的人形赋予1层[精密]</t>
  </si>
  <si>
    <t>精密强化</t>
  </si>
  <si>
    <t>(精密)的效果提高至50%</t>
  </si>
  <si>
    <t>直死魔眼</t>
  </si>
  <si>
    <t>赋予(精密)后若目标拥有2层(精密)，则额外赋予1层[会心]</t>
  </si>
  <si>
    <t>会心</t>
  </si>
  <si>
    <t>战斗开始后每6秒为场上输出最高和生命最低的人形赋予1层[会心]</t>
  </si>
  <si>
    <t>会心强化</t>
  </si>
  <si>
    <t>(会心)的效果提高至50%</t>
  </si>
  <si>
    <t>自动校准</t>
  </si>
  <si>
    <t>赋予(会心)后若目标不拥有(精密)，则额外赋予1层[精密]</t>
  </si>
  <si>
    <t>强化</t>
  </si>
  <si>
    <t>战斗开始后每6秒为场上输出最高和生命最低的人形赋予1层[强化]</t>
  </si>
  <si>
    <t>强化增幅</t>
  </si>
  <si>
    <t>(强化)的效果提高至40%</t>
  </si>
  <si>
    <t>耐性</t>
  </si>
  <si>
    <t>战斗开始后每6秒为生命最高和护甲的人形赋予1层[耐性]</t>
  </si>
  <si>
    <t>耐性增幅</t>
  </si>
  <si>
    <t>(耐性)的效果提高至50%</t>
  </si>
  <si>
    <t>突击专注</t>
  </si>
  <si>
    <t>若场上AR人形数量&gt;=2，第3秒起每6秒为所有AR人形赋予1层[专注]</t>
  </si>
  <si>
    <t>突击精密</t>
  </si>
  <si>
    <t>若场上AR人形数量&gt;=2，第3秒起每6秒为所有AR人形赋予1层[精密]</t>
  </si>
  <si>
    <t>突击强化</t>
  </si>
  <si>
    <t>若场上AR人形数量&gt;=2，第3秒起每6秒为所有AR人形赋予1层[强化]</t>
  </si>
  <si>
    <t>炮击小队</t>
  </si>
  <si>
    <t>若场上AR人形数量&gt;=2，第3秒起每6秒触发一次[炮击]，对小范围内的敌人造成6000无视护甲的编制伤害</t>
  </si>
  <si>
    <t>冲锋会心</t>
  </si>
  <si>
    <t>若场上SMG人形数量&gt;=2，第3秒起每6秒为所有人形赋予1层[会心]</t>
  </si>
  <si>
    <t>冲锋强化</t>
  </si>
  <si>
    <t>若场上SMG人形数量&gt;=2，第3秒起每6秒为所有人形赋予1层[强化]</t>
  </si>
  <si>
    <t>冲锋耐性</t>
  </si>
  <si>
    <t>若场上SMG人形数量&gt;=2，第3秒起每6秒为所有人形赋予1层[耐性]</t>
  </si>
  <si>
    <t>燃烧手雷</t>
  </si>
  <si>
    <t>若场上SMG人形数量&gt;=1，第3秒起每6秒为3个随机敌人赋予1层[点燃]</t>
  </si>
  <si>
    <t>步枪速射</t>
  </si>
  <si>
    <t>若场上RF人形数量&gt;=2，第3秒起每6秒为所有RF人形赋予1层[速射]</t>
  </si>
  <si>
    <t>步枪会心</t>
  </si>
  <si>
    <t>若场上RF人形数量&gt;=2，第3秒起每6秒为所有RF人形赋予1层[会心]</t>
  </si>
  <si>
    <t>步枪强化</t>
  </si>
  <si>
    <t>若场上RF人形数量&gt;=2，第3秒起每6秒为所有RF人形赋予1层[强化]</t>
  </si>
  <si>
    <t>狙击小队</t>
  </si>
  <si>
    <t>若场上RF人形数量&gt;=2，第3秒起每6秒触发一次[狙击]，对威胁最高的敌人造成18000无视护甲的伤害</t>
  </si>
  <si>
    <t>手枪专注</t>
  </si>
  <si>
    <t>若场上HG人形数量&gt;=2，第3秒起每6秒为所有HG人形赋予1层[专注]</t>
  </si>
  <si>
    <t>手枪速射</t>
  </si>
  <si>
    <t>若场上HG人形数量&gt;=2，第3秒起每6秒为所有HG人形赋予1层[速射]</t>
  </si>
  <si>
    <t>手枪精密</t>
  </si>
  <si>
    <t>若场上HG人形数量&gt;=2，第3秒起每6秒为所有HG人形赋予1层[精密]</t>
  </si>
  <si>
    <t>手枪会心</t>
  </si>
  <si>
    <t>若场上HG人形数量&gt;=2，第3秒起每6秒为所有HG人形赋予1层[会心]</t>
  </si>
  <si>
    <t>机枪精密</t>
  </si>
  <si>
    <t>若场上MG人形数量&gt;=2，第3秒起每6秒为所有MG人形赋予1层[精密]</t>
  </si>
  <si>
    <t>机枪会心</t>
  </si>
  <si>
    <t>若场上MG人形数量&gt;=2，第3秒起每6秒为所有MG人形赋予1层[会心]</t>
  </si>
  <si>
    <t>机枪强化</t>
  </si>
  <si>
    <t>若场上MG人形数量&gt;=2，第3秒起每6秒为所有MG人形赋予1层[强化]</t>
  </si>
  <si>
    <t>空袭小队</t>
  </si>
  <si>
    <t>若场上MG人形数量&gt;=2，第3秒起每6秒触发一次[空袭]，对全部敌人造成2000无视护甲的编制伤害</t>
  </si>
  <si>
    <t>霰弹专注</t>
  </si>
  <si>
    <t>若场上SG人形数量&gt;=2，第3秒起每6秒为所有人形赋予1层[专注]</t>
  </si>
  <si>
    <t>霰弹耐性</t>
  </si>
  <si>
    <t>若场上SG人形数量&gt;=2，第3秒起每6秒为所有人形赋予1层[耐性]</t>
  </si>
  <si>
    <t>破甲打击</t>
  </si>
  <si>
    <t>若场上SG人形数量&gt;=1，第3秒起每6秒为3个随机敌人赋予1层[破甲]</t>
  </si>
  <si>
    <t>震荡打击</t>
  </si>
  <si>
    <t>若场上SG人形数量&gt;=1，第3秒起每6秒为3个随机敌人赋予1层[震荡]</t>
  </si>
  <si>
    <t>枪弹狂热</t>
  </si>
  <si>
    <t>战斗效率技能效果及持续时间大幅提高</t>
  </si>
  <si>
    <t>英雄作成</t>
  </si>
  <si>
    <t>战斗效率持续期间每6秒赋予全队人形1层[专注]</t>
  </si>
  <si>
    <t>无羁狂怒</t>
  </si>
  <si>
    <t>怒无限强技能效果及持续时间大幅提高</t>
  </si>
  <si>
    <t>嗜血狂怒</t>
  </si>
  <si>
    <t>怒无限强持续期间每6秒赋予全队人形1层[会心]</t>
  </si>
  <si>
    <t>机械壁垒</t>
  </si>
  <si>
    <t>防暴强化技能效果及持续时间大幅提高</t>
  </si>
  <si>
    <t>多面防御</t>
  </si>
  <si>
    <t>防暴强化持续期间每6秒赋予SG人形1层[耐性]</t>
  </si>
  <si>
    <t>偏折护盾</t>
  </si>
  <si>
    <t>能量护盾效果提高，护盾期间额外获得10%伤害减免</t>
  </si>
  <si>
    <t>涌能护盾</t>
  </si>
  <si>
    <t>能量护盾持续期间每5秒提高身上有护盾的人形20%回避，持续至护盾消失，给身上没有护盾的人形提供5%最大生命的护盾</t>
  </si>
  <si>
    <t>静滞力场</t>
  </si>
  <si>
    <t>临时装甲同时赋予前排人形10%伤害减免，持续60秒</t>
  </si>
  <si>
    <t>保护之壳</t>
  </si>
  <si>
    <t>临时装甲同时赋予前排人形20%最大生命的护盾</t>
  </si>
  <si>
    <t>协同嘲讽</t>
  </si>
  <si>
    <t>嘲讽靶机可额外召唤一个靶机，靶机获得30%免伤</t>
  </si>
  <si>
    <t>意外惊喜</t>
  </si>
  <si>
    <t>靶机死亡时爆炸触发[炮击]，对小范围内的敌人造成6000无视护甲的编制伤害</t>
  </si>
  <si>
    <t>狙击引导</t>
  </si>
  <si>
    <t>(狙击)的发动频率提高</t>
  </si>
  <si>
    <t>雪上加霜</t>
  </si>
  <si>
    <t>(狙击)对被(破甲)的目标造成的伤害提高50%</t>
  </si>
  <si>
    <t>炮击引导</t>
  </si>
  <si>
    <t>(炮击)的发动频率提高</t>
  </si>
  <si>
    <t>落井下石</t>
  </si>
  <si>
    <t>(炮击)对被(震荡)的目标造成的伤害提高50%</t>
  </si>
  <si>
    <t>空袭引导</t>
  </si>
  <si>
    <t>(空袭)的发动频率提高</t>
  </si>
  <si>
    <t>趁火打劫</t>
  </si>
  <si>
    <t>(空袭)对被(点燃)的目标造成的伤害提高50%</t>
  </si>
  <si>
    <t>火力强化</t>
  </si>
  <si>
    <t>提升全队伤害15%。</t>
  </si>
  <si>
    <t>火力强化+</t>
  </si>
  <si>
    <t>提升全队伤害30%。</t>
  </si>
  <si>
    <t>射速强化</t>
  </si>
  <si>
    <t>提升全队射速15%。</t>
  </si>
  <si>
    <t>射速强化+</t>
  </si>
  <si>
    <t>提升全队射速30%。</t>
  </si>
  <si>
    <t>穿甲强化</t>
  </si>
  <si>
    <t>增加全队穿甲100点。</t>
  </si>
  <si>
    <t>穿甲强化+</t>
  </si>
  <si>
    <t>增加全队穿甲200点。</t>
  </si>
  <si>
    <t>护盾强化</t>
  </si>
  <si>
    <t>增加全队护盾100点。</t>
  </si>
  <si>
    <t>护盾强化+</t>
  </si>
  <si>
    <t>增加全队护盾200点。</t>
  </si>
  <si>
    <t>暴伤强化</t>
  </si>
  <si>
    <t>提升全队暴击伤害25%。</t>
  </si>
  <si>
    <t>暴伤强化+</t>
  </si>
  <si>
    <t>提升全队暴击伤害50%。</t>
  </si>
  <si>
    <t>回避强化</t>
  </si>
  <si>
    <t>提升全队回避25%。</t>
  </si>
  <si>
    <t>回避强化+</t>
  </si>
  <si>
    <t>提升全队回避50%。</t>
  </si>
  <si>
    <t>夜视强化</t>
  </si>
  <si>
    <t>提升全队夜视性能25%。</t>
  </si>
  <si>
    <t>夜视强化+</t>
  </si>
  <si>
    <t>提升全队夜视性能50%。</t>
  </si>
  <si>
    <t>命中强化</t>
  </si>
  <si>
    <t>提升全队命中100%。</t>
  </si>
  <si>
    <t>命中强化+</t>
  </si>
  <si>
    <t>提升全队命中200%。</t>
  </si>
  <si>
    <t>移速强化</t>
  </si>
  <si>
    <t>提升全队移速100%。</t>
  </si>
  <si>
    <t>移速强化+</t>
  </si>
  <si>
    <t>提升全队移速200%。</t>
  </si>
  <si>
    <t>火力降低</t>
  </si>
  <si>
    <t>降低敌方全体伤害15%。</t>
  </si>
  <si>
    <t>火力降低+</t>
  </si>
  <si>
    <t>降低敌方全体伤害30%。</t>
  </si>
  <si>
    <t>回避降低</t>
  </si>
  <si>
    <t>降低敌方全体回避50%。</t>
  </si>
  <si>
    <t>回避降低+</t>
  </si>
  <si>
    <t>降低敌方全体回避70%。</t>
  </si>
  <si>
    <t>命中降低</t>
  </si>
  <si>
    <t>降低敌方全体命中15%。</t>
  </si>
  <si>
    <t>命中降低+</t>
  </si>
  <si>
    <t>降低敌方全体命中30%。</t>
  </si>
  <si>
    <t>失力眩晕</t>
  </si>
  <si>
    <t>战斗中每隔10秒眩晕敌人2秒。</t>
  </si>
  <si>
    <t>火力点射</t>
  </si>
  <si>
    <t>战斗中每隔8秒对敌方血量最低单位造成10000点伤害。</t>
  </si>
  <si>
    <t>护盾破解</t>
  </si>
  <si>
    <t>战斗中每隔10秒清空一次敌人身上护盾。</t>
  </si>
  <si>
    <t>协同挑衅</t>
  </si>
  <si>
    <t>战斗开始时召唤1组5编，每编1000血的靶机。</t>
  </si>
  <si>
    <t>麻痹之花</t>
  </si>
  <si>
    <t>战斗开始时麻痹敌人4秒。</t>
  </si>
  <si>
    <t>穿甲之力</t>
  </si>
  <si>
    <t>我方攻击穿透护甲额外造成一次200点伤害。</t>
  </si>
  <si>
    <t>穿甲法球[*]</t>
  </si>
  <si>
    <t>急速技能</t>
  </si>
  <si>
    <t>我方每次使用技能后下次技能冷却减少20%。</t>
  </si>
  <si>
    <t>护盾暴击</t>
  </si>
  <si>
    <t>我方拥有护盾的单位暴击增加100%。</t>
  </si>
  <si>
    <t>护盾暴击-1</t>
  </si>
  <si>
    <t>我方拥有护盾的单位暴击增加100%-1。</t>
  </si>
  <si>
    <t>护盾暴击-2</t>
  </si>
  <si>
    <t>我方拥有护盾的单位暴击增加100%-2。</t>
  </si>
  <si>
    <t>Enable?</t>
  </si>
  <si>
    <t>N</t>
  </si>
  <si>
    <t>powerless</t>
  </si>
  <si>
    <t>fight</t>
  </si>
  <si>
    <t>dissolve</t>
  </si>
  <si>
    <t>In the same boat</t>
  </si>
  <si>
    <t>Burning Strike II</t>
  </si>
  <si>
    <t>giant whack</t>
  </si>
  <si>
    <t>Stand your ground</t>
  </si>
  <si>
    <t>Prepare quickly</t>
  </si>
  <si>
    <t>scorched earth strategy</t>
  </si>
  <si>
    <t>emergency shield</t>
  </si>
  <si>
    <t>random strike</t>
  </si>
  <si>
    <t>deflection field</t>
  </si>
  <si>
    <t>Assault inertia</t>
  </si>
  <si>
    <t>Armored Shield</t>
  </si>
  <si>
    <t>Assault order</t>
  </si>
  <si>
    <t>sniper support</t>
  </si>
  <si>
    <t>Enhanced sniper</t>
  </si>
  <si>
    <t>Spot cleanup</t>
  </si>
  <si>
    <t>Continuous bombardment</t>
  </si>
  <si>
    <t>mind</t>
  </si>
  <si>
    <t>Armor-piercing warhead</t>
  </si>
  <si>
    <t>artillery support</t>
  </si>
  <si>
    <t>Shelling reinforcement</t>
  </si>
  <si>
    <t>Cluster bombardment</t>
  </si>
  <si>
    <t>Continuing air strikes</t>
  </si>
  <si>
    <t>heroic</t>
  </si>
  <si>
    <t>Shock Ammunition</t>
  </si>
  <si>
    <t>air strike support</t>
  </si>
  <si>
    <t>Air Raid Enhancement</t>
  </si>
  <si>
    <t>carpet bombing</t>
  </si>
  <si>
    <t>Combined sniper</t>
  </si>
  <si>
    <t>bloodthirsty</t>
  </si>
  <si>
    <t>fire from heaven</t>
  </si>
  <si>
    <t>break armor</t>
  </si>
  <si>
    <t>fragile</t>
  </si>
  <si>
    <t>Armor Penetration Enhancement</t>
  </si>
  <si>
    <t>shock</t>
  </si>
  <si>
    <t>Explosive</t>
  </si>
  <si>
    <t>Concussion Strengthening</t>
  </si>
  <si>
    <t>ignite</t>
  </si>
  <si>
    <t>flammable</t>
  </si>
  <si>
    <t>Ignition Enhanced</t>
  </si>
  <si>
    <t>concentrate on</t>
  </si>
  <si>
    <t>Focus on strengthening</t>
  </si>
  <si>
    <t>mirror stop water</t>
  </si>
  <si>
    <t>rapid fire</t>
  </si>
  <si>
    <t>Rapid Fire Enhancement</t>
  </si>
  <si>
    <t>Restrictions lifted</t>
  </si>
  <si>
    <t>precision</t>
  </si>
  <si>
    <t>Precision strengthening</t>
  </si>
  <si>
    <t>Devil's eye</t>
  </si>
  <si>
    <t>knowing</t>
  </si>
  <si>
    <t>Knowing how to strengthen</t>
  </si>
  <si>
    <t>automatic calibration</t>
  </si>
  <si>
    <t>strengthen</t>
  </si>
  <si>
    <t>Enhanced Amplification</t>
  </si>
  <si>
    <t>patience</t>
  </si>
  <si>
    <t>Resistance Boost</t>
  </si>
  <si>
    <t>Assault focus</t>
  </si>
  <si>
    <t>Assault Precision</t>
  </si>
  <si>
    <t>Assault Enhancement</t>
  </si>
  <si>
    <t>artillery squad</t>
  </si>
  <si>
    <t>Charge knowingly</t>
  </si>
  <si>
    <t>Charge Enhancement</t>
  </si>
  <si>
    <t>charge resistance</t>
  </si>
  <si>
    <t>incendiary grenade</t>
  </si>
  <si>
    <t>rapid fire rifle</t>
  </si>
  <si>
    <t>Rifle knowing</t>
  </si>
  <si>
    <t>Rifle Enhancement</t>
  </si>
  <si>
    <t>sniper team</t>
  </si>
  <si>
    <t>pistol focus</t>
  </si>
  <si>
    <t>pistol rapid fire</t>
  </si>
  <si>
    <t>pistol precision</t>
  </si>
  <si>
    <t>pistol knowing</t>
  </si>
  <si>
    <t>machine gun precision</t>
  </si>
  <si>
    <t>machine gun knowing</t>
  </si>
  <si>
    <t>Machine gun enhancement</t>
  </si>
  <si>
    <t>air strike team</t>
  </si>
  <si>
    <t>shotgun focus</t>
  </si>
  <si>
    <t>Shot Resistance</t>
  </si>
  <si>
    <t>Penetration Strike</t>
  </si>
  <si>
    <t>concussion blow</t>
  </si>
  <si>
    <t>bullet mania</t>
  </si>
  <si>
    <t>hero made</t>
  </si>
  <si>
    <t>Unbridled Fury</t>
  </si>
  <si>
    <t>bloodthirsty rage</t>
  </si>
  <si>
    <t>mechanical barrier</t>
  </si>
  <si>
    <t>multifaceted defense</t>
  </si>
  <si>
    <t>deflection shield</t>
  </si>
  <si>
    <t>Surge Shield</t>
  </si>
  <si>
    <t>stasis field</t>
  </si>
  <si>
    <t>protective shell</t>
  </si>
  <si>
    <t>synergistic taunt</t>
  </si>
  <si>
    <t>unexpected surprise</t>
  </si>
  <si>
    <t>sniper guide</t>
  </si>
  <si>
    <t>worse</t>
  </si>
  <si>
    <t>bombardment guidance</t>
  </si>
  <si>
    <t>Add insult to injury</t>
  </si>
  <si>
    <t>air strike guidance</t>
  </si>
  <si>
    <t>take advantage of the fire</t>
  </si>
  <si>
    <t>firepower enhancement</t>
  </si>
  <si>
    <t>Firepower Enhancement+</t>
  </si>
  <si>
    <t>Fire Rate Enhancement</t>
  </si>
  <si>
    <t>Fire rate enhancement+</t>
  </si>
  <si>
    <t>Armor Penetration Enhancement+</t>
  </si>
  <si>
    <t>Shield Enhancement</t>
  </si>
  <si>
    <t>Shield Enhancement+</t>
  </si>
  <si>
    <t>Enhanced damage</t>
  </si>
  <si>
    <t>Critical damage enhancement+</t>
  </si>
  <si>
    <t>avoidance reinforcement</t>
  </si>
  <si>
    <t>Avoid Enhancement+</t>
  </si>
  <si>
    <t>Enhanced night vision</t>
  </si>
  <si>
    <t>Night Vision Enhanced+</t>
  </si>
  <si>
    <t>hit boost</t>
  </si>
  <si>
    <t>Hit Boost+</t>
  </si>
  <si>
    <t>Movement Speed Enhancement</t>
  </si>
  <si>
    <t>Movement speed enhancement+</t>
  </si>
  <si>
    <t>Reduced firepower</t>
  </si>
  <si>
    <t>firepower reduction+</t>
  </si>
  <si>
    <t>Reduced avoidance</t>
  </si>
  <si>
    <t>Evasion Reduction+</t>
  </si>
  <si>
    <t>hit reduction</t>
  </si>
  <si>
    <t>hit reduction+</t>
  </si>
  <si>
    <t>weakness dizziness</t>
  </si>
  <si>
    <t>burst fire</t>
  </si>
  <si>
    <t>shield break</t>
  </si>
  <si>
    <t>coordinated provocation</t>
  </si>
  <si>
    <t>paralysis flower</t>
  </si>
  <si>
    <t>armor piercing power</t>
  </si>
  <si>
    <t>Armor-Piercing Orb[*]</t>
  </si>
  <si>
    <t>haste skill</t>
  </si>
  <si>
    <t>Shield Crit</t>
  </si>
  <si>
    <t>Shield crit -1</t>
  </si>
  <si>
    <t>Shield crit -2</t>
  </si>
  <si>
    <t>The crit rate of all allies increases by 50%, but the crit damage decreases by 80%</t>
  </si>
  <si>
    <t>Reduce the damage of all allies by 50%, and grant 100% vulnerability to all enemies</t>
  </si>
  <si>
    <t>Increases the armor penetration of all enemies by 200 points</t>
  </si>
  <si>
    <t>The damage of our units except the captain is reduced by 20%</t>
  </si>
  <si>
    <t>At the beginning of the game, a burning area is generated in the second row of our side, causing 50 points of system damage every 0.33 seconds, lasting for 10 seconds</t>
  </si>
  <si>
    <t>Deal damage equal to 10% of maximum HP every 10 seconds to the unit with the highest HP on both sides</t>
  </si>
  <si>
    <t>Increase the evasion and armor of our front row dolls by 6% every 3 seconds, up to 10 layers_x000D_
&lt;color=#CF8000&gt;The effect lasts for 1 round&lt;/color&gt;</t>
  </si>
  <si>
    <t>Our front cooling time is reduced by 50%_x000D_
&lt;color=#CF8000&gt;The effect lasts for 1 round&lt;/color&gt;</t>
  </si>
  <si>
    <t>Throw burning objects at the enemy with the highest blood volume every 6 seconds, causing 60 points of damage every 0.33 seconds, lasting 15 seconds, range 3*3_x000D_
&lt;color=#CF8000&gt;The effect lasts for 1 round&lt;/color&gt;</t>
  </si>
  <si>
    <t>Recover 30% of our lost HP shield every 10 seconds for 6 seconds_x000D_
&lt;color=#CF8000&gt;The effect lasts for 1 round&lt;/color&gt;</t>
  </si>
  <si>
    <t>Randomly weakens an enemy unit every 10 seconds, greatly reducing the unit's attributes (damage, fire rate, hit, dodge, armor) by 50%_x000D_
&lt;color=#CF8000&gt;The effect lasts for 1 round&lt;/color&gt;</t>
  </si>
  <si>
    <t>Our unit with the highest blood volume gains 9999 points of deflection force field at the beginning of the battle, lasting for 5 seconds_x000D_
&lt;color=#CF8000&gt;The effect lasts for 1 round&lt;/color&gt;</t>
  </si>
  <si>
    <t>In this battle, the damage and evasion of all our allies are increased by 3% every 4 seconds, up to 10 layers_x000D_
&lt;color=#CF8000&gt;The effect lasts for 1 round&lt;/color&gt;</t>
  </si>
  <si>
    <t>Our unit with the highest HP gets an additional 30% damage reduction_x000D_
&lt;color=#CF8000&gt;The effect lasts for 1 round&lt;/color&gt;</t>
  </si>
  <si>
    <t>The rate of fire of all our party is increased by 30%_x000D_
&lt;color=#CF8000&gt;The effect lasts for 1 round&lt;/color&gt;</t>
  </si>
  <si>
    <t>[Snipe] is triggered every 6 seconds after the opening, causing 18000 damage to the most threatening enemy regardless of armor</t>
  </si>
  <si>
    <t>(Sniper) deals 50% increased damage</t>
  </si>
  <si>
    <t>(Sniper) Damage dealt to elite units increased by 100%</t>
  </si>
  <si>
    <t>(Snipe) triggers an additional [Bombardment], causing 6000 damage to enemies within a small range regardless of armor. Built-in CD for 3 seconds</t>
  </si>
  <si>
    <t>(Sniper) grants [Precision] to all human figures</t>
  </si>
  <si>
    <t>(Snipe) grants [Armor Break] to the target</t>
  </si>
  <si>
    <t>[Bombardment] is triggered every 6 seconds after the opening, causing 6000 damage to enemies within a small range regardless of armor</t>
  </si>
  <si>
    <t>(Bombardment) deals 50% increased damage</t>
  </si>
  <si>
    <t>(Bombardment) Increases damage to single-armed enemies by 100%</t>
  </si>
  <si>
    <t>(Bombardment) triggers an additional [Air Strike], causing 2000 damage to all enemies regardless of armor. Built-in CD for 3 seconds</t>
  </si>
  <si>
    <t>(Bombardment) grants [Focus] to all Dolls</t>
  </si>
  <si>
    <t>(Bombardment) grants [Shock] to the target</t>
  </si>
  <si>
    <t>[Air Strike] is triggered every 6 seconds after the start of the battle, causing 2000 damage to all enemies regardless of armor</t>
  </si>
  <si>
    <t>(Air Strike) deals 50% increased damage</t>
  </si>
  <si>
    <t>(Air Strike) Damage dealt to non-elite enemies increased by 100%</t>
  </si>
  <si>
    <t>(Air Strike) triggers an additional [Snipe], causing 18,000 armor-ignoring damage to the most threatening enemy, built-in CD for 3 seconds</t>
  </si>
  <si>
    <t>(Airstrike) grants [Knowledge] to all Dolls</t>
  </si>
  <si>
    <t>(Airstrike) grants [Ignite] to the target</t>
  </si>
  <si>
    <t>At the beginning of the battle, grant 1 layer of [Armor Break] to all enemies, and then give 1 layer of [Armor Break] to the enemy with the highest life and highest armor every 6 seconds</t>
  </si>
  <si>
    <t>(Armor Breaking) can stack up to 3 layers</t>
  </si>
  <si>
    <t>(Armor Break) duration increased to 12 seconds</t>
  </si>
  <si>
    <t>Apply 1 layer of [Shock] to all enemies at the beginning of the battle, and then apply 1 layer of [Shock] to the enemy with the highest damage and the furthest every 6 seconds</t>
  </si>
  <si>
    <t>(Shock) can stack up to 3 layers</t>
  </si>
  <si>
    <t>(Concussion) duration increased to 12 seconds</t>
  </si>
  <si>
    <t>Apply 1 layer of [Ignite] to all enemies at the beginning of the battle, and then apply 1 layer of [Ignite] to the enemy with the highest and lowest HP every 6 seconds</t>
  </si>
  <si>
    <t>(ignite) can stack up to 3 layers</t>
  </si>
  <si>
    <t>(Ignite) duration increased to 12 seconds</t>
  </si>
  <si>
    <t>Every 6 seconds after the start of the battle, give 1 layer to the doll with the highest output and the lowest life on the field [Focus]</t>
  </si>
  <si>
    <t>(Focus) effect increased to 100%</t>
  </si>
  <si>
    <t>(Focus) Can stack 3 layers</t>
  </si>
  <si>
    <t>Every 6 seconds after the start of the battle, give 1 layer to the doll with the highest output and the lowest life on the field [Rapid Fire]</t>
  </si>
  <si>
    <t>(Rapid Fire) effect increased to 100%</t>
  </si>
  <si>
    <t>After granting (Rapid Fire), if the target has 2 layers of (Rapid Fire), an additional layer of [Concentration] will be given.</t>
  </si>
  <si>
    <t>Every 6 seconds after the start of the battle, give 1 layer of [Precision] to the doll with the highest output and the lowest life on the field</t>
  </si>
  <si>
    <t>(Precision) effect increased to 50%</t>
  </si>
  <si>
    <t>After granting (precision), if the target has 2 layers of (precision), an additional layer of [Knowing Heart] will be given</t>
  </si>
  <si>
    <t>Every 6 seconds after the start of the battle, give 1 layer to the doll with the highest output and the lowest life on the field [Knowledge]</t>
  </si>
  <si>
    <t>(Knowledge) effect increased to 50%</t>
  </si>
  <si>
    <t>After granting (Knowledge), if the target does not have (Precision), an additional layer of [Precision] will be given.</t>
  </si>
  <si>
    <t>Every 6 seconds after the start of the battle, give 1 layer of [enhancement] to the doll with the highest output and the lowest life on the field</t>
  </si>
  <si>
    <t>(Enhancement) effect increased to 40%</t>
  </si>
  <si>
    <t>Gives 1 layer of [Resistance] to the Humanoid with the highest HP and Armor every 6 seconds after the battle starts</t>
  </si>
  <si>
    <t>(Resistance) effect increased to 50%</t>
  </si>
  <si>
    <t>If the number of AR figures on the field is &gt;= 2, from the 3rd second, all AR figures will be given 1 layer of [Focus] every 6 seconds</t>
  </si>
  <si>
    <t>If the number of AR figures on the field is &gt;= 2, from the 3rd second, all AR figures will be given 1 layer of [Precision] every 6 seconds</t>
  </si>
  <si>
    <t>If the number of AR figures on the field is &gt;= 2, from the 3rd second, all AR figures will be given 1 layer of [Enhancement] every 6 seconds</t>
  </si>
  <si>
    <t>If the number of AR dolls on the field is &gt;= 2, [Bombardment] will be triggered every 6 seconds from the 3rd second, causing 6000 damage to enemies within a small range regardless of armor</t>
  </si>
  <si>
    <t>If the number of SMG dolls on the field is &gt;= 2, from the 3rd second, every 6 seconds will grant 1 layer to all dolls [Knowing Heart]</t>
  </si>
  <si>
    <t>If the number of SMG dolls on the field is &gt;= 2, from the 3rd second, every 6 seconds will give all dolls a layer of [Enhancement]</t>
  </si>
  <si>
    <t>If the number of SMG figures on the field is &gt;= 2, from the 3rd second, every 6 seconds, all figures will be given 1 layer of [Resistance]</t>
  </si>
  <si>
    <t>If the number of SMG dolls on the field is &gt;= 1, from the 3rd second, 3 random enemies will be given 1 layer of [ignite] every 6 seconds</t>
  </si>
  <si>
    <t>If the number of RF figures on the field is &gt;= 2, from the 3rd second, all RF figures will be given 1 layer [Quick Fire] every 6 seconds</t>
  </si>
  <si>
    <t>If the number of RF T-dolls on the field is &gt;= 2, from the 3rd second, every 6 seconds will grant 1 layer to all RF T-dolls [Knowing Heart]</t>
  </si>
  <si>
    <t>If the number of RF dolls on the field is &gt;= 2, from the 3rd second, every 6 seconds, all RF dolls will be given 1 layer of [Enhancement]</t>
  </si>
  <si>
    <t>If the number of RF dolls on the field is &gt;= 2, [Snipe] will be triggered every 6 seconds from the 3rd second, causing 18000 damage to the most threatening enemy regardless of armor</t>
  </si>
  <si>
    <t>If the number of HG figures on the field is &gt;= 2, every 6 seconds from the 3rd second, give all HG figures a layer of [Focus]</t>
  </si>
  <si>
    <t>If the number of HG figures on the field is &gt;= 2, from the 3rd second, give 1 layer of [Quick Fire] to all HG figures every 6 seconds</t>
  </si>
  <si>
    <t>If the number of HG figures on the field is &gt;= 2, every 6 seconds from the 3rd second, all HG figures will be given 1 layer of [Precision]</t>
  </si>
  <si>
    <t>If the number of HG figures on the field is &gt;= 2, from the 3rd second, every 6 seconds will grant 1 layer to all HG figures [Knowing Heart]</t>
  </si>
  <si>
    <t>If the number of MG figures on the field is &gt;= 2, from the 3rd second, every 6 seconds will give all MG figures 1 layer of [Precision]</t>
  </si>
  <si>
    <t>If the number of MG figures on the field is &gt;= 2, from the 3rd second, every 6 seconds will give 1 layer to all MG figures [Knowing Heart]</t>
  </si>
  <si>
    <t>If the number of MG figures on the field is &gt;= 2, from the 3rd second, every 6 seconds will give 1 layer of [Enhancement] to all MG figures.</t>
  </si>
  <si>
    <t>If the number of MG dolls on the field is &gt;= 2, [Air Strike] will be triggered every 6 seconds from the 3rd second, causing 2000 damage to all enemies regardless of armor</t>
  </si>
  <si>
    <t>If the number of SG dolls on the field is &gt;= 2, from the 3rd second, every 6 seconds will give all dolls a layer of [Focus]</t>
  </si>
  <si>
    <t>If the number of SG dolls on the field is &gt;= 2, from the 3rd second, every 6 seconds, all dolls will be given 1 layer of [Resistance]</t>
  </si>
  <si>
    <t>If the number of SG dolls on the field is &gt;= 1, from the 3rd second, 3 random enemies will be given 1 layer of [Armor Break] every 6 seconds</t>
  </si>
  <si>
    <t>If the number of SG dolls on the field is &gt;= 1, from the 3rd second, 3 random enemies will be given 1 layer of [Shock] every 6 seconds</t>
  </si>
  <si>
    <t>Combat Efficiency Skill effect and duration are greatly improved</t>
  </si>
  <si>
    <t>During the duration of combat efficiency, grant 1 layer to all human figures in the team every 6 seconds [Focus]</t>
  </si>
  <si>
    <t>Greatly increased the effect and duration of the powerful skill of Rage</t>
  </si>
  <si>
    <t>During the duration of Unlimited Rage, grant 1 layer to the team's Humanoids every 6 seconds [Knowing Heart]</t>
  </si>
  <si>
    <t>The effect and duration of anti-riot enhancement skills have been greatly increased</t>
  </si>
  <si>
    <t>Give SG Doll 1 layer of [Resistance] every 6 seconds during the Anti-Riot Enhancement</t>
  </si>
  <si>
    <t>The effect of energy shield is increased, gaining an additional 10% damage reduction during the shield period</t>
  </si>
  <si>
    <t>During the duration of the energy shield, increase the evasion of human figures with shields by 20% every 5 seconds, until the shield disappears, and provide a shield of 5% of the maximum life for human figures without shields</t>
  </si>
  <si>
    <t>Temporary armor also grants 10% damage reduction to the front row dolls for 60 seconds</t>
  </si>
  <si>
    <t>Temporary armor also grants a shield of 20% of the maximum health of the front row dolls</t>
  </si>
  <si>
    <t>Taunting the target drone can summon an additional target drone, and the target drone gets 30% damage-free</t>
  </si>
  <si>
    <t>When the target drone dies, the explosion triggers [Bombardment], causing 6000 damage to enemies within a small range regardless of armor</t>
  </si>
  <si>
    <t>(Sniper) activation frequency increased</t>
  </si>
  <si>
    <t>(Sniper) deals 50% more damage to targets that are (Punctured)</t>
  </si>
  <si>
    <t>(Bombardment) firing frequency increased</t>
  </si>
  <si>
    <t>(Bombardment) deals 50% increased damage to targets that are (Shocked)</t>
  </si>
  <si>
    <t>(Airstrike) launch frequency increased</t>
  </si>
  <si>
    <t>(Air Strike) deals 50% increased damage to targets that are (ignited)</t>
  </si>
  <si>
    <t>Increase team damage by 15%.</t>
  </si>
  <si>
    <t>Increase team damage by 30%.</t>
  </si>
  <si>
    <t>Increase the team's rate of fire by 15%.</t>
  </si>
  <si>
    <t>Increase the team's rate of fire by 30%.</t>
  </si>
  <si>
    <t>Increase the armor penetration of the whole team by 100 points.</t>
  </si>
  <si>
    <t>Increase the armor penetration of the whole team by 200 points.</t>
  </si>
  <si>
    <t>Increase the team's shield by 100 points.</t>
  </si>
  <si>
    <t>Increase the team's shield by 200 points.</t>
  </si>
  <si>
    <t>Increase the team's critical strike damage by 25%.</t>
  </si>
  <si>
    <t>Increase the team's critical strike damage by 50%.</t>
  </si>
  <si>
    <t>Increase the team's evasion by 25%.</t>
  </si>
  <si>
    <t>Increase the team's evasion by 50%.</t>
  </si>
  <si>
    <t>Improve the team's night vision performance by 25%.</t>
  </si>
  <si>
    <t>Improve the team's night vision performance by 50%.</t>
  </si>
  <si>
    <t>Improve the team's hit rate by 100%.</t>
  </si>
  <si>
    <t>Increase the team's hit rate by 200%.</t>
  </si>
  <si>
    <t>Increase the movement speed of the whole team by 100%.</t>
  </si>
  <si>
    <t>Increase the movement speed of the whole team by 200%.</t>
  </si>
  <si>
    <t>Reduces damage of all enemies by 15%.</t>
  </si>
  <si>
    <t>Reduces damage of all enemies by 30%.</t>
  </si>
  <si>
    <t>Reduces the evasion of all enemies by 50%.</t>
  </si>
  <si>
    <t>Reduces the evasion of all enemies by 70%.</t>
  </si>
  <si>
    <t>Reduces the hit rate of all enemies by 15%.</t>
  </si>
  <si>
    <t>Reduces the hit rate of all enemies by 30%.</t>
  </si>
  <si>
    <t>Stuns the enemy for 2 seconds every 10 seconds during the battle.</t>
  </si>
  <si>
    <t>Inflict 10,000 points of damage to the enemy unit with the lowest HP every 8 seconds during the battle.</t>
  </si>
  <si>
    <t>Clear the enemy's shield every 10 seconds during the battle.</t>
  </si>
  <si>
    <t>At the beginning of the battle, a group of 5 target drones with 1000 blood each will be summoned.</t>
  </si>
  <si>
    <t>Paralyzes enemies for 4 seconds at the start of combat.</t>
  </si>
  <si>
    <t>Our attack penetrates the armor and causes an additional 200 points of damage.</t>
  </si>
  <si>
    <t>Every time we use a skill, the cooldown of the next skill is reduced by 20%.</t>
  </si>
  <si>
    <t>Our units with shields have a 100% increase in critical strike.</t>
  </si>
  <si>
    <t>Our units with shields have a critical strike increase of 100%-1.</t>
  </si>
  <si>
    <t>Our units with shields have a critical strike increase of 100%-2.</t>
  </si>
  <si>
    <t>CN Name</t>
  </si>
  <si>
    <t>CN Description</t>
  </si>
  <si>
    <t>Running List:</t>
  </si>
  <si>
    <t>equip-10000342</t>
  </si>
  <si>
    <t>equip-20000342</t>
  </si>
  <si>
    <t>20007</t>
  </si>
  <si>
    <t>equip-30000342</t>
  </si>
  <si>
    <t>759133,759034</t>
  </si>
  <si>
    <t>equip-10000343</t>
  </si>
  <si>
    <t>equip-20000343</t>
  </si>
  <si>
    <t>20094</t>
  </si>
  <si>
    <t>equip-30000343</t>
  </si>
  <si>
    <t>759142,759034</t>
  </si>
  <si>
    <t>LS Kill Rank 0</t>
  </si>
  <si>
    <t>LS Kill Rank 1</t>
  </si>
  <si>
    <t>LS Kill Rank 2</t>
  </si>
  <si>
    <t>LS Kill Rank 3</t>
  </si>
  <si>
    <t>equip-10000344</t>
  </si>
  <si>
    <t>equip-20000344</t>
  </si>
  <si>
    <t>139</t>
  </si>
  <si>
    <t>equip-30000344</t>
  </si>
  <si>
    <t>equip-10000345</t>
  </si>
  <si>
    <t>equip-20000345</t>
  </si>
  <si>
    <t>equip-30000345</t>
  </si>
  <si>
    <t>equip-10000346</t>
  </si>
  <si>
    <t>equip-20000346</t>
  </si>
  <si>
    <t>equip-30000346</t>
  </si>
  <si>
    <t>equip-10000347</t>
  </si>
  <si>
    <t>equip-20000347</t>
  </si>
  <si>
    <t>151</t>
  </si>
  <si>
    <t>equip-30000347</t>
  </si>
  <si>
    <t>armor:700</t>
  </si>
  <si>
    <t>759155</t>
  </si>
  <si>
    <t>sangvis-10001024</t>
  </si>
  <si>
    <t>Sana</t>
  </si>
  <si>
    <t>Nyto_mecha2</t>
  </si>
  <si>
    <t>sangvis-40001024</t>
  </si>
  <si>
    <t>sangvis-30001024</t>
  </si>
  <si>
    <t>750784</t>
  </si>
  <si>
    <t>750789,750790,750791,750792,750798</t>
  </si>
  <si>
    <t>750793,750795</t>
  </si>
  <si>
    <t>4:2,20;3,50;5,30</t>
  </si>
  <si>
    <t>4:2,12;3,30;5,15</t>
  </si>
  <si>
    <t>SS Artil</t>
  </si>
  <si>
    <t>gun-10000388</t>
  </si>
  <si>
    <t>QBU191</t>
  </si>
  <si>
    <t>gun-40000388</t>
  </si>
  <si>
    <t>gun-50000388</t>
  </si>
  <si>
    <t>gun-60000388</t>
  </si>
  <si>
    <t>750814,750815,750816,750817,750818,750819,750820,750821,750823,750827,750829</t>
  </si>
  <si>
    <t>750822</t>
  </si>
  <si>
    <t>12,8,18,14</t>
  </si>
  <si>
    <t>1,10;2,10;3,10</t>
  </si>
  <si>
    <t>2023-06-02 00:00:00</t>
  </si>
  <si>
    <t>gun-10000389</t>
  </si>
  <si>
    <t>Boys</t>
  </si>
  <si>
    <t>BoysAntiTank</t>
  </si>
  <si>
    <t>gun-40000389</t>
  </si>
  <si>
    <t>gun-50000389</t>
  </si>
  <si>
    <t>gun-60000389</t>
  </si>
  <si>
    <t>750803</t>
  </si>
  <si>
    <t>750804</t>
  </si>
  <si>
    <t>18,14,19,15</t>
  </si>
  <si>
    <t>gun-10000390</t>
  </si>
  <si>
    <t>HK433</t>
  </si>
  <si>
    <t>gun-40000390</t>
  </si>
  <si>
    <t>gun-50000390</t>
  </si>
  <si>
    <t>gun-60000390</t>
  </si>
  <si>
    <t>750805,750806</t>
  </si>
  <si>
    <t>750808</t>
  </si>
  <si>
    <t>equip-10000348</t>
  </si>
  <si>
    <t>equip-20000348</t>
  </si>
  <si>
    <t>20026</t>
  </si>
  <si>
    <t>equip-30000348</t>
  </si>
  <si>
    <t>759186</t>
  </si>
  <si>
    <t>equip-10000349</t>
  </si>
  <si>
    <t>equip-20000349</t>
  </si>
  <si>
    <t>20125</t>
  </si>
  <si>
    <t>equip-30000349</t>
  </si>
  <si>
    <t>759062,759191</t>
  </si>
  <si>
    <t>PL+ Welrod Buff</t>
  </si>
  <si>
    <t>PL+ Thompson Debuff</t>
  </si>
  <si>
    <t>equip-10000350</t>
  </si>
  <si>
    <t>equip-20000350</t>
  </si>
  <si>
    <t>equip-30000350</t>
  </si>
  <si>
    <t>759214</t>
  </si>
  <si>
    <t>equip-10000351</t>
  </si>
  <si>
    <t>equip-20000351</t>
  </si>
  <si>
    <t>16,21</t>
  </si>
  <si>
    <t>20008</t>
  </si>
  <si>
    <t>equip-30000351</t>
  </si>
  <si>
    <t>759218</t>
  </si>
  <si>
    <t>equip-10000352</t>
  </si>
  <si>
    <t>equip-20000352</t>
  </si>
  <si>
    <t>20,26</t>
  </si>
  <si>
    <t>20021</t>
  </si>
  <si>
    <t>equip-30000352</t>
  </si>
  <si>
    <t>critical_percent:1500,pow:500</t>
  </si>
  <si>
    <t>759223</t>
  </si>
  <si>
    <t>equip-10000353</t>
  </si>
  <si>
    <t>equip-20000353</t>
  </si>
  <si>
    <t>13,18</t>
  </si>
  <si>
    <t>equip-30000353</t>
  </si>
  <si>
    <t>Toy</t>
  </si>
  <si>
    <t>757120</t>
  </si>
  <si>
    <t>To report any errors or provide feedback, contact randomqwerty (Discord) or randomabc123456@gmail.com (email)</t>
  </si>
  <si>
    <t>equip-10000354</t>
  </si>
  <si>
    <t>equip-20000354</t>
  </si>
  <si>
    <t>equip-30000354</t>
  </si>
  <si>
    <t>critical_harm_rate:1000,hit:1000</t>
  </si>
  <si>
    <t>759232</t>
  </si>
  <si>
    <t>Peace</t>
  </si>
  <si>
    <t>757013</t>
  </si>
  <si>
    <t>gun-10000391</t>
  </si>
  <si>
    <t>Type82S</t>
  </si>
  <si>
    <t>gun-40000391</t>
  </si>
  <si>
    <t>gun-50000391</t>
  </si>
  <si>
    <t>gun-60000391</t>
  </si>
  <si>
    <t>750838,750840,750841,750842</t>
  </si>
  <si>
    <t>750843</t>
  </si>
  <si>
    <t>1,2,3,7,8</t>
  </si>
  <si>
    <t>3,40;4,40</t>
  </si>
  <si>
    <t>2023-07-25 00:00:00</t>
  </si>
  <si>
    <t>gun-10000392</t>
  </si>
  <si>
    <t>Owen</t>
  </si>
  <si>
    <t>gun-40000392</t>
  </si>
  <si>
    <t>gun-50000392</t>
  </si>
  <si>
    <t>gun-60000392</t>
  </si>
  <si>
    <t>750832</t>
  </si>
  <si>
    <t>750833,750834,750835,750836</t>
  </si>
  <si>
    <t>gun-10000393</t>
  </si>
  <si>
    <t>Beowulf</t>
  </si>
  <si>
    <t>gun-40000393</t>
  </si>
  <si>
    <t>gun-50000393</t>
  </si>
  <si>
    <t>gun-60000393</t>
  </si>
  <si>
    <t>750847,750848,750849,750850,750851,750852,750853,750854</t>
  </si>
  <si>
    <t>750855</t>
  </si>
  <si>
    <t>gun-10000394</t>
  </si>
  <si>
    <t>CM901</t>
  </si>
  <si>
    <t>gun-40000394</t>
  </si>
  <si>
    <t>gun-50000394</t>
  </si>
  <si>
    <t>gun-60000394</t>
  </si>
  <si>
    <t>17,18,19,7,8,9</t>
  </si>
  <si>
    <t>1,10;3,30</t>
  </si>
  <si>
    <t>Type82</t>
  </si>
  <si>
    <t>equip-10000355</t>
  </si>
  <si>
    <t>equip-20000355</t>
  </si>
  <si>
    <t>11,18</t>
  </si>
  <si>
    <t>20010</t>
  </si>
  <si>
    <t>equip-30000355</t>
  </si>
  <si>
    <t>759241</t>
  </si>
  <si>
    <t>equip-10000356</t>
  </si>
  <si>
    <t>equip-20000356</t>
  </si>
  <si>
    <t>20065</t>
  </si>
  <si>
    <t>equip-30000356</t>
  </si>
  <si>
    <t>759235</t>
  </si>
  <si>
    <t>equip-10000357</t>
  </si>
  <si>
    <t>equip-20000357</t>
  </si>
  <si>
    <t>183</t>
  </si>
  <si>
    <t>equip-30000357</t>
  </si>
  <si>
    <t>759246</t>
  </si>
  <si>
    <t>HK416ModGZ</t>
  </si>
  <si>
    <t>PPKModGZ</t>
  </si>
  <si>
    <t>PPSh41ModGZ</t>
  </si>
  <si>
    <t>MosinNagantModGZ</t>
  </si>
  <si>
    <t>ST AR15ModGZ</t>
  </si>
  <si>
    <t>StechkinModGZ</t>
  </si>
  <si>
    <t>Type64ModGZ</t>
  </si>
  <si>
    <t>MP5ModGZ</t>
  </si>
  <si>
    <t>MG4ModGZ</t>
  </si>
  <si>
    <t>MakarovModGZ</t>
  </si>
  <si>
    <t>sangvis-10001025</t>
  </si>
  <si>
    <t>Narciss</t>
  </si>
  <si>
    <t>BossNarciss</t>
  </si>
  <si>
    <t>sangvis-40001025</t>
  </si>
  <si>
    <t>sangvis-30001025</t>
  </si>
  <si>
    <t>750871</t>
  </si>
  <si>
    <t>750876,750878,750879</t>
  </si>
  <si>
    <t>750877,750880,750883,750884</t>
  </si>
  <si>
    <t>4:1,20;2,20</t>
  </si>
  <si>
    <t>4:1,12;2,12</t>
  </si>
  <si>
    <t>equip-10000358</t>
  </si>
  <si>
    <t>equip-20000358</t>
  </si>
  <si>
    <t>20103</t>
  </si>
  <si>
    <t>equip-30000358</t>
  </si>
  <si>
    <t>pow:1000,hit:500</t>
  </si>
  <si>
    <t>759084</t>
  </si>
  <si>
    <t>equip-10000359</t>
  </si>
  <si>
    <t>equip-20000359</t>
  </si>
  <si>
    <t>20101</t>
  </si>
  <si>
    <t>equip-30000359</t>
  </si>
  <si>
    <t>759087</t>
  </si>
  <si>
    <t>equip-10000361</t>
  </si>
  <si>
    <t>equip-20000361</t>
  </si>
  <si>
    <t>5,10</t>
  </si>
  <si>
    <t>138</t>
  </si>
  <si>
    <t>equip-30000361</t>
  </si>
  <si>
    <t>armor_piercing:1000,pow:1000</t>
  </si>
  <si>
    <t>equip-10000362</t>
  </si>
  <si>
    <t>equip-20000362</t>
  </si>
  <si>
    <t>111</t>
  </si>
  <si>
    <t>equip-30000362</t>
  </si>
  <si>
    <t>equip-10000363</t>
  </si>
  <si>
    <t>equip-20000363</t>
  </si>
  <si>
    <t>134</t>
  </si>
  <si>
    <t>equip-30000363</t>
  </si>
  <si>
    <t>UMP45ModGZ</t>
  </si>
  <si>
    <t>UMP9ModGZ</t>
  </si>
  <si>
    <t>G&amp;K Stats</t>
  </si>
  <si>
    <t>equip-10000360</t>
  </si>
  <si>
    <t>equip-20000360</t>
  </si>
  <si>
    <t>60,20060</t>
  </si>
  <si>
    <t>equip-30000360</t>
  </si>
  <si>
    <t>pow:500,critical_harm_rate:1000</t>
  </si>
  <si>
    <t>equip-10000364</t>
  </si>
  <si>
    <t>equip-20000364</t>
  </si>
  <si>
    <t>equip-30000364</t>
  </si>
  <si>
    <t>759267</t>
  </si>
  <si>
    <t>vehicle_id</t>
  </si>
  <si>
    <t>exp</t>
  </si>
  <si>
    <t>energy</t>
  </si>
  <si>
    <t>energy_bak</t>
  </si>
  <si>
    <t>unlocked_nodes</t>
  </si>
  <si>
    <t>component</t>
  </si>
  <si>
    <t>common_component</t>
  </si>
  <si>
    <t>crew</t>
  </si>
  <si>
    <t>locked_slots</t>
  </si>
  <si>
    <t>basic_effect</t>
  </si>
  <si>
    <t>hp</t>
  </si>
  <si>
    <t>heavy_damage</t>
  </si>
  <si>
    <t>light_damage</t>
  </si>
  <si>
    <t>reload</t>
  </si>
  <si>
    <t>H_armor_piercing</t>
  </si>
  <si>
    <t>L_armor_piercing</t>
  </si>
  <si>
    <t>def_break</t>
  </si>
  <si>
    <t>unlock_node</t>
  </si>
  <si>
    <t>unlock_quest</t>
  </si>
  <si>
    <t>unlock_exp</t>
  </si>
  <si>
    <t>unlock_cost</t>
  </si>
  <si>
    <t>node_type</t>
  </si>
  <si>
    <t>slot_id</t>
  </si>
  <si>
    <t>mission_skill_type</t>
  </si>
  <si>
    <t>100,100,100,100</t>
  </si>
  <si>
    <t>10001</t>
  </si>
  <si>
    <t>220106-2</t>
  </si>
  <si>
    <t>10002</t>
  </si>
  <si>
    <t>10004</t>
  </si>
  <si>
    <t>10003,10005</t>
  </si>
  <si>
    <t>200,200,200,200</t>
  </si>
  <si>
    <t>220201-2</t>
  </si>
  <si>
    <t>220158-2,220107-2</t>
  </si>
  <si>
    <t>10006</t>
  </si>
  <si>
    <t>10007</t>
  </si>
  <si>
    <t>10008</t>
  </si>
  <si>
    <t>220106-3</t>
  </si>
  <si>
    <t>10009</t>
  </si>
  <si>
    <t>300,300,300,300</t>
  </si>
  <si>
    <t>10011</t>
  </si>
  <si>
    <t>10012</t>
  </si>
  <si>
    <t>220201-3</t>
  </si>
  <si>
    <t>220158-3,220107-3</t>
  </si>
  <si>
    <t>10013</t>
  </si>
  <si>
    <t>10014</t>
  </si>
  <si>
    <t>11001</t>
  </si>
  <si>
    <t>11002</t>
  </si>
  <si>
    <t>220141-2</t>
  </si>
  <si>
    <t>220143-2,220144-2,220145-2,220146-2,220222-1,220224-2,220203-2</t>
  </si>
  <si>
    <t>11003</t>
  </si>
  <si>
    <t>11004</t>
  </si>
  <si>
    <t>11005</t>
  </si>
  <si>
    <t>220140-2</t>
  </si>
  <si>
    <t>11006</t>
  </si>
  <si>
    <t>11007,11008</t>
  </si>
  <si>
    <t>220141-3</t>
  </si>
  <si>
    <t>220143-3,,220144-3,220149-2,220225-2</t>
  </si>
  <si>
    <t>11009</t>
  </si>
  <si>
    <t>11010</t>
  </si>
  <si>
    <t>11011</t>
  </si>
  <si>
    <t>11012</t>
  </si>
  <si>
    <t>220140-3</t>
  </si>
  <si>
    <t>11013</t>
  </si>
  <si>
    <t>11014</t>
  </si>
  <si>
    <t>Vehicle:</t>
  </si>
  <si>
    <t>Vehicle Mode:</t>
  </si>
  <si>
    <t>Vehicle Setup</t>
  </si>
  <si>
    <t>Vehicle</t>
  </si>
  <si>
    <t>Tank</t>
  </si>
  <si>
    <t>Mech</t>
  </si>
  <si>
    <t>Crew #1 (Doll)</t>
  </si>
  <si>
    <t>Crew #2 (HOC)</t>
  </si>
  <si>
    <t>Crew #3 (HOC)</t>
  </si>
  <si>
    <t>Crew #4 (Any)</t>
  </si>
  <si>
    <t>N/A</t>
  </si>
  <si>
    <t>Heavy</t>
  </si>
  <si>
    <t>Light</t>
  </si>
  <si>
    <t>Utility</t>
  </si>
  <si>
    <t>Common</t>
  </si>
  <si>
    <t>Enter fairy info - use name dropdown to avoid errors:</t>
  </si>
  <si>
    <r>
      <t xml:space="preserve">Enter doll info - select rarity/class then use name dropdowns to avoid errors; paste </t>
    </r>
    <r>
      <rPr>
        <b/>
        <u/>
        <sz val="11"/>
        <rFont val="Calibri"/>
        <family val="2"/>
        <scheme val="minor"/>
      </rPr>
      <t>values</t>
    </r>
    <r>
      <rPr>
        <b/>
        <sz val="11"/>
        <rFont val="Calibri"/>
        <family val="2"/>
        <scheme val="minor"/>
      </rPr>
      <t xml:space="preserve"> instead of filling down or dropdowns may break:</t>
    </r>
  </si>
  <si>
    <r>
      <t xml:space="preserve">Enter additional dolls for TargetTrain mode if needed - fill in the section above then paste </t>
    </r>
    <r>
      <rPr>
        <b/>
        <u/>
        <sz val="11"/>
        <color theme="1"/>
        <rFont val="Calibri"/>
        <family val="2"/>
        <scheme val="minor"/>
      </rPr>
      <t>values</t>
    </r>
    <r>
      <rPr>
        <b/>
        <sz val="11"/>
        <color theme="1"/>
        <rFont val="Calibri"/>
        <family val="2"/>
        <scheme val="minor"/>
      </rPr>
      <t xml:space="preserve"> here:</t>
    </r>
  </si>
  <si>
    <t>Enter SF info - use dropdowns where available to avoid errors, read comments for more details on inputs:</t>
  </si>
  <si>
    <t>Enter component info - use dropdowns to avoid errors; do not fill down as dropdowns are vehicle-specific and may break if you do.</t>
  </si>
  <si>
    <t>component_id</t>
  </si>
  <si>
    <t>level</t>
  </si>
  <si>
    <t>roll_1</t>
  </si>
  <si>
    <t>roll_2</t>
  </si>
  <si>
    <t>roll_3</t>
  </si>
  <si>
    <t>roll_4</t>
  </si>
  <si>
    <t>roll_5</t>
  </si>
  <si>
    <t>unlocked_att</t>
  </si>
  <si>
    <t>crit_rate</t>
  </si>
  <si>
    <t>crit_damage</t>
  </si>
  <si>
    <t>Component Exp</t>
  </si>
  <si>
    <t>Vehicle Component:</t>
  </si>
  <si>
    <t>vehicle</t>
  </si>
  <si>
    <t>Enter "X" to enable a vehicle. Adjust vehicle info as needed - use dropdowns to avoid errors; extra dolls/SF/HOCs will be generated to use as crew members:</t>
  </si>
  <si>
    <t>Note: Only the tank will be placed on the map in Support mode, as the Mech cannot do so. In Combat mode, only the Mech will be placed on the map if both vehicles are enabled.</t>
  </si>
  <si>
    <t>Doll</t>
  </si>
  <si>
    <t>from_spot_id</t>
  </si>
  <si>
    <t>to_spot_id</t>
  </si>
  <si>
    <t>VehicleRangeAtk:</t>
  </si>
  <si>
    <t>equip-10000365</t>
  </si>
  <si>
    <t>equip-20000365</t>
  </si>
  <si>
    <t>20095</t>
  </si>
  <si>
    <t>equip-30000365</t>
  </si>
  <si>
    <t>critical_harm_rate:1000,rate:700</t>
  </si>
  <si>
    <t>759275</t>
  </si>
  <si>
    <t>equip-10000366</t>
  </si>
  <si>
    <t>equip-20000366</t>
  </si>
  <si>
    <t>20080</t>
  </si>
  <si>
    <t>equip-30000366</t>
  </si>
  <si>
    <t>armor_piercing:1000,critical_harm_rate:1000</t>
  </si>
  <si>
    <t>759269</t>
  </si>
  <si>
    <t>Off</t>
  </si>
  <si>
    <t>Anti-Armor Cannon</t>
  </si>
  <si>
    <t>Accuracy</t>
  </si>
  <si>
    <t>Evasion</t>
  </si>
  <si>
    <t>Firepower</t>
  </si>
  <si>
    <t>Full-Speed</t>
  </si>
  <si>
    <t>Heavy Weapon</t>
  </si>
  <si>
    <t>Light Weapon</t>
  </si>
  <si>
    <t>Cannon</t>
  </si>
  <si>
    <t>Grenade Launcher</t>
  </si>
  <si>
    <t>Railgun</t>
  </si>
  <si>
    <t>Flamethrower</t>
  </si>
  <si>
    <t>Jammer</t>
  </si>
  <si>
    <t>Jammer Gun</t>
  </si>
  <si>
    <t>M1919A4ModGZ</t>
  </si>
  <si>
    <t>Type88ModGZ</t>
  </si>
  <si>
    <t>Name/Level</t>
  </si>
  <si>
    <t>Substat 1</t>
  </si>
  <si>
    <t>Substat 2</t>
  </si>
  <si>
    <t>Substat 3</t>
  </si>
  <si>
    <t>Components</t>
  </si>
  <si>
    <t>Elite Amplification</t>
  </si>
  <si>
    <t>Debuff Amplification</t>
  </si>
  <si>
    <t>Heavy Weapon Detonation</t>
  </si>
  <si>
    <t>Light Weapon Detonation</t>
  </si>
  <si>
    <t>Stun Penalty</t>
  </si>
  <si>
    <t>Random Weakening</t>
  </si>
  <si>
    <t>Shield Deflection</t>
  </si>
  <si>
    <t>Light Weapon Shield</t>
  </si>
  <si>
    <t>Elite Strike</t>
  </si>
  <si>
    <t>Light Weapon Support</t>
  </si>
  <si>
    <t>n/a</t>
  </si>
  <si>
    <t>If you want to select an extra skill as a substat, use the Vehicle Substats tab as a reference. Regular substats (e.g., reload) will have the proper values pulled from that tab but can be customized there if desired.</t>
  </si>
  <si>
    <t>equip-10000367</t>
  </si>
  <si>
    <t>equip-20000367</t>
  </si>
  <si>
    <t>15,19</t>
  </si>
  <si>
    <t>295</t>
  </si>
  <si>
    <t>equip-30000367</t>
  </si>
  <si>
    <t>hit:1000,dodge:1000</t>
  </si>
  <si>
    <t>759279</t>
  </si>
  <si>
    <t>RPG29</t>
  </si>
  <si>
    <t>sangvis-10001026</t>
  </si>
  <si>
    <t>Dreamer_Halloween</t>
  </si>
  <si>
    <t>sangvis-40001026</t>
  </si>
  <si>
    <t>sangvis-30001026</t>
  </si>
  <si>
    <t>750886</t>
  </si>
  <si>
    <t>750891,750892,750895,750899</t>
  </si>
  <si>
    <t>750893,750894,750896,750897</t>
  </si>
  <si>
    <t>0:2,10;5,20|6:1,20</t>
  </si>
  <si>
    <t>0:2,6;5,12|6:1,12</t>
  </si>
  <si>
    <t>Base Path (Libre v7.6)</t>
  </si>
  <si>
    <t>Spot</t>
  </si>
  <si>
    <t>equip-10000368</t>
  </si>
  <si>
    <t>equip-20000368</t>
  </si>
  <si>
    <t>20066</t>
  </si>
  <si>
    <t>equip-30000368</t>
  </si>
  <si>
    <t>759281</t>
  </si>
  <si>
    <t>equip-10000369</t>
  </si>
  <si>
    <t>equip-20000369</t>
  </si>
  <si>
    <t>20088</t>
  </si>
  <si>
    <t>equip-30000369</t>
  </si>
  <si>
    <t>759287</t>
  </si>
  <si>
    <t>MG3ModGZ</t>
  </si>
  <si>
    <t>Type56-1modGZ</t>
  </si>
  <si>
    <t>HOC Setup</t>
  </si>
  <si>
    <t>Environment Setup (Mission Buffs/Debuffs, Buildings)</t>
  </si>
  <si>
    <t>Chip Levels</t>
  </si>
  <si>
    <t>Chip 1</t>
  </si>
  <si>
    <t>Chip 2</t>
  </si>
  <si>
    <t>Chip 3</t>
  </si>
  <si>
    <t>Chip 4</t>
  </si>
  <si>
    <t>Chip 5</t>
  </si>
  <si>
    <t>Chip 6</t>
  </si>
  <si>
    <t>Chip 7</t>
  </si>
  <si>
    <t>Chip 8</t>
  </si>
  <si>
    <t>Chip 9</t>
  </si>
  <si>
    <t>Chip 10</t>
  </si>
  <si>
    <t>cur_def</t>
  </si>
  <si>
    <t>current_rank_progress</t>
  </si>
  <si>
    <t>rank_end_time</t>
  </si>
  <si>
    <t>current_adv_progress</t>
  </si>
  <si>
    <t>chip_exp</t>
  </si>
  <si>
    <t>chip_level</t>
  </si>
  <si>
    <t>squad_chip-10010010</t>
  </si>
  <si>
    <t>squad_chip-10010009</t>
  </si>
  <si>
    <t>squad_chip-10010008</t>
  </si>
  <si>
    <t>squad_chip-10010007</t>
  </si>
  <si>
    <t>squad_chip-10010006</t>
  </si>
  <si>
    <t>squad_chip-10010005</t>
  </si>
  <si>
    <t>squad_chip-10010004</t>
  </si>
  <si>
    <t>squad_chip-10010003</t>
  </si>
  <si>
    <t>squad_chip-10010002</t>
  </si>
  <si>
    <t>squad_chip-10010001</t>
  </si>
  <si>
    <t>squad_chip-10009010</t>
  </si>
  <si>
    <t>squad_chip-10009009</t>
  </si>
  <si>
    <t>squad_chip-10009008</t>
  </si>
  <si>
    <t>squad_chip-10009007</t>
  </si>
  <si>
    <t>squad_chip-10009006</t>
  </si>
  <si>
    <t>squad_chip-10009005</t>
  </si>
  <si>
    <t>squad_chip-10009004</t>
  </si>
  <si>
    <t>squad_chip-10009003</t>
  </si>
  <si>
    <t>squad_chip-10009002</t>
  </si>
  <si>
    <t>squad_chip-10009001</t>
  </si>
  <si>
    <t>squad_chip-10008010</t>
  </si>
  <si>
    <t>squad_chip-10008009</t>
  </si>
  <si>
    <t>squad_chip-10008008</t>
  </si>
  <si>
    <t>squad_chip-10008007</t>
  </si>
  <si>
    <t>squad_chip-10008006</t>
  </si>
  <si>
    <t>squad_chip-10008005</t>
  </si>
  <si>
    <t>squad_chip-10008004</t>
  </si>
  <si>
    <t>squad_chip-10008003</t>
  </si>
  <si>
    <t>squad_chip-10008002</t>
  </si>
  <si>
    <t>squad_chip-10008001</t>
  </si>
  <si>
    <t>squad_chip-10007010</t>
  </si>
  <si>
    <t>squad_chip-10007009</t>
  </si>
  <si>
    <t>squad_chip-10007008</t>
  </si>
  <si>
    <t>squad_chip-10007007</t>
  </si>
  <si>
    <t>squad_chip-10007006</t>
  </si>
  <si>
    <t>squad_chip-10007005</t>
  </si>
  <si>
    <t>squad_chip-10007004</t>
  </si>
  <si>
    <t>squad_chip-10007003</t>
  </si>
  <si>
    <t>squad_chip-10007002</t>
  </si>
  <si>
    <t>squad_chip-10007001</t>
  </si>
  <si>
    <t>squad_chip-10006010</t>
  </si>
  <si>
    <t>squad_chip-10006009</t>
  </si>
  <si>
    <t>squad_chip-10006008</t>
  </si>
  <si>
    <t>squad_chip-10006007</t>
  </si>
  <si>
    <t>squad_chip-10006006</t>
  </si>
  <si>
    <t>squad_chip-10006005</t>
  </si>
  <si>
    <t>squad_chip-10006004</t>
  </si>
  <si>
    <t>squad_chip-10006003</t>
  </si>
  <si>
    <t>squad_chip-10006002</t>
  </si>
  <si>
    <t>squad_chip-10006001</t>
  </si>
  <si>
    <t>squad_chip-10005010</t>
  </si>
  <si>
    <t>squad_chip-10005009</t>
  </si>
  <si>
    <t>squad_chip-10005008</t>
  </si>
  <si>
    <t>squad_chip-10005007</t>
  </si>
  <si>
    <t>squad_chip-10005006</t>
  </si>
  <si>
    <t>squad_chip-10005005</t>
  </si>
  <si>
    <t>squad_chip-10005004</t>
  </si>
  <si>
    <t>squad_chip-10005003</t>
  </si>
  <si>
    <t>squad_chip-10005002</t>
  </si>
  <si>
    <t>squad_chip-10005001</t>
  </si>
  <si>
    <t>squad_chip-10004010</t>
  </si>
  <si>
    <t>squad_chip-10004009</t>
  </si>
  <si>
    <t>squad_chip-10004008</t>
  </si>
  <si>
    <t>squad_chip-10004007</t>
  </si>
  <si>
    <t>squad_chip-10004006</t>
  </si>
  <si>
    <t>squad_chip-10004005</t>
  </si>
  <si>
    <t>squad_chip-10004004</t>
  </si>
  <si>
    <t>squad_chip-10004003</t>
  </si>
  <si>
    <t>squad_chip-10004002</t>
  </si>
  <si>
    <t>squad_chip-10004001</t>
  </si>
  <si>
    <t>squad_chip-10003010</t>
  </si>
  <si>
    <t>squad_chip-10003009</t>
  </si>
  <si>
    <t>squad_chip-10003008</t>
  </si>
  <si>
    <t>squad_chip-10003007</t>
  </si>
  <si>
    <t>squad_chip-10003006</t>
  </si>
  <si>
    <t>squad_chip-10003005</t>
  </si>
  <si>
    <t>squad_chip-10003004</t>
  </si>
  <si>
    <t>squad_chip-10003003</t>
  </si>
  <si>
    <t>squad_chip-10003002</t>
  </si>
  <si>
    <t>squad_chip-10003001</t>
  </si>
  <si>
    <t>squad_chip-10002010</t>
  </si>
  <si>
    <t>squad_chip-10002009</t>
  </si>
  <si>
    <t>squad_chip-10002008</t>
  </si>
  <si>
    <t>squad_chip-10002007</t>
  </si>
  <si>
    <t>squad_chip-10002006</t>
  </si>
  <si>
    <t>squad_chip-10002005</t>
  </si>
  <si>
    <t>squad_chip-10002004</t>
  </si>
  <si>
    <t>squad_chip-10002003</t>
  </si>
  <si>
    <t>squad_chip-10002002</t>
  </si>
  <si>
    <t>squad_chip-10002001</t>
  </si>
  <si>
    <t>squad_chip-10001010</t>
  </si>
  <si>
    <t>squad_chip-10001009</t>
  </si>
  <si>
    <t>squad_chip-10001008</t>
  </si>
  <si>
    <t>squad_chip-10001007</t>
  </si>
  <si>
    <t>squad_chip-10001006</t>
  </si>
  <si>
    <t>squad_chip-10001005</t>
  </si>
  <si>
    <t>squad_chip-10001004</t>
  </si>
  <si>
    <t>squad_chip-10001003</t>
  </si>
  <si>
    <t>squad_chip-10001002</t>
  </si>
  <si>
    <t>squad_chip-10001001</t>
  </si>
  <si>
    <t>color</t>
  </si>
  <si>
    <t>unlock_chip_point</t>
  </si>
  <si>
    <t>grid_number</t>
  </si>
  <si>
    <t>intensity_ratio</t>
  </si>
  <si>
    <t>is_random</t>
  </si>
  <si>
    <t>3.03 HOC Chip Basic Samples Needed</t>
  </si>
  <si>
    <t>3.03 HOC Chip Total Basic Samples Needed</t>
  </si>
  <si>
    <t>Level\Tiles</t>
  </si>
  <si>
    <t>HOC Info</t>
  </si>
  <si>
    <t>Iteration</t>
  </si>
  <si>
    <t>gun-10000395</t>
  </si>
  <si>
    <t>FM24</t>
  </si>
  <si>
    <t>gun-40000395</t>
  </si>
  <si>
    <t>gun-50000395</t>
  </si>
  <si>
    <t>gun-60000395</t>
  </si>
  <si>
    <t>750935,750936,750937</t>
  </si>
  <si>
    <t>2023-12-06 00:00:00</t>
  </si>
  <si>
    <t>gun-10000396</t>
  </si>
  <si>
    <t>MG15</t>
  </si>
  <si>
    <t>gun-40000396</t>
  </si>
  <si>
    <t>gun-50000396</t>
  </si>
  <si>
    <t>gun-60000396</t>
  </si>
  <si>
    <t>121804,121802,300202</t>
  </si>
  <si>
    <t>121805</t>
  </si>
  <si>
    <t>18,23,19,24</t>
  </si>
  <si>
    <t>gun-10000397</t>
  </si>
  <si>
    <t>Stevens520</t>
  </si>
  <si>
    <t>gun-40000397</t>
  </si>
  <si>
    <t>gun-50000397</t>
  </si>
  <si>
    <t>gun-60000397</t>
  </si>
  <si>
    <t>750925,750928,750929,750930,750931,750932,750933,750954,750955,750956,750957</t>
  </si>
  <si>
    <t>gun-10000398</t>
  </si>
  <si>
    <t>Stevens620</t>
  </si>
  <si>
    <t>gun-40000398</t>
  </si>
  <si>
    <t>gun-50000398</t>
  </si>
  <si>
    <t>gun-60000398</t>
  </si>
  <si>
    <t>300202,750953,750941,750942,750943,750944,750946,750947,750948,750949,750950,750951,750952</t>
  </si>
  <si>
    <t>750945</t>
  </si>
  <si>
    <t>2,7,3,8,4,9</t>
  </si>
  <si>
    <t>equip-10000370</t>
  </si>
  <si>
    <t>equip-20000370</t>
  </si>
  <si>
    <t>236</t>
  </si>
  <si>
    <t>equip-30000370</t>
  </si>
  <si>
    <t>759291</t>
  </si>
  <si>
    <t>equip-10000371</t>
  </si>
  <si>
    <t>equip-20000371</t>
  </si>
  <si>
    <t>20053</t>
  </si>
  <si>
    <t>equip-30000371</t>
  </si>
  <si>
    <t>critical_harm_rate:1000</t>
  </si>
  <si>
    <t>759059,759294</t>
  </si>
  <si>
    <t>equip-10000372</t>
  </si>
  <si>
    <t>equip-20000372</t>
  </si>
  <si>
    <t>20161</t>
  </si>
  <si>
    <t>equip-30000372</t>
  </si>
  <si>
    <t>300902,759299</t>
  </si>
  <si>
    <t>NTW20ModGZ</t>
  </si>
  <si>
    <t>Type97SModGZ</t>
  </si>
  <si>
    <t>equip-10000373</t>
  </si>
  <si>
    <t>equip-20000373</t>
  </si>
  <si>
    <t>equip-30000373</t>
  </si>
  <si>
    <t>759304</t>
  </si>
  <si>
    <t>equip-10000374</t>
  </si>
  <si>
    <t>equip-20000374</t>
  </si>
  <si>
    <t>20063</t>
  </si>
  <si>
    <t>equip-30000374</t>
  </si>
  <si>
    <t>759307</t>
  </si>
  <si>
    <t>equip-10000375</t>
  </si>
  <si>
    <t>equip-20000375</t>
  </si>
  <si>
    <t>20002</t>
  </si>
  <si>
    <t>equip-30000375</t>
  </si>
  <si>
    <t>759311</t>
  </si>
  <si>
    <t>G3ModGZ</t>
  </si>
  <si>
    <t>M1911ModGZ</t>
  </si>
  <si>
    <t>Entry #</t>
  </si>
  <si>
    <t>Ally ID</t>
  </si>
  <si>
    <t>Enter up to 3 mission buffs (ex: Para debuff or Combo Fairy), debuffs (ex: EMP), buildings (ex: artillery), or allies (ex: enemy Gustav) below. Read the comments for more info.</t>
  </si>
  <si>
    <t>Allies:</t>
  </si>
  <si>
    <t>Ally 1:</t>
  </si>
  <si>
    <t>Ally 2:</t>
  </si>
  <si>
    <t>Ally 3:</t>
  </si>
  <si>
    <t>"ally_instance_info": "[]",</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</si>
  <si>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</si>
  <si>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</si>
  <si>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3\":{\"ally_instance_id\":3,\"ally_team_id\":\"ally3\",\"ally_sangvis\":[],\"ally_sangvis_team_info\":[],\"ally_guns\":[],\"ally_fairy\":[],\"ally_equips\":[],\"ally_squad\":[],\"ally_enemy\":\"ally3\",\"ally_type\":\"2\",\"target_type\":5,\"duration_end_turn\":0,\"no_battle_damage\":\"-1\",\"ai\":\"102\",\"ai_para\":\"13609,1\",\"ally_boss_hp\":\"195000\",\"ally_enemy_hp_percent\":1,\"team_sangvis_life\":[],\"team_guns_life\":[],\"team_resource\":[],\"supply_resource\":{\"ammo\":0,\"mre\":0},\"move_turn\":0,\"transform_condition\":\"\",\"betray_condition\":\"\",\"battleskill_switch\":1}}",</t>
  </si>
  <si>
    <t>ally_instance_info</t>
  </si>
  <si>
    <t>ally_instance_ids</t>
  </si>
  <si>
    <t>equip-10000376</t>
  </si>
  <si>
    <t>equip-20000376</t>
  </si>
  <si>
    <t>283</t>
  </si>
  <si>
    <t>equip-30000376</t>
  </si>
  <si>
    <t>759316</t>
  </si>
  <si>
    <t>equip-10000377</t>
  </si>
  <si>
    <t>equip-20000377</t>
  </si>
  <si>
    <t>equip-30000377</t>
  </si>
  <si>
    <t>equip-10000378</t>
  </si>
  <si>
    <t>equip-20000378</t>
  </si>
  <si>
    <t>116</t>
  </si>
  <si>
    <t>equip-30000378</t>
  </si>
  <si>
    <t>equip-10000379</t>
  </si>
  <si>
    <t>equip-20000379</t>
  </si>
  <si>
    <t>176</t>
  </si>
  <si>
    <t>equip-30000379</t>
  </si>
  <si>
    <t>3;15,23</t>
  </si>
  <si>
    <t>类型            闭锁式枪机/反冲作用_x000D_
发射速率        1,100—1,150 发/分钟_x000D_
枪口初速        370 米／秒_x000D_
有效射程        250 米_x000D_
供弹方式        20、30发透明聚合物制双排双进可拆卸式弹匣_x000D_
瞄准具型式      机械瞄具：_x000D_
                   觇孔式照门和柱状准星_x000D_
                   夜间瞄准具型：氚光夜间用瞄准具_x000D_
                机匣顶部的MIL-STD-1913战术导轨上安装日间／夜间光学瞄准镜、红点镜／反射式瞄准镜、全息瞄准镜、夜视镜、热成像仪（可拆卸）</t>
  </si>
  <si>
    <t>您好，尊敬的指挥官。我是蝎式EVO3，从今天起正式入职，还望您多多关照。</t>
  </si>
  <si>
    <t>类型            狙击步枪
总重            13.4 公斤
全长            1380 毫米
枪管长度        927 毫米
弹药            12.7×108mm
枪机种类        手动枪机
枪口初速        700 - 900米/秒
有效射程        1,600米
供弹方式        2发内置弹仓
瞄准具型式      瞄准镜、备用机械瞄具</t>
  </si>
  <si>
    <t xml:space="preserve">类型                       突击步枪
重量                       3.49 kg
长度                       889 mm
枪管长度                   623 mm
子弹                       7×43mm（.280英国）
                           7.62×51mm NATO
                           6.25 × 43mm
                           .30-06春田
                           7×49 mm
                           7×51mm
枪机                       气动式
发射模式                   半自动、全自动
射速                       450-600发/分钟
枪口初速                   771米/秒
有效射程                   700米
供弹方式                   20发弹匣
瞄具                       光学瞄准镜
</t>
  </si>
  <si>
    <t>gun-10020131</t>
  </si>
  <si>
    <t>EVO3Mod</t>
  </si>
  <si>
    <t>gun-40020131</t>
  </si>
  <si>
    <t>gun-50020131</t>
  </si>
  <si>
    <t>gun-60020131</t>
  </si>
  <si>
    <t>1,10;3,55</t>
  </si>
  <si>
    <t>gun-10020233</t>
  </si>
  <si>
    <t>Px4StormMod</t>
  </si>
  <si>
    <t>gun-40020233</t>
  </si>
  <si>
    <t>gun-50020233</t>
  </si>
  <si>
    <t>gun-60020233</t>
  </si>
  <si>
    <t>740108,740109</t>
  </si>
  <si>
    <t>740107,740106</t>
  </si>
  <si>
    <t>gun-10020256</t>
  </si>
  <si>
    <t>FalconMod</t>
  </si>
  <si>
    <t>gun-40020256</t>
  </si>
  <si>
    <t>gun-50020256</t>
  </si>
  <si>
    <t>gun-60020256</t>
  </si>
  <si>
    <t>111502,111503,111504,111505,111508,111511</t>
  </si>
  <si>
    <t>gun-10020262</t>
  </si>
  <si>
    <t>EM2Mod</t>
  </si>
  <si>
    <t>gun-40020262</t>
  </si>
  <si>
    <t>gun-50020262</t>
  </si>
  <si>
    <t>gun-60020262</t>
  </si>
  <si>
    <t>740099</t>
  </si>
  <si>
    <t>740096</t>
  </si>
  <si>
    <t>1,24;3,55</t>
  </si>
  <si>
    <t>233,20233</t>
  </si>
  <si>
    <t>131,20131</t>
  </si>
  <si>
    <t>equip-10000380</t>
  </si>
  <si>
    <t>equip-20000380</t>
  </si>
  <si>
    <t>equip-30000380</t>
  </si>
  <si>
    <t>equip-10000381</t>
  </si>
  <si>
    <t>equip-20000381</t>
  </si>
  <si>
    <t>equip-30000381</t>
  </si>
  <si>
    <t>equip-10000382</t>
  </si>
  <si>
    <t>equip-20000382</t>
  </si>
  <si>
    <t>115,120</t>
  </si>
  <si>
    <t>256,20256</t>
  </si>
  <si>
    <t>equip-30000382</t>
  </si>
  <si>
    <t>equip-10000383</t>
  </si>
  <si>
    <t>equip-20000383</t>
  </si>
  <si>
    <t>262,20262</t>
  </si>
  <si>
    <t>equip-30000383</t>
  </si>
  <si>
    <t>pow:900,hit:1000,critical_harm_rate:1000</t>
  </si>
  <si>
    <t>EVO 3Mod</t>
  </si>
  <si>
    <t>Px4 StormMod</t>
  </si>
  <si>
    <t>gun-10000399</t>
  </si>
  <si>
    <t>P2000</t>
  </si>
  <si>
    <t>gun-40000399</t>
  </si>
  <si>
    <t>gun-50000399</t>
  </si>
  <si>
    <t>gun-60000399</t>
  </si>
  <si>
    <t>744002,744003</t>
  </si>
  <si>
    <t>744006,744005</t>
  </si>
  <si>
    <t>11,12,17,22,18</t>
  </si>
  <si>
    <t>2024-02-06 00:00:00</t>
  </si>
  <si>
    <t>320</t>
  </si>
  <si>
    <t>equip-10000384</t>
  </si>
  <si>
    <t>equip-20000384</t>
  </si>
  <si>
    <t>20097</t>
  </si>
  <si>
    <t>equip-30000384</t>
  </si>
  <si>
    <t>1000202</t>
  </si>
  <si>
    <t>equip-10000385</t>
  </si>
  <si>
    <t>equip-20000385</t>
  </si>
  <si>
    <t>20081</t>
  </si>
  <si>
    <t>equip-30000385</t>
  </si>
  <si>
    <t>bullet_number_up:1000,critical_harm_rate:1000</t>
  </si>
  <si>
    <t>1000102</t>
  </si>
  <si>
    <t>M950AModGZ</t>
  </si>
  <si>
    <t>LWMMGModGZ</t>
  </si>
  <si>
    <t>gun-10001042</t>
  </si>
  <si>
    <t>Motoko</t>
  </si>
  <si>
    <t>gun-40001042</t>
  </si>
  <si>
    <t>gun-50001042</t>
  </si>
  <si>
    <t>gun-60001042</t>
  </si>
  <si>
    <t>750901</t>
  </si>
  <si>
    <t>750906,750904,750903</t>
  </si>
  <si>
    <t>2024-01-19 00:00:00</t>
  </si>
  <si>
    <t>gun-10001043</t>
  </si>
  <si>
    <t>Ezaki</t>
  </si>
  <si>
    <t>gun-40001043</t>
  </si>
  <si>
    <t>gun-50001043</t>
  </si>
  <si>
    <t>gun-60001043</t>
  </si>
  <si>
    <t>750908,750910</t>
  </si>
  <si>
    <t>750911,750912</t>
  </si>
  <si>
    <t>262</t>
  </si>
  <si>
    <t>gun-10001044</t>
  </si>
  <si>
    <t>Mizukinn</t>
  </si>
  <si>
    <t>gun-40001044</t>
  </si>
  <si>
    <t>gun-50001044</t>
  </si>
  <si>
    <t>gun-60001044</t>
  </si>
  <si>
    <t>750917,750918,750919,750920,750921</t>
  </si>
  <si>
    <t>750914,750916</t>
  </si>
  <si>
    <t>equip-10000386</t>
  </si>
  <si>
    <t>equip-20000386</t>
  </si>
  <si>
    <t>109</t>
  </si>
  <si>
    <t>equip-30000386</t>
  </si>
  <si>
    <t>1000301</t>
  </si>
  <si>
    <t>equip-10000387</t>
  </si>
  <si>
    <t>equip-20000387</t>
  </si>
  <si>
    <t>1042</t>
  </si>
  <si>
    <t>equip-30000387</t>
  </si>
  <si>
    <t>equip-10000388</t>
  </si>
  <si>
    <t>equip-20000388</t>
  </si>
  <si>
    <t>1043</t>
  </si>
  <si>
    <t>equip-30000388</t>
  </si>
  <si>
    <t>equip-10000389</t>
  </si>
  <si>
    <t>equip-20000389</t>
  </si>
  <si>
    <t>1044</t>
  </si>
  <si>
    <t>equip-30000389</t>
  </si>
  <si>
    <t>Mizukane</t>
  </si>
  <si>
    <t>equip-10000390</t>
  </si>
  <si>
    <t>equip-20000390</t>
  </si>
  <si>
    <t>20064</t>
  </si>
  <si>
    <t>equip-30000390</t>
  </si>
  <si>
    <t>pow:700,hit:1000,dodge:1000</t>
  </si>
  <si>
    <t>1000402</t>
  </si>
  <si>
    <t>equip-10000391</t>
  </si>
  <si>
    <t>equip-20000391</t>
  </si>
  <si>
    <t>20143</t>
  </si>
  <si>
    <t>equip-30000391</t>
  </si>
  <si>
    <t>759034,1000502</t>
  </si>
  <si>
    <t>G36ModGZ</t>
  </si>
  <si>
    <t>RO635ModGZ</t>
  </si>
  <si>
    <t>equip-10000392</t>
  </si>
  <si>
    <t>equip-20000392</t>
  </si>
  <si>
    <t>150</t>
  </si>
  <si>
    <t>equip-30000392</t>
  </si>
  <si>
    <t>1001001</t>
  </si>
  <si>
    <t>equip-10000393</t>
  </si>
  <si>
    <t>equip-20000393</t>
  </si>
  <si>
    <t>20089</t>
  </si>
  <si>
    <t>equip-30000393</t>
  </si>
  <si>
    <t>1001102</t>
  </si>
  <si>
    <t>equip-10000394</t>
  </si>
  <si>
    <t>equip-20000394</t>
  </si>
  <si>
    <t>equip-30000394</t>
  </si>
  <si>
    <t>armor:500,critical_percent:1000</t>
  </si>
  <si>
    <t>1001202</t>
  </si>
  <si>
    <t>BrenModGZ</t>
  </si>
  <si>
    <t>AA12GZ</t>
  </si>
  <si>
    <t>type (1/2/4/3)</t>
  </si>
  <si>
    <t>Heavy/Light</t>
  </si>
  <si>
    <t>Defense/Utility</t>
  </si>
  <si>
    <t>Tank:</t>
  </si>
  <si>
    <t>Mech:</t>
  </si>
  <si>
    <t>类型            冲锋枪_x000D_
总重            1.75公斤_x000D_
全长            枪托打开：740毫米_x000D_
                枪托折叠：470毫米_x000D_
枪管长度        250毫米_x000D_
弹药            7.62×25mm托卡列夫手枪弹_x000D_
枪机种类        气动式、转拴式枪机、闭锁式枪机_x000D_
发射速率        1000发/分钟（理论射速）_x000D_
枪口初速        515米/秒_x000D_
有效射程        200米_x000D_
供弹方式        20发弹匣_x000D_
瞄准具型式      金属机械瞄具</t>
  </si>
  <si>
    <t>长官，79式，正式报到，请下命令！</t>
  </si>
  <si>
    <t>gun-10020127</t>
  </si>
  <si>
    <t>79typeMod</t>
  </si>
  <si>
    <t>gun-40020127</t>
  </si>
  <si>
    <t>gun-50020127</t>
  </si>
  <si>
    <t>gun-60020127</t>
  </si>
  <si>
    <t>900156,1000903,1000904,1000906,1000909,1000913,1000911</t>
  </si>
  <si>
    <t>1000902,1000907</t>
  </si>
  <si>
    <t>1,20;5,10</t>
  </si>
  <si>
    <t>127,20127</t>
  </si>
  <si>
    <t>equip-10000395</t>
  </si>
  <si>
    <t>equip-20000395</t>
  </si>
  <si>
    <t>equip-30000395</t>
  </si>
  <si>
    <t>equip-10000396</t>
  </si>
  <si>
    <t>equip-20000396</t>
  </si>
  <si>
    <t>equip-30000396</t>
  </si>
  <si>
    <t>critical_harm_rate:500,dodge:1000</t>
  </si>
  <si>
    <t>1000910</t>
  </si>
  <si>
    <t>Type79</t>
  </si>
  <si>
    <t>Type79Mod</t>
  </si>
  <si>
    <t>Special</t>
  </si>
  <si>
    <t>Blue</t>
  </si>
  <si>
    <t>Green</t>
  </si>
  <si>
    <t>Gold</t>
  </si>
  <si>
    <t>Category</t>
  </si>
  <si>
    <t>Amplification</t>
  </si>
  <si>
    <t>Light/heavy weapon damage is increased by 20% against enemies with debuffs.</t>
  </si>
  <si>
    <t>Light/heavy weapon damage is increased by 20% against elite enemy units.</t>
  </si>
  <si>
    <t>Emergency Amplification</t>
  </si>
  <si>
    <t>The lower the MA's HP, the more damage it deals. Damage increase is capped at 50%.</t>
  </si>
  <si>
    <t>KCCO Amplification</t>
  </si>
  <si>
    <t>Light/heavy weapon damage is increased by 10% against KCCO enemy units.</t>
  </si>
  <si>
    <t>Marker Amplification</t>
  </si>
  <si>
    <t>Every 3 seconds, apply a permanent marker to the enemy with the highest HP value that is not capped on markers. Maximum number of markers is 10. Each marker increases damage taken by 10 points.</t>
  </si>
  <si>
    <t>Paradeus Amplification</t>
  </si>
  <si>
    <t>Light/heavy weapon damage is increased by 10% against Paradeus enemy units.</t>
  </si>
  <si>
    <t>SF Amplification</t>
  </si>
  <si>
    <t>Light/heavy weapon damage is increased by 10% against SF enemy units.</t>
  </si>
  <si>
    <t>Control</t>
  </si>
  <si>
    <t>Heavy Weapon Weakening</t>
  </si>
  <si>
    <t>When a heavy weapon hits an enemy, inflict the target with a random stat debuff of 20% for 5 seconds.</t>
  </si>
  <si>
    <t>Light Weapon Weakening</t>
  </si>
  <si>
    <t>Each time a light weapon attacks, there is a 50% chance to inflict an enemy without any debuffs with a random stat debuff of 20% for 5 seconds.</t>
  </si>
  <si>
    <t>Malfunction Stun</t>
  </si>
  <si>
    <t>Whenever an enemy unit has at least 4 types of debuffs, it will be stunned for 3 seconds, and its debuffs will be cleansed.</t>
  </si>
  <si>
    <t>Pre-emptive Suppression</t>
  </si>
  <si>
    <t>At the start of battle, knockback all enemy units by 5 units, and decrease their movement speed by 50% for 3 seconds.</t>
  </si>
  <si>
    <t>Every 8 seconds, inflicts 3 random enemy units with 2 stat debuffs of 20% for 5 seconds.</t>
  </si>
  <si>
    <t>Stun Attack</t>
  </si>
  <si>
    <t>Each attack from any heavy weapon has a 10% chance of stunning the target for 2 seconds. This effect cannot be triggered repeatedly.</t>
  </si>
  <si>
    <t>Stunned enemies receive 30% more damage.</t>
  </si>
  <si>
    <t>Stunned and Exposed</t>
  </si>
  <si>
    <t>Stunned enemies have their evasion decreased to 0.</t>
  </si>
  <si>
    <t>Stunned Self-Destruct</t>
  </si>
  <si>
    <t>Whenever an enemy unit exits stun status, it receives 2000 points of linksplash damage.</t>
  </si>
  <si>
    <t>Cleansing Shield</t>
  </si>
  <si>
    <t>Whenever the MA has more than 200 points of HP shields, any stat debuffs are cleansed.</t>
  </si>
  <si>
    <t>Every 8 seconds, grant the MA an HP shield of 10% of the MA's lost HP.</t>
  </si>
  <si>
    <t>Heavy Weapon Shield</t>
  </si>
  <si>
    <t>When a heavy weapon hits an enemy, grant the MA a 10-point HP shield, lasting 5 seconds.</t>
  </si>
  <si>
    <t>Each attack from any light weapon has a 30% chance of granting a 10-point HP shield to the MA, lasting 5 seconds.</t>
  </si>
  <si>
    <t>Melee Threat</t>
  </si>
  <si>
    <t>All enemies within 5 units of the MA have their Damage and Evasion decreased by 20%.</t>
  </si>
  <si>
    <t>Mobbed Damage Reduction</t>
  </si>
  <si>
    <t>For every enemy group within 5 units of the MA, gain 6% Damage Reduction, capped at 30%.</t>
  </si>
  <si>
    <t>Pre-emptive Shield</t>
  </si>
  <si>
    <t>At the start of battle, grant a 10% Max HP shield to the MA.</t>
  </si>
  <si>
    <t>Whenever the MA has HP shields, damage taken is reduced by 20%.</t>
  </si>
  <si>
    <t>Shielded Damage Boost</t>
  </si>
  <si>
    <t>Whenever the MA has HP shields, light/heavy weapon damage is increased by 10%.</t>
  </si>
  <si>
    <t>Anti-Armor Specialization</t>
  </si>
  <si>
    <t>Heavy weapon damage is increased by 20% against armoured enemies.</t>
  </si>
  <si>
    <t>Anti-Dummy-Linked Unit Specialization</t>
  </si>
  <si>
    <t>Heavy weapon damage is increased by 20% against Dummy-Linked enemies.</t>
  </si>
  <si>
    <t>Anti-Mechanical Unit Specialization</t>
  </si>
  <si>
    <t>Heavy weapon damage is increased by 20% against mechanical enemies.</t>
  </si>
  <si>
    <t>Every time an enemy elite unit is killed, increase heavy weapon damage by 10% for 15 seconds, stacking up to 3 times.</t>
  </si>
  <si>
    <t>Heavy Weapon Support</t>
  </si>
  <si>
    <t>Each equipped heavy weapon increases heavy weapon damage by 5%.</t>
  </si>
  <si>
    <t>Weak Point Targeting</t>
  </si>
  <si>
    <t>Every damage instance from a heavy weapon inflicts 5% vulnerability to the target for 5 seconds, stacking up to 2 times.</t>
  </si>
  <si>
    <t>Anti-Doll Specialization</t>
  </si>
  <si>
    <t>Light weapon damage is increased by 20% against Doll-type enemies.</t>
  </si>
  <si>
    <t>Anti-Unarmored Unit Specialization</t>
  </si>
  <si>
    <t>Light weapon damage is increased by 20% against unarmoured enemies.</t>
  </si>
  <si>
    <t>Each equipped light weapon increases light weapon damage by 5%.</t>
  </si>
  <si>
    <t>Each damage instance from a light weapon will inflict an additional 10% light weapon damage to enemies within 3 units behind the target.</t>
  </si>
  <si>
    <t>Rapid Enhancement</t>
  </si>
  <si>
    <t>Light weapon damage is increased by 15%, while the MA's armour and evasion are decreased by 10%.</t>
  </si>
  <si>
    <t>Single-Target Specialization</t>
  </si>
  <si>
    <t>Light weapon damage is increased by 20% against enemies without Dummy Links.</t>
  </si>
  <si>
    <t>Charge Conversion</t>
  </si>
  <si>
    <t>Each time the MA receives an attack, there is a 20% chance to gain 1 Laser Charge and 10% armour. The armour buff lasts 3 seconds and stacks up to 3 times.</t>
  </si>
  <si>
    <t>Heavy Weapon Charge</t>
  </si>
  <si>
    <t>When a heavy weapon hits an enemy, gain 2 points of Laser Charge, and reduce the enemy's Damage by 10% for 5 seconds.</t>
  </si>
  <si>
    <t>When a heavy weapon hits an enemy, give the target 2 Detonation Markers (up to 10 stacks total).</t>
  </si>
  <si>
    <t>Light Weapon Charge</t>
  </si>
  <si>
    <t>Each time a light weapon attacks, gain 2 points of Laser Charge. When 100 points of Laser Charge are accumulated, fire a laser, dealing 200% linksplash damage to enemies in a straight line in front of the MA, then clear all points of Laser Charge.</t>
  </si>
  <si>
    <t>Each time a light weapon attacks, there is a 50% chance to give one target 2 Detonation Markers (up to 10 stacks total).</t>
  </si>
  <si>
    <t>Marked Detonation</t>
  </si>
  <si>
    <t>Every 8 seconds, each enemy unit receives 200 points of linksplash damage for each Detonation Marker it has, and then clears all Detonation Markers.</t>
  </si>
  <si>
    <t>Skill ID</t>
  </si>
  <si>
    <t>Explosive Reactive Armor</t>
  </si>
  <si>
    <t>Shield Generator</t>
  </si>
  <si>
    <t>Automated Defense System</t>
  </si>
  <si>
    <t>Camouflage Netting</t>
  </si>
  <si>
    <t>Slat Armor</t>
  </si>
  <si>
    <t>Automotive Night Vision</t>
  </si>
  <si>
    <t>Signal Receiver</t>
  </si>
  <si>
    <t>Smoke Grenade Launcher</t>
  </si>
  <si>
    <t>Drone Compartment</t>
  </si>
  <si>
    <t>Phased-Array Radar</t>
  </si>
  <si>
    <t>Laser Suppression System</t>
  </si>
  <si>
    <t>Laser rangefinder</t>
  </si>
  <si>
    <t>Laser Weapon</t>
  </si>
  <si>
    <t>Anti-Aircraft Cannon</t>
  </si>
  <si>
    <t>Impulse Cannon</t>
  </si>
  <si>
    <t>Missile Launcher MK1</t>
  </si>
  <si>
    <t>Missile Launcher MK2</t>
  </si>
  <si>
    <t>Small Mortar</t>
  </si>
  <si>
    <t>Universal Machine Gun MK-I</t>
  </si>
  <si>
    <t>Anti-Armor Sniper Rifle</t>
  </si>
  <si>
    <t>Machine Gun Team</t>
  </si>
  <si>
    <t>Heavy Machine Gun</t>
  </si>
  <si>
    <t>Gatling Gun</t>
  </si>
  <si>
    <t>Rotating Turret</t>
  </si>
  <si>
    <t>Light Machine Gun</t>
  </si>
  <si>
    <t>Lightweight Rapid-Fire Railgun</t>
  </si>
  <si>
    <t>Vehicle-Mounted Shotgun</t>
  </si>
  <si>
    <t>Crit</t>
  </si>
  <si>
    <t>Eagle-Eyes</t>
  </si>
  <si>
    <t>Heavy Weaponry</t>
  </si>
  <si>
    <t>Light Weaponry</t>
  </si>
  <si>
    <t>RoF</t>
  </si>
  <si>
    <t>Common #1</t>
  </si>
  <si>
    <t>Common #2</t>
  </si>
  <si>
    <t>Common #3</t>
  </si>
  <si>
    <t>Common #4</t>
  </si>
  <si>
    <t>equip-10000397</t>
  </si>
  <si>
    <t>equip-20000397</t>
  </si>
  <si>
    <t>189</t>
  </si>
  <si>
    <t>equip-30000397</t>
  </si>
  <si>
    <t>bullet_number_up:1000,hit:1000</t>
  </si>
  <si>
    <t>1001301</t>
  </si>
  <si>
    <t>gun-10000400</t>
  </si>
  <si>
    <t>M1851N</t>
  </si>
  <si>
    <t>gun-40000400</t>
  </si>
  <si>
    <t>gun-50000400</t>
  </si>
  <si>
    <t>gun-60000400</t>
  </si>
  <si>
    <t>1000603,1000604,1000605,1000606,1000608</t>
  </si>
  <si>
    <t>1000602</t>
  </si>
  <si>
    <t>2,30;5,20</t>
  </si>
  <si>
    <t>2024-04-26 00:00:00</t>
  </si>
  <si>
    <t>gun-10000401</t>
  </si>
  <si>
    <t>P50</t>
  </si>
  <si>
    <t>gun-40000401</t>
  </si>
  <si>
    <t>gun-50000401</t>
  </si>
  <si>
    <t>gun-60000401</t>
  </si>
  <si>
    <t>1000703,1000706,1000707</t>
  </si>
  <si>
    <t>1000702,1000705</t>
  </si>
  <si>
    <t>1,15;5,35</t>
  </si>
  <si>
    <t>gun-10000402</t>
  </si>
  <si>
    <t>MartiniHenry</t>
  </si>
  <si>
    <t>gun-40000402</t>
  </si>
  <si>
    <t>gun-50000402</t>
  </si>
  <si>
    <t>gun-60000402</t>
  </si>
  <si>
    <t>1000803</t>
  </si>
  <si>
    <t>18,19,15,20</t>
  </si>
  <si>
    <t>1,10;6,15</t>
  </si>
  <si>
    <t>ColtNavy</t>
  </si>
  <si>
    <t>equip-10000398</t>
  </si>
  <si>
    <t>equip-20000398</t>
  </si>
  <si>
    <t>20044</t>
  </si>
  <si>
    <t>equip-30000398</t>
  </si>
  <si>
    <t>1001402</t>
  </si>
  <si>
    <t>equip-10000399</t>
  </si>
  <si>
    <t>equip-20000399</t>
  </si>
  <si>
    <t>equip-30000399</t>
  </si>
  <si>
    <t>armor_piercing:1000,pow:700,hit:1000</t>
  </si>
  <si>
    <t>1001502</t>
  </si>
  <si>
    <t>PKPGZ</t>
  </si>
  <si>
    <t>SV98ModGZ</t>
  </si>
  <si>
    <t>equip-10000400</t>
  </si>
  <si>
    <t>equip-20000400</t>
  </si>
  <si>
    <t>77</t>
  </si>
  <si>
    <t>equip-30000400</t>
  </si>
  <si>
    <t>equip-10000401</t>
  </si>
  <si>
    <t>equip-20000401</t>
  </si>
  <si>
    <t>equip-30000401</t>
  </si>
  <si>
    <t>equip-10000402</t>
  </si>
  <si>
    <t>equip-20000402</t>
  </si>
  <si>
    <t>141</t>
  </si>
  <si>
    <t>equip-30000402</t>
  </si>
  <si>
    <t>equip-10000403</t>
  </si>
  <si>
    <t>equip-20000403</t>
  </si>
  <si>
    <t>equip-30000403</t>
  </si>
  <si>
    <t>1001601</t>
  </si>
  <si>
    <t>202</t>
  </si>
  <si>
    <t>992491</t>
  </si>
  <si>
    <t>gun-10009118</t>
  </si>
  <si>
    <t>M16A1_533</t>
  </si>
  <si>
    <t>gun-40009118</t>
  </si>
  <si>
    <t>gun-50009118</t>
  </si>
  <si>
    <t>gun-60009118</t>
  </si>
  <si>
    <t>gun-10020310</t>
  </si>
  <si>
    <t>RexZero1Mod</t>
  </si>
  <si>
    <t>gun-40020310</t>
  </si>
  <si>
    <t>gun-50020310</t>
  </si>
  <si>
    <t>gun-60020310</t>
  </si>
  <si>
    <t>6,7,12,17,8,18</t>
  </si>
  <si>
    <t>1,18;3,25</t>
  </si>
  <si>
    <t>equip-10000404</t>
  </si>
  <si>
    <t>equip-20000404</t>
  </si>
  <si>
    <t>310,20310</t>
  </si>
  <si>
    <t>equip-30000404</t>
  </si>
  <si>
    <t>992490</t>
  </si>
  <si>
    <t>equip-10000405</t>
  </si>
  <si>
    <t>equip-20000405</t>
  </si>
  <si>
    <t>179</t>
  </si>
  <si>
    <t>equip-30000405</t>
  </si>
  <si>
    <t>critical_harm_rate:500,pow:1000</t>
  </si>
  <si>
    <t>equip-10000406</t>
  </si>
  <si>
    <t>equip-20000406</t>
  </si>
  <si>
    <t>20114</t>
  </si>
  <si>
    <t>equip-30000406</t>
  </si>
  <si>
    <t>1001702,759412</t>
  </si>
  <si>
    <t>equip-10000407</t>
  </si>
  <si>
    <t>equip-20000407</t>
  </si>
  <si>
    <t>20029</t>
  </si>
  <si>
    <t>equip-30000407</t>
  </si>
  <si>
    <t>1001802</t>
  </si>
  <si>
    <t>equip-10000408</t>
  </si>
  <si>
    <t>equip-20000408</t>
  </si>
  <si>
    <t>equip-30000408</t>
  </si>
  <si>
    <t>pow:700,armor_piercing:1000</t>
  </si>
  <si>
    <t>1001901</t>
  </si>
  <si>
    <t>Rex Zero 1Mod</t>
  </si>
  <si>
    <t>Welrod MkIIModGZ</t>
  </si>
  <si>
    <t>STEN MkIIModGZ</t>
  </si>
  <si>
    <t>equip-10000409</t>
  </si>
  <si>
    <t>equip-20000409</t>
  </si>
  <si>
    <t>-12,-10</t>
  </si>
  <si>
    <t>equip-30000409</t>
  </si>
  <si>
    <t>rate:1000</t>
  </si>
  <si>
    <t>1002002</t>
  </si>
  <si>
    <t>equip-10000410</t>
  </si>
  <si>
    <t>equip-20000410</t>
  </si>
  <si>
    <t>20061</t>
  </si>
  <si>
    <t>equip-30000410</t>
  </si>
  <si>
    <t>1002102</t>
  </si>
  <si>
    <t>StG44ModGZ</t>
  </si>
  <si>
    <t>SR3MPGZ</t>
  </si>
  <si>
    <t>equip-10000411</t>
  </si>
  <si>
    <t>equip-20000411</t>
  </si>
  <si>
    <t>119</t>
  </si>
  <si>
    <t>equip-30000411</t>
  </si>
  <si>
    <t>equip-10000413</t>
  </si>
  <si>
    <t>equip-20000413</t>
  </si>
  <si>
    <t>16,22</t>
  </si>
  <si>
    <t>294</t>
  </si>
  <si>
    <t>equip-30000413</t>
  </si>
  <si>
    <t>1002201</t>
  </si>
  <si>
    <t>类型            突击步枪
总重            3.3 公斤
全长            枪托缩折：725 毫米
                枪托伸展：945 毫米
                装上刺刀：1,100 毫米
枪管长度        415 毫米
弹药            5.45×39毫米苏联口径（M74）
                5.56×45毫米北约口径（SS109／M855）
                6.5格伦德尔
                不明6.5毫米子弹，根据目前发展
                7.62×39毫米苏联口径
                7.62×51毫米北约口径
                9×39毫米苏联口径
                12号口径霰弹
枪机种类        长行程活塞气动式、转拴式枪机
发射速率        三点发：1,000 发／分钟
                全自动：600 发／分钟
枪口初速        880—900 米／秒
有效射程        1,100 米
供弹方式        30发可拆卸式双排弹匣
                60发可拆卸式四排弹匣
                95发可拆卸式弹鼓
瞄准具型式      机械瞄具：金属缺口式照门及柱状准星（照门可翻转及前后滑动式调节，准星装有两侧半包式护翼）
                机匣盖顶部的MIL-STD-1913战术导轨上安装日间／夜间光学瞄准镜、反射式瞄准镜、红点镜、全息瞄准镜、夜视镜和／或热成像仪（可拆卸）</t>
  </si>
  <si>
    <t>嗯……新的指挥官吗？您能让我保持多久的兴趣，就让我好好期待一下吧。</t>
  </si>
  <si>
    <t>992496</t>
  </si>
  <si>
    <t>gun-10020206</t>
  </si>
  <si>
    <t>AK12Mod</t>
  </si>
  <si>
    <t>gun-40020206</t>
  </si>
  <si>
    <t>gun-50020206</t>
  </si>
  <si>
    <t>gun-60020206</t>
  </si>
  <si>
    <t>108504,200404,200426,201438,201003,702028,118013,750342,750314,750315,702041,992497,108505,200488</t>
  </si>
  <si>
    <t>18,14,19,15,20</t>
  </si>
  <si>
    <t>1,35;2,25</t>
  </si>
  <si>
    <t>equip-10000412</t>
  </si>
  <si>
    <t>equip-20000412</t>
  </si>
  <si>
    <t>206,20206</t>
  </si>
  <si>
    <t>equip-30000412</t>
  </si>
  <si>
    <t>pow:1000,critical_harm_rate:750</t>
  </si>
  <si>
    <t>992500</t>
  </si>
  <si>
    <t>equip-10000414</t>
  </si>
  <si>
    <t>equip-20000414</t>
  </si>
  <si>
    <t>equip-30000414</t>
  </si>
  <si>
    <t>armor_piercing:1000,critical_harm_rate:700</t>
  </si>
  <si>
    <t>1002302</t>
  </si>
  <si>
    <t>equip-10000415</t>
  </si>
  <si>
    <t>equip-20000415</t>
  </si>
  <si>
    <t>20005</t>
  </si>
  <si>
    <t>equip-30000415</t>
  </si>
  <si>
    <t>1002402</t>
  </si>
  <si>
    <t>WA2000GZ</t>
  </si>
  <si>
    <t>M1895ModGZ</t>
  </si>
  <si>
    <t>类型            战斗霰弹枪
总重            4.4 公斤
全长            枪托缩折：886毫米
                枪托伸展：1,041毫米
枪管长度        609.6毫米，546.1毫米，504.83毫米，457.2毫米
弹药            12号口径霰弹
枪机种类        气动式/泵动式
发射速率        半自动射击：4发／秒（24—30发／分钟）
枪口初速        400 米／秒
有效射程        100 米
供弹方式        8+1发管式弹仓
                7+1发管式弹仓
                6+1发管式弹仓
                5+1发管式弹仓
瞄准具型式      机械瞄具：圆形金属开放式多功能照门及刀片式准星
                瞄准基线：450毫米</t>
  </si>
  <si>
    <t>指挥官您好，这里是SPAS-12！让我今后成为您坚实的后盾吧!</t>
  </si>
  <si>
    <t>gun-10020162</t>
  </si>
  <si>
    <t>SPAS12Mod</t>
  </si>
  <si>
    <t>gun-40020162</t>
  </si>
  <si>
    <t>gun-50020162</t>
  </si>
  <si>
    <t>gun-60020162</t>
  </si>
  <si>
    <t>300202,300203,992511,750512,750478</t>
  </si>
  <si>
    <t>992513</t>
  </si>
  <si>
    <t>equip-10000416</t>
  </si>
  <si>
    <t>equip-20000416</t>
  </si>
  <si>
    <t>3,7</t>
  </si>
  <si>
    <t>162,20162</t>
  </si>
  <si>
    <t>equip-30000416</t>
  </si>
  <si>
    <t>armor:600</t>
  </si>
  <si>
    <t>equip-10000417</t>
  </si>
  <si>
    <t>equip-20000417</t>
  </si>
  <si>
    <t>-6,-3</t>
  </si>
  <si>
    <t>equip-30000417</t>
  </si>
  <si>
    <t>sangvis-10001028</t>
  </si>
  <si>
    <t>GagerSwimwear</t>
  </si>
  <si>
    <t>sangvis-40001028</t>
  </si>
  <si>
    <t>sangvis-30001028</t>
  </si>
  <si>
    <t>760003</t>
  </si>
  <si>
    <t>760006</t>
  </si>
  <si>
    <t>0:1,20|3:8,20|4:5,20</t>
  </si>
  <si>
    <t>0:1,12|3:8,12|4:5,12</t>
  </si>
  <si>
    <t>TargetTrain</t>
  </si>
  <si>
    <t>equip-10000418</t>
  </si>
  <si>
    <t>equip-20000418</t>
  </si>
  <si>
    <t>177</t>
  </si>
  <si>
    <t>equip-30000418</t>
  </si>
  <si>
    <t>pow:500,dodge:1000</t>
  </si>
  <si>
    <t>1003001</t>
  </si>
  <si>
    <t>L9A1</t>
  </si>
  <si>
    <t>squad_chip-10011001</t>
  </si>
  <si>
    <t>squad_chip-10011002</t>
  </si>
  <si>
    <t>squad_chip-10011003</t>
  </si>
  <si>
    <t>squad_chip-10011004</t>
  </si>
  <si>
    <t>squad_chip-10011005</t>
  </si>
  <si>
    <t>squad_chip-10011006</t>
  </si>
  <si>
    <t>squad_chip-10011007</t>
  </si>
  <si>
    <t>squad_chip-10011008</t>
  </si>
  <si>
    <t>squad_chip-10011009</t>
  </si>
  <si>
    <t>squad_chip-10011010</t>
  </si>
  <si>
    <t>equip-10000419</t>
  </si>
  <si>
    <t>equip-20000419</t>
  </si>
  <si>
    <t>equip-30000419</t>
  </si>
  <si>
    <t>1002902</t>
  </si>
  <si>
    <t>equip-10000420</t>
  </si>
  <si>
    <t>equip-20000420</t>
  </si>
  <si>
    <t>3,6</t>
  </si>
  <si>
    <t>20154</t>
  </si>
  <si>
    <t>equip-30000420</t>
  </si>
  <si>
    <t>armor:1000,hit:1000</t>
  </si>
  <si>
    <t>1003102</t>
  </si>
  <si>
    <t>G41GZ</t>
  </si>
  <si>
    <t>M500ModGZ</t>
  </si>
  <si>
    <t>gun-10000403</t>
  </si>
  <si>
    <t>SIG CROSS</t>
  </si>
  <si>
    <t>SIGCROSS</t>
  </si>
  <si>
    <t>gun-40000403</t>
  </si>
  <si>
    <t>gun-50000403</t>
  </si>
  <si>
    <t>gun-60000403</t>
  </si>
  <si>
    <t>1002704</t>
  </si>
  <si>
    <t>1002706,1002707</t>
  </si>
  <si>
    <t>5,12;6,12</t>
  </si>
  <si>
    <t>2024-09-05 00:00:00</t>
  </si>
  <si>
    <t>gun-10000404</t>
  </si>
  <si>
    <t>MK18</t>
  </si>
  <si>
    <t>gun-40000404</t>
  </si>
  <si>
    <t>gun-50000404</t>
  </si>
  <si>
    <t>gun-60000404</t>
  </si>
  <si>
    <t>1002502,1002506,1002508</t>
  </si>
  <si>
    <t>1002505</t>
  </si>
  <si>
    <t>8,18,9,14,19,10,15,20</t>
  </si>
  <si>
    <t>1,20;3,20;4,20</t>
  </si>
  <si>
    <t>gun-10000405</t>
  </si>
  <si>
    <t>SIG M400</t>
  </si>
  <si>
    <t>SIGM400</t>
  </si>
  <si>
    <t>gun-40000405</t>
  </si>
  <si>
    <t>gun-50000405</t>
  </si>
  <si>
    <t>gun-60000405</t>
  </si>
  <si>
    <t>1002602,1002603</t>
  </si>
  <si>
    <t>18,23,14,19,15</t>
  </si>
  <si>
    <t>1,10;3,10;5,10</t>
  </si>
  <si>
    <t>gun-10000406</t>
  </si>
  <si>
    <t>XM556</t>
  </si>
  <si>
    <t>gun-40000406</t>
  </si>
  <si>
    <t>gun-50000406</t>
  </si>
  <si>
    <t>gun-60000406</t>
  </si>
  <si>
    <t>300202,1002802</t>
  </si>
  <si>
    <t>1002805,1002806,1002807</t>
  </si>
  <si>
    <t>18,23,19,24,25</t>
  </si>
  <si>
    <t>equip-10000421</t>
  </si>
  <si>
    <t>equip-20000421</t>
  </si>
  <si>
    <t>equip-30000421</t>
  </si>
  <si>
    <t>1003201</t>
  </si>
  <si>
    <t>类型            突击步枪
总重            空枪：3.85公斤
全长            枪托缩折：750毫米
                枪托伸展：998毫米
枪管长度        460毫米
弹药            5.56×45毫米NATO
枪机种类        长行程导气式活塞 ，转拴式枪机
发射速率        680 发/分钟
枪口初速        925 米／秒
有效射程        450 米
供弹方式        30发弹匣
瞄准具型式      可调式照门、可加装瞄准镜</t>
  </si>
  <si>
    <t>指挥官……嗯，和资料上的信息一致呢，我是Zastava M21，希望您接下来不会介意我的表现。</t>
  </si>
  <si>
    <t>gun-10020196</t>
  </si>
  <si>
    <t>ZastavaM21Mod</t>
  </si>
  <si>
    <t>gun-40020196</t>
  </si>
  <si>
    <t>gun-50020196</t>
  </si>
  <si>
    <t>gun-60020196</t>
  </si>
  <si>
    <t>108004,900156,992516,992519,992520</t>
  </si>
  <si>
    <t>17,19,18</t>
  </si>
  <si>
    <t>2,15;4,20</t>
  </si>
  <si>
    <t>equip-10000422</t>
  </si>
  <si>
    <t>equip-20000422</t>
  </si>
  <si>
    <t>equip-30000422</t>
  </si>
  <si>
    <t>pow:700,hit:1000,critical_harm_rate:1000</t>
  </si>
  <si>
    <t>1003302</t>
  </si>
  <si>
    <t>equip-10000423</t>
  </si>
  <si>
    <t>equip-20000423</t>
  </si>
  <si>
    <t>20001</t>
  </si>
  <si>
    <t>equip-30000423</t>
  </si>
  <si>
    <t>300903,1003402</t>
  </si>
  <si>
    <t>equip-10000424</t>
  </si>
  <si>
    <t>equip-20000424</t>
  </si>
  <si>
    <t>196,20196</t>
  </si>
  <si>
    <t>equip-30000424</t>
  </si>
  <si>
    <t>pow:1000,critical_harm_rate:500</t>
  </si>
  <si>
    <t>992518</t>
  </si>
  <si>
    <t>equip-10000425</t>
  </si>
  <si>
    <t>equip-20000425</t>
  </si>
  <si>
    <t>348</t>
  </si>
  <si>
    <t>equip-30000425</t>
  </si>
  <si>
    <t>sangvis-10001027</t>
  </si>
  <si>
    <t>Mrsgray</t>
  </si>
  <si>
    <t>sangvis-40001027</t>
  </si>
  <si>
    <t>sangvis-30001027</t>
  </si>
  <si>
    <t>750961</t>
  </si>
  <si>
    <t>0:1,10;2,10;4,30</t>
  </si>
  <si>
    <t>0:1,6;2,6;4,15</t>
  </si>
  <si>
    <t>Zas M21Mod</t>
  </si>
  <si>
    <t>RFBGZ</t>
  </si>
  <si>
    <t>SAAModGZ</t>
  </si>
  <si>
    <t>ZasM21Mod</t>
  </si>
  <si>
    <t>Hero</t>
  </si>
  <si>
    <t>757200</t>
  </si>
  <si>
    <t>113603,992523,992524</t>
  </si>
  <si>
    <t>gun-10001045</t>
  </si>
  <si>
    <t>Evita</t>
  </si>
  <si>
    <t>gun-40001045</t>
  </si>
  <si>
    <t>gun-50001045</t>
  </si>
  <si>
    <t>gun-60001045</t>
  </si>
  <si>
    <t>1003512</t>
  </si>
  <si>
    <t>1003502,1003503</t>
  </si>
  <si>
    <t>7,12,8,18,9,14</t>
  </si>
  <si>
    <t>2024-10-22 00:00:00</t>
  </si>
  <si>
    <t>264</t>
  </si>
  <si>
    <t>gun-10001046</t>
  </si>
  <si>
    <t>Hecate</t>
  </si>
  <si>
    <t>gun-40001046</t>
  </si>
  <si>
    <t>gun-50001046</t>
  </si>
  <si>
    <t>gun-60001046</t>
  </si>
  <si>
    <t>1003621,1003622,1003623,1003624,1003625,1003626,1003627,1003611,1003612,1003613,1003614,1003615,1003616,1003617</t>
  </si>
  <si>
    <t>263</t>
  </si>
  <si>
    <t>gun-10020288</t>
  </si>
  <si>
    <t>CR21Mod</t>
  </si>
  <si>
    <t>gun-40020288</t>
  </si>
  <si>
    <t>gun-50020288</t>
  </si>
  <si>
    <t>gun-60020288</t>
  </si>
  <si>
    <t>992525,992526,992528</t>
  </si>
  <si>
    <t>equip-10000426</t>
  </si>
  <si>
    <t>equip-20000426</t>
  </si>
  <si>
    <t>273</t>
  </si>
  <si>
    <t>equip-30000426</t>
  </si>
  <si>
    <t>critical_percent:1000,critical_harm_rate:500</t>
  </si>
  <si>
    <t>1003701</t>
  </si>
  <si>
    <t>equip-10000427</t>
  </si>
  <si>
    <t>equip-20000427</t>
  </si>
  <si>
    <t>equip-30000427</t>
  </si>
  <si>
    <t>1003802</t>
  </si>
  <si>
    <t>equip-10000428</t>
  </si>
  <si>
    <t>equip-20000428</t>
  </si>
  <si>
    <t>20093</t>
  </si>
  <si>
    <t>equip-30000428</t>
  </si>
  <si>
    <t>1003902</t>
  </si>
  <si>
    <t>equip-10000429</t>
  </si>
  <si>
    <t>equip-20000429</t>
  </si>
  <si>
    <t>1045</t>
  </si>
  <si>
    <t>equip-30000429</t>
  </si>
  <si>
    <t>1003511</t>
  </si>
  <si>
    <t>equip-10000430</t>
  </si>
  <si>
    <t>equip-20000430</t>
  </si>
  <si>
    <t>1046</t>
  </si>
  <si>
    <t>equip-30000430</t>
  </si>
  <si>
    <t>1003618</t>
  </si>
  <si>
    <t>equip-10000431</t>
  </si>
  <si>
    <t>equip-20000431</t>
  </si>
  <si>
    <t>288,20288</t>
  </si>
  <si>
    <t>equip-30000431</t>
  </si>
  <si>
    <t>sangvis-10001029</t>
  </si>
  <si>
    <t>Beluga</t>
  </si>
  <si>
    <t>M16A1_Boss</t>
  </si>
  <si>
    <t>sangvis-40001029</t>
  </si>
  <si>
    <t>sangvis-30001029</t>
  </si>
  <si>
    <t>760011</t>
  </si>
  <si>
    <t>760009</t>
  </si>
  <si>
    <t>760022</t>
  </si>
  <si>
    <t>4:1,30;4,30;5,50</t>
  </si>
  <si>
    <t>4:1,15;4,15;5,25</t>
  </si>
  <si>
    <t>M82A1GZ</t>
  </si>
  <si>
    <t>IDWModGZ</t>
  </si>
  <si>
    <t>equip-10000432</t>
  </si>
  <si>
    <t>equip-20000432</t>
  </si>
  <si>
    <t>128</t>
  </si>
  <si>
    <t>equip-30000432</t>
  </si>
  <si>
    <t>1004001</t>
  </si>
  <si>
    <t>gun-10020267</t>
  </si>
  <si>
    <t>MP41Mod</t>
  </si>
  <si>
    <t>gun-40020267</t>
  </si>
  <si>
    <t>gun-50020267</t>
  </si>
  <si>
    <t>gun-60020267</t>
  </si>
  <si>
    <t>992534</t>
  </si>
  <si>
    <t>1,15;4,15</t>
  </si>
  <si>
    <t>equip-10000433</t>
  </si>
  <si>
    <t>equip-20000433</t>
  </si>
  <si>
    <t>equip-30000433</t>
  </si>
  <si>
    <t>1004102</t>
  </si>
  <si>
    <t>equip-10000434</t>
  </si>
  <si>
    <t>equip-20000434</t>
  </si>
  <si>
    <t>equip-30000434</t>
  </si>
  <si>
    <t>1004202</t>
  </si>
  <si>
    <t>equip-10000435</t>
  </si>
  <si>
    <t>equip-20000435</t>
  </si>
  <si>
    <t>267,20267</t>
  </si>
  <si>
    <t>equip-30000435</t>
  </si>
  <si>
    <t>equip-10000436</t>
  </si>
  <si>
    <t>equip-20000436</t>
  </si>
  <si>
    <t>272</t>
  </si>
  <si>
    <t>equip-30000436</t>
  </si>
  <si>
    <t>pow:1000,critical_percent:500</t>
  </si>
  <si>
    <t>equip-10000437</t>
  </si>
  <si>
    <t>equip-20000437</t>
  </si>
  <si>
    <t>316</t>
  </si>
  <si>
    <t>equip-30000437</t>
  </si>
  <si>
    <t>1004301</t>
  </si>
  <si>
    <t>ZB26GZ</t>
  </si>
  <si>
    <t>DefenderGZ</t>
  </si>
  <si>
    <t>let
    Source = Json.Document(Web.Contents("https://raw.githubusercontent.com/randomqwerty/GFLData/main/kr/stc/gun.json")),
    #"Converted to Table" = Table.FromList(Source, Splitter.SplitByNothing(), null, null, ExtraValues.Error),
    #"Expanded Column1" = Table.ExpandRecordColumn(#"Converted to Table", "Column1",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in
    #"Expanded Column1"</t>
  </si>
  <si>
    <t>let
    Source = Json.Document(Web.Contents("https://raw.githubusercontent.com/randomqwerty/GFLData/main/kr/stc/equip.json")),
    #"Converted to Table" = Table.FromList(Source, Splitter.SplitByNothing(), null, null, ExtraValues.Error),
    #"Expanded Column1" = Table.ExpandRecordColumn(#"Converted to Table", "Column1",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in
    #"Expanded Column1"</t>
  </si>
  <si>
    <t>let
    Source = Json.Document(Web.Contents("https://raw.githubusercontent.com/randomqwerty/GFLData/main/kr/stc/sangvis.json")),
    #"Converted to Table" = Table.FromList(Source, Splitter.SplitByNothing(), null, null, ExtraValues.Error),
    #"Expanded Column1" = Table.ExpandRecordColumn(#"Converted to Table", "Column1",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#"Filtered Rows" = Table.SelectRows(#"Expanded Column1", each [id] &lt; 9000)
in
    #"Filtered Rows"</t>
  </si>
  <si>
    <t>let
    Source = Json.Document(Web.Contents("https://raw.githubusercontent.com/randomqwerty/GFLData/main/kr/stc/sangvis_resolution.json")),
    #"Converted to Table" = Table.FromList(Source, Splitter.SplitByNothing(), null, null, ExtraValues.Error),
    #"Expanded Column1" = Table.ExpandRecordColumn(#"Converted to Table", "Column1",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in
    #"Expanded Column1"</t>
  </si>
  <si>
    <t>equip-10000438</t>
  </si>
  <si>
    <t>equip-20000438</t>
  </si>
  <si>
    <t>335</t>
  </si>
  <si>
    <t>equip-30000438</t>
  </si>
  <si>
    <t>1004701</t>
  </si>
  <si>
    <t>equip-10000439</t>
  </si>
  <si>
    <t>equip-20000439</t>
  </si>
  <si>
    <t>equip-30000439</t>
  </si>
  <si>
    <t>dodge:500,critical_percent:1000</t>
  </si>
  <si>
    <t>1004802</t>
  </si>
  <si>
    <t>equip-10000440</t>
  </si>
  <si>
    <t>equip-20000440</t>
  </si>
  <si>
    <t>20013</t>
  </si>
  <si>
    <t>equip-30000440</t>
  </si>
  <si>
    <t>1004902</t>
  </si>
  <si>
    <t>equip-10000441</t>
  </si>
  <si>
    <t>equip-20000441</t>
  </si>
  <si>
    <t>equip-30000441</t>
  </si>
  <si>
    <t>1005001</t>
  </si>
  <si>
    <t>ThompsonGZ</t>
  </si>
  <si>
    <t>Type92modGZ</t>
  </si>
  <si>
    <t>equip-10000442</t>
  </si>
  <si>
    <t>equip-20000442</t>
  </si>
  <si>
    <t>equip-30000442</t>
  </si>
  <si>
    <t>1005202</t>
  </si>
  <si>
    <t>equip-10000443</t>
  </si>
  <si>
    <t>equip-20000443</t>
  </si>
  <si>
    <t>20037</t>
  </si>
  <si>
    <t>equip-30000443</t>
  </si>
  <si>
    <t>critical_harm_rate:700,rate:700</t>
  </si>
  <si>
    <t>1005302</t>
  </si>
  <si>
    <t>equip-10000444</t>
  </si>
  <si>
    <t>equip-20000444</t>
  </si>
  <si>
    <t>121</t>
  </si>
  <si>
    <t>equip-30000444</t>
  </si>
  <si>
    <t>1005101</t>
  </si>
  <si>
    <t>MDRGZ</t>
  </si>
  <si>
    <t>M14ModGZ</t>
  </si>
  <si>
    <r>
      <t xml:space="preserve">GFL KR Battle Sim - JSON Creator </t>
    </r>
    <r>
      <rPr>
        <b/>
        <sz val="12"/>
        <rFont val="Calibri"/>
        <family val="2"/>
        <scheme val="minor"/>
      </rPr>
      <t>(last updated February 22, 2025)</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</si>
</sst>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0.000"/>
  </numFmts>
  <fonts count="19" x14ac:knownFonts="1">
    <font>
      <sz val="11"/>
      <color theme="1"/>
      <name val="Calibri"/>
      <family val="2"/>
      <scheme val="minor"/>
    </font>
    <font>
      <b/>
      <sz val="11"/>
      <color theme="1"/>
      <name val="Calibri"/>
      <family val="2"/>
      <scheme val="minor"/>
    </font>
    <font>
      <sz val="11"/>
      <name val="Calibri"/>
      <family val="2"/>
      <scheme val="minor"/>
    </font>
    <font>
      <sz val="9"/>
      <color indexed="81"/>
      <name val="Tahoma"/>
      <family val="2"/>
    </font>
    <font>
      <b/>
      <sz val="11"/>
      <name val="Calibri"/>
      <family val="2"/>
      <scheme val="minor"/>
    </font>
    <font>
      <b/>
      <sz val="20"/>
      <name val="Calibri"/>
      <family val="2"/>
      <scheme val="minor"/>
    </font>
    <font>
      <sz val="9"/>
      <color rgb="FF24292E"/>
      <name val="Consolas"/>
      <family val="3"/>
    </font>
    <font>
      <u/>
      <sz val="11"/>
      <color theme="10"/>
      <name val="Calibri"/>
      <family val="2"/>
      <scheme val="minor"/>
    </font>
    <font>
      <b/>
      <sz val="14"/>
      <name val="Calibri"/>
      <family val="2"/>
      <scheme val="minor"/>
    </font>
    <font>
      <sz val="11"/>
      <name val="Calibri"/>
      <family val="2"/>
    </font>
    <font>
      <b/>
      <sz val="12"/>
      <name val="Calibri"/>
      <family val="2"/>
      <scheme val="minor"/>
    </font>
    <font>
      <b/>
      <sz val="9"/>
      <color indexed="81"/>
      <name val="Tahoma"/>
      <family val="2"/>
    </font>
    <font>
      <b/>
      <sz val="11"/>
      <color rgb="FFFF0000"/>
      <name val="Calibri"/>
      <family val="2"/>
      <scheme val="minor"/>
    </font>
    <font>
      <sz val="12"/>
      <color rgb="FF000000"/>
      <name val="Calibri"/>
      <family val="2"/>
    </font>
    <font>
      <b/>
      <u/>
      <sz val="11"/>
      <name val="Calibri"/>
      <family val="2"/>
      <scheme val="minor"/>
    </font>
    <font>
      <b/>
      <u/>
      <sz val="11"/>
      <color theme="1"/>
      <name val="Calibri"/>
      <family val="2"/>
      <scheme val="minor"/>
    </font>
    <font>
      <sz val="11"/>
      <color theme="0" tint="-0.34998626667073579"/>
      <name val="Calibri"/>
      <family val="2"/>
      <scheme val="minor"/>
    </font>
    <font>
      <b/>
      <u/>
      <sz val="11"/>
      <color theme="10"/>
      <name val="Calibri"/>
      <family val="2"/>
      <scheme val="minor"/>
    </font>
    <font>
      <sz val="11"/>
      <color rgb="FFFF000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7" tint="0.79998168889431442"/>
        <bgColor indexed="64"/>
      </patternFill>
    </fill>
    <fill>
      <patternFill patternType="solid">
        <fgColor theme="0"/>
        <bgColor indexed="64"/>
      </patternFill>
    </fill>
    <fill>
      <patternFill patternType="solid">
        <fgColor rgb="FFFFF2CC"/>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theme="9" tint="0.39997558519241921"/>
      </top>
      <bottom style="thin">
        <color theme="9" tint="0.39997558519241921"/>
      </bottom>
      <diagonal/>
    </border>
  </borders>
  <cellStyleXfs count="2">
    <xf numFmtId="0" fontId="0" fillId="0" borderId="0"/>
    <xf numFmtId="0" fontId="7" fillId="0" borderId="0" applyNumberFormat="0" applyFill="0" applyBorder="0" applyAlignment="0" applyProtection="0"/>
  </cellStyleXfs>
  <cellXfs count="281">
    <xf numFmtId="0" fontId="0" fillId="0" borderId="0" xfId="0"/>
    <xf numFmtId="0" fontId="0" fillId="0" borderId="0" xfId="0" applyAlignment="1">
      <alignment horizontal="center"/>
    </xf>
    <xf numFmtId="165" fontId="0" fillId="0" borderId="2" xfId="0" applyNumberFormat="1" applyBorder="1" applyAlignment="1">
      <alignment horizontal="center"/>
    </xf>
    <xf numFmtId="165" fontId="0" fillId="0" borderId="3" xfId="0" applyNumberFormat="1" applyBorder="1" applyAlignment="1">
      <alignment horizontal="center"/>
    </xf>
    <xf numFmtId="165" fontId="0" fillId="0" borderId="4" xfId="0" applyNumberFormat="1" applyBorder="1" applyAlignment="1">
      <alignment horizontal="center"/>
    </xf>
    <xf numFmtId="165" fontId="0" fillId="0" borderId="7" xfId="0" applyNumberFormat="1" applyBorder="1" applyAlignment="1">
      <alignment horizontal="center"/>
    </xf>
    <xf numFmtId="165" fontId="0" fillId="0" borderId="8" xfId="0" applyNumberFormat="1" applyBorder="1" applyAlignment="1">
      <alignment horizontal="center"/>
    </xf>
    <xf numFmtId="165" fontId="0" fillId="0" borderId="9" xfId="0" applyNumberFormat="1" applyBorder="1" applyAlignment="1">
      <alignment horizontal="center"/>
    </xf>
    <xf numFmtId="165" fontId="0" fillId="0" borderId="0" xfId="0" applyNumberFormat="1"/>
    <xf numFmtId="0" fontId="0" fillId="0" borderId="0" xfId="0" applyAlignment="1">
      <alignment horizontal="left"/>
    </xf>
    <xf numFmtId="0" fontId="1" fillId="0" borderId="0" xfId="0" applyFont="1"/>
    <xf numFmtId="164" fontId="0" fillId="0" borderId="0" xfId="0" applyNumberFormat="1" applyAlignment="1">
      <alignment horizontal="center"/>
    </xf>
    <xf numFmtId="165" fontId="0" fillId="0" borderId="5" xfId="0" applyNumberFormat="1" applyBorder="1" applyAlignment="1">
      <alignment horizontal="center"/>
    </xf>
    <xf numFmtId="165" fontId="0" fillId="0" borderId="0" xfId="0" applyNumberFormat="1" applyAlignment="1">
      <alignment horizontal="center"/>
    </xf>
    <xf numFmtId="165" fontId="0" fillId="0" borderId="6" xfId="0" applyNumberFormat="1" applyBorder="1" applyAlignment="1">
      <alignment horizontal="center"/>
    </xf>
    <xf numFmtId="0" fontId="0" fillId="0" borderId="2" xfId="0" applyBorder="1" applyAlignment="1">
      <alignment horizontal="center"/>
    </xf>
    <xf numFmtId="1" fontId="0" fillId="0" borderId="0" xfId="0" applyNumberFormat="1" applyAlignment="1">
      <alignment horizontal="center"/>
    </xf>
    <xf numFmtId="1" fontId="0" fillId="0" borderId="2" xfId="0" applyNumberFormat="1" applyBorder="1" applyAlignment="1">
      <alignment horizontal="center"/>
    </xf>
    <xf numFmtId="1" fontId="0" fillId="0" borderId="3" xfId="0" applyNumberFormat="1" applyBorder="1" applyAlignment="1">
      <alignment horizontal="center"/>
    </xf>
    <xf numFmtId="1" fontId="0" fillId="0" borderId="4" xfId="0" applyNumberFormat="1" applyBorder="1" applyAlignment="1">
      <alignment horizontal="center"/>
    </xf>
    <xf numFmtId="1" fontId="0" fillId="0" borderId="5" xfId="0" applyNumberFormat="1" applyBorder="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 fontId="0" fillId="0" borderId="8" xfId="0" applyNumberFormat="1" applyBorder="1" applyAlignment="1">
      <alignment horizontal="center"/>
    </xf>
    <xf numFmtId="1" fontId="0" fillId="0" borderId="9" xfId="0" applyNumberFormat="1" applyBorder="1" applyAlignment="1">
      <alignment horizontal="center"/>
    </xf>
    <xf numFmtId="1" fontId="0" fillId="0" borderId="0" xfId="0" applyNumberFormat="1"/>
    <xf numFmtId="1" fontId="0" fillId="2" borderId="2" xfId="0" applyNumberFormat="1" applyFill="1" applyBorder="1" applyAlignment="1">
      <alignment horizontal="center"/>
    </xf>
    <xf numFmtId="1" fontId="0" fillId="2" borderId="3" xfId="0" applyNumberFormat="1" applyFill="1" applyBorder="1" applyAlignment="1">
      <alignment horizontal="center"/>
    </xf>
    <xf numFmtId="1" fontId="0" fillId="2" borderId="5" xfId="0" applyNumberFormat="1" applyFill="1" applyBorder="1" applyAlignment="1">
      <alignment horizontal="center"/>
    </xf>
    <xf numFmtId="1" fontId="0" fillId="2" borderId="0" xfId="0" applyNumberFormat="1" applyFill="1" applyAlignment="1">
      <alignment horizontal="center"/>
    </xf>
    <xf numFmtId="1" fontId="0" fillId="2" borderId="7" xfId="0" applyNumberFormat="1" applyFill="1" applyBorder="1" applyAlignment="1">
      <alignment horizontal="center"/>
    </xf>
    <xf numFmtId="1" fontId="0" fillId="2" borderId="8" xfId="0" applyNumberFormat="1" applyFill="1" applyBorder="1" applyAlignment="1">
      <alignment horizontal="center"/>
    </xf>
    <xf numFmtId="1" fontId="0" fillId="2" borderId="4" xfId="0" applyNumberFormat="1" applyFill="1" applyBorder="1" applyAlignment="1">
      <alignment horizontal="center"/>
    </xf>
    <xf numFmtId="1" fontId="0" fillId="2" borderId="6" xfId="0" applyNumberFormat="1" applyFill="1" applyBorder="1" applyAlignment="1">
      <alignment horizontal="center"/>
    </xf>
    <xf numFmtId="1" fontId="0" fillId="2" borderId="9" xfId="0" applyNumberFormat="1" applyFill="1" applyBorder="1" applyAlignment="1">
      <alignment horizontal="center"/>
    </xf>
    <xf numFmtId="0" fontId="2" fillId="0" borderId="0" xfId="0" applyFont="1"/>
    <xf numFmtId="3" fontId="2" fillId="0" borderId="0" xfId="0" applyNumberFormat="1" applyFont="1"/>
    <xf numFmtId="0" fontId="0" fillId="2" borderId="0" xfId="0" applyFill="1"/>
    <xf numFmtId="0" fontId="1" fillId="0" borderId="0" xfId="0" applyFont="1" applyAlignment="1">
      <alignment horizontal="center"/>
    </xf>
    <xf numFmtId="0" fontId="2" fillId="3" borderId="6" xfId="0" applyFont="1" applyFill="1" applyBorder="1" applyAlignment="1">
      <alignment horizontal="center"/>
    </xf>
    <xf numFmtId="0" fontId="2" fillId="3" borderId="9" xfId="0" applyFont="1" applyFill="1" applyBorder="1" applyAlignment="1">
      <alignment horizontal="center"/>
    </xf>
    <xf numFmtId="0" fontId="2" fillId="4" borderId="1" xfId="0" applyFont="1" applyFill="1" applyBorder="1" applyAlignment="1">
      <alignment horizontal="center"/>
    </xf>
    <xf numFmtId="0" fontId="2" fillId="4" borderId="11" xfId="0" applyFont="1" applyFill="1" applyBorder="1" applyAlignment="1">
      <alignment horizontal="center"/>
    </xf>
    <xf numFmtId="0" fontId="2" fillId="4" borderId="12" xfId="0" applyFont="1" applyFill="1" applyBorder="1" applyAlignment="1">
      <alignment horizontal="center"/>
    </xf>
    <xf numFmtId="0" fontId="2" fillId="4" borderId="10" xfId="0" applyFont="1" applyFill="1" applyBorder="1" applyAlignment="1">
      <alignment horizontal="center"/>
    </xf>
    <xf numFmtId="0" fontId="0" fillId="0" borderId="8" xfId="0" applyBorder="1" applyAlignment="1">
      <alignment horizontal="center"/>
    </xf>
    <xf numFmtId="0" fontId="2" fillId="4" borderId="0" xfId="0" applyFont="1" applyFill="1"/>
    <xf numFmtId="0" fontId="2" fillId="4" borderId="7" xfId="0" applyFont="1" applyFill="1" applyBorder="1" applyAlignment="1">
      <alignment horizontal="center"/>
    </xf>
    <xf numFmtId="0" fontId="2" fillId="4" borderId="8" xfId="0" applyFont="1" applyFill="1" applyBorder="1" applyAlignment="1">
      <alignment horizontal="center"/>
    </xf>
    <xf numFmtId="0" fontId="2" fillId="4" borderId="9" xfId="0" applyFont="1" applyFill="1" applyBorder="1" applyAlignment="1">
      <alignment horizontal="center"/>
    </xf>
    <xf numFmtId="0" fontId="2" fillId="4" borderId="1" xfId="0" applyFont="1" applyFill="1" applyBorder="1"/>
    <xf numFmtId="0" fontId="0" fillId="4" borderId="2" xfId="0" applyFill="1" applyBorder="1" applyAlignment="1">
      <alignment horizontal="center"/>
    </xf>
    <xf numFmtId="0" fontId="0" fillId="4" borderId="5" xfId="0" applyFill="1" applyBorder="1" applyAlignment="1">
      <alignment horizontal="center"/>
    </xf>
    <xf numFmtId="0" fontId="0" fillId="4" borderId="7"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164" fontId="0" fillId="4" borderId="2" xfId="0" applyNumberFormat="1" applyFill="1" applyBorder="1" applyAlignment="1">
      <alignment horizontal="center"/>
    </xf>
    <xf numFmtId="164" fontId="0" fillId="4" borderId="3" xfId="0" applyNumberFormat="1" applyFill="1" applyBorder="1" applyAlignment="1">
      <alignment horizontal="center"/>
    </xf>
    <xf numFmtId="164" fontId="0" fillId="4" borderId="4" xfId="0" applyNumberFormat="1" applyFill="1" applyBorder="1" applyAlignment="1">
      <alignment horizontal="center"/>
    </xf>
    <xf numFmtId="1" fontId="0" fillId="4" borderId="2" xfId="0" applyNumberFormat="1" applyFill="1" applyBorder="1" applyAlignment="1">
      <alignment horizontal="center"/>
    </xf>
    <xf numFmtId="1" fontId="0" fillId="4" borderId="3" xfId="0" applyNumberFormat="1" applyFill="1" applyBorder="1" applyAlignment="1">
      <alignment horizontal="center"/>
    </xf>
    <xf numFmtId="1" fontId="0" fillId="4" borderId="4" xfId="0" applyNumberFormat="1" applyFill="1" applyBorder="1" applyAlignment="1">
      <alignment horizontal="center"/>
    </xf>
    <xf numFmtId="164" fontId="0" fillId="4" borderId="5" xfId="0" applyNumberFormat="1" applyFill="1" applyBorder="1" applyAlignment="1">
      <alignment horizontal="center"/>
    </xf>
    <xf numFmtId="164" fontId="0" fillId="4" borderId="0" xfId="0" applyNumberFormat="1" applyFill="1" applyAlignment="1">
      <alignment horizontal="center"/>
    </xf>
    <xf numFmtId="164" fontId="0" fillId="4" borderId="6" xfId="0" applyNumberFormat="1" applyFill="1" applyBorder="1" applyAlignment="1">
      <alignment horizontal="center"/>
    </xf>
    <xf numFmtId="1" fontId="0" fillId="4" borderId="5" xfId="0" applyNumberFormat="1" applyFill="1" applyBorder="1" applyAlignment="1">
      <alignment horizontal="center"/>
    </xf>
    <xf numFmtId="1" fontId="0" fillId="4" borderId="0" xfId="0" applyNumberFormat="1" applyFill="1" applyAlignment="1">
      <alignment horizontal="center"/>
    </xf>
    <xf numFmtId="1" fontId="0" fillId="4" borderId="6" xfId="0" applyNumberFormat="1" applyFill="1" applyBorder="1" applyAlignment="1">
      <alignment horizontal="center"/>
    </xf>
    <xf numFmtId="164" fontId="0" fillId="4" borderId="7" xfId="0" applyNumberFormat="1" applyFill="1" applyBorder="1" applyAlignment="1">
      <alignment horizontal="center"/>
    </xf>
    <xf numFmtId="164" fontId="0" fillId="4" borderId="8" xfId="0" applyNumberFormat="1" applyFill="1" applyBorder="1" applyAlignment="1">
      <alignment horizontal="center"/>
    </xf>
    <xf numFmtId="164" fontId="0" fillId="4" borderId="9" xfId="0" applyNumberFormat="1" applyFill="1" applyBorder="1" applyAlignment="1">
      <alignment horizontal="center"/>
    </xf>
    <xf numFmtId="1" fontId="0" fillId="4" borderId="7" xfId="0" applyNumberFormat="1" applyFill="1" applyBorder="1" applyAlignment="1">
      <alignment horizontal="center"/>
    </xf>
    <xf numFmtId="1" fontId="0" fillId="4" borderId="8" xfId="0" applyNumberFormat="1" applyFill="1" applyBorder="1" applyAlignment="1">
      <alignment horizontal="center"/>
    </xf>
    <xf numFmtId="1" fontId="0" fillId="4" borderId="9" xfId="0" applyNumberFormat="1" applyFill="1" applyBorder="1" applyAlignment="1">
      <alignment horizontal="center"/>
    </xf>
    <xf numFmtId="165" fontId="0" fillId="4" borderId="2" xfId="0" applyNumberFormat="1" applyFill="1" applyBorder="1" applyAlignment="1">
      <alignment horizontal="center"/>
    </xf>
    <xf numFmtId="165" fontId="0" fillId="4" borderId="3" xfId="0" applyNumberFormat="1" applyFill="1" applyBorder="1" applyAlignment="1">
      <alignment horizontal="center"/>
    </xf>
    <xf numFmtId="165" fontId="0" fillId="4" borderId="4" xfId="0" applyNumberFormat="1" applyFill="1" applyBorder="1" applyAlignment="1">
      <alignment horizontal="center"/>
    </xf>
    <xf numFmtId="165" fontId="0" fillId="4" borderId="5" xfId="0" applyNumberFormat="1" applyFill="1" applyBorder="1" applyAlignment="1">
      <alignment horizontal="center"/>
    </xf>
    <xf numFmtId="165" fontId="0" fillId="4" borderId="0" xfId="0" applyNumberFormat="1" applyFill="1" applyAlignment="1">
      <alignment horizontal="center"/>
    </xf>
    <xf numFmtId="165" fontId="0" fillId="4" borderId="6" xfId="0" applyNumberFormat="1" applyFill="1" applyBorder="1" applyAlignment="1">
      <alignment horizontal="center"/>
    </xf>
    <xf numFmtId="165" fontId="0" fillId="4" borderId="7" xfId="0" applyNumberFormat="1" applyFill="1" applyBorder="1" applyAlignment="1">
      <alignment horizontal="center"/>
    </xf>
    <xf numFmtId="165" fontId="0" fillId="4" borderId="8" xfId="0" applyNumberFormat="1" applyFill="1" applyBorder="1" applyAlignment="1">
      <alignment horizontal="center"/>
    </xf>
    <xf numFmtId="165" fontId="0" fillId="4" borderId="9" xfId="0" applyNumberFormat="1" applyFill="1" applyBorder="1" applyAlignment="1">
      <alignment horizontal="center"/>
    </xf>
    <xf numFmtId="0" fontId="6" fillId="0" borderId="0" xfId="0" applyFont="1"/>
    <xf numFmtId="0" fontId="1" fillId="0" borderId="0" xfId="0" applyFont="1" applyAlignment="1">
      <alignment horizontal="left"/>
    </xf>
    <xf numFmtId="0" fontId="1" fillId="0" borderId="8" xfId="0" applyFont="1" applyBorder="1" applyAlignment="1">
      <alignment horizontal="center"/>
    </xf>
    <xf numFmtId="0" fontId="1" fillId="2" borderId="0" xfId="0" applyFont="1" applyFill="1" applyAlignment="1">
      <alignment horizontal="center"/>
    </xf>
    <xf numFmtId="0" fontId="0" fillId="4" borderId="1" xfId="0" applyFill="1" applyBorder="1" applyAlignment="1">
      <alignment horizontal="center"/>
    </xf>
    <xf numFmtId="0" fontId="1" fillId="0" borderId="14" xfId="0" applyFont="1" applyBorder="1" applyAlignment="1">
      <alignment horizontal="center"/>
    </xf>
    <xf numFmtId="0" fontId="1" fillId="0" borderId="10" xfId="0" applyFont="1" applyBorder="1" applyAlignment="1">
      <alignment horizontal="center"/>
    </xf>
    <xf numFmtId="0" fontId="2" fillId="4" borderId="6" xfId="0" applyFont="1" applyFill="1" applyBorder="1" applyAlignment="1">
      <alignment horizontal="center"/>
    </xf>
    <xf numFmtId="1" fontId="0" fillId="3" borderId="2" xfId="0" applyNumberFormat="1" applyFill="1" applyBorder="1" applyAlignment="1">
      <alignment horizontal="center"/>
    </xf>
    <xf numFmtId="1" fontId="0" fillId="3" borderId="3" xfId="0" applyNumberFormat="1" applyFill="1" applyBorder="1" applyAlignment="1">
      <alignment horizontal="center"/>
    </xf>
    <xf numFmtId="1" fontId="0" fillId="3" borderId="4" xfId="0" applyNumberFormat="1" applyFill="1" applyBorder="1" applyAlignment="1">
      <alignment horizontal="center"/>
    </xf>
    <xf numFmtId="1" fontId="0" fillId="3" borderId="5" xfId="0" applyNumberFormat="1" applyFill="1" applyBorder="1" applyAlignment="1">
      <alignment horizontal="center"/>
    </xf>
    <xf numFmtId="1" fontId="0" fillId="3" borderId="0" xfId="0" applyNumberFormat="1" applyFill="1" applyAlignment="1">
      <alignment horizontal="center"/>
    </xf>
    <xf numFmtId="1" fontId="0" fillId="3" borderId="6" xfId="0" applyNumberFormat="1" applyFill="1" applyBorder="1" applyAlignment="1">
      <alignment horizontal="center"/>
    </xf>
    <xf numFmtId="1" fontId="0" fillId="3" borderId="7" xfId="0" applyNumberFormat="1" applyFill="1" applyBorder="1" applyAlignment="1">
      <alignment horizontal="center"/>
    </xf>
    <xf numFmtId="1" fontId="0" fillId="3" borderId="8" xfId="0" applyNumberFormat="1" applyFill="1" applyBorder="1" applyAlignment="1">
      <alignment horizontal="center"/>
    </xf>
    <xf numFmtId="1" fontId="0" fillId="3" borderId="9" xfId="0" applyNumberFormat="1" applyFill="1" applyBorder="1" applyAlignment="1">
      <alignment horizontal="center"/>
    </xf>
    <xf numFmtId="164" fontId="0" fillId="3" borderId="2" xfId="0" applyNumberFormat="1" applyFill="1" applyBorder="1" applyAlignment="1">
      <alignment horizontal="center"/>
    </xf>
    <xf numFmtId="164" fontId="0" fillId="3" borderId="3" xfId="0" applyNumberFormat="1" applyFill="1" applyBorder="1" applyAlignment="1">
      <alignment horizontal="center"/>
    </xf>
    <xf numFmtId="164" fontId="0" fillId="3" borderId="4" xfId="0" applyNumberFormat="1" applyFill="1" applyBorder="1" applyAlignment="1">
      <alignment horizontal="center"/>
    </xf>
    <xf numFmtId="164" fontId="0" fillId="3" borderId="5" xfId="0" applyNumberFormat="1" applyFill="1" applyBorder="1" applyAlignment="1">
      <alignment horizontal="center"/>
    </xf>
    <xf numFmtId="164" fontId="0" fillId="3" borderId="0" xfId="0" applyNumberFormat="1" applyFill="1" applyAlignment="1">
      <alignment horizontal="center"/>
    </xf>
    <xf numFmtId="164" fontId="0" fillId="3" borderId="6" xfId="0" applyNumberFormat="1" applyFill="1" applyBorder="1" applyAlignment="1">
      <alignment horizontal="center"/>
    </xf>
    <xf numFmtId="164" fontId="0" fillId="3" borderId="7" xfId="0" applyNumberFormat="1" applyFill="1" applyBorder="1" applyAlignment="1">
      <alignment horizontal="center"/>
    </xf>
    <xf numFmtId="164" fontId="0" fillId="3" borderId="8" xfId="0" applyNumberFormat="1" applyFill="1" applyBorder="1" applyAlignment="1">
      <alignment horizontal="center"/>
    </xf>
    <xf numFmtId="164" fontId="0" fillId="3" borderId="9" xfId="0" applyNumberFormat="1" applyFill="1" applyBorder="1" applyAlignment="1">
      <alignment horizontal="center"/>
    </xf>
    <xf numFmtId="165" fontId="0" fillId="3" borderId="2" xfId="0" applyNumberFormat="1" applyFill="1" applyBorder="1" applyAlignment="1">
      <alignment horizontal="center"/>
    </xf>
    <xf numFmtId="165" fontId="0" fillId="3" borderId="3" xfId="0" applyNumberFormat="1" applyFill="1" applyBorder="1" applyAlignment="1">
      <alignment horizontal="center"/>
    </xf>
    <xf numFmtId="165" fontId="0" fillId="3" borderId="4" xfId="0" applyNumberFormat="1" applyFill="1" applyBorder="1" applyAlignment="1">
      <alignment horizontal="center"/>
    </xf>
    <xf numFmtId="165" fontId="0" fillId="3" borderId="7" xfId="0" applyNumberFormat="1" applyFill="1" applyBorder="1" applyAlignment="1">
      <alignment horizontal="center"/>
    </xf>
    <xf numFmtId="165" fontId="0" fillId="3" borderId="8" xfId="0" applyNumberFormat="1" applyFill="1" applyBorder="1" applyAlignment="1">
      <alignment horizontal="center"/>
    </xf>
    <xf numFmtId="165" fontId="0" fillId="3" borderId="9" xfId="0" applyNumberFormat="1" applyFill="1" applyBorder="1" applyAlignment="1">
      <alignment horizontal="center"/>
    </xf>
    <xf numFmtId="1" fontId="2" fillId="4" borderId="3" xfId="0" applyNumberFormat="1" applyFont="1" applyFill="1" applyBorder="1" applyAlignment="1">
      <alignment horizontal="center"/>
    </xf>
    <xf numFmtId="0" fontId="2" fillId="0" borderId="15" xfId="0" applyFont="1" applyBorder="1" applyAlignment="1">
      <alignment horizontal="center"/>
    </xf>
    <xf numFmtId="0" fontId="2" fillId="0" borderId="10" xfId="0" applyFont="1" applyBorder="1" applyAlignment="1">
      <alignment horizontal="center"/>
    </xf>
    <xf numFmtId="0" fontId="2" fillId="0" borderId="5" xfId="0" applyFont="1" applyBorder="1" applyAlignment="1">
      <alignment horizontal="center"/>
    </xf>
    <xf numFmtId="0" fontId="2" fillId="0" borderId="6" xfId="0" applyFont="1" applyBorder="1" applyAlignment="1">
      <alignment horizontal="center"/>
    </xf>
    <xf numFmtId="0" fontId="2" fillId="0" borderId="7" xfId="0" applyFont="1" applyBorder="1" applyAlignment="1">
      <alignment horizontal="center"/>
    </xf>
    <xf numFmtId="0" fontId="2" fillId="0" borderId="9" xfId="0" applyFont="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0" borderId="8" xfId="0" applyBorder="1"/>
    <xf numFmtId="0" fontId="0" fillId="4" borderId="13" xfId="0" applyFill="1" applyBorder="1" applyAlignment="1">
      <alignment horizontal="center"/>
    </xf>
    <xf numFmtId="1" fontId="0" fillId="3" borderId="15" xfId="0" applyNumberFormat="1" applyFill="1" applyBorder="1" applyAlignment="1">
      <alignment horizontal="center"/>
    </xf>
    <xf numFmtId="1" fontId="0" fillId="3" borderId="14" xfId="0" applyNumberFormat="1" applyFill="1" applyBorder="1" applyAlignment="1">
      <alignment horizontal="center"/>
    </xf>
    <xf numFmtId="1" fontId="0" fillId="3" borderId="10" xfId="0" applyNumberFormat="1" applyFill="1" applyBorder="1" applyAlignment="1">
      <alignment horizontal="center"/>
    </xf>
    <xf numFmtId="0" fontId="7" fillId="0" borderId="0" xfId="1"/>
    <xf numFmtId="0" fontId="2" fillId="0" borderId="0" xfId="0" applyFont="1" applyAlignment="1">
      <alignment horizontal="left"/>
    </xf>
    <xf numFmtId="0" fontId="4" fillId="0" borderId="0" xfId="0" applyFont="1"/>
    <xf numFmtId="0" fontId="2" fillId="0" borderId="0" xfId="0" applyFont="1" applyAlignment="1">
      <alignment horizontal="center"/>
    </xf>
    <xf numFmtId="0" fontId="5" fillId="4" borderId="0" xfId="0" applyFont="1" applyFill="1" applyProtection="1">
      <protection locked="0"/>
    </xf>
    <xf numFmtId="0" fontId="2" fillId="4" borderId="0" xfId="0" applyFont="1" applyFill="1" applyProtection="1">
      <protection locked="0"/>
    </xf>
    <xf numFmtId="0" fontId="7" fillId="4" borderId="0" xfId="1" applyFill="1" applyProtection="1">
      <protection locked="0"/>
    </xf>
    <xf numFmtId="0" fontId="4" fillId="4" borderId="1" xfId="0" applyFont="1" applyFill="1" applyBorder="1" applyProtection="1">
      <protection locked="0"/>
    </xf>
    <xf numFmtId="0" fontId="4" fillId="4" borderId="12" xfId="0" applyFont="1" applyFill="1" applyBorder="1" applyProtection="1">
      <protection locked="0"/>
    </xf>
    <xf numFmtId="0" fontId="2" fillId="3" borderId="9" xfId="0" applyFont="1" applyFill="1" applyBorder="1" applyAlignment="1" applyProtection="1">
      <alignment horizontal="center"/>
      <protection locked="0"/>
    </xf>
    <xf numFmtId="0" fontId="4" fillId="4" borderId="0" xfId="0" applyFont="1" applyFill="1" applyProtection="1">
      <protection locked="0"/>
    </xf>
    <xf numFmtId="0" fontId="2" fillId="3" borderId="1" xfId="0" applyFont="1" applyFill="1" applyBorder="1" applyAlignment="1" applyProtection="1">
      <alignment horizontal="center"/>
      <protection locked="0"/>
    </xf>
    <xf numFmtId="0" fontId="8" fillId="4" borderId="0" xfId="0" applyFont="1" applyFill="1" applyProtection="1">
      <protection locked="0"/>
    </xf>
    <xf numFmtId="0" fontId="2" fillId="4" borderId="0" xfId="0" applyFont="1" applyFill="1" applyAlignment="1" applyProtection="1">
      <alignment horizontal="left"/>
      <protection locked="0"/>
    </xf>
    <xf numFmtId="0" fontId="4" fillId="4" borderId="8" xfId="0" applyFont="1" applyFill="1" applyBorder="1" applyProtection="1">
      <protection locked="0"/>
    </xf>
    <xf numFmtId="0" fontId="2" fillId="4" borderId="13" xfId="0" applyFont="1" applyFill="1" applyBorder="1" applyProtection="1">
      <protection locked="0"/>
    </xf>
    <xf numFmtId="0" fontId="2" fillId="4" borderId="3" xfId="0" applyFont="1" applyFill="1" applyBorder="1" applyAlignment="1" applyProtection="1">
      <alignment horizontal="centerContinuous"/>
      <protection locked="0"/>
    </xf>
    <xf numFmtId="0" fontId="2" fillId="4" borderId="4" xfId="0" applyFont="1" applyFill="1" applyBorder="1" applyAlignment="1" applyProtection="1">
      <alignment horizontal="centerContinuous"/>
      <protection locked="0"/>
    </xf>
    <xf numFmtId="0" fontId="2" fillId="4" borderId="2" xfId="0" applyFont="1" applyFill="1" applyBorder="1" applyAlignment="1" applyProtection="1">
      <alignment horizontal="centerContinuous"/>
      <protection locked="0"/>
    </xf>
    <xf numFmtId="0" fontId="2" fillId="4" borderId="12"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9"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2" fillId="3" borderId="2" xfId="0" applyFont="1" applyFill="1" applyBorder="1" applyAlignment="1" applyProtection="1">
      <alignment horizontal="center"/>
      <protection locked="0"/>
    </xf>
    <xf numFmtId="0" fontId="2" fillId="3" borderId="3" xfId="0" applyFont="1" applyFill="1" applyBorder="1" applyAlignment="1" applyProtection="1">
      <alignment horizontal="center"/>
      <protection locked="0"/>
    </xf>
    <xf numFmtId="0" fontId="2" fillId="3" borderId="4" xfId="0" applyFont="1" applyFill="1" applyBorder="1" applyAlignment="1" applyProtection="1">
      <alignment horizontal="center"/>
      <protection locked="0"/>
    </xf>
    <xf numFmtId="0" fontId="2" fillId="4" borderId="0" xfId="0" applyFont="1" applyFill="1" applyAlignment="1" applyProtection="1">
      <alignment horizontal="center"/>
      <protection locked="0"/>
    </xf>
    <xf numFmtId="0" fontId="2" fillId="3" borderId="5" xfId="0" applyFont="1" applyFill="1" applyBorder="1" applyAlignment="1" applyProtection="1">
      <alignment horizontal="center"/>
      <protection locked="0"/>
    </xf>
    <xf numFmtId="0" fontId="2" fillId="3" borderId="0" xfId="0" applyFont="1" applyFill="1" applyAlignment="1" applyProtection="1">
      <alignment horizontal="center"/>
      <protection locked="0"/>
    </xf>
    <xf numFmtId="9" fontId="2" fillId="3" borderId="6" xfId="0" applyNumberFormat="1" applyFont="1" applyFill="1" applyBorder="1" applyAlignment="1" applyProtection="1">
      <alignment horizontal="center"/>
      <protection locked="0"/>
    </xf>
    <xf numFmtId="0" fontId="2" fillId="3" borderId="6" xfId="0" applyFont="1" applyFill="1" applyBorder="1" applyAlignment="1" applyProtection="1">
      <alignment horizontal="center"/>
      <protection locked="0"/>
    </xf>
    <xf numFmtId="0" fontId="2" fillId="3" borderId="7" xfId="0" applyFont="1" applyFill="1" applyBorder="1" applyAlignment="1" applyProtection="1">
      <alignment horizontal="center"/>
      <protection locked="0"/>
    </xf>
    <xf numFmtId="0" fontId="2" fillId="3" borderId="8" xfId="0" applyFont="1" applyFill="1" applyBorder="1" applyAlignment="1" applyProtection="1">
      <alignment horizontal="center"/>
      <protection locked="0"/>
    </xf>
    <xf numFmtId="9" fontId="2" fillId="3" borderId="9" xfId="0" applyNumberFormat="1" applyFont="1" applyFill="1" applyBorder="1" applyAlignment="1" applyProtection="1">
      <alignment horizontal="center"/>
      <protection locked="0"/>
    </xf>
    <xf numFmtId="0" fontId="2" fillId="3" borderId="4" xfId="0" applyFont="1" applyFill="1" applyBorder="1" applyProtection="1">
      <protection locked="0"/>
    </xf>
    <xf numFmtId="0" fontId="2" fillId="4" borderId="15" xfId="0" applyFont="1" applyFill="1" applyBorder="1" applyAlignment="1" applyProtection="1">
      <alignment horizontal="center"/>
      <protection locked="0"/>
    </xf>
    <xf numFmtId="0" fontId="2" fillId="4" borderId="14" xfId="0" applyFont="1" applyFill="1" applyBorder="1" applyAlignment="1" applyProtection="1">
      <alignment horizontal="center"/>
      <protection locked="0"/>
    </xf>
    <xf numFmtId="0" fontId="2" fillId="4" borderId="10" xfId="0" applyFont="1" applyFill="1" applyBorder="1" applyAlignment="1" applyProtection="1">
      <alignment horizontal="center"/>
      <protection locked="0"/>
    </xf>
    <xf numFmtId="0" fontId="2" fillId="4" borderId="13" xfId="0" applyFont="1" applyFill="1" applyBorder="1" applyAlignment="1" applyProtection="1">
      <alignment horizontal="center"/>
      <protection locked="0"/>
    </xf>
    <xf numFmtId="0" fontId="2" fillId="3" borderId="11" xfId="0" applyFont="1" applyFill="1" applyBorder="1" applyProtection="1">
      <protection locked="0"/>
    </xf>
    <xf numFmtId="0" fontId="2" fillId="3" borderId="12" xfId="0" applyFont="1" applyFill="1" applyBorder="1" applyProtection="1">
      <protection locked="0"/>
    </xf>
    <xf numFmtId="0" fontId="0" fillId="4" borderId="0" xfId="0" applyFill="1" applyProtection="1">
      <protection locked="0"/>
    </xf>
    <xf numFmtId="0" fontId="2" fillId="4" borderId="2" xfId="0" applyFont="1" applyFill="1" applyBorder="1" applyProtection="1">
      <protection locked="0"/>
    </xf>
    <xf numFmtId="0" fontId="2" fillId="4" borderId="4" xfId="0" applyFont="1" applyFill="1" applyBorder="1" applyProtection="1">
      <protection locked="0"/>
    </xf>
    <xf numFmtId="0" fontId="2" fillId="4" borderId="1" xfId="0" applyFont="1" applyFill="1" applyBorder="1" applyAlignment="1" applyProtection="1">
      <alignment horizontal="center"/>
      <protection locked="0"/>
    </xf>
    <xf numFmtId="0" fontId="2" fillId="3" borderId="5" xfId="0" applyFont="1" applyFill="1" applyBorder="1" applyAlignment="1" applyProtection="1">
      <alignment horizontal="left"/>
      <protection locked="0"/>
    </xf>
    <xf numFmtId="0" fontId="2" fillId="3" borderId="5" xfId="0" applyFont="1" applyFill="1" applyBorder="1" applyProtection="1">
      <protection locked="0"/>
    </xf>
    <xf numFmtId="0" fontId="2" fillId="3" borderId="7" xfId="0" applyFont="1" applyFill="1" applyBorder="1" applyProtection="1">
      <protection locked="0"/>
    </xf>
    <xf numFmtId="0" fontId="2" fillId="3" borderId="12" xfId="0" applyFont="1" applyFill="1" applyBorder="1" applyAlignment="1" applyProtection="1">
      <alignment horizontal="center"/>
      <protection locked="0"/>
    </xf>
    <xf numFmtId="0" fontId="2" fillId="4" borderId="5" xfId="0" applyFont="1" applyFill="1" applyBorder="1" applyAlignment="1">
      <alignment horizontal="center"/>
    </xf>
    <xf numFmtId="0" fontId="2" fillId="4" borderId="2" xfId="0" applyFont="1" applyFill="1" applyBorder="1" applyAlignment="1">
      <alignment horizontal="center"/>
    </xf>
    <xf numFmtId="0" fontId="2" fillId="3" borderId="11" xfId="0" applyFont="1" applyFill="1" applyBorder="1" applyAlignment="1" applyProtection="1">
      <alignment horizontal="center"/>
      <protection locked="0"/>
    </xf>
    <xf numFmtId="0" fontId="0" fillId="0" borderId="3" xfId="0" applyBorder="1" applyAlignment="1">
      <alignment horizontal="center"/>
    </xf>
    <xf numFmtId="0" fontId="7" fillId="4" borderId="12" xfId="1" applyFill="1" applyBorder="1" applyAlignment="1" applyProtection="1">
      <alignment horizontal="center"/>
      <protection locked="0"/>
    </xf>
    <xf numFmtId="0" fontId="2" fillId="4" borderId="0" xfId="0" quotePrefix="1" applyFont="1" applyFill="1" applyProtection="1">
      <protection locked="0"/>
    </xf>
    <xf numFmtId="0" fontId="2" fillId="4" borderId="15" xfId="0" applyFont="1" applyFill="1" applyBorder="1" applyAlignment="1" applyProtection="1">
      <alignment horizontal="centerContinuous"/>
      <protection locked="0"/>
    </xf>
    <xf numFmtId="0" fontId="2" fillId="4" borderId="14" xfId="0" applyFont="1" applyFill="1" applyBorder="1" applyAlignment="1" applyProtection="1">
      <alignment horizontal="centerContinuous"/>
      <protection locked="0"/>
    </xf>
    <xf numFmtId="0" fontId="2" fillId="4" borderId="10" xfId="0" applyFont="1" applyFill="1" applyBorder="1" applyAlignment="1" applyProtection="1">
      <alignment horizontal="centerContinuous"/>
      <protection locked="0"/>
    </xf>
    <xf numFmtId="49" fontId="2" fillId="3" borderId="10" xfId="0" quotePrefix="1" applyNumberFormat="1" applyFont="1" applyFill="1" applyBorder="1" applyAlignment="1" applyProtection="1">
      <alignment horizontal="center" shrinkToFit="1"/>
      <protection locked="0"/>
    </xf>
    <xf numFmtId="49" fontId="0" fillId="0" borderId="0" xfId="0" applyNumberFormat="1"/>
    <xf numFmtId="0" fontId="0" fillId="0" borderId="0" xfId="0" quotePrefix="1"/>
    <xf numFmtId="0" fontId="0" fillId="4" borderId="13" xfId="0" applyFill="1" applyBorder="1" applyAlignment="1">
      <alignment horizontal="center" vertical="center"/>
    </xf>
    <xf numFmtId="0" fontId="2" fillId="4" borderId="2" xfId="0" applyFont="1" applyFill="1" applyBorder="1" applyAlignment="1">
      <alignment horizontal="centerContinuous"/>
    </xf>
    <xf numFmtId="0" fontId="2" fillId="4" borderId="3" xfId="0" applyFont="1" applyFill="1" applyBorder="1" applyAlignment="1">
      <alignment horizontal="centerContinuous"/>
    </xf>
    <xf numFmtId="0" fontId="2" fillId="4" borderId="4" xfId="0" applyFont="1" applyFill="1" applyBorder="1" applyAlignment="1">
      <alignment horizontal="centerContinuous"/>
    </xf>
    <xf numFmtId="0" fontId="0" fillId="4" borderId="12" xfId="0" applyFill="1" applyBorder="1" applyAlignment="1">
      <alignment vertical="center"/>
    </xf>
    <xf numFmtId="0" fontId="4" fillId="4" borderId="8" xfId="0" applyFont="1" applyFill="1" applyBorder="1" applyAlignment="1">
      <alignment horizontal="centerContinuous"/>
    </xf>
    <xf numFmtId="0" fontId="4" fillId="4" borderId="0" xfId="0" applyFont="1" applyFill="1" applyAlignment="1">
      <alignment horizontal="centerContinuous"/>
    </xf>
    <xf numFmtId="0" fontId="2" fillId="4" borderId="0" xfId="0" applyFont="1" applyFill="1" applyAlignment="1">
      <alignment horizontal="center"/>
    </xf>
    <xf numFmtId="0" fontId="2" fillId="4" borderId="5" xfId="0" applyFont="1" applyFill="1" applyBorder="1" applyAlignment="1" applyProtection="1">
      <alignment horizontal="center"/>
      <protection locked="0"/>
    </xf>
    <xf numFmtId="0" fontId="2" fillId="4" borderId="3" xfId="0" applyFont="1" applyFill="1" applyBorder="1" applyAlignment="1">
      <alignment horizontal="center"/>
    </xf>
    <xf numFmtId="9" fontId="2" fillId="4" borderId="4" xfId="0" applyNumberFormat="1" applyFont="1" applyFill="1" applyBorder="1" applyAlignment="1">
      <alignment horizontal="center"/>
    </xf>
    <xf numFmtId="9" fontId="2" fillId="4" borderId="6" xfId="0" applyNumberFormat="1" applyFont="1" applyFill="1" applyBorder="1" applyAlignment="1">
      <alignment horizontal="center"/>
    </xf>
    <xf numFmtId="9" fontId="2" fillId="4" borderId="9" xfId="0" applyNumberFormat="1" applyFont="1" applyFill="1" applyBorder="1" applyAlignment="1">
      <alignment horizontal="center"/>
    </xf>
    <xf numFmtId="0" fontId="2" fillId="4" borderId="11" xfId="0" applyFont="1" applyFill="1" applyBorder="1" applyAlignment="1" applyProtection="1">
      <alignment horizontal="center"/>
      <protection locked="0"/>
    </xf>
    <xf numFmtId="0" fontId="2" fillId="4" borderId="6" xfId="0" applyFont="1" applyFill="1" applyBorder="1" applyAlignment="1" applyProtection="1">
      <alignment horizontal="center"/>
      <protection locked="0"/>
    </xf>
    <xf numFmtId="0" fontId="0" fillId="0" borderId="4" xfId="0" applyBorder="1" applyProtection="1">
      <protection locked="0"/>
    </xf>
    <xf numFmtId="0" fontId="1" fillId="3" borderId="0" xfId="0" applyFont="1" applyFill="1" applyAlignment="1">
      <alignment horizontal="center"/>
    </xf>
    <xf numFmtId="0" fontId="0" fillId="3" borderId="0" xfId="0" applyFill="1" applyAlignment="1">
      <alignment horizontal="left"/>
    </xf>
    <xf numFmtId="0" fontId="0" fillId="3" borderId="0" xfId="0" applyFill="1"/>
    <xf numFmtId="0" fontId="2" fillId="3" borderId="13" xfId="0" applyFont="1" applyFill="1" applyBorder="1" applyAlignment="1" applyProtection="1">
      <alignment horizontal="center"/>
      <protection locked="0"/>
    </xf>
    <xf numFmtId="0" fontId="2" fillId="4" borderId="3" xfId="0" applyFont="1" applyFill="1" applyBorder="1" applyAlignment="1" applyProtection="1">
      <alignment horizontal="center"/>
      <protection locked="0"/>
    </xf>
    <xf numFmtId="0" fontId="2" fillId="4" borderId="4" xfId="0" applyFont="1" applyFill="1" applyBorder="1" applyAlignment="1" applyProtection="1">
      <alignment horizontal="center"/>
      <protection locked="0"/>
    </xf>
    <xf numFmtId="0" fontId="2" fillId="5" borderId="4" xfId="0" applyFont="1" applyFill="1" applyBorder="1" applyAlignment="1" applyProtection="1">
      <alignment horizontal="center"/>
      <protection locked="0"/>
    </xf>
    <xf numFmtId="0" fontId="2" fillId="5" borderId="6" xfId="0" applyFont="1" applyFill="1" applyBorder="1" applyAlignment="1" applyProtection="1">
      <alignment horizontal="center"/>
      <protection locked="0"/>
    </xf>
    <xf numFmtId="0" fontId="2" fillId="5" borderId="9" xfId="0" applyFont="1" applyFill="1" applyBorder="1" applyAlignment="1" applyProtection="1">
      <alignment horizontal="center"/>
      <protection locked="0"/>
    </xf>
    <xf numFmtId="0" fontId="0" fillId="0" borderId="16" xfId="0" applyBorder="1" applyAlignment="1">
      <alignment horizontal="left"/>
    </xf>
    <xf numFmtId="0" fontId="0" fillId="0" borderId="0" xfId="0" applyAlignment="1">
      <alignment wrapText="1"/>
    </xf>
    <xf numFmtId="0" fontId="2" fillId="6" borderId="8" xfId="0" applyFont="1" applyFill="1" applyBorder="1" applyAlignment="1" applyProtection="1">
      <alignment horizontal="center"/>
      <protection locked="0"/>
    </xf>
    <xf numFmtId="0" fontId="2" fillId="6" borderId="9" xfId="0" applyFont="1" applyFill="1" applyBorder="1" applyAlignment="1" applyProtection="1">
      <alignment horizontal="center"/>
      <protection locked="0"/>
    </xf>
    <xf numFmtId="0" fontId="2" fillId="6" borderId="0" xfId="0" applyFont="1" applyFill="1" applyAlignment="1" applyProtection="1">
      <alignment horizontal="center"/>
      <protection locked="0"/>
    </xf>
    <xf numFmtId="0" fontId="2" fillId="4" borderId="2" xfId="0" applyFont="1" applyFill="1" applyBorder="1" applyAlignment="1" applyProtection="1">
      <alignment horizontal="center"/>
      <protection locked="0"/>
    </xf>
    <xf numFmtId="0" fontId="0" fillId="4" borderId="0" xfId="0" applyFill="1"/>
    <xf numFmtId="0" fontId="1" fillId="4" borderId="0" xfId="0" applyFont="1" applyFill="1"/>
    <xf numFmtId="9" fontId="2" fillId="3" borderId="4" xfId="0" applyNumberFormat="1" applyFont="1" applyFill="1" applyBorder="1" applyAlignment="1" applyProtection="1">
      <alignment horizontal="center"/>
      <protection locked="0"/>
    </xf>
    <xf numFmtId="0" fontId="0" fillId="7" borderId="3" xfId="0" applyFill="1" applyBorder="1" applyAlignment="1">
      <alignment horizontal="center"/>
    </xf>
    <xf numFmtId="1" fontId="0" fillId="7" borderId="3" xfId="0" applyNumberFormat="1" applyFill="1" applyBorder="1" applyAlignment="1">
      <alignment horizontal="center"/>
    </xf>
    <xf numFmtId="0" fontId="0" fillId="7" borderId="0" xfId="0" applyFill="1" applyAlignment="1">
      <alignment horizontal="center"/>
    </xf>
    <xf numFmtId="1" fontId="0" fillId="7" borderId="0" xfId="0" applyNumberFormat="1" applyFill="1" applyAlignment="1">
      <alignment horizontal="center"/>
    </xf>
    <xf numFmtId="0" fontId="0" fillId="7" borderId="8" xfId="0" applyFill="1" applyBorder="1" applyAlignment="1">
      <alignment horizontal="center"/>
    </xf>
    <xf numFmtId="1" fontId="0" fillId="7" borderId="8" xfId="0" applyNumberFormat="1" applyFill="1" applyBorder="1" applyAlignment="1">
      <alignment horizontal="center"/>
    </xf>
    <xf numFmtId="0" fontId="0" fillId="8" borderId="0" xfId="0" applyFill="1" applyAlignment="1">
      <alignment horizontal="center"/>
    </xf>
    <xf numFmtId="1" fontId="0" fillId="8" borderId="0" xfId="0" applyNumberFormat="1" applyFill="1" applyAlignment="1">
      <alignment horizontal="center"/>
    </xf>
    <xf numFmtId="0" fontId="0" fillId="8" borderId="3" xfId="0" applyFill="1" applyBorder="1" applyAlignment="1">
      <alignment horizontal="center"/>
    </xf>
    <xf numFmtId="0" fontId="2" fillId="8" borderId="0" xfId="0" applyFont="1" applyFill="1" applyAlignment="1">
      <alignment horizontal="center"/>
    </xf>
    <xf numFmtId="0" fontId="0" fillId="8" borderId="8" xfId="0" applyFill="1" applyBorder="1" applyAlignment="1">
      <alignment horizontal="center"/>
    </xf>
    <xf numFmtId="0" fontId="2" fillId="8" borderId="8" xfId="0" applyFont="1" applyFill="1" applyBorder="1" applyAlignment="1">
      <alignment horizontal="center"/>
    </xf>
    <xf numFmtId="0" fontId="2" fillId="7" borderId="0" xfId="0" applyFont="1" applyFill="1" applyAlignment="1">
      <alignment horizontal="center"/>
    </xf>
    <xf numFmtId="0" fontId="2" fillId="7" borderId="8" xfId="0" applyFont="1" applyFill="1" applyBorder="1" applyAlignment="1">
      <alignment horizontal="center"/>
    </xf>
    <xf numFmtId="9" fontId="2" fillId="4" borderId="0" xfId="0" applyNumberFormat="1" applyFont="1" applyFill="1" applyAlignment="1">
      <alignment horizontal="center"/>
    </xf>
    <xf numFmtId="0" fontId="0" fillId="0" borderId="0" xfId="0" quotePrefix="1" applyAlignment="1">
      <alignment horizontal="center"/>
    </xf>
    <xf numFmtId="0" fontId="0" fillId="4" borderId="3" xfId="0" applyFill="1" applyBorder="1" applyAlignment="1">
      <alignment horizontal="centerContinuous"/>
    </xf>
    <xf numFmtId="0" fontId="0" fillId="4" borderId="4" xfId="0" applyFill="1" applyBorder="1" applyAlignment="1">
      <alignment horizontal="centerContinuous"/>
    </xf>
    <xf numFmtId="0" fontId="2" fillId="4" borderId="13" xfId="0" applyFont="1" applyFill="1" applyBorder="1" applyAlignment="1" applyProtection="1">
      <alignment horizontal="centerContinuous"/>
      <protection locked="0"/>
    </xf>
    <xf numFmtId="0" fontId="0" fillId="9" borderId="0" xfId="0" applyFill="1" applyAlignment="1">
      <alignment horizontal="center"/>
    </xf>
    <xf numFmtId="0" fontId="0" fillId="10" borderId="0" xfId="0" applyFill="1" applyAlignment="1">
      <alignment horizontal="center"/>
    </xf>
    <xf numFmtId="0" fontId="16" fillId="6" borderId="7" xfId="0" applyFont="1" applyFill="1" applyBorder="1" applyAlignment="1" applyProtection="1">
      <alignment horizontal="center"/>
      <protection locked="0"/>
    </xf>
    <xf numFmtId="0" fontId="16" fillId="6" borderId="9" xfId="0" applyFont="1" applyFill="1" applyBorder="1" applyAlignment="1" applyProtection="1">
      <alignment horizontal="center"/>
      <protection locked="0"/>
    </xf>
    <xf numFmtId="0" fontId="16" fillId="6" borderId="8" xfId="0" applyFont="1" applyFill="1" applyBorder="1" applyAlignment="1" applyProtection="1">
      <alignment horizontal="center"/>
      <protection locked="0"/>
    </xf>
    <xf numFmtId="0" fontId="0" fillId="4" borderId="2" xfId="0" applyFill="1" applyBorder="1" applyAlignment="1">
      <alignment horizontal="centerContinuous"/>
    </xf>
    <xf numFmtId="0" fontId="2" fillId="8" borderId="14" xfId="0" applyFont="1" applyFill="1" applyBorder="1" applyAlignment="1">
      <alignment horizontal="center"/>
    </xf>
    <xf numFmtId="1" fontId="2" fillId="8" borderId="14" xfId="0" applyNumberFormat="1" applyFont="1" applyFill="1" applyBorder="1" applyAlignment="1">
      <alignment horizontal="center"/>
    </xf>
    <xf numFmtId="0" fontId="0" fillId="9" borderId="8" xfId="0" applyFill="1" applyBorder="1" applyAlignment="1">
      <alignment horizontal="center"/>
    </xf>
    <xf numFmtId="0" fontId="0" fillId="0" borderId="0" xfId="0" quotePrefix="1" applyAlignment="1">
      <alignment horizontal="left"/>
    </xf>
    <xf numFmtId="0" fontId="0" fillId="9" borderId="3" xfId="0" applyFill="1" applyBorder="1" applyAlignment="1">
      <alignment horizontal="center"/>
    </xf>
    <xf numFmtId="1" fontId="0" fillId="9" borderId="3" xfId="0" applyNumberFormat="1" applyFill="1" applyBorder="1" applyAlignment="1">
      <alignment horizontal="center"/>
    </xf>
    <xf numFmtId="1" fontId="0" fillId="9" borderId="0" xfId="0" applyNumberFormat="1" applyFill="1" applyAlignment="1">
      <alignment horizontal="center"/>
    </xf>
    <xf numFmtId="1" fontId="0" fillId="9" borderId="8" xfId="0" applyNumberFormat="1" applyFill="1" applyBorder="1" applyAlignment="1">
      <alignment horizontal="center"/>
    </xf>
    <xf numFmtId="0" fontId="0" fillId="7" borderId="14" xfId="0" applyFill="1" applyBorder="1" applyAlignment="1">
      <alignment horizontal="center"/>
    </xf>
    <xf numFmtId="0" fontId="17" fillId="4" borderId="0" xfId="1" applyFont="1" applyFill="1" applyProtection="1">
      <protection locked="0"/>
    </xf>
    <xf numFmtId="0" fontId="4" fillId="0" borderId="0" xfId="0" applyFont="1" applyAlignment="1">
      <alignment horizontal="centerContinuous"/>
    </xf>
    <xf numFmtId="3" fontId="2" fillId="3" borderId="6" xfId="0" quotePrefix="1" applyNumberFormat="1" applyFont="1" applyFill="1" applyBorder="1" applyAlignment="1">
      <alignment horizontal="center"/>
    </xf>
    <xf numFmtId="0" fontId="2" fillId="0" borderId="11" xfId="0" applyFont="1" applyBorder="1" applyAlignment="1">
      <alignment horizontal="center"/>
    </xf>
    <xf numFmtId="3" fontId="2" fillId="0" borderId="11" xfId="0" quotePrefix="1" applyNumberFormat="1" applyFont="1" applyBorder="1" applyAlignment="1">
      <alignment horizontal="center"/>
    </xf>
    <xf numFmtId="0" fontId="2" fillId="0" borderId="12" xfId="0" applyFont="1" applyBorder="1" applyAlignment="1">
      <alignment horizontal="center"/>
    </xf>
    <xf numFmtId="0" fontId="2" fillId="0" borderId="1" xfId="0" applyFont="1" applyBorder="1" applyAlignment="1">
      <alignment horizontal="center"/>
    </xf>
    <xf numFmtId="0" fontId="2" fillId="3" borderId="7" xfId="0" applyFont="1" applyFill="1" applyBorder="1" applyAlignment="1" applyProtection="1">
      <alignment horizontal="left"/>
      <protection locked="0"/>
    </xf>
    <xf numFmtId="0" fontId="2" fillId="3" borderId="8" xfId="0" applyFont="1" applyFill="1" applyBorder="1" applyAlignment="1" applyProtection="1">
      <alignment horizontal="left"/>
      <protection locked="0"/>
    </xf>
    <xf numFmtId="0" fontId="18" fillId="0" borderId="0" xfId="0" applyFont="1"/>
    <xf numFmtId="0" fontId="18" fillId="0" borderId="0" xfId="0" applyFont="1" applyAlignment="1">
      <alignment horizontal="center"/>
    </xf>
    <xf numFmtId="0" fontId="18" fillId="0" borderId="8" xfId="0" applyFont="1" applyBorder="1" applyAlignment="1">
      <alignment horizontal="center"/>
    </xf>
    <xf numFmtId="0" fontId="0" fillId="3" borderId="8" xfId="0" applyFill="1" applyBorder="1"/>
    <xf numFmtId="0" fontId="2" fillId="3" borderId="14" xfId="0" applyFont="1" applyFill="1" applyBorder="1" applyAlignment="1" applyProtection="1">
      <alignment horizontal="left"/>
      <protection locked="0"/>
    </xf>
    <xf numFmtId="0" fontId="2" fillId="3" borderId="10" xfId="0" applyFont="1" applyFill="1" applyBorder="1" applyAlignment="1" applyProtection="1">
      <alignment horizontal="center"/>
      <protection locked="0"/>
    </xf>
    <xf numFmtId="0" fontId="0" fillId="3" borderId="6" xfId="0" applyFill="1" applyBorder="1" applyAlignment="1">
      <alignment horizontal="fill"/>
    </xf>
    <xf numFmtId="0" fontId="0" fillId="3" borderId="9" xfId="0" applyFill="1" applyBorder="1" applyAlignment="1">
      <alignment horizontal="fill"/>
    </xf>
    <xf numFmtId="0" fontId="2" fillId="6" borderId="7" xfId="0" applyFont="1" applyFill="1" applyBorder="1" applyAlignment="1" applyProtection="1">
      <alignment horizontal="center"/>
      <protection locked="0"/>
    </xf>
    <xf numFmtId="0" fontId="2" fillId="0" borderId="0" xfId="0" applyFont="1" applyAlignment="1">
      <alignment horizontal="centerContinuous"/>
    </xf>
    <xf numFmtId="0" fontId="2" fillId="0" borderId="14" xfId="0" applyFont="1" applyBorder="1" applyAlignment="1">
      <alignment horizontal="center"/>
    </xf>
    <xf numFmtId="0" fontId="2" fillId="0" borderId="8" xfId="0" applyFont="1" applyBorder="1" applyAlignment="1">
      <alignment horizontal="center"/>
    </xf>
    <xf numFmtId="0" fontId="2" fillId="3" borderId="15" xfId="0" applyFont="1" applyFill="1" applyBorder="1" applyAlignment="1" applyProtection="1">
      <alignment horizontal="left"/>
      <protection locked="0"/>
    </xf>
    <xf numFmtId="0" fontId="2" fillId="3" borderId="10" xfId="0" applyFont="1" applyFill="1" applyBorder="1" applyAlignment="1" applyProtection="1">
      <alignment horizontal="left"/>
      <protection locked="0"/>
    </xf>
  </cellXfs>
  <cellStyles count="2">
    <cellStyle name="Hyperlink" xfId="1" builtinId="8"/>
    <cellStyle name="Normal" xfId="0" builtinId="0"/>
  </cellStyles>
  <dxfs count="24">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s>
  <tableStyles count="1" defaultTableStyle="TableStyleMedium2" defaultPivotStyle="PivotStyleLight16">
    <tableStyle name="Invisible" pivot="0" table="0" count="0" xr9:uid="{2914EE7A-A6F9-4AF3-84E8-4FFC9D2E2024}"/>
  </tableStyles>
  <colors>
    <mruColors>
      <color rgb="FFFFF2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449580</xdr:colOff>
          <xdr:row>5</xdr:row>
          <xdr:rowOff>68580</xdr:rowOff>
        </xdr:from>
        <xdr:to>
          <xdr:col>7</xdr:col>
          <xdr:colOff>487680</xdr:colOff>
          <xdr:row>7</xdr:row>
          <xdr:rowOff>45720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Create JSONs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137160</xdr:colOff>
          <xdr:row>14</xdr:row>
          <xdr:rowOff>137160</xdr:rowOff>
        </xdr:from>
        <xdr:to>
          <xdr:col>4</xdr:col>
          <xdr:colOff>121920</xdr:colOff>
          <xdr:row>16</xdr:row>
          <xdr:rowOff>83820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14</xdr:row>
          <xdr:rowOff>137160</xdr:rowOff>
        </xdr:from>
        <xdr:to>
          <xdr:col>5</xdr:col>
          <xdr:colOff>426720</xdr:colOff>
          <xdr:row>16</xdr:row>
          <xdr:rowOff>83820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14</xdr:row>
          <xdr:rowOff>137160</xdr:rowOff>
        </xdr:from>
        <xdr:to>
          <xdr:col>7</xdr:col>
          <xdr:colOff>45720</xdr:colOff>
          <xdr:row>16</xdr:row>
          <xdr:rowOff>83820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Delete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449580</xdr:colOff>
          <xdr:row>7</xdr:row>
          <xdr:rowOff>160020</xdr:rowOff>
        </xdr:from>
        <xdr:to>
          <xdr:col>7</xdr:col>
          <xdr:colOff>487680</xdr:colOff>
          <xdr:row>9</xdr:row>
          <xdr:rowOff>137160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Clear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160020</xdr:colOff>
          <xdr:row>0</xdr:row>
          <xdr:rowOff>182880</xdr:rowOff>
        </xdr:from>
        <xdr:to>
          <xdr:col>10</xdr:col>
          <xdr:colOff>678180</xdr:colOff>
          <xdr:row>2</xdr:row>
          <xdr:rowOff>106680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Download Latest </a:t>
              </a:r>
            </a:p>
            <a:p>
              <a:pPr algn="ctr" rtl="0">
                <a:defRPr sz="1000"/>
              </a:pPr>
              <a:r>
                <a:rPr lang="en-US" sz="1200" b="0" i="0" u="none" strike="noStrike" baseline="0">
                  <a:solidFill>
                    <a:srgbClr val="000000"/>
                  </a:solidFill>
                  <a:latin typeface="Calibri"/>
                  <a:ea typeface="Calibri"/>
                  <a:cs typeface="Calibri"/>
                </a:rPr>
                <a:t>Version from GitHub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137160</xdr:colOff>
          <xdr:row>52</xdr:row>
          <xdr:rowOff>137160</xdr:rowOff>
        </xdr:from>
        <xdr:to>
          <xdr:col>4</xdr:col>
          <xdr:colOff>121920</xdr:colOff>
          <xdr:row>54</xdr:row>
          <xdr:rowOff>83820</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52</xdr:row>
          <xdr:rowOff>137160</xdr:rowOff>
        </xdr:from>
        <xdr:to>
          <xdr:col>5</xdr:col>
          <xdr:colOff>426720</xdr:colOff>
          <xdr:row>54</xdr:row>
          <xdr:rowOff>83820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52</xdr:row>
          <xdr:rowOff>137160</xdr:rowOff>
        </xdr:from>
        <xdr:to>
          <xdr:col>7</xdr:col>
          <xdr:colOff>45720</xdr:colOff>
          <xdr:row>54</xdr:row>
          <xdr:rowOff>83820</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Delete Preset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nny/Documents/GitHub/GFBattleTester/bin/Debug/GFL%20KR%20Battle%20Sim%20-%20JSON%20Generator-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apwide Buffs"/>
      <sheetName val="Vehicle Substats"/>
      <sheetName val="TargetTrain Lists"/>
      <sheetName val="Preset Teams"/>
      <sheetName val="Preset Teams SF"/>
      <sheetName val="Doll"/>
      <sheetName val="Equip"/>
      <sheetName val="Fairy"/>
      <sheetName val="HOC"/>
      <sheetName val="HOCChip"/>
      <sheetName val="Vehicle"/>
      <sheetName val="VehicleComp"/>
      <sheetName val="SF"/>
      <sheetName val="SF Chip"/>
      <sheetName val="SF Team"/>
      <sheetName val="Mission_Act_Info"/>
      <sheetName val="Spot_Act_Info_Day"/>
      <sheetName val="Spot_Act_Info_Night"/>
      <sheetName val="GFBattleSimulator"/>
      <sheetName val="VehicleRangeAtk"/>
      <sheetName val="G&amp;K Stat Calc"/>
      <sheetName val="SF Stat Calc"/>
      <sheetName val="Fairy Data"/>
      <sheetName val="Talent Data"/>
      <sheetName val="Strat Buff Data"/>
      <sheetName val="Equip Data"/>
      <sheetName val="Doll Data"/>
      <sheetName val="SF Data"/>
      <sheetName val="SF Chip Data"/>
      <sheetName val="SF Resolution"/>
      <sheetName val="Vehicle Tree"/>
      <sheetName val="Vehicle Comp"/>
      <sheetName val="Exp Tables"/>
      <sheetName val="Misc Inputs"/>
      <sheetName val="Dropdowns"/>
    </sheetNames>
    <sheetDataSet>
      <sheetData sheetId="0">
        <row r="7">
          <cell r="B7" t="str">
            <v>G&amp;K</v>
          </cell>
          <cell r="E7" t="str">
            <v>94040950</v>
          </cell>
        </row>
        <row r="8">
          <cell r="B8" t="str">
            <v>TargetTrain</v>
          </cell>
          <cell r="E8">
            <v>220000</v>
          </cell>
        </row>
        <row r="9">
          <cell r="B9" t="str">
            <v>White</v>
          </cell>
          <cell r="E9">
            <v>100</v>
          </cell>
        </row>
        <row r="10">
          <cell r="B10">
            <v>1</v>
          </cell>
          <cell r="E10" t="b">
            <v>1</v>
          </cell>
        </row>
        <row r="11">
          <cell r="B11">
            <v>1234</v>
          </cell>
          <cell r="E11" t="b">
            <v>1</v>
          </cell>
        </row>
        <row r="12">
          <cell r="B12" t="str">
            <v>Off</v>
          </cell>
        </row>
        <row r="19">
          <cell r="AC19" t="b">
            <v>1</v>
          </cell>
        </row>
        <row r="58">
          <cell r="Q58" t="b">
            <v>1</v>
          </cell>
        </row>
      </sheetData>
      <sheetData sheetId="1"/>
      <sheetData sheetId="2"/>
      <sheetData sheetId="3"/>
      <sheetData sheetId="4">
        <row r="4">
          <cell r="A4" t="str">
            <v>DR - 2MG Kordboat</v>
          </cell>
        </row>
        <row r="5">
          <cell r="A5" t="str">
            <v>DR - 416/Kord/Grape</v>
          </cell>
        </row>
        <row r="6">
          <cell r="A6" t="str">
            <v>DR - 416/NTW</v>
          </cell>
        </row>
        <row r="7">
          <cell r="A7" t="str">
            <v>DR - Armor Stack M870</v>
          </cell>
        </row>
        <row r="8">
          <cell r="A8" t="str">
            <v>DR - G11/Grape</v>
          </cell>
        </row>
        <row r="9">
          <cell r="A9" t="str">
            <v>DR - KSVK/Liu</v>
          </cell>
        </row>
        <row r="10">
          <cell r="A10" t="str">
            <v>DR - M4/Grape</v>
          </cell>
        </row>
        <row r="11">
          <cell r="A11" t="str">
            <v>DR - PPG</v>
          </cell>
        </row>
        <row r="12">
          <cell r="A12" t="str">
            <v>FP - Deagle/SAA/Welmod/M500/Grape</v>
          </cell>
        </row>
        <row r="13">
          <cell r="A13" t="str">
            <v>FP - Ribey/AK15/QBZ/G36c/SP9</v>
          </cell>
        </row>
        <row r="14">
          <cell r="A14" t="str">
            <v>FP - RMB/Def</v>
          </cell>
        </row>
        <row r="15">
          <cell r="A15" t="str">
            <v>FP - RO/PPQ/Zip/Pekola/MG338</v>
          </cell>
        </row>
        <row r="16">
          <cell r="A16" t="str">
            <v>Generic - 3MG1SG</v>
          </cell>
        </row>
        <row r="17">
          <cell r="A17" t="str">
            <v>Generic - 5HG</v>
          </cell>
        </row>
        <row r="18">
          <cell r="A18" t="str">
            <v>Generic - ARSMG</v>
          </cell>
        </row>
        <row r="19">
          <cell r="A19" t="str">
            <v>Generic - MGSG</v>
          </cell>
        </row>
        <row r="20">
          <cell r="A20" t="str">
            <v>Generic - RFHG</v>
          </cell>
        </row>
        <row r="21">
          <cell r="A21" t="str">
            <v>m240l artil test</v>
          </cell>
        </row>
        <row r="22">
          <cell r="A22" t="str">
            <v>MS - Hole 1 DEFY</v>
          </cell>
        </row>
        <row r="23">
          <cell r="A23" t="str">
            <v>MS - Layer 1 Armor</v>
          </cell>
        </row>
        <row r="24">
          <cell r="A24" t="str">
            <v>MS - Layer 2 Boss (RFB)</v>
          </cell>
        </row>
        <row r="25">
          <cell r="A25" t="str">
            <v>MS - Layer 2 M4Exodia</v>
          </cell>
        </row>
        <row r="26">
          <cell r="A26" t="str">
            <v>MS - Layer 3 M500 Shieldspam</v>
          </cell>
        </row>
        <row r="27">
          <cell r="A27" t="str">
            <v>MS - Layer 4 Desert</v>
          </cell>
        </row>
        <row r="28">
          <cell r="A28" t="str">
            <v>PL - 3MG Kordboat</v>
          </cell>
        </row>
        <row r="29">
          <cell r="A29" t="str">
            <v>PL - PPBB</v>
          </cell>
        </row>
        <row r="30">
          <cell r="A30" t="str">
            <v>PR - 300k Deathstack</v>
          </cell>
        </row>
        <row r="31">
          <cell r="A31" t="str">
            <v>PR - FO12/LTLX/Grape/M200</v>
          </cell>
        </row>
        <row r="32">
          <cell r="A32" t="str">
            <v>PR - LTLX M4ex</v>
          </cell>
        </row>
        <row r="33">
          <cell r="A33" t="str">
            <v>PR - MPK/MPL/M870</v>
          </cell>
        </row>
        <row r="34">
          <cell r="A34" t="str">
            <v>PR - Pekola</v>
          </cell>
        </row>
        <row r="35">
          <cell r="A35" t="str">
            <v>PR - RMB/Def</v>
          </cell>
        </row>
      </sheetData>
      <sheetData sheetId="5">
        <row r="4">
          <cell r="A4" t="str">
            <v>PR - Alch, 2 Golyat, 1 SWAP Dragoon</v>
          </cell>
        </row>
        <row r="5">
          <cell r="A5" t="str">
            <v>PR - Alch, 2 Golyat, 1 Nem, 1 Striker</v>
          </cell>
        </row>
        <row r="6">
          <cell r="A6" t="str">
            <v>Generic - 2 Manti, 1 Jaeger</v>
          </cell>
        </row>
        <row r="7">
          <cell r="A7" t="str">
            <v>Generic - 1 Manti, 2 Nem, 1 Jaeger</v>
          </cell>
        </row>
        <row r="8">
          <cell r="A8" t="str">
            <v>Generic - Intruder Tarantulas</v>
          </cell>
        </row>
        <row r="9">
          <cell r="A9" t="str">
            <v>MS - Layer 1 Hunter</v>
          </cell>
        </row>
        <row r="10">
          <cell r="A10" t="str">
            <v>MS - Layer 3 Alchemist</v>
          </cell>
        </row>
        <row r="11">
          <cell r="A11" t="str">
            <v>PR - Architect, 1 Golyat, 2 Nem, 1 Aegis_SWAP</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9">
          <cell r="G9" t="str">
            <v>N/A</v>
          </cell>
          <cell r="H9" t="str">
            <v>N/A</v>
          </cell>
          <cell r="L9" t="str">
            <v>N/A</v>
          </cell>
          <cell r="M9" t="str">
            <v>N/A</v>
          </cell>
        </row>
        <row r="10">
          <cell r="G10" t="str">
            <v>N/A</v>
          </cell>
          <cell r="H10" t="str">
            <v>N/A</v>
          </cell>
          <cell r="L10" t="str">
            <v>N/A</v>
          </cell>
          <cell r="M10" t="str">
            <v>N/A</v>
          </cell>
        </row>
        <row r="11">
          <cell r="G11" t="str">
            <v>N/A</v>
          </cell>
          <cell r="H11" t="str">
            <v>N/A</v>
          </cell>
          <cell r="L11" t="str">
            <v>N/A</v>
          </cell>
          <cell r="M11" t="str">
            <v>N/A</v>
          </cell>
        </row>
      </sheetData>
      <sheetData sheetId="35"/>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s://github.com/randomqwerty/GFLBattleSim-JSONGenerator" TargetMode="External"/><Relationship Id="rId1" Type="http://schemas.openxmlformats.org/officeDocument/2006/relationships/hyperlink" Target="https://imgur.com/a/xnHAlSd"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omments" Target="../comments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docs.google.com/spreadsheets/d/1TYKbdjuOdOMsvaaIduWW_8FF0tm27BjwKbC4uggl1wE/edit" TargetMode="External"/><Relationship Id="rId1" Type="http://schemas.openxmlformats.org/officeDocument/2006/relationships/hyperlink" Target="https://bbs.nga.cn/read.php?tid=20891117&amp;rand=438" TargetMode="Externa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F9F6-FF80-450A-803F-6BE22C40856E}">
  <sheetPr codeName="Sheet1">
    <tabColor theme="7" tint="0.79998168889431442"/>
  </sheetPr>
  <dimension ref="A1:AC129"/>
  <sheetViews>
    <sheetView tabSelected="1" zoomScale="90" zoomScaleNormal="90" workbookViewId="0"/>
  </sheetViews>
  <sheetFormatPr defaultColWidth="9.109375" defaultRowHeight="14.4" outlineLevelRow="2" x14ac:dyDescent="0.3"/>
  <cols>
    <col min="1" max="1" width="13.6640625" style="134" customWidth="1"/>
    <col min="2" max="2" width="13.109375" style="134" customWidth="1"/>
    <col min="3" max="3" width="11.44140625" style="134" bestFit="1" customWidth="1"/>
    <col min="4" max="4" width="15.109375" style="134" bestFit="1" customWidth="1"/>
    <col min="5" max="5" width="10.88671875" style="134" bestFit="1" customWidth="1"/>
    <col min="6" max="6" width="12.44140625" style="134" customWidth="1"/>
    <col min="7" max="7" width="9.33203125" style="134" bestFit="1" customWidth="1"/>
    <col min="8" max="8" width="10" style="134" customWidth="1"/>
    <col min="9" max="10" width="9.109375" style="134"/>
    <col min="11" max="14" width="13.5546875" style="134" customWidth="1"/>
    <col min="15" max="15" width="9.109375" style="134"/>
    <col min="16" max="16" width="11.6640625" style="134" customWidth="1"/>
    <col min="17" max="17" width="11.109375" style="134" customWidth="1"/>
    <col min="18" max="16384" width="9.109375" style="134"/>
  </cols>
  <sheetData>
    <row r="1" spans="1:5" ht="25.8" x14ac:dyDescent="0.5">
      <c r="A1" s="133" t="s">
        <v>9298</v>
      </c>
    </row>
    <row r="2" spans="1:5" x14ac:dyDescent="0.3">
      <c r="A2" s="134" t="s">
        <v>853</v>
      </c>
    </row>
    <row r="3" spans="1:5" x14ac:dyDescent="0.3">
      <c r="A3" s="134" t="s">
        <v>5632</v>
      </c>
    </row>
    <row r="4" spans="1:5" x14ac:dyDescent="0.3">
      <c r="A4" s="134" t="s">
        <v>8058</v>
      </c>
    </row>
    <row r="5" spans="1:5" x14ac:dyDescent="0.3">
      <c r="A5" s="134" t="s">
        <v>6512</v>
      </c>
      <c r="B5" s="135" t="s">
        <v>925</v>
      </c>
    </row>
    <row r="7" spans="1:5" x14ac:dyDescent="0.3">
      <c r="A7" s="136" t="s">
        <v>1042</v>
      </c>
      <c r="B7" s="140" t="s">
        <v>1742</v>
      </c>
      <c r="D7" s="136" t="s">
        <v>1698</v>
      </c>
      <c r="E7" s="187" t="s">
        <v>8199</v>
      </c>
    </row>
    <row r="8" spans="1:5" x14ac:dyDescent="0.3">
      <c r="A8" s="137" t="s">
        <v>6511</v>
      </c>
      <c r="B8" s="138" t="s">
        <v>9041</v>
      </c>
      <c r="D8" s="137" t="s">
        <v>847</v>
      </c>
      <c r="E8" s="138">
        <v>220000</v>
      </c>
    </row>
    <row r="9" spans="1:5" x14ac:dyDescent="0.3">
      <c r="A9" s="137" t="s">
        <v>6510</v>
      </c>
      <c r="B9" s="138" t="s">
        <v>955</v>
      </c>
      <c r="D9" s="137" t="s">
        <v>7312</v>
      </c>
      <c r="E9" s="138">
        <v>100</v>
      </c>
    </row>
    <row r="10" spans="1:5" x14ac:dyDescent="0.3">
      <c r="A10" s="137" t="s">
        <v>1699</v>
      </c>
      <c r="B10" s="138">
        <v>1</v>
      </c>
      <c r="D10" s="137" t="s">
        <v>848</v>
      </c>
      <c r="E10" s="138" t="b">
        <v>1</v>
      </c>
    </row>
    <row r="11" spans="1:5" x14ac:dyDescent="0.3">
      <c r="A11" s="137" t="s">
        <v>6509</v>
      </c>
      <c r="B11" s="138">
        <v>1234</v>
      </c>
      <c r="D11" s="137" t="s">
        <v>849</v>
      </c>
      <c r="E11" s="138" t="b">
        <v>1</v>
      </c>
    </row>
    <row r="12" spans="1:5" x14ac:dyDescent="0.3">
      <c r="A12" s="137" t="s">
        <v>8236</v>
      </c>
      <c r="B12" s="138" t="s">
        <v>8286</v>
      </c>
    </row>
    <row r="14" spans="1:5" ht="18" x14ac:dyDescent="0.35">
      <c r="A14" s="141" t="s">
        <v>1040</v>
      </c>
      <c r="B14" s="142"/>
    </row>
    <row r="15" spans="1:5" outlineLevel="1" x14ac:dyDescent="0.3">
      <c r="A15" s="139"/>
      <c r="B15" s="142"/>
    </row>
    <row r="16" spans="1:5" outlineLevel="1" x14ac:dyDescent="0.3">
      <c r="A16" s="139" t="s">
        <v>958</v>
      </c>
      <c r="B16" s="279" t="s">
        <v>6856</v>
      </c>
      <c r="C16" s="280"/>
    </row>
    <row r="17" spans="1:29" outlineLevel="1" x14ac:dyDescent="0.3">
      <c r="A17" s="139"/>
      <c r="B17" s="142"/>
    </row>
    <row r="18" spans="1:29" outlineLevel="1" x14ac:dyDescent="0.3">
      <c r="A18" s="143" t="s">
        <v>8251</v>
      </c>
      <c r="B18" s="143"/>
      <c r="C18" s="143"/>
      <c r="D18" s="143"/>
      <c r="E18" s="143"/>
      <c r="F18" s="143"/>
      <c r="G18" s="143"/>
      <c r="H18" s="143"/>
      <c r="I18" s="143"/>
      <c r="J18" s="143"/>
      <c r="L18" s="143" t="s">
        <v>6443</v>
      </c>
      <c r="M18" s="143"/>
      <c r="N18" s="143"/>
      <c r="O18" s="143"/>
      <c r="P18" s="143"/>
      <c r="Q18" s="143"/>
      <c r="R18" s="143"/>
      <c r="S18" s="143"/>
      <c r="T18" s="143"/>
      <c r="U18" s="143"/>
      <c r="V18" s="143"/>
      <c r="W18" s="143"/>
    </row>
    <row r="19" spans="1:29" outlineLevel="1" x14ac:dyDescent="0.3">
      <c r="A19" s="144"/>
      <c r="B19" s="145" t="s">
        <v>572</v>
      </c>
      <c r="C19" s="145"/>
      <c r="D19" s="145"/>
      <c r="E19" s="145"/>
      <c r="F19" s="145"/>
      <c r="G19" s="145"/>
      <c r="H19" s="145"/>
      <c r="I19" s="145"/>
      <c r="J19" s="146"/>
      <c r="L19" s="147" t="s">
        <v>704</v>
      </c>
      <c r="M19" s="145"/>
      <c r="N19" s="145"/>
      <c r="O19" s="146"/>
      <c r="P19" s="145" t="s">
        <v>705</v>
      </c>
      <c r="Q19" s="145"/>
      <c r="R19" s="145"/>
      <c r="S19" s="146"/>
      <c r="T19" s="145" t="s">
        <v>706</v>
      </c>
      <c r="U19" s="145"/>
      <c r="V19" s="145"/>
      <c r="W19" s="146"/>
      <c r="Y19" s="147" t="s">
        <v>953</v>
      </c>
      <c r="Z19" s="145"/>
      <c r="AA19" s="145"/>
      <c r="AB19" s="146"/>
      <c r="AC19" s="163" t="b">
        <v>1</v>
      </c>
    </row>
    <row r="20" spans="1:29" outlineLevel="1" x14ac:dyDescent="0.3">
      <c r="A20" s="148" t="s">
        <v>0</v>
      </c>
      <c r="B20" s="149" t="s">
        <v>1074</v>
      </c>
      <c r="C20" s="149" t="s">
        <v>1</v>
      </c>
      <c r="D20" s="149" t="s">
        <v>8</v>
      </c>
      <c r="E20" s="149" t="s">
        <v>18</v>
      </c>
      <c r="F20" s="149" t="s">
        <v>280</v>
      </c>
      <c r="G20" s="149" t="s">
        <v>58</v>
      </c>
      <c r="H20" s="149" t="s">
        <v>59</v>
      </c>
      <c r="I20" s="149" t="s">
        <v>268</v>
      </c>
      <c r="J20" s="150" t="s">
        <v>60</v>
      </c>
      <c r="L20" s="151" t="s">
        <v>702</v>
      </c>
      <c r="M20" s="149" t="s">
        <v>8</v>
      </c>
      <c r="N20" s="149" t="s">
        <v>18</v>
      </c>
      <c r="O20" s="150" t="s">
        <v>703</v>
      </c>
      <c r="P20" s="149" t="s">
        <v>702</v>
      </c>
      <c r="Q20" s="149" t="s">
        <v>8</v>
      </c>
      <c r="R20" s="149" t="s">
        <v>18</v>
      </c>
      <c r="S20" s="150" t="s">
        <v>703</v>
      </c>
      <c r="T20" s="149" t="s">
        <v>702</v>
      </c>
      <c r="U20" s="149" t="s">
        <v>8</v>
      </c>
      <c r="V20" s="149" t="s">
        <v>18</v>
      </c>
      <c r="W20" s="150" t="s">
        <v>703</v>
      </c>
      <c r="Y20" s="164" t="s">
        <v>954</v>
      </c>
      <c r="Z20" s="165" t="s">
        <v>10</v>
      </c>
      <c r="AA20" s="165" t="s">
        <v>11</v>
      </c>
      <c r="AB20" s="165" t="s">
        <v>12</v>
      </c>
      <c r="AC20" s="166" t="s">
        <v>13</v>
      </c>
    </row>
    <row r="21" spans="1:29" outlineLevel="1" x14ac:dyDescent="0.3">
      <c r="A21" s="203">
        <v>1</v>
      </c>
      <c r="B21" s="152">
        <v>5</v>
      </c>
      <c r="C21" s="153" t="s">
        <v>2</v>
      </c>
      <c r="D21" s="154" t="s">
        <v>255</v>
      </c>
      <c r="E21" s="153">
        <v>115</v>
      </c>
      <c r="F21" s="153">
        <v>5</v>
      </c>
      <c r="G21" s="153">
        <v>10</v>
      </c>
      <c r="H21" s="153">
        <v>10</v>
      </c>
      <c r="I21" s="153">
        <v>3</v>
      </c>
      <c r="J21" s="154">
        <v>100</v>
      </c>
      <c r="K21" s="155"/>
      <c r="L21" s="156" t="s">
        <v>712</v>
      </c>
      <c r="M21" s="157" t="s">
        <v>522</v>
      </c>
      <c r="N21" s="157">
        <v>10</v>
      </c>
      <c r="O21" s="158">
        <v>1</v>
      </c>
      <c r="P21" s="156" t="s">
        <v>727</v>
      </c>
      <c r="Q21" s="157" t="s">
        <v>538</v>
      </c>
      <c r="R21" s="157">
        <v>10</v>
      </c>
      <c r="S21" s="158">
        <v>1</v>
      </c>
      <c r="T21" s="156" t="s">
        <v>701</v>
      </c>
      <c r="U21" s="157" t="s">
        <v>255</v>
      </c>
      <c r="V21" s="157">
        <v>10</v>
      </c>
      <c r="W21" s="158">
        <v>1</v>
      </c>
      <c r="Y21" s="156"/>
      <c r="Z21" s="157"/>
      <c r="AA21" s="157"/>
      <c r="AB21" s="157"/>
      <c r="AC21" s="159"/>
    </row>
    <row r="22" spans="1:29" outlineLevel="1" x14ac:dyDescent="0.3">
      <c r="A22" s="203">
        <v>2</v>
      </c>
      <c r="B22" s="156">
        <v>5</v>
      </c>
      <c r="C22" s="157" t="s">
        <v>3</v>
      </c>
      <c r="D22" s="159" t="s">
        <v>814</v>
      </c>
      <c r="E22" s="157">
        <v>100</v>
      </c>
      <c r="F22" s="157">
        <v>5</v>
      </c>
      <c r="G22" s="157">
        <v>10</v>
      </c>
      <c r="H22" s="157">
        <v>0</v>
      </c>
      <c r="I22" s="157">
        <v>0</v>
      </c>
      <c r="J22" s="159">
        <v>100</v>
      </c>
      <c r="K22" s="155"/>
      <c r="L22" s="156" t="s">
        <v>753</v>
      </c>
      <c r="M22" s="157" t="s">
        <v>553</v>
      </c>
      <c r="N22" s="157">
        <v>10</v>
      </c>
      <c r="O22" s="158">
        <v>1</v>
      </c>
      <c r="P22" s="156" t="s">
        <v>9</v>
      </c>
      <c r="Q22" s="157" t="s">
        <v>559</v>
      </c>
      <c r="R22" s="157">
        <v>10</v>
      </c>
      <c r="S22" s="158">
        <v>1</v>
      </c>
      <c r="T22" s="156" t="s">
        <v>732</v>
      </c>
      <c r="U22" s="157" t="s">
        <v>542</v>
      </c>
      <c r="V22" s="157">
        <v>10</v>
      </c>
      <c r="W22" s="158">
        <v>1</v>
      </c>
      <c r="Y22" s="156"/>
      <c r="Z22" s="157"/>
      <c r="AA22" s="157"/>
      <c r="AB22" s="157"/>
      <c r="AC22" s="159"/>
    </row>
    <row r="23" spans="1:29" outlineLevel="1" x14ac:dyDescent="0.3">
      <c r="A23" s="203">
        <v>3</v>
      </c>
      <c r="B23" s="156">
        <v>6</v>
      </c>
      <c r="C23" s="157" t="s">
        <v>3</v>
      </c>
      <c r="D23" s="159" t="s">
        <v>262</v>
      </c>
      <c r="E23" s="157">
        <v>110</v>
      </c>
      <c r="F23" s="157">
        <v>5</v>
      </c>
      <c r="G23" s="157">
        <v>10</v>
      </c>
      <c r="H23" s="157">
        <v>10</v>
      </c>
      <c r="I23" s="157">
        <v>2</v>
      </c>
      <c r="J23" s="159">
        <v>100</v>
      </c>
      <c r="K23" s="155"/>
      <c r="L23" s="156" t="s">
        <v>753</v>
      </c>
      <c r="M23" s="157" t="s">
        <v>553</v>
      </c>
      <c r="N23" s="157">
        <v>10</v>
      </c>
      <c r="O23" s="158">
        <v>1</v>
      </c>
      <c r="P23" s="156" t="s">
        <v>9</v>
      </c>
      <c r="Q23" s="157" t="s">
        <v>559</v>
      </c>
      <c r="R23" s="157">
        <v>10</v>
      </c>
      <c r="S23" s="158">
        <v>1</v>
      </c>
      <c r="T23" s="156" t="s">
        <v>732</v>
      </c>
      <c r="U23" s="157" t="s">
        <v>542</v>
      </c>
      <c r="V23" s="157">
        <v>10</v>
      </c>
      <c r="W23" s="158">
        <v>1</v>
      </c>
      <c r="Y23" s="156"/>
      <c r="Z23" s="157"/>
      <c r="AA23" s="157"/>
      <c r="AB23" s="157"/>
      <c r="AC23" s="159"/>
    </row>
    <row r="24" spans="1:29" outlineLevel="1" x14ac:dyDescent="0.3">
      <c r="A24" s="203">
        <v>4</v>
      </c>
      <c r="B24" s="156">
        <v>5</v>
      </c>
      <c r="C24" s="157" t="s">
        <v>3</v>
      </c>
      <c r="D24" s="159" t="s">
        <v>792</v>
      </c>
      <c r="E24" s="157">
        <v>100</v>
      </c>
      <c r="F24" s="157">
        <v>5</v>
      </c>
      <c r="G24" s="157">
        <v>10</v>
      </c>
      <c r="H24" s="157">
        <v>0</v>
      </c>
      <c r="I24" s="157">
        <v>0</v>
      </c>
      <c r="J24" s="159">
        <v>100</v>
      </c>
      <c r="K24" s="155"/>
      <c r="L24" s="156" t="s">
        <v>753</v>
      </c>
      <c r="M24" s="157" t="s">
        <v>553</v>
      </c>
      <c r="N24" s="157">
        <v>10</v>
      </c>
      <c r="O24" s="158">
        <v>1</v>
      </c>
      <c r="P24" s="156" t="s">
        <v>9</v>
      </c>
      <c r="Q24" s="157" t="s">
        <v>559</v>
      </c>
      <c r="R24" s="157">
        <v>10</v>
      </c>
      <c r="S24" s="158">
        <v>1</v>
      </c>
      <c r="T24" s="156" t="s">
        <v>732</v>
      </c>
      <c r="U24" s="157" t="s">
        <v>542</v>
      </c>
      <c r="V24" s="157">
        <v>10</v>
      </c>
      <c r="W24" s="158">
        <v>1</v>
      </c>
      <c r="Y24" s="156"/>
      <c r="Z24" s="157"/>
      <c r="AA24" s="157"/>
      <c r="AB24" s="157"/>
      <c r="AC24" s="159"/>
    </row>
    <row r="25" spans="1:29" outlineLevel="1" x14ac:dyDescent="0.3">
      <c r="A25" s="148">
        <v>5</v>
      </c>
      <c r="B25" s="160">
        <v>5</v>
      </c>
      <c r="C25" s="161" t="s">
        <v>5</v>
      </c>
      <c r="D25" s="138" t="s">
        <v>810</v>
      </c>
      <c r="E25" s="161">
        <v>100</v>
      </c>
      <c r="F25" s="161">
        <v>5</v>
      </c>
      <c r="G25" s="161">
        <v>10</v>
      </c>
      <c r="H25" s="161">
        <v>0</v>
      </c>
      <c r="I25" s="161">
        <v>0</v>
      </c>
      <c r="J25" s="138">
        <v>100</v>
      </c>
      <c r="K25" s="155"/>
      <c r="L25" s="160" t="s">
        <v>637</v>
      </c>
      <c r="M25" s="161" t="s">
        <v>545</v>
      </c>
      <c r="N25" s="161">
        <v>10</v>
      </c>
      <c r="O25" s="162">
        <v>1</v>
      </c>
      <c r="P25" s="160" t="s">
        <v>914</v>
      </c>
      <c r="Q25" s="161" t="s">
        <v>905</v>
      </c>
      <c r="R25" s="161">
        <v>10</v>
      </c>
      <c r="S25" s="162">
        <v>1</v>
      </c>
      <c r="T25" s="160" t="s">
        <v>6364</v>
      </c>
      <c r="U25" s="161" t="s">
        <v>6368</v>
      </c>
      <c r="V25" s="161">
        <v>10</v>
      </c>
      <c r="W25" s="162">
        <v>1</v>
      </c>
      <c r="Y25" s="160"/>
      <c r="Z25" s="161"/>
      <c r="AA25" s="161"/>
      <c r="AB25" s="161"/>
      <c r="AC25" s="138"/>
    </row>
    <row r="26" spans="1:29" outlineLevel="1" x14ac:dyDescent="0.3"/>
    <row r="27" spans="1:29" outlineLevel="1" x14ac:dyDescent="0.3">
      <c r="A27" s="143" t="s">
        <v>8250</v>
      </c>
      <c r="B27" s="143"/>
      <c r="C27" s="143"/>
      <c r="D27" s="143"/>
      <c r="E27" s="143"/>
      <c r="F27" s="143"/>
      <c r="H27" s="143" t="s">
        <v>945</v>
      </c>
      <c r="I27" s="143"/>
      <c r="J27" s="143"/>
      <c r="L27" s="139" t="s">
        <v>6445</v>
      </c>
    </row>
    <row r="28" spans="1:29" outlineLevel="1" x14ac:dyDescent="0.3">
      <c r="A28" s="144"/>
      <c r="B28" s="220" t="s">
        <v>763</v>
      </c>
      <c r="C28" s="210"/>
      <c r="D28" s="210"/>
      <c r="E28" s="210"/>
      <c r="F28" s="211"/>
      <c r="H28" s="140"/>
      <c r="I28" s="140"/>
      <c r="J28" s="140"/>
      <c r="L28" s="179" t="str">
        <f>IF($C21="","",IF(OR($C21="HG",$C21="SMG"),"SPP",IF($C21="SG","ITI","VFL")))</f>
        <v>VFL</v>
      </c>
      <c r="M28" s="199" t="str">
        <f>IF($C21="","",IF(OR($C21="HG",$C21="SMG"),"SPP5",IF($C21="SG","ITI5","VFL5")))</f>
        <v>VFL5</v>
      </c>
      <c r="N28" s="199">
        <f>IF($C21="","",10)</f>
        <v>10</v>
      </c>
      <c r="O28" s="200">
        <f>IF($C21="","",100%)</f>
        <v>1</v>
      </c>
      <c r="P28" s="179" t="str">
        <f>IF($C21="","",IF(OR($C21="HG",$C21="SMG"),"HP",IF($C21="AR","HV",IF($C21="RF","AP","New"))))</f>
        <v>HV</v>
      </c>
      <c r="Q28" s="199" t="str">
        <f>IF($C21="","",IF(OR($C21="HG",$C21="SMG"),"HP5",IF($C21="AR","HV5",IF($C21="RF","AP5",IF($C21="SG","Flashbang","SLAP5")))))</f>
        <v>HV5</v>
      </c>
      <c r="R28" s="199">
        <f>IF($C21="","",10)</f>
        <v>10</v>
      </c>
      <c r="S28" s="200">
        <f>IF($C21="","",100%)</f>
        <v>1</v>
      </c>
      <c r="T28" s="179" t="str">
        <f>IF($C21="","",IF(OR($C21="HG",$C21="SMG"),"Exo",IF($C21="RF","Cape",IF($C21="SG","Armor",IF($C21="MG","Ammo","New")))))</f>
        <v>New</v>
      </c>
      <c r="U28" s="199" t="str">
        <f>IF($C21="","",IF(OR($C21="HG",$C21="SMG"),"TExo5",IF($C21="RF","Cape5",IF($C21="SG","Armor5",IF($C21="MG","Ammo5","Chip5")))))</f>
        <v>Chip5</v>
      </c>
      <c r="V28" s="199">
        <f>IF($C21="","",10)</f>
        <v>10</v>
      </c>
      <c r="W28" s="200">
        <f>IF($C21="","",100%)</f>
        <v>1</v>
      </c>
    </row>
    <row r="29" spans="1:29" outlineLevel="1" x14ac:dyDescent="0.3">
      <c r="A29" s="148" t="s">
        <v>767</v>
      </c>
      <c r="B29" s="151" t="s">
        <v>8</v>
      </c>
      <c r="C29" s="149" t="s">
        <v>1074</v>
      </c>
      <c r="D29" s="149" t="s">
        <v>18</v>
      </c>
      <c r="E29" s="149" t="s">
        <v>768</v>
      </c>
      <c r="F29" s="150" t="s">
        <v>579</v>
      </c>
      <c r="H29" s="140">
        <v>3</v>
      </c>
      <c r="I29" s="140">
        <v>5</v>
      </c>
      <c r="J29" s="140"/>
      <c r="L29" s="178" t="str">
        <f t="shared" ref="L29:L31" si="0">IF($C22="","",IF(OR($C22="HG",$C22="SMG"),"SPP",IF($C22="SG","ITI","VFL")))</f>
        <v>SPP</v>
      </c>
      <c r="M29" s="197" t="str">
        <f t="shared" ref="M29:M31" si="1">IF($C22="","",IF(OR($C22="HG",$C22="SMG"),"SPP5",IF($C22="SG","ITI5","VFL5")))</f>
        <v>SPP5</v>
      </c>
      <c r="N29" s="197">
        <f t="shared" ref="N29:N31" si="2">IF($C22="","",10)</f>
        <v>10</v>
      </c>
      <c r="O29" s="201">
        <f t="shared" ref="O29:O31" si="3">IF($C22="","",100%)</f>
        <v>1</v>
      </c>
      <c r="P29" s="178" t="str">
        <f t="shared" ref="P29:P31" si="4">IF($C22="","",IF(OR($C22="HG",$C22="SMG"),"HP",IF($C22="AR","HV",IF($C22="RF","AP","New"))))</f>
        <v>HP</v>
      </c>
      <c r="Q29" s="197" t="str">
        <f t="shared" ref="Q29:Q31" si="5">IF($C22="","",IF(OR($C22="HG",$C22="SMG"),"HP5",IF($C22="AR","HV5",IF($C22="RF","AP5",IF($C22="SG","Flashbang","SLAP5")))))</f>
        <v>HP5</v>
      </c>
      <c r="R29" s="197">
        <f t="shared" ref="R29" si="6">IF($C22="","",10)</f>
        <v>10</v>
      </c>
      <c r="S29" s="201">
        <f t="shared" ref="S29:S31" si="7">IF($C22="","",100%)</f>
        <v>1</v>
      </c>
      <c r="T29" s="178" t="str">
        <f t="shared" ref="T29:T31" si="8">IF($C22="","",IF(OR($C22="HG",$C22="SMG"),"Exo",IF($C22="RF","Cape",IF($C22="SG","Armor",IF($C22="MG","Ammo","New")))))</f>
        <v>Exo</v>
      </c>
      <c r="U29" s="197" t="str">
        <f t="shared" ref="U29:U31" si="9">IF($C22="","",IF(OR($C22="HG",$C22="SMG"),"TExo5",IF($C22="RF","Cape5",IF($C22="SG","Armor5",IF($C22="MG","Ammo5","Chip5")))))</f>
        <v>TExo5</v>
      </c>
      <c r="V29" s="197">
        <f t="shared" ref="V29" si="10">IF($C22="","",10)</f>
        <v>10</v>
      </c>
      <c r="W29" s="201">
        <f t="shared" ref="W29:W31" si="11">IF($C22="","",100%)</f>
        <v>1</v>
      </c>
    </row>
    <row r="30" spans="1:29" outlineLevel="1" x14ac:dyDescent="0.3">
      <c r="A30" s="148">
        <v>1</v>
      </c>
      <c r="B30" s="160" t="s">
        <v>645</v>
      </c>
      <c r="C30" s="161">
        <v>5</v>
      </c>
      <c r="D30" s="161">
        <v>100</v>
      </c>
      <c r="E30" s="161">
        <v>10</v>
      </c>
      <c r="F30" s="138" t="s">
        <v>697</v>
      </c>
      <c r="H30" s="140">
        <v>4</v>
      </c>
      <c r="I30" s="140">
        <v>1</v>
      </c>
      <c r="J30" s="140">
        <v>2</v>
      </c>
      <c r="L30" s="178" t="str">
        <f t="shared" si="0"/>
        <v>SPP</v>
      </c>
      <c r="M30" s="197" t="str">
        <f t="shared" si="1"/>
        <v>SPP5</v>
      </c>
      <c r="N30" s="197">
        <f t="shared" si="2"/>
        <v>10</v>
      </c>
      <c r="O30" s="201">
        <f t="shared" si="3"/>
        <v>1</v>
      </c>
      <c r="P30" s="178" t="str">
        <f t="shared" si="4"/>
        <v>HP</v>
      </c>
      <c r="Q30" s="197" t="str">
        <f t="shared" si="5"/>
        <v>HP5</v>
      </c>
      <c r="R30" s="197">
        <f t="shared" ref="R30" si="12">IF($C23="","",10)</f>
        <v>10</v>
      </c>
      <c r="S30" s="201">
        <f t="shared" si="7"/>
        <v>1</v>
      </c>
      <c r="T30" s="178" t="str">
        <f t="shared" si="8"/>
        <v>Exo</v>
      </c>
      <c r="U30" s="197" t="str">
        <f t="shared" si="9"/>
        <v>TExo5</v>
      </c>
      <c r="V30" s="197">
        <f t="shared" ref="V30" si="13">IF($C23="","",10)</f>
        <v>10</v>
      </c>
      <c r="W30" s="201">
        <f t="shared" si="11"/>
        <v>1</v>
      </c>
    </row>
    <row r="31" spans="1:29" outlineLevel="1" x14ac:dyDescent="0.3">
      <c r="L31" s="178" t="str">
        <f t="shared" si="0"/>
        <v>SPP</v>
      </c>
      <c r="M31" s="197" t="str">
        <f t="shared" si="1"/>
        <v>SPP5</v>
      </c>
      <c r="N31" s="197">
        <f t="shared" si="2"/>
        <v>10</v>
      </c>
      <c r="O31" s="201">
        <f t="shared" si="3"/>
        <v>1</v>
      </c>
      <c r="P31" s="178" t="str">
        <f t="shared" si="4"/>
        <v>HP</v>
      </c>
      <c r="Q31" s="197" t="str">
        <f t="shared" si="5"/>
        <v>HP5</v>
      </c>
      <c r="R31" s="197">
        <f t="shared" ref="R31" si="14">IF($C24="","",10)</f>
        <v>10</v>
      </c>
      <c r="S31" s="201">
        <f t="shared" si="7"/>
        <v>1</v>
      </c>
      <c r="T31" s="178" t="str">
        <f t="shared" si="8"/>
        <v>Exo</v>
      </c>
      <c r="U31" s="197" t="str">
        <f t="shared" si="9"/>
        <v>TExo5</v>
      </c>
      <c r="V31" s="197">
        <f t="shared" ref="V31" si="15">IF($C24="","",10)</f>
        <v>10</v>
      </c>
      <c r="W31" s="201">
        <f t="shared" si="11"/>
        <v>1</v>
      </c>
    </row>
    <row r="32" spans="1:29" outlineLevel="1" x14ac:dyDescent="0.3">
      <c r="L32" s="47" t="str">
        <f>IF($C25="","",IF(OR($C25="HG",$C25="SMG"),"SPP",IF($C25="SG","ITI","VFL")))</f>
        <v>ITI</v>
      </c>
      <c r="M32" s="48" t="str">
        <f>IF($C25="","",IF(OR($C25="HG",$C25="SMG"),"SPP5",IF($C25="SG","ITI5","VFL5")))</f>
        <v>ITI5</v>
      </c>
      <c r="N32" s="48">
        <f>IF($C25="","",10)</f>
        <v>10</v>
      </c>
      <c r="O32" s="202">
        <f>IF($C25="","",100%)</f>
        <v>1</v>
      </c>
      <c r="P32" s="47" t="str">
        <f>IF($C25="","",IF(OR($C25="HG",$C25="SMG"),"HP",IF($C25="AR","HV",IF($C25="RF","AP","New"))))</f>
        <v>New</v>
      </c>
      <c r="Q32" s="48" t="str">
        <f>IF($C25="","",IF(OR($C25="HG",$C25="SMG"),"HP5",IF($C25="AR","HV5",IF($C25="RF","AP5",IF($C25="SG","Flashbang","SLAP5")))))</f>
        <v>Flashbang</v>
      </c>
      <c r="R32" s="48">
        <f t="shared" ref="R32" si="16">IF($C25="","",10)</f>
        <v>10</v>
      </c>
      <c r="S32" s="202">
        <f>IF($C25="","",100%)</f>
        <v>1</v>
      </c>
      <c r="T32" s="47" t="str">
        <f>IF($C25="","",IF(OR($C25="HG",$C25="SMG"),"Exo",IF($C25="RF","Cape",IF($C25="SG","Armor",IF($C25="MG","Ammo","New")))))</f>
        <v>Armor</v>
      </c>
      <c r="U32" s="48" t="str">
        <f>IF($C25="","",IF(OR($C25="HG",$C25="SMG"),"TExo5",IF($C25="RF","Cape5",IF($C25="SG","Armor5",IF($C25="MG","Ammo5","Chip5")))))</f>
        <v>Armor5</v>
      </c>
      <c r="V32" s="48">
        <f t="shared" ref="V32" si="17">IF($C25="","",10)</f>
        <v>10</v>
      </c>
      <c r="W32" s="202">
        <f>IF($C25="","",100%)</f>
        <v>1</v>
      </c>
    </row>
    <row r="33" spans="1:29" outlineLevel="1" x14ac:dyDescent="0.3">
      <c r="L33" s="197"/>
      <c r="M33" s="197"/>
      <c r="N33" s="197"/>
      <c r="O33" s="238"/>
      <c r="P33" s="197"/>
      <c r="Q33" s="197"/>
      <c r="R33" s="197"/>
      <c r="S33" s="238"/>
      <c r="T33" s="197"/>
      <c r="U33" s="197"/>
      <c r="V33" s="197"/>
      <c r="W33" s="238"/>
    </row>
    <row r="34" spans="1:29" s="221" customFormat="1" outlineLevel="1" x14ac:dyDescent="0.3">
      <c r="A34" s="222" t="s">
        <v>8252</v>
      </c>
    </row>
    <row r="35" spans="1:29" outlineLevel="2" x14ac:dyDescent="0.3">
      <c r="A35" s="167">
        <v>6</v>
      </c>
      <c r="B35" s="152"/>
      <c r="C35" s="153"/>
      <c r="D35" s="154"/>
      <c r="E35" s="153"/>
      <c r="F35" s="153"/>
      <c r="G35" s="153"/>
      <c r="H35" s="153"/>
      <c r="I35" s="153"/>
      <c r="J35" s="154"/>
      <c r="K35" s="155"/>
      <c r="L35" s="152"/>
      <c r="M35" s="153"/>
      <c r="N35" s="153"/>
      <c r="O35" s="223"/>
      <c r="P35" s="152"/>
      <c r="Q35" s="153"/>
      <c r="R35" s="153"/>
      <c r="S35" s="223"/>
      <c r="T35" s="152"/>
      <c r="U35" s="153"/>
      <c r="V35" s="153"/>
      <c r="W35" s="223"/>
      <c r="Y35" s="152"/>
      <c r="Z35" s="153"/>
      <c r="AA35" s="153"/>
      <c r="AB35" s="153"/>
      <c r="AC35" s="154"/>
    </row>
    <row r="36" spans="1:29" outlineLevel="2" x14ac:dyDescent="0.3">
      <c r="A36" s="203">
        <v>7</v>
      </c>
      <c r="B36" s="156"/>
      <c r="C36" s="157"/>
      <c r="D36" s="159"/>
      <c r="E36" s="157"/>
      <c r="F36" s="157"/>
      <c r="G36" s="157"/>
      <c r="H36" s="157"/>
      <c r="I36" s="157"/>
      <c r="J36" s="159"/>
      <c r="K36" s="155"/>
      <c r="L36" s="156"/>
      <c r="M36" s="157"/>
      <c r="N36" s="157"/>
      <c r="O36" s="158"/>
      <c r="P36" s="156"/>
      <c r="Q36" s="157"/>
      <c r="R36" s="157"/>
      <c r="S36" s="158"/>
      <c r="T36" s="156"/>
      <c r="U36" s="157"/>
      <c r="V36" s="157"/>
      <c r="W36" s="158"/>
      <c r="Y36" s="156"/>
      <c r="Z36" s="157"/>
      <c r="AA36" s="157"/>
      <c r="AB36" s="157"/>
      <c r="AC36" s="159"/>
    </row>
    <row r="37" spans="1:29" outlineLevel="2" x14ac:dyDescent="0.3">
      <c r="A37" s="203">
        <v>8</v>
      </c>
      <c r="B37" s="156"/>
      <c r="C37" s="157"/>
      <c r="D37" s="159"/>
      <c r="E37" s="157"/>
      <c r="F37" s="157"/>
      <c r="G37" s="157"/>
      <c r="H37" s="157"/>
      <c r="I37" s="157"/>
      <c r="J37" s="159"/>
      <c r="K37" s="155"/>
      <c r="L37" s="156"/>
      <c r="M37" s="157"/>
      <c r="N37" s="157"/>
      <c r="O37" s="158"/>
      <c r="P37" s="156"/>
      <c r="Q37" s="157"/>
      <c r="R37" s="157"/>
      <c r="S37" s="158"/>
      <c r="T37" s="156"/>
      <c r="U37" s="157"/>
      <c r="V37" s="157"/>
      <c r="W37" s="158"/>
      <c r="Y37" s="156"/>
      <c r="Z37" s="157"/>
      <c r="AA37" s="157"/>
      <c r="AB37" s="157"/>
      <c r="AC37" s="159"/>
    </row>
    <row r="38" spans="1:29" outlineLevel="2" x14ac:dyDescent="0.3">
      <c r="A38" s="203">
        <v>9</v>
      </c>
      <c r="B38" s="156"/>
      <c r="C38" s="157"/>
      <c r="D38" s="159"/>
      <c r="E38" s="157"/>
      <c r="F38" s="157"/>
      <c r="G38" s="157"/>
      <c r="H38" s="157"/>
      <c r="I38" s="157"/>
      <c r="J38" s="159"/>
      <c r="K38" s="155"/>
      <c r="L38" s="156"/>
      <c r="M38" s="157"/>
      <c r="N38" s="157"/>
      <c r="O38" s="158"/>
      <c r="P38" s="156"/>
      <c r="Q38" s="157"/>
      <c r="R38" s="157"/>
      <c r="S38" s="158"/>
      <c r="T38" s="156"/>
      <c r="U38" s="157"/>
      <c r="V38" s="157"/>
      <c r="W38" s="158"/>
      <c r="Y38" s="156"/>
      <c r="Z38" s="157"/>
      <c r="AA38" s="157"/>
      <c r="AB38" s="157"/>
      <c r="AC38" s="159"/>
    </row>
    <row r="39" spans="1:29" outlineLevel="2" x14ac:dyDescent="0.3">
      <c r="A39" s="203">
        <v>10</v>
      </c>
      <c r="B39" s="156"/>
      <c r="C39" s="157"/>
      <c r="D39" s="159"/>
      <c r="E39" s="157"/>
      <c r="F39" s="157"/>
      <c r="G39" s="157"/>
      <c r="H39" s="157"/>
      <c r="I39" s="157"/>
      <c r="J39" s="159"/>
      <c r="K39" s="155"/>
      <c r="L39" s="156"/>
      <c r="M39" s="157"/>
      <c r="N39" s="157"/>
      <c r="O39" s="158"/>
      <c r="P39" s="156"/>
      <c r="Q39" s="157"/>
      <c r="R39" s="157"/>
      <c r="S39" s="158"/>
      <c r="T39" s="156"/>
      <c r="U39" s="157"/>
      <c r="V39" s="157"/>
      <c r="W39" s="158"/>
      <c r="Y39" s="160"/>
      <c r="Z39" s="161"/>
      <c r="AA39" s="161"/>
      <c r="AB39" s="161"/>
      <c r="AC39" s="138"/>
    </row>
    <row r="40" spans="1:29" outlineLevel="2" x14ac:dyDescent="0.3">
      <c r="A40" s="203">
        <v>11</v>
      </c>
      <c r="B40" s="156"/>
      <c r="C40" s="157"/>
      <c r="D40" s="159"/>
      <c r="E40" s="157"/>
      <c r="F40" s="157"/>
      <c r="G40" s="157"/>
      <c r="H40" s="157"/>
      <c r="I40" s="157"/>
      <c r="J40" s="159"/>
      <c r="K40" s="155"/>
      <c r="L40" s="156"/>
      <c r="M40" s="157"/>
      <c r="N40" s="157"/>
      <c r="O40" s="158"/>
      <c r="P40" s="156"/>
      <c r="Q40" s="157"/>
      <c r="R40" s="157"/>
      <c r="S40" s="158"/>
      <c r="T40" s="156"/>
      <c r="U40" s="157"/>
      <c r="V40" s="157"/>
      <c r="W40" s="158"/>
      <c r="Y40" s="156"/>
      <c r="Z40" s="157"/>
      <c r="AA40" s="157"/>
      <c r="AB40" s="157"/>
      <c r="AC40" s="159"/>
    </row>
    <row r="41" spans="1:29" outlineLevel="2" x14ac:dyDescent="0.3">
      <c r="A41" s="203">
        <v>12</v>
      </c>
      <c r="B41" s="156"/>
      <c r="C41" s="157"/>
      <c r="D41" s="159"/>
      <c r="E41" s="157"/>
      <c r="F41" s="157"/>
      <c r="G41" s="157"/>
      <c r="H41" s="157"/>
      <c r="I41" s="157"/>
      <c r="J41" s="159"/>
      <c r="K41" s="155"/>
      <c r="L41" s="156"/>
      <c r="M41" s="157"/>
      <c r="N41" s="157"/>
      <c r="O41" s="158"/>
      <c r="P41" s="156"/>
      <c r="Q41" s="157"/>
      <c r="R41" s="157"/>
      <c r="S41" s="158"/>
      <c r="T41" s="156"/>
      <c r="U41" s="157"/>
      <c r="V41" s="157"/>
      <c r="W41" s="158"/>
      <c r="Y41" s="156"/>
      <c r="Z41" s="157"/>
      <c r="AA41" s="157"/>
      <c r="AB41" s="157"/>
      <c r="AC41" s="159"/>
    </row>
    <row r="42" spans="1:29" outlineLevel="2" x14ac:dyDescent="0.3">
      <c r="A42" s="203">
        <v>13</v>
      </c>
      <c r="B42" s="156"/>
      <c r="C42" s="157"/>
      <c r="D42" s="159"/>
      <c r="E42" s="157"/>
      <c r="F42" s="157"/>
      <c r="G42" s="157"/>
      <c r="H42" s="157"/>
      <c r="I42" s="157"/>
      <c r="J42" s="159"/>
      <c r="K42" s="155"/>
      <c r="L42" s="156"/>
      <c r="M42" s="157"/>
      <c r="N42" s="157"/>
      <c r="O42" s="158"/>
      <c r="P42" s="156"/>
      <c r="Q42" s="157"/>
      <c r="R42" s="157"/>
      <c r="S42" s="158"/>
      <c r="T42" s="156"/>
      <c r="U42" s="157"/>
      <c r="V42" s="157"/>
      <c r="W42" s="158"/>
      <c r="Y42" s="156"/>
      <c r="Z42" s="157"/>
      <c r="AA42" s="157"/>
      <c r="AB42" s="157"/>
      <c r="AC42" s="159"/>
    </row>
    <row r="43" spans="1:29" outlineLevel="2" x14ac:dyDescent="0.3">
      <c r="A43" s="203">
        <v>14</v>
      </c>
      <c r="B43" s="156"/>
      <c r="C43" s="157"/>
      <c r="D43" s="159"/>
      <c r="E43" s="157"/>
      <c r="F43" s="157"/>
      <c r="G43" s="157"/>
      <c r="H43" s="157"/>
      <c r="I43" s="157"/>
      <c r="J43" s="159"/>
      <c r="K43" s="155"/>
      <c r="L43" s="156"/>
      <c r="M43" s="157"/>
      <c r="N43" s="157"/>
      <c r="O43" s="158"/>
      <c r="P43" s="156"/>
      <c r="Q43" s="157"/>
      <c r="R43" s="157"/>
      <c r="S43" s="158"/>
      <c r="T43" s="156"/>
      <c r="U43" s="157"/>
      <c r="V43" s="157"/>
      <c r="W43" s="158"/>
      <c r="Y43" s="156"/>
      <c r="Z43" s="157"/>
      <c r="AA43" s="157"/>
      <c r="AB43" s="157"/>
      <c r="AC43" s="159"/>
    </row>
    <row r="44" spans="1:29" outlineLevel="2" x14ac:dyDescent="0.3">
      <c r="A44" s="203">
        <v>15</v>
      </c>
      <c r="B44" s="156"/>
      <c r="C44" s="157"/>
      <c r="D44" s="159"/>
      <c r="E44" s="157"/>
      <c r="F44" s="157"/>
      <c r="G44" s="157"/>
      <c r="H44" s="157"/>
      <c r="I44" s="157"/>
      <c r="J44" s="159"/>
      <c r="K44" s="155"/>
      <c r="L44" s="156"/>
      <c r="M44" s="157"/>
      <c r="N44" s="157"/>
      <c r="O44" s="158"/>
      <c r="P44" s="156"/>
      <c r="Q44" s="157"/>
      <c r="R44" s="157"/>
      <c r="S44" s="158"/>
      <c r="T44" s="156"/>
      <c r="U44" s="157"/>
      <c r="V44" s="157"/>
      <c r="W44" s="158"/>
      <c r="Y44" s="160"/>
      <c r="Z44" s="161"/>
      <c r="AA44" s="161"/>
      <c r="AB44" s="161"/>
      <c r="AC44" s="138"/>
    </row>
    <row r="45" spans="1:29" outlineLevel="2" x14ac:dyDescent="0.3">
      <c r="A45" s="203">
        <v>16</v>
      </c>
      <c r="B45" s="156"/>
      <c r="C45" s="157"/>
      <c r="D45" s="159"/>
      <c r="E45" s="157"/>
      <c r="F45" s="157"/>
      <c r="G45" s="157"/>
      <c r="H45" s="157"/>
      <c r="I45" s="157"/>
      <c r="J45" s="159"/>
      <c r="K45" s="155"/>
      <c r="L45" s="156"/>
      <c r="M45" s="157"/>
      <c r="N45" s="157"/>
      <c r="O45" s="158"/>
      <c r="P45" s="156"/>
      <c r="Q45" s="157"/>
      <c r="R45" s="157"/>
      <c r="S45" s="158"/>
      <c r="T45" s="156"/>
      <c r="U45" s="157"/>
      <c r="V45" s="157"/>
      <c r="W45" s="158"/>
      <c r="Y45" s="156"/>
      <c r="Z45" s="157"/>
      <c r="AA45" s="157"/>
      <c r="AB45" s="157"/>
      <c r="AC45" s="159"/>
    </row>
    <row r="46" spans="1:29" outlineLevel="2" x14ac:dyDescent="0.3">
      <c r="A46" s="203">
        <v>17</v>
      </c>
      <c r="B46" s="156"/>
      <c r="C46" s="157"/>
      <c r="D46" s="159"/>
      <c r="E46" s="157"/>
      <c r="F46" s="157"/>
      <c r="G46" s="157"/>
      <c r="H46" s="157"/>
      <c r="I46" s="157"/>
      <c r="J46" s="159"/>
      <c r="K46" s="155"/>
      <c r="L46" s="156"/>
      <c r="M46" s="157"/>
      <c r="N46" s="157"/>
      <c r="O46" s="158"/>
      <c r="P46" s="156"/>
      <c r="Q46" s="157"/>
      <c r="R46" s="157"/>
      <c r="S46" s="158"/>
      <c r="T46" s="156"/>
      <c r="U46" s="157"/>
      <c r="V46" s="157"/>
      <c r="W46" s="158"/>
      <c r="Y46" s="156"/>
      <c r="Z46" s="157"/>
      <c r="AA46" s="157"/>
      <c r="AB46" s="157"/>
      <c r="AC46" s="159"/>
    </row>
    <row r="47" spans="1:29" outlineLevel="2" x14ac:dyDescent="0.3">
      <c r="A47" s="203">
        <v>18</v>
      </c>
      <c r="B47" s="156"/>
      <c r="C47" s="157"/>
      <c r="D47" s="159"/>
      <c r="E47" s="157"/>
      <c r="F47" s="157"/>
      <c r="G47" s="157"/>
      <c r="H47" s="157"/>
      <c r="I47" s="157"/>
      <c r="J47" s="159"/>
      <c r="K47" s="155"/>
      <c r="L47" s="156"/>
      <c r="M47" s="157"/>
      <c r="N47" s="157"/>
      <c r="O47" s="158"/>
      <c r="P47" s="156"/>
      <c r="Q47" s="157"/>
      <c r="R47" s="157"/>
      <c r="S47" s="158"/>
      <c r="T47" s="156"/>
      <c r="U47" s="157"/>
      <c r="V47" s="157"/>
      <c r="W47" s="158"/>
      <c r="Y47" s="156"/>
      <c r="Z47" s="157"/>
      <c r="AA47" s="157"/>
      <c r="AB47" s="157"/>
      <c r="AC47" s="159"/>
    </row>
    <row r="48" spans="1:29" outlineLevel="2" x14ac:dyDescent="0.3">
      <c r="A48" s="203">
        <v>19</v>
      </c>
      <c r="B48" s="156"/>
      <c r="C48" s="157"/>
      <c r="D48" s="159"/>
      <c r="E48" s="157"/>
      <c r="F48" s="157"/>
      <c r="G48" s="157"/>
      <c r="H48" s="157"/>
      <c r="I48" s="157"/>
      <c r="J48" s="159"/>
      <c r="K48" s="155"/>
      <c r="L48" s="156"/>
      <c r="M48" s="157"/>
      <c r="N48" s="157"/>
      <c r="O48" s="158"/>
      <c r="P48" s="156"/>
      <c r="Q48" s="157"/>
      <c r="R48" s="157"/>
      <c r="S48" s="158"/>
      <c r="T48" s="156"/>
      <c r="U48" s="157"/>
      <c r="V48" s="157"/>
      <c r="W48" s="158"/>
      <c r="Y48" s="156"/>
      <c r="Z48" s="157"/>
      <c r="AA48" s="157"/>
      <c r="AB48" s="157"/>
      <c r="AC48" s="159"/>
    </row>
    <row r="49" spans="1:29" outlineLevel="2" x14ac:dyDescent="0.3">
      <c r="A49" s="148">
        <v>20</v>
      </c>
      <c r="B49" s="160"/>
      <c r="C49" s="161"/>
      <c r="D49" s="138"/>
      <c r="E49" s="161"/>
      <c r="F49" s="161"/>
      <c r="G49" s="161"/>
      <c r="H49" s="161"/>
      <c r="I49" s="161"/>
      <c r="J49" s="138"/>
      <c r="K49" s="155"/>
      <c r="L49" s="160"/>
      <c r="M49" s="161"/>
      <c r="N49" s="161"/>
      <c r="O49" s="162"/>
      <c r="P49" s="160"/>
      <c r="Q49" s="161"/>
      <c r="R49" s="161"/>
      <c r="S49" s="162"/>
      <c r="T49" s="160"/>
      <c r="U49" s="161"/>
      <c r="V49" s="161"/>
      <c r="W49" s="162"/>
      <c r="Y49" s="160"/>
      <c r="Z49" s="161"/>
      <c r="AA49" s="161"/>
      <c r="AB49" s="161"/>
      <c r="AC49" s="138"/>
    </row>
    <row r="50" spans="1:29" outlineLevel="1" x14ac:dyDescent="0.3"/>
    <row r="51" spans="1:29" x14ac:dyDescent="0.3">
      <c r="L51" s="197"/>
      <c r="M51" s="197"/>
      <c r="N51" s="197"/>
      <c r="O51" s="238"/>
      <c r="P51" s="197"/>
      <c r="Q51" s="197"/>
      <c r="R51" s="197"/>
      <c r="S51" s="238"/>
      <c r="T51" s="197"/>
      <c r="U51" s="197"/>
      <c r="V51" s="197"/>
      <c r="W51" s="238"/>
    </row>
    <row r="52" spans="1:29" ht="18" x14ac:dyDescent="0.35">
      <c r="A52" s="141" t="s">
        <v>1041</v>
      </c>
      <c r="B52" s="141"/>
      <c r="C52" s="141"/>
      <c r="D52" s="141"/>
      <c r="E52" s="141"/>
      <c r="F52" s="141"/>
      <c r="G52" s="141"/>
      <c r="H52" s="141"/>
      <c r="I52" s="141"/>
      <c r="J52" s="141"/>
    </row>
    <row r="53" spans="1:29" outlineLevel="1" x14ac:dyDescent="0.3">
      <c r="A53" s="139"/>
      <c r="B53" s="142"/>
    </row>
    <row r="54" spans="1:29" outlineLevel="1" x14ac:dyDescent="0.3">
      <c r="A54" s="139" t="s">
        <v>958</v>
      </c>
      <c r="B54" s="279" t="s">
        <v>5670</v>
      </c>
      <c r="C54" s="280"/>
    </row>
    <row r="55" spans="1:29" outlineLevel="1" x14ac:dyDescent="0.3">
      <c r="A55" s="139"/>
      <c r="B55" s="142"/>
    </row>
    <row r="56" spans="1:29" ht="15" customHeight="1" outlineLevel="1" x14ac:dyDescent="0.35">
      <c r="A56" s="139" t="s">
        <v>8253</v>
      </c>
      <c r="B56" s="141"/>
      <c r="C56" s="141"/>
      <c r="D56" s="141"/>
      <c r="E56" s="141"/>
      <c r="F56" s="141"/>
      <c r="G56" s="141"/>
      <c r="H56" s="141"/>
      <c r="I56" s="155"/>
      <c r="J56" s="155"/>
      <c r="K56" s="155"/>
      <c r="L56" s="141"/>
      <c r="M56" s="141"/>
    </row>
    <row r="57" spans="1:29" outlineLevel="1" x14ac:dyDescent="0.3">
      <c r="A57" s="144"/>
      <c r="B57" s="220" t="s">
        <v>1037</v>
      </c>
      <c r="C57" s="210"/>
      <c r="D57" s="210"/>
      <c r="E57" s="210"/>
      <c r="F57" s="210"/>
      <c r="G57" s="210"/>
      <c r="H57" s="210"/>
      <c r="I57" s="220" t="s">
        <v>768</v>
      </c>
      <c r="J57" s="210"/>
      <c r="K57" s="210"/>
      <c r="L57" s="211"/>
      <c r="M57" s="220" t="s">
        <v>1031</v>
      </c>
      <c r="N57" s="211"/>
      <c r="O57" s="167" t="s">
        <v>5666</v>
      </c>
      <c r="Q57" s="167" t="s">
        <v>1105</v>
      </c>
    </row>
    <row r="58" spans="1:29" outlineLevel="1" x14ac:dyDescent="0.3">
      <c r="A58" s="148" t="s">
        <v>1030</v>
      </c>
      <c r="B58" s="149" t="s">
        <v>1073</v>
      </c>
      <c r="C58" s="155" t="s">
        <v>8</v>
      </c>
      <c r="D58" s="155" t="s">
        <v>18</v>
      </c>
      <c r="E58" s="155" t="s">
        <v>6869</v>
      </c>
      <c r="F58" s="155" t="s">
        <v>6870</v>
      </c>
      <c r="G58" s="155" t="s">
        <v>1034</v>
      </c>
      <c r="H58" s="155" t="s">
        <v>60</v>
      </c>
      <c r="I58" s="151">
        <v>1</v>
      </c>
      <c r="J58" s="149">
        <v>2</v>
      </c>
      <c r="K58" s="149">
        <v>3</v>
      </c>
      <c r="L58" s="150">
        <v>4</v>
      </c>
      <c r="M58" s="151">
        <v>1</v>
      </c>
      <c r="N58" s="150">
        <v>2</v>
      </c>
      <c r="O58" s="148">
        <f>SUM(O59:O67)</f>
        <v>0</v>
      </c>
      <c r="Q58" s="140" t="b">
        <v>1</v>
      </c>
    </row>
    <row r="59" spans="1:29" outlineLevel="1" x14ac:dyDescent="0.3">
      <c r="A59" s="167">
        <v>1</v>
      </c>
      <c r="B59" s="179" t="str">
        <f>IFERROR(4-INDEX('SF Data'!J:J,MATCH(C59,'SF Data'!C:C,0)),"")</f>
        <v/>
      </c>
      <c r="C59" s="152"/>
      <c r="D59" s="153"/>
      <c r="E59" s="153"/>
      <c r="F59" s="153"/>
      <c r="G59" s="153"/>
      <c r="H59" s="154"/>
      <c r="I59" s="157"/>
      <c r="J59" s="157"/>
      <c r="K59" s="157"/>
      <c r="L59" s="159"/>
      <c r="M59" s="156"/>
      <c r="N59" s="159"/>
      <c r="O59" s="42" t="str">
        <f>IF(B59="","",INDEX('SF Data'!$O:$O,MATCH(C59,'SF Data'!$C:$C,0)))</f>
        <v/>
      </c>
      <c r="Q59" s="168"/>
      <c r="S59" s="143" t="s">
        <v>1097</v>
      </c>
      <c r="T59" s="143"/>
      <c r="U59" s="143"/>
    </row>
    <row r="60" spans="1:29" outlineLevel="1" x14ac:dyDescent="0.3">
      <c r="A60" s="203">
        <v>2</v>
      </c>
      <c r="B60" s="178" t="str">
        <f>IFERROR(4-INDEX('SF Data'!J:J,MATCH(C60,'SF Data'!C:C,0)),"")</f>
        <v/>
      </c>
      <c r="C60" s="156"/>
      <c r="D60" s="157"/>
      <c r="E60" s="157"/>
      <c r="F60" s="157"/>
      <c r="G60" s="157"/>
      <c r="H60" s="159"/>
      <c r="I60" s="157"/>
      <c r="J60" s="157"/>
      <c r="K60" s="157"/>
      <c r="L60" s="159"/>
      <c r="M60" s="156"/>
      <c r="N60" s="159"/>
      <c r="O60" s="42" t="str">
        <f>IF(B60="","",INDEX('SF Data'!$O:$O,MATCH(C60,'SF Data'!$C:$C,0)))</f>
        <v/>
      </c>
      <c r="Q60" s="168"/>
      <c r="S60" s="140"/>
      <c r="T60" s="140"/>
      <c r="U60" s="140"/>
    </row>
    <row r="61" spans="1:29" outlineLevel="1" x14ac:dyDescent="0.3">
      <c r="A61" s="203">
        <v>3</v>
      </c>
      <c r="B61" s="178" t="str">
        <f>IFERROR(4-INDEX('SF Data'!J:J,MATCH(C61,'SF Data'!C:C,0)),"")</f>
        <v/>
      </c>
      <c r="C61" s="156"/>
      <c r="D61" s="157"/>
      <c r="E61" s="157"/>
      <c r="F61" s="157"/>
      <c r="G61" s="157"/>
      <c r="H61" s="159"/>
      <c r="I61" s="157"/>
      <c r="J61" s="157"/>
      <c r="K61" s="219"/>
      <c r="L61" s="159"/>
      <c r="M61" s="156"/>
      <c r="N61" s="159"/>
      <c r="O61" s="42" t="str">
        <f>IF(B61="","",INDEX('SF Data'!$O:$O,MATCH(C61,'SF Data'!$C:$C,0)))</f>
        <v/>
      </c>
      <c r="Q61" s="168"/>
      <c r="S61" s="140"/>
      <c r="T61" s="140"/>
      <c r="U61" s="140"/>
    </row>
    <row r="62" spans="1:29" outlineLevel="1" x14ac:dyDescent="0.3">
      <c r="A62" s="203">
        <v>4</v>
      </c>
      <c r="B62" s="178" t="str">
        <f>IFERROR(4-INDEX('SF Data'!J:J,MATCH(C62,'SF Data'!C:C,0)),"")</f>
        <v/>
      </c>
      <c r="C62" s="156"/>
      <c r="D62" s="157"/>
      <c r="E62" s="157"/>
      <c r="F62" s="157"/>
      <c r="G62" s="157"/>
      <c r="H62" s="159"/>
      <c r="I62" s="157"/>
      <c r="J62" s="157"/>
      <c r="K62" s="157"/>
      <c r="L62" s="159"/>
      <c r="M62" s="156"/>
      <c r="N62" s="159"/>
      <c r="O62" s="42" t="str">
        <f>IF(B62="","",INDEX('SF Data'!$O:$O,MATCH(C62,'SF Data'!$C:$C,0)))</f>
        <v/>
      </c>
      <c r="Q62" s="168"/>
      <c r="S62" s="140"/>
      <c r="T62" s="140"/>
      <c r="U62" s="140"/>
    </row>
    <row r="63" spans="1:29" outlineLevel="1" x14ac:dyDescent="0.3">
      <c r="A63" s="203">
        <v>5</v>
      </c>
      <c r="B63" s="178" t="str">
        <f>IFERROR(4-INDEX('SF Data'!J:J,MATCH(C63,'SF Data'!C:C,0)),"")</f>
        <v/>
      </c>
      <c r="C63" s="156"/>
      <c r="D63" s="157"/>
      <c r="E63" s="157"/>
      <c r="F63" s="157"/>
      <c r="G63" s="157"/>
      <c r="H63" s="159"/>
      <c r="I63" s="157"/>
      <c r="J63" s="157"/>
      <c r="K63" s="157"/>
      <c r="L63" s="159"/>
      <c r="M63" s="156"/>
      <c r="N63" s="159"/>
      <c r="O63" s="42" t="str">
        <f>IF(B63="","",INDEX('SF Data'!$O:$O,MATCH(C63,'SF Data'!$C:$C,0)))</f>
        <v/>
      </c>
      <c r="Q63" s="168"/>
    </row>
    <row r="64" spans="1:29" outlineLevel="1" x14ac:dyDescent="0.3">
      <c r="A64" s="203">
        <v>6</v>
      </c>
      <c r="B64" s="178" t="str">
        <f>IFERROR(4-INDEX('SF Data'!J:J,MATCH(C64,'SF Data'!C:C,0)),"")</f>
        <v/>
      </c>
      <c r="C64" s="156"/>
      <c r="D64" s="157"/>
      <c r="E64" s="157"/>
      <c r="F64" s="157"/>
      <c r="G64" s="157"/>
      <c r="H64" s="159"/>
      <c r="I64" s="157"/>
      <c r="J64" s="157"/>
      <c r="K64" s="157"/>
      <c r="L64" s="159"/>
      <c r="M64" s="156"/>
      <c r="N64" s="159"/>
      <c r="O64" s="42" t="str">
        <f>IF(B64="","",INDEX('SF Data'!$O:$O,MATCH(C64,'SF Data'!$C:$C,0)))</f>
        <v/>
      </c>
      <c r="Q64" s="168"/>
    </row>
    <row r="65" spans="1:19" outlineLevel="1" x14ac:dyDescent="0.3">
      <c r="A65" s="203">
        <v>7</v>
      </c>
      <c r="B65" s="178" t="str">
        <f>IFERROR(4-INDEX('SF Data'!J:J,MATCH(C65,'SF Data'!C:C,0)),"")</f>
        <v/>
      </c>
      <c r="C65" s="156"/>
      <c r="D65" s="157"/>
      <c r="E65" s="157"/>
      <c r="F65" s="157"/>
      <c r="G65" s="157"/>
      <c r="H65" s="159"/>
      <c r="I65" s="157"/>
      <c r="J65" s="157"/>
      <c r="K65" s="157"/>
      <c r="L65" s="159"/>
      <c r="M65" s="156"/>
      <c r="N65" s="159"/>
      <c r="O65" s="42" t="str">
        <f>IF(B65="","",INDEX('SF Data'!$O:$O,MATCH(C65,'SF Data'!$C:$C,0)))</f>
        <v/>
      </c>
      <c r="Q65" s="168"/>
    </row>
    <row r="66" spans="1:19" outlineLevel="1" x14ac:dyDescent="0.3">
      <c r="A66" s="203">
        <v>8</v>
      </c>
      <c r="B66" s="178" t="str">
        <f>IFERROR(4-INDEX('SF Data'!J:J,MATCH(C66,'SF Data'!C:C,0)),"")</f>
        <v/>
      </c>
      <c r="C66" s="156"/>
      <c r="D66" s="157"/>
      <c r="E66" s="157"/>
      <c r="F66" s="157"/>
      <c r="G66" s="157"/>
      <c r="H66" s="159"/>
      <c r="I66" s="157"/>
      <c r="J66" s="157"/>
      <c r="K66" s="157"/>
      <c r="L66" s="159"/>
      <c r="M66" s="156"/>
      <c r="N66" s="159"/>
      <c r="O66" s="42" t="str">
        <f>IF(B66="","",INDEX('SF Data'!$O:$O,MATCH(C66,'SF Data'!$C:$C,0)))</f>
        <v/>
      </c>
      <c r="Q66" s="168"/>
    </row>
    <row r="67" spans="1:19" outlineLevel="1" x14ac:dyDescent="0.3">
      <c r="A67" s="148">
        <v>9</v>
      </c>
      <c r="B67" s="47" t="str">
        <f>IFERROR(4-INDEX('SF Data'!J:J,MATCH(C67,'SF Data'!C:C,0)),"")</f>
        <v/>
      </c>
      <c r="C67" s="160"/>
      <c r="D67" s="161"/>
      <c r="E67" s="161"/>
      <c r="F67" s="161"/>
      <c r="G67" s="161"/>
      <c r="H67" s="138"/>
      <c r="I67" s="161"/>
      <c r="J67" s="161"/>
      <c r="K67" s="161"/>
      <c r="L67" s="138"/>
      <c r="M67" s="160"/>
      <c r="N67" s="138"/>
      <c r="O67" s="43" t="str">
        <f>IF(B67="","",INDEX('SF Data'!$O:$O,MATCH(C67,'SF Data'!$C:$C,0)))</f>
        <v/>
      </c>
      <c r="Q67" s="169"/>
    </row>
    <row r="68" spans="1:19" outlineLevel="1" x14ac:dyDescent="0.3"/>
    <row r="70" spans="1:19" ht="18" x14ac:dyDescent="0.35">
      <c r="A70" s="141" t="s">
        <v>8237</v>
      </c>
      <c r="B70" s="142"/>
    </row>
    <row r="71" spans="1:19" outlineLevel="1" x14ac:dyDescent="0.3">
      <c r="A71" s="139" t="s">
        <v>8268</v>
      </c>
    </row>
    <row r="72" spans="1:19" outlineLevel="1" x14ac:dyDescent="0.3">
      <c r="A72" s="143" t="s">
        <v>8269</v>
      </c>
    </row>
    <row r="73" spans="1:19" outlineLevel="1" x14ac:dyDescent="0.3">
      <c r="A73" s="242" t="s">
        <v>8238</v>
      </c>
      <c r="B73" s="167"/>
      <c r="C73" s="146" t="s">
        <v>8238</v>
      </c>
      <c r="D73" s="248" t="s">
        <v>8241</v>
      </c>
      <c r="E73" s="241"/>
      <c r="F73" s="248" t="s">
        <v>8242</v>
      </c>
      <c r="G73" s="241"/>
      <c r="H73" s="248" t="s">
        <v>8243</v>
      </c>
      <c r="I73" s="241"/>
      <c r="J73" s="248" t="s">
        <v>8244</v>
      </c>
      <c r="K73" s="240"/>
      <c r="L73" s="240"/>
      <c r="M73" s="241"/>
    </row>
    <row r="74" spans="1:19" outlineLevel="1" x14ac:dyDescent="0.3">
      <c r="A74" s="148" t="s">
        <v>702</v>
      </c>
      <c r="B74" s="148" t="s">
        <v>852</v>
      </c>
      <c r="C74" s="150" t="s">
        <v>18</v>
      </c>
      <c r="D74" s="151" t="s">
        <v>18</v>
      </c>
      <c r="E74" s="150" t="s">
        <v>280</v>
      </c>
      <c r="F74" s="198" t="s">
        <v>18</v>
      </c>
      <c r="G74" s="204" t="s">
        <v>1074</v>
      </c>
      <c r="H74" s="151" t="s">
        <v>18</v>
      </c>
      <c r="I74" s="150" t="s">
        <v>1074</v>
      </c>
      <c r="J74" s="151" t="s">
        <v>702</v>
      </c>
      <c r="K74" s="149" t="s">
        <v>18</v>
      </c>
      <c r="L74" s="149" t="s">
        <v>280</v>
      </c>
      <c r="M74" s="150" t="s">
        <v>1074</v>
      </c>
    </row>
    <row r="75" spans="1:19" outlineLevel="1" x14ac:dyDescent="0.3">
      <c r="A75" s="167" t="s">
        <v>8239</v>
      </c>
      <c r="B75" s="180"/>
      <c r="C75" s="154">
        <v>15</v>
      </c>
      <c r="D75" s="152">
        <v>100</v>
      </c>
      <c r="E75" s="154">
        <v>5</v>
      </c>
      <c r="F75" s="152">
        <v>100</v>
      </c>
      <c r="G75" s="154">
        <v>5</v>
      </c>
      <c r="H75" s="152">
        <v>100</v>
      </c>
      <c r="I75" s="154">
        <v>5</v>
      </c>
      <c r="J75" s="152" t="s">
        <v>8270</v>
      </c>
      <c r="K75" s="153">
        <v>100</v>
      </c>
      <c r="L75" s="153">
        <v>5</v>
      </c>
      <c r="M75" s="154">
        <v>5</v>
      </c>
    </row>
    <row r="76" spans="1:19" outlineLevel="1" x14ac:dyDescent="0.3">
      <c r="A76" s="148" t="s">
        <v>8240</v>
      </c>
      <c r="B76" s="177"/>
      <c r="C76" s="138">
        <v>15</v>
      </c>
      <c r="D76" s="160">
        <v>100</v>
      </c>
      <c r="E76" s="138">
        <v>5</v>
      </c>
      <c r="F76" s="245"/>
      <c r="G76" s="246" t="s">
        <v>8245</v>
      </c>
      <c r="H76" s="245"/>
      <c r="I76" s="246" t="s">
        <v>8245</v>
      </c>
      <c r="J76" s="245" t="s">
        <v>8245</v>
      </c>
      <c r="K76" s="247" t="s">
        <v>8245</v>
      </c>
      <c r="L76" s="247" t="s">
        <v>8245</v>
      </c>
      <c r="M76" s="246" t="s">
        <v>8245</v>
      </c>
    </row>
    <row r="77" spans="1:19" outlineLevel="1" x14ac:dyDescent="0.3"/>
    <row r="78" spans="1:19" outlineLevel="1" x14ac:dyDescent="0.3">
      <c r="A78" s="139" t="s">
        <v>8254</v>
      </c>
      <c r="K78" s="258"/>
      <c r="M78" s="135"/>
    </row>
    <row r="79" spans="1:19" outlineLevel="1" x14ac:dyDescent="0.3">
      <c r="A79" s="139" t="s">
        <v>8318</v>
      </c>
    </row>
    <row r="80" spans="1:19" outlineLevel="1" x14ac:dyDescent="0.3">
      <c r="A80" s="242" t="s">
        <v>8239</v>
      </c>
      <c r="B80" s="240" t="s">
        <v>8246</v>
      </c>
      <c r="C80" s="241"/>
      <c r="D80" s="240" t="s">
        <v>8719</v>
      </c>
      <c r="E80" s="241"/>
      <c r="F80" s="240" t="s">
        <v>8718</v>
      </c>
      <c r="G80" s="241"/>
      <c r="H80" s="240" t="s">
        <v>8247</v>
      </c>
      <c r="I80" s="241"/>
      <c r="J80" s="240" t="s">
        <v>8248</v>
      </c>
      <c r="K80" s="241"/>
      <c r="L80" s="240" t="s">
        <v>8857</v>
      </c>
      <c r="M80" s="241"/>
      <c r="N80" s="240" t="s">
        <v>8858</v>
      </c>
      <c r="O80" s="241"/>
      <c r="P80" s="240" t="s">
        <v>8859</v>
      </c>
      <c r="Q80" s="241"/>
      <c r="R80" s="240" t="s">
        <v>8860</v>
      </c>
      <c r="S80" s="241"/>
    </row>
    <row r="81" spans="1:19" outlineLevel="1" x14ac:dyDescent="0.3">
      <c r="A81" s="148" t="s">
        <v>8306</v>
      </c>
      <c r="B81" s="149" t="s">
        <v>8</v>
      </c>
      <c r="C81" s="150" t="s">
        <v>780</v>
      </c>
      <c r="D81" s="149" t="s">
        <v>8</v>
      </c>
      <c r="E81" s="150" t="s">
        <v>780</v>
      </c>
      <c r="F81" s="149" t="s">
        <v>8</v>
      </c>
      <c r="G81" s="150" t="s">
        <v>780</v>
      </c>
      <c r="H81" s="149" t="s">
        <v>8</v>
      </c>
      <c r="I81" s="150" t="s">
        <v>780</v>
      </c>
      <c r="J81" s="149" t="s">
        <v>8</v>
      </c>
      <c r="K81" s="150" t="s">
        <v>780</v>
      </c>
      <c r="L81" s="149" t="s">
        <v>8</v>
      </c>
      <c r="M81" s="150" t="s">
        <v>780</v>
      </c>
      <c r="N81" s="149" t="s">
        <v>8</v>
      </c>
      <c r="O81" s="150" t="s">
        <v>780</v>
      </c>
      <c r="P81" s="149" t="s">
        <v>8</v>
      </c>
      <c r="Q81" s="150" t="s">
        <v>780</v>
      </c>
      <c r="R81" s="149" t="s">
        <v>8</v>
      </c>
      <c r="S81" s="150" t="s">
        <v>780</v>
      </c>
    </row>
    <row r="82" spans="1:19" outlineLevel="1" x14ac:dyDescent="0.3">
      <c r="A82" s="173" t="s">
        <v>8302</v>
      </c>
      <c r="B82" s="271" t="s">
        <v>8287</v>
      </c>
      <c r="C82" s="272">
        <v>10</v>
      </c>
      <c r="D82" s="271" t="s">
        <v>8827</v>
      </c>
      <c r="E82" s="272">
        <v>10</v>
      </c>
      <c r="F82" s="271" t="s">
        <v>8294</v>
      </c>
      <c r="G82" s="272">
        <v>10</v>
      </c>
      <c r="H82" s="271" t="s">
        <v>8844</v>
      </c>
      <c r="I82" s="272">
        <v>10</v>
      </c>
      <c r="J82" s="271" t="s">
        <v>8298</v>
      </c>
      <c r="K82" s="272">
        <v>10</v>
      </c>
      <c r="L82" s="271" t="s">
        <v>8288</v>
      </c>
      <c r="M82" s="272">
        <v>10</v>
      </c>
      <c r="N82" s="271" t="s">
        <v>637</v>
      </c>
      <c r="O82" s="272">
        <v>10</v>
      </c>
      <c r="P82" s="271" t="s">
        <v>8852</v>
      </c>
      <c r="Q82" s="272">
        <v>10</v>
      </c>
      <c r="R82" s="271" t="s">
        <v>639</v>
      </c>
      <c r="S82" s="272">
        <v>10</v>
      </c>
    </row>
    <row r="83" spans="1:19" s="221" customFormat="1" outlineLevel="1" x14ac:dyDescent="0.3">
      <c r="A83" s="122" t="s">
        <v>8303</v>
      </c>
      <c r="B83" s="208"/>
      <c r="C83" s="273"/>
      <c r="D83" s="208"/>
      <c r="E83" s="273"/>
      <c r="F83" s="208"/>
      <c r="G83" s="273"/>
      <c r="H83" s="208"/>
      <c r="I83" s="273"/>
      <c r="J83" s="208"/>
      <c r="K83" s="273"/>
      <c r="L83" s="208"/>
      <c r="M83" s="273"/>
      <c r="N83" s="208"/>
      <c r="O83" s="273"/>
      <c r="P83" s="208"/>
      <c r="Q83" s="273"/>
      <c r="R83" s="208"/>
      <c r="S83" s="273"/>
    </row>
    <row r="84" spans="1:19" s="221" customFormat="1" outlineLevel="1" x14ac:dyDescent="0.3">
      <c r="A84" s="122" t="s">
        <v>8304</v>
      </c>
      <c r="B84" s="208"/>
      <c r="C84" s="273"/>
      <c r="D84" s="208"/>
      <c r="E84" s="273"/>
      <c r="F84" s="208"/>
      <c r="G84" s="273"/>
      <c r="H84" s="208"/>
      <c r="I84" s="273"/>
      <c r="J84" s="208"/>
      <c r="K84" s="273"/>
      <c r="L84" s="208"/>
      <c r="M84" s="273"/>
      <c r="N84" s="208"/>
      <c r="O84" s="273"/>
      <c r="P84" s="208"/>
      <c r="Q84" s="273"/>
      <c r="R84" s="208"/>
      <c r="S84" s="273"/>
    </row>
    <row r="85" spans="1:19" s="221" customFormat="1" outlineLevel="1" x14ac:dyDescent="0.3">
      <c r="A85" s="123" t="s">
        <v>8305</v>
      </c>
      <c r="B85" s="270"/>
      <c r="C85" s="274"/>
      <c r="D85" s="270"/>
      <c r="E85" s="274"/>
      <c r="F85" s="270"/>
      <c r="G85" s="274"/>
      <c r="H85" s="270"/>
      <c r="I85" s="274"/>
      <c r="J85" s="270"/>
      <c r="K85" s="274"/>
      <c r="L85" s="270"/>
      <c r="M85" s="274"/>
      <c r="N85" s="270"/>
      <c r="O85" s="274"/>
      <c r="P85" s="270"/>
      <c r="Q85" s="274"/>
      <c r="R85" s="270"/>
      <c r="S85" s="274"/>
    </row>
    <row r="86" spans="1:19" s="221" customFormat="1" outlineLevel="1" x14ac:dyDescent="0.3"/>
    <row r="87" spans="1:19" s="221" customFormat="1" outlineLevel="1" x14ac:dyDescent="0.3">
      <c r="A87" s="242" t="s">
        <v>8240</v>
      </c>
      <c r="B87" s="240" t="s">
        <v>8718</v>
      </c>
      <c r="C87" s="241"/>
      <c r="D87" s="240" t="s">
        <v>8247</v>
      </c>
      <c r="E87" s="241"/>
      <c r="F87" s="240" t="s">
        <v>8247</v>
      </c>
      <c r="G87" s="241"/>
      <c r="H87" s="240" t="s">
        <v>8719</v>
      </c>
      <c r="I87" s="241"/>
      <c r="J87" s="240" t="s">
        <v>8248</v>
      </c>
      <c r="K87" s="241"/>
      <c r="L87" s="240" t="s">
        <v>8857</v>
      </c>
      <c r="M87" s="241"/>
      <c r="N87" s="240" t="s">
        <v>8858</v>
      </c>
      <c r="O87" s="241"/>
      <c r="P87" s="240" t="s">
        <v>8859</v>
      </c>
      <c r="Q87" s="241"/>
      <c r="R87" s="240" t="s">
        <v>8860</v>
      </c>
      <c r="S87" s="241"/>
    </row>
    <row r="88" spans="1:19" s="221" customFormat="1" outlineLevel="1" x14ac:dyDescent="0.3">
      <c r="A88" s="148" t="s">
        <v>8306</v>
      </c>
      <c r="B88" s="149" t="s">
        <v>8</v>
      </c>
      <c r="C88" s="150" t="s">
        <v>780</v>
      </c>
      <c r="D88" s="149" t="s">
        <v>8</v>
      </c>
      <c r="E88" s="150" t="s">
        <v>780</v>
      </c>
      <c r="F88" s="149" t="s">
        <v>8</v>
      </c>
      <c r="G88" s="150" t="s">
        <v>780</v>
      </c>
      <c r="H88" s="149" t="s">
        <v>8</v>
      </c>
      <c r="I88" s="150" t="s">
        <v>780</v>
      </c>
      <c r="J88" s="149" t="s">
        <v>8</v>
      </c>
      <c r="K88" s="150" t="s">
        <v>780</v>
      </c>
      <c r="L88" s="149" t="s">
        <v>8</v>
      </c>
      <c r="M88" s="150" t="s">
        <v>780</v>
      </c>
      <c r="N88" s="149" t="s">
        <v>8</v>
      </c>
      <c r="O88" s="150" t="s">
        <v>780</v>
      </c>
      <c r="P88" s="149" t="s">
        <v>8</v>
      </c>
      <c r="Q88" s="150" t="s">
        <v>780</v>
      </c>
      <c r="R88" s="149" t="s">
        <v>8</v>
      </c>
      <c r="S88" s="150" t="s">
        <v>780</v>
      </c>
    </row>
    <row r="89" spans="1:19" outlineLevel="1" x14ac:dyDescent="0.3">
      <c r="A89" s="148" t="s">
        <v>8302</v>
      </c>
      <c r="B89" s="265" t="s">
        <v>8287</v>
      </c>
      <c r="C89" s="138">
        <v>10</v>
      </c>
      <c r="D89" s="266" t="s">
        <v>8844</v>
      </c>
      <c r="E89" s="138">
        <v>10</v>
      </c>
      <c r="F89" s="266" t="s">
        <v>8847</v>
      </c>
      <c r="G89" s="138">
        <v>10</v>
      </c>
      <c r="H89" s="266" t="s">
        <v>8827</v>
      </c>
      <c r="I89" s="138">
        <v>10</v>
      </c>
      <c r="J89" s="266" t="s">
        <v>8298</v>
      </c>
      <c r="K89" s="138">
        <v>10</v>
      </c>
      <c r="L89" s="266" t="s">
        <v>8288</v>
      </c>
      <c r="M89" s="138">
        <v>10</v>
      </c>
      <c r="N89" s="266" t="s">
        <v>637</v>
      </c>
      <c r="O89" s="138">
        <v>10</v>
      </c>
      <c r="P89" s="266" t="s">
        <v>8852</v>
      </c>
      <c r="Q89" s="138">
        <v>10</v>
      </c>
      <c r="R89" s="266" t="s">
        <v>639</v>
      </c>
      <c r="S89" s="138">
        <v>10</v>
      </c>
    </row>
    <row r="90" spans="1:19" s="221" customFormat="1" outlineLevel="1" x14ac:dyDescent="0.3">
      <c r="A90" s="122" t="s">
        <v>8303</v>
      </c>
      <c r="B90" s="208"/>
      <c r="C90" s="273"/>
      <c r="D90" s="208"/>
      <c r="E90" s="273"/>
      <c r="F90" s="208"/>
      <c r="G90" s="273"/>
      <c r="H90" s="208"/>
      <c r="I90" s="273"/>
      <c r="J90" s="208"/>
      <c r="K90" s="273"/>
      <c r="L90" s="208"/>
      <c r="M90" s="273"/>
      <c r="N90" s="208"/>
      <c r="O90" s="273"/>
      <c r="P90" s="208"/>
      <c r="Q90" s="273"/>
      <c r="R90" s="208"/>
      <c r="S90" s="273"/>
    </row>
    <row r="91" spans="1:19" s="221" customFormat="1" outlineLevel="1" x14ac:dyDescent="0.3">
      <c r="A91" s="122" t="s">
        <v>8304</v>
      </c>
      <c r="B91" s="208"/>
      <c r="C91" s="273"/>
      <c r="D91" s="208"/>
      <c r="E91" s="273"/>
      <c r="F91" s="208"/>
      <c r="G91" s="273"/>
      <c r="H91" s="208"/>
      <c r="I91" s="273"/>
      <c r="J91" s="208"/>
      <c r="K91" s="273"/>
      <c r="L91" s="208"/>
      <c r="M91" s="273"/>
      <c r="N91" s="208"/>
      <c r="O91" s="273"/>
      <c r="P91" s="208"/>
      <c r="Q91" s="273"/>
      <c r="R91" s="208"/>
      <c r="S91" s="273"/>
    </row>
    <row r="92" spans="1:19" s="221" customFormat="1" outlineLevel="1" x14ac:dyDescent="0.3">
      <c r="A92" s="123" t="s">
        <v>8305</v>
      </c>
      <c r="B92" s="270"/>
      <c r="C92" s="274"/>
      <c r="D92" s="270"/>
      <c r="E92" s="274"/>
      <c r="F92" s="270"/>
      <c r="G92" s="274"/>
      <c r="H92" s="270"/>
      <c r="I92" s="274"/>
      <c r="J92" s="270"/>
      <c r="K92" s="274"/>
      <c r="L92" s="270"/>
      <c r="M92" s="274"/>
      <c r="N92" s="270"/>
      <c r="O92" s="274"/>
      <c r="P92" s="270"/>
      <c r="Q92" s="274"/>
      <c r="R92" s="270"/>
      <c r="S92" s="274"/>
    </row>
    <row r="93" spans="1:19" outlineLevel="1" x14ac:dyDescent="0.3"/>
    <row r="95" spans="1:19" ht="18" x14ac:dyDescent="0.35">
      <c r="A95" s="141" t="s">
        <v>8350</v>
      </c>
    </row>
    <row r="96" spans="1:19" outlineLevel="1" x14ac:dyDescent="0.3">
      <c r="A96" s="143" t="s">
        <v>1772</v>
      </c>
      <c r="B96" s="143"/>
      <c r="C96" s="143"/>
      <c r="D96" s="143"/>
      <c r="E96" s="143"/>
      <c r="F96" s="143"/>
      <c r="G96" s="143"/>
      <c r="H96" s="143"/>
      <c r="I96" s="143"/>
      <c r="J96" s="143"/>
    </row>
    <row r="97" spans="1:19" outlineLevel="1" x14ac:dyDescent="0.3">
      <c r="A97" s="171"/>
      <c r="B97" s="171"/>
      <c r="C97" s="172"/>
      <c r="D97" s="147" t="s">
        <v>8477</v>
      </c>
      <c r="E97" s="145"/>
      <c r="F97" s="146"/>
      <c r="G97" s="147" t="s">
        <v>768</v>
      </c>
      <c r="H97" s="145"/>
      <c r="I97" s="146"/>
      <c r="J97" s="147" t="s">
        <v>8352</v>
      </c>
      <c r="K97" s="145"/>
      <c r="L97" s="145"/>
      <c r="M97" s="145"/>
      <c r="N97" s="145"/>
      <c r="O97" s="145"/>
      <c r="P97" s="145"/>
      <c r="Q97" s="145"/>
      <c r="R97" s="145"/>
      <c r="S97" s="146"/>
    </row>
    <row r="98" spans="1:19" outlineLevel="1" x14ac:dyDescent="0.3">
      <c r="A98" s="151" t="s">
        <v>852</v>
      </c>
      <c r="B98" s="151" t="s">
        <v>855</v>
      </c>
      <c r="C98" s="150" t="s">
        <v>8</v>
      </c>
      <c r="D98" s="149" t="s">
        <v>18</v>
      </c>
      <c r="E98" s="149" t="s">
        <v>6869</v>
      </c>
      <c r="F98" s="150" t="s">
        <v>8478</v>
      </c>
      <c r="G98" s="149">
        <v>1</v>
      </c>
      <c r="H98" s="149">
        <v>2</v>
      </c>
      <c r="I98" s="150">
        <v>3</v>
      </c>
      <c r="J98" s="151" t="s">
        <v>8353</v>
      </c>
      <c r="K98" s="149" t="s">
        <v>8354</v>
      </c>
      <c r="L98" s="149" t="s">
        <v>8355</v>
      </c>
      <c r="M98" s="149" t="s">
        <v>8356</v>
      </c>
      <c r="N98" s="149" t="s">
        <v>8357</v>
      </c>
      <c r="O98" s="149" t="s">
        <v>8358</v>
      </c>
      <c r="P98" s="149" t="s">
        <v>8359</v>
      </c>
      <c r="Q98" s="149" t="s">
        <v>8360</v>
      </c>
      <c r="R98" s="149" t="s">
        <v>8361</v>
      </c>
      <c r="S98" s="150" t="s">
        <v>8362</v>
      </c>
    </row>
    <row r="99" spans="1:19" outlineLevel="1" x14ac:dyDescent="0.3">
      <c r="A99" s="156"/>
      <c r="B99" s="198">
        <v>1</v>
      </c>
      <c r="C99" s="204" t="s">
        <v>856</v>
      </c>
      <c r="D99" s="157">
        <v>100</v>
      </c>
      <c r="E99" s="157">
        <v>5</v>
      </c>
      <c r="F99" s="159">
        <v>10</v>
      </c>
      <c r="G99" s="157">
        <v>10</v>
      </c>
      <c r="H99" s="157">
        <v>10</v>
      </c>
      <c r="I99" s="159">
        <v>10</v>
      </c>
      <c r="J99" s="152">
        <v>20</v>
      </c>
      <c r="K99" s="153">
        <v>20</v>
      </c>
      <c r="L99" s="153">
        <v>20</v>
      </c>
      <c r="M99" s="153">
        <v>20</v>
      </c>
      <c r="N99" s="153">
        <v>20</v>
      </c>
      <c r="O99" s="153">
        <v>20</v>
      </c>
      <c r="P99" s="153">
        <v>20</v>
      </c>
      <c r="Q99" s="153">
        <v>20</v>
      </c>
      <c r="R99" s="153">
        <v>20</v>
      </c>
      <c r="S99" s="154">
        <v>20</v>
      </c>
    </row>
    <row r="100" spans="1:19" outlineLevel="1" x14ac:dyDescent="0.3">
      <c r="A100" s="156"/>
      <c r="B100" s="198">
        <v>2</v>
      </c>
      <c r="C100" s="204" t="s">
        <v>857</v>
      </c>
      <c r="D100" s="157">
        <v>100</v>
      </c>
      <c r="E100" s="157">
        <v>5</v>
      </c>
      <c r="F100" s="159">
        <v>10</v>
      </c>
      <c r="G100" s="157">
        <v>10</v>
      </c>
      <c r="H100" s="157">
        <v>10</v>
      </c>
      <c r="I100" s="159">
        <v>10</v>
      </c>
      <c r="J100" s="156">
        <v>20</v>
      </c>
      <c r="K100" s="157">
        <v>20</v>
      </c>
      <c r="L100" s="157">
        <v>20</v>
      </c>
      <c r="M100" s="157">
        <v>20</v>
      </c>
      <c r="N100" s="157">
        <v>20</v>
      </c>
      <c r="O100" s="157">
        <v>20</v>
      </c>
      <c r="P100" s="157">
        <v>20</v>
      </c>
      <c r="Q100" s="157">
        <v>20</v>
      </c>
      <c r="R100" s="157">
        <v>20</v>
      </c>
      <c r="S100" s="159">
        <v>20</v>
      </c>
    </row>
    <row r="101" spans="1:19" outlineLevel="1" x14ac:dyDescent="0.3">
      <c r="A101" s="156"/>
      <c r="B101" s="198">
        <v>3</v>
      </c>
      <c r="C101" s="204" t="s">
        <v>858</v>
      </c>
      <c r="D101" s="157">
        <v>100</v>
      </c>
      <c r="E101" s="157">
        <v>5</v>
      </c>
      <c r="F101" s="159">
        <v>10</v>
      </c>
      <c r="G101" s="157">
        <v>10</v>
      </c>
      <c r="H101" s="157">
        <v>10</v>
      </c>
      <c r="I101" s="159">
        <v>10</v>
      </c>
      <c r="J101" s="156">
        <v>20</v>
      </c>
      <c r="K101" s="157">
        <v>20</v>
      </c>
      <c r="L101" s="157">
        <v>20</v>
      </c>
      <c r="M101" s="157">
        <v>20</v>
      </c>
      <c r="N101" s="157">
        <v>20</v>
      </c>
      <c r="O101" s="157">
        <v>20</v>
      </c>
      <c r="P101" s="157">
        <v>20</v>
      </c>
      <c r="Q101" s="157">
        <v>20</v>
      </c>
      <c r="R101" s="157">
        <v>20</v>
      </c>
      <c r="S101" s="159">
        <v>20</v>
      </c>
    </row>
    <row r="102" spans="1:19" outlineLevel="1" x14ac:dyDescent="0.3">
      <c r="A102" s="156"/>
      <c r="B102" s="198">
        <v>4</v>
      </c>
      <c r="C102" s="204" t="s">
        <v>859</v>
      </c>
      <c r="D102" s="157">
        <v>100</v>
      </c>
      <c r="E102" s="157">
        <v>5</v>
      </c>
      <c r="F102" s="159">
        <v>10</v>
      </c>
      <c r="G102" s="157">
        <v>10</v>
      </c>
      <c r="H102" s="157">
        <v>10</v>
      </c>
      <c r="I102" s="159">
        <v>10</v>
      </c>
      <c r="J102" s="156">
        <v>20</v>
      </c>
      <c r="K102" s="157">
        <v>20</v>
      </c>
      <c r="L102" s="157">
        <v>20</v>
      </c>
      <c r="M102" s="157">
        <v>20</v>
      </c>
      <c r="N102" s="157">
        <v>20</v>
      </c>
      <c r="O102" s="157">
        <v>20</v>
      </c>
      <c r="P102" s="157">
        <v>20</v>
      </c>
      <c r="Q102" s="157">
        <v>20</v>
      </c>
      <c r="R102" s="157">
        <v>20</v>
      </c>
      <c r="S102" s="159">
        <v>20</v>
      </c>
    </row>
    <row r="103" spans="1:19" outlineLevel="1" x14ac:dyDescent="0.3">
      <c r="A103" s="156"/>
      <c r="B103" s="198">
        <v>5</v>
      </c>
      <c r="C103" s="204" t="s">
        <v>860</v>
      </c>
      <c r="D103" s="157">
        <v>100</v>
      </c>
      <c r="E103" s="157">
        <v>5</v>
      </c>
      <c r="F103" s="159">
        <v>10</v>
      </c>
      <c r="G103" s="157">
        <v>10</v>
      </c>
      <c r="H103" s="157">
        <v>10</v>
      </c>
      <c r="I103" s="159">
        <v>10</v>
      </c>
      <c r="J103" s="156">
        <v>20</v>
      </c>
      <c r="K103" s="157">
        <v>20</v>
      </c>
      <c r="L103" s="157">
        <v>20</v>
      </c>
      <c r="M103" s="157">
        <v>20</v>
      </c>
      <c r="N103" s="157">
        <v>20</v>
      </c>
      <c r="O103" s="157">
        <v>20</v>
      </c>
      <c r="P103" s="157">
        <v>20</v>
      </c>
      <c r="Q103" s="157">
        <v>20</v>
      </c>
      <c r="R103" s="157">
        <v>20</v>
      </c>
      <c r="S103" s="159">
        <v>20</v>
      </c>
    </row>
    <row r="104" spans="1:19" outlineLevel="1" x14ac:dyDescent="0.3">
      <c r="A104" s="156"/>
      <c r="B104" s="198">
        <v>6</v>
      </c>
      <c r="C104" s="204" t="s">
        <v>861</v>
      </c>
      <c r="D104" s="157">
        <v>100</v>
      </c>
      <c r="E104" s="157">
        <v>5</v>
      </c>
      <c r="F104" s="159">
        <v>10</v>
      </c>
      <c r="G104" s="157">
        <v>10</v>
      </c>
      <c r="H104" s="157">
        <v>10</v>
      </c>
      <c r="I104" s="159">
        <v>10</v>
      </c>
      <c r="J104" s="156">
        <v>20</v>
      </c>
      <c r="K104" s="157">
        <v>20</v>
      </c>
      <c r="L104" s="157">
        <v>20</v>
      </c>
      <c r="M104" s="157">
        <v>20</v>
      </c>
      <c r="N104" s="157">
        <v>20</v>
      </c>
      <c r="O104" s="157">
        <v>20</v>
      </c>
      <c r="P104" s="157">
        <v>20</v>
      </c>
      <c r="Q104" s="157">
        <v>20</v>
      </c>
      <c r="R104" s="157">
        <v>20</v>
      </c>
      <c r="S104" s="159">
        <v>20</v>
      </c>
    </row>
    <row r="105" spans="1:19" outlineLevel="1" x14ac:dyDescent="0.3">
      <c r="A105" s="156"/>
      <c r="B105" s="198">
        <v>7</v>
      </c>
      <c r="C105" s="204" t="s">
        <v>862</v>
      </c>
      <c r="D105" s="157">
        <v>100</v>
      </c>
      <c r="E105" s="157">
        <v>5</v>
      </c>
      <c r="F105" s="159">
        <v>10</v>
      </c>
      <c r="G105" s="157">
        <v>10</v>
      </c>
      <c r="H105" s="157">
        <v>10</v>
      </c>
      <c r="I105" s="159">
        <v>10</v>
      </c>
      <c r="J105" s="156">
        <v>20</v>
      </c>
      <c r="K105" s="157">
        <v>20</v>
      </c>
      <c r="L105" s="157">
        <v>20</v>
      </c>
      <c r="M105" s="157">
        <v>20</v>
      </c>
      <c r="N105" s="157">
        <v>20</v>
      </c>
      <c r="O105" s="157">
        <v>20</v>
      </c>
      <c r="P105" s="157">
        <v>20</v>
      </c>
      <c r="Q105" s="157">
        <v>20</v>
      </c>
      <c r="R105" s="157">
        <v>20</v>
      </c>
      <c r="S105" s="159">
        <v>20</v>
      </c>
    </row>
    <row r="106" spans="1:19" outlineLevel="1" x14ac:dyDescent="0.3">
      <c r="A106" s="156"/>
      <c r="B106" s="198">
        <v>8</v>
      </c>
      <c r="C106" s="204" t="s">
        <v>1741</v>
      </c>
      <c r="D106" s="157">
        <v>100</v>
      </c>
      <c r="E106" s="157">
        <v>5</v>
      </c>
      <c r="F106" s="159">
        <v>10</v>
      </c>
      <c r="G106" s="157">
        <v>10</v>
      </c>
      <c r="H106" s="157">
        <v>10</v>
      </c>
      <c r="I106" s="159">
        <v>10</v>
      </c>
      <c r="J106" s="156">
        <v>20</v>
      </c>
      <c r="K106" s="157">
        <v>20</v>
      </c>
      <c r="L106" s="157">
        <v>20</v>
      </c>
      <c r="M106" s="157">
        <v>20</v>
      </c>
      <c r="N106" s="157">
        <v>20</v>
      </c>
      <c r="O106" s="157">
        <v>20</v>
      </c>
      <c r="P106" s="157">
        <v>20</v>
      </c>
      <c r="Q106" s="157">
        <v>20</v>
      </c>
      <c r="R106" s="157">
        <v>20</v>
      </c>
      <c r="S106" s="159">
        <v>20</v>
      </c>
    </row>
    <row r="107" spans="1:19" outlineLevel="1" x14ac:dyDescent="0.3">
      <c r="A107" s="156"/>
      <c r="B107" s="198">
        <v>9</v>
      </c>
      <c r="C107" s="204" t="s">
        <v>6760</v>
      </c>
      <c r="D107" s="157">
        <v>100</v>
      </c>
      <c r="E107" s="157">
        <v>5</v>
      </c>
      <c r="F107" s="159">
        <v>10</v>
      </c>
      <c r="G107" s="157">
        <v>10</v>
      </c>
      <c r="H107" s="157">
        <v>10</v>
      </c>
      <c r="I107" s="159">
        <v>10</v>
      </c>
      <c r="J107" s="156">
        <v>20</v>
      </c>
      <c r="K107" s="157">
        <v>20</v>
      </c>
      <c r="L107" s="157">
        <v>20</v>
      </c>
      <c r="M107" s="157">
        <v>20</v>
      </c>
      <c r="N107" s="157">
        <v>20</v>
      </c>
      <c r="O107" s="157">
        <v>20</v>
      </c>
      <c r="P107" s="157">
        <v>20</v>
      </c>
      <c r="Q107" s="157">
        <v>20</v>
      </c>
      <c r="R107" s="157">
        <v>20</v>
      </c>
      <c r="S107" s="159">
        <v>20</v>
      </c>
    </row>
    <row r="108" spans="1:19" outlineLevel="1" x14ac:dyDescent="0.3">
      <c r="A108" s="156"/>
      <c r="B108" s="198">
        <v>10</v>
      </c>
      <c r="C108" s="204" t="s">
        <v>8326</v>
      </c>
      <c r="D108" s="157">
        <v>100</v>
      </c>
      <c r="E108" s="157">
        <v>5</v>
      </c>
      <c r="F108" s="159">
        <v>10</v>
      </c>
      <c r="G108" s="157">
        <v>10</v>
      </c>
      <c r="H108" s="157">
        <v>10</v>
      </c>
      <c r="I108" s="159">
        <v>10</v>
      </c>
      <c r="J108" s="156">
        <v>20</v>
      </c>
      <c r="K108" s="157">
        <v>20</v>
      </c>
      <c r="L108" s="157">
        <v>20</v>
      </c>
      <c r="M108" s="157">
        <v>20</v>
      </c>
      <c r="N108" s="157">
        <v>20</v>
      </c>
      <c r="O108" s="157">
        <v>20</v>
      </c>
      <c r="P108" s="157">
        <v>20</v>
      </c>
      <c r="Q108" s="157">
        <v>20</v>
      </c>
      <c r="R108" s="157">
        <v>20</v>
      </c>
      <c r="S108" s="159">
        <v>20</v>
      </c>
    </row>
    <row r="109" spans="1:19" outlineLevel="1" x14ac:dyDescent="0.3">
      <c r="A109" s="156"/>
      <c r="B109" s="198">
        <v>11</v>
      </c>
      <c r="C109" s="204" t="s">
        <v>9048</v>
      </c>
      <c r="D109" s="157">
        <v>100</v>
      </c>
      <c r="E109" s="157">
        <v>5</v>
      </c>
      <c r="F109" s="159">
        <v>10</v>
      </c>
      <c r="G109" s="157">
        <v>10</v>
      </c>
      <c r="H109" s="157">
        <v>10</v>
      </c>
      <c r="I109" s="159">
        <v>10</v>
      </c>
      <c r="J109" s="156">
        <v>20</v>
      </c>
      <c r="K109" s="157">
        <v>20</v>
      </c>
      <c r="L109" s="157">
        <v>20</v>
      </c>
      <c r="M109" s="157">
        <v>20</v>
      </c>
      <c r="N109" s="157">
        <v>20</v>
      </c>
      <c r="O109" s="157">
        <v>20</v>
      </c>
      <c r="P109" s="157">
        <v>20</v>
      </c>
      <c r="Q109" s="157">
        <v>20</v>
      </c>
      <c r="R109" s="157">
        <v>20</v>
      </c>
      <c r="S109" s="159">
        <v>20</v>
      </c>
    </row>
    <row r="110" spans="1:19" outlineLevel="1" x14ac:dyDescent="0.3">
      <c r="A110" s="160"/>
      <c r="B110" s="151">
        <v>12</v>
      </c>
      <c r="C110" s="150" t="s">
        <v>7996</v>
      </c>
      <c r="D110" s="217"/>
      <c r="E110" s="217"/>
      <c r="F110" s="218"/>
      <c r="G110" s="217"/>
      <c r="H110" s="217"/>
      <c r="I110" s="218"/>
      <c r="J110" s="275"/>
      <c r="K110" s="217"/>
      <c r="L110" s="217"/>
      <c r="M110" s="217"/>
      <c r="N110" s="217"/>
      <c r="O110" s="217"/>
      <c r="P110" s="217"/>
      <c r="Q110" s="217"/>
      <c r="R110" s="217"/>
      <c r="S110" s="218"/>
    </row>
    <row r="111" spans="1:19" outlineLevel="1" x14ac:dyDescent="0.3"/>
    <row r="112" spans="1:19" outlineLevel="1" x14ac:dyDescent="0.3">
      <c r="A112" s="143" t="s">
        <v>1773</v>
      </c>
    </row>
    <row r="113" spans="1:16" outlineLevel="1" x14ac:dyDescent="0.3">
      <c r="A113" s="144"/>
      <c r="B113" s="171"/>
      <c r="C113" s="205"/>
      <c r="D113" s="145" t="s">
        <v>1765</v>
      </c>
      <c r="E113" s="145"/>
      <c r="F113" s="145"/>
      <c r="G113" s="146"/>
      <c r="H113" s="145" t="s">
        <v>768</v>
      </c>
      <c r="I113" s="145"/>
      <c r="J113" s="145"/>
      <c r="K113" s="146"/>
      <c r="L113" s="145" t="s">
        <v>1031</v>
      </c>
      <c r="M113" s="146"/>
      <c r="N113" s="167" t="s">
        <v>1766</v>
      </c>
    </row>
    <row r="114" spans="1:16" outlineLevel="1" x14ac:dyDescent="0.3">
      <c r="A114" s="148" t="s">
        <v>852</v>
      </c>
      <c r="B114" s="151" t="s">
        <v>1030</v>
      </c>
      <c r="C114" s="150" t="s">
        <v>8</v>
      </c>
      <c r="D114" s="149" t="s">
        <v>18</v>
      </c>
      <c r="E114" s="149" t="s">
        <v>6869</v>
      </c>
      <c r="F114" s="149" t="s">
        <v>6870</v>
      </c>
      <c r="G114" s="150" t="s">
        <v>60</v>
      </c>
      <c r="H114" s="149">
        <v>1</v>
      </c>
      <c r="I114" s="149">
        <v>2</v>
      </c>
      <c r="J114" s="149">
        <v>3</v>
      </c>
      <c r="K114" s="150">
        <v>4</v>
      </c>
      <c r="L114" s="149">
        <v>1</v>
      </c>
      <c r="M114" s="150">
        <v>2</v>
      </c>
      <c r="N114" s="182" t="s">
        <v>1771</v>
      </c>
    </row>
    <row r="115" spans="1:16" outlineLevel="1" x14ac:dyDescent="0.3">
      <c r="A115" s="209"/>
      <c r="B115" s="210">
        <v>1</v>
      </c>
      <c r="C115" s="211" t="s">
        <v>1695</v>
      </c>
      <c r="D115" s="153">
        <v>100</v>
      </c>
      <c r="E115" s="153">
        <v>5</v>
      </c>
      <c r="F115" s="153">
        <v>4</v>
      </c>
      <c r="G115" s="154">
        <v>100</v>
      </c>
      <c r="H115" s="152">
        <v>10</v>
      </c>
      <c r="I115" s="153">
        <v>10</v>
      </c>
      <c r="J115" s="153">
        <v>5</v>
      </c>
      <c r="K115" s="154">
        <v>5</v>
      </c>
      <c r="L115" s="153"/>
      <c r="M115" s="154"/>
      <c r="N115" s="212">
        <v>100</v>
      </c>
      <c r="P115" s="183"/>
    </row>
    <row r="116" spans="1:16" outlineLevel="1" x14ac:dyDescent="0.3">
      <c r="A116" s="180"/>
      <c r="B116" s="155">
        <v>2</v>
      </c>
      <c r="C116" s="204" t="s">
        <v>978</v>
      </c>
      <c r="D116" s="157">
        <v>100</v>
      </c>
      <c r="E116" s="157">
        <v>5</v>
      </c>
      <c r="F116" s="157">
        <v>4</v>
      </c>
      <c r="G116" s="159">
        <v>100</v>
      </c>
      <c r="H116" s="156">
        <v>10</v>
      </c>
      <c r="I116" s="157">
        <v>10</v>
      </c>
      <c r="J116" s="157">
        <v>5</v>
      </c>
      <c r="K116" s="159">
        <v>5</v>
      </c>
      <c r="L116" s="157"/>
      <c r="M116" s="159"/>
      <c r="N116" s="213">
        <v>102</v>
      </c>
    </row>
    <row r="117" spans="1:16" outlineLevel="1" x14ac:dyDescent="0.3">
      <c r="A117" s="180"/>
      <c r="B117" s="155">
        <v>3</v>
      </c>
      <c r="C117" s="204" t="s">
        <v>981</v>
      </c>
      <c r="D117" s="157">
        <v>100</v>
      </c>
      <c r="E117" s="157">
        <v>5</v>
      </c>
      <c r="F117" s="157">
        <v>4</v>
      </c>
      <c r="G117" s="159">
        <v>100</v>
      </c>
      <c r="H117" s="156">
        <v>10</v>
      </c>
      <c r="I117" s="157">
        <v>10</v>
      </c>
      <c r="J117" s="157">
        <v>5</v>
      </c>
      <c r="K117" s="159">
        <v>5</v>
      </c>
      <c r="L117" s="157"/>
      <c r="M117" s="159"/>
      <c r="N117" s="213">
        <v>104</v>
      </c>
    </row>
    <row r="118" spans="1:16" outlineLevel="1" x14ac:dyDescent="0.3">
      <c r="A118" s="180"/>
      <c r="B118" s="155">
        <v>4</v>
      </c>
      <c r="C118" s="204" t="s">
        <v>987</v>
      </c>
      <c r="D118" s="157">
        <v>100</v>
      </c>
      <c r="E118" s="157">
        <v>5</v>
      </c>
      <c r="F118" s="157">
        <v>4</v>
      </c>
      <c r="G118" s="159">
        <v>100</v>
      </c>
      <c r="H118" s="156">
        <v>10</v>
      </c>
      <c r="I118" s="157">
        <v>10</v>
      </c>
      <c r="J118" s="157">
        <v>5</v>
      </c>
      <c r="K118" s="159">
        <v>5</v>
      </c>
      <c r="L118" s="157"/>
      <c r="M118" s="159"/>
      <c r="N118" s="213">
        <v>105</v>
      </c>
    </row>
    <row r="119" spans="1:16" outlineLevel="1" x14ac:dyDescent="0.3">
      <c r="A119" s="180"/>
      <c r="B119" s="155">
        <v>5</v>
      </c>
      <c r="C119" s="204" t="s">
        <v>986</v>
      </c>
      <c r="D119" s="157">
        <v>100</v>
      </c>
      <c r="E119" s="157">
        <v>5</v>
      </c>
      <c r="F119" s="157">
        <v>4</v>
      </c>
      <c r="G119" s="159">
        <v>100</v>
      </c>
      <c r="H119" s="156">
        <v>10</v>
      </c>
      <c r="I119" s="157">
        <v>10</v>
      </c>
      <c r="J119" s="157">
        <v>5</v>
      </c>
      <c r="K119" s="159">
        <v>5</v>
      </c>
      <c r="L119" s="157"/>
      <c r="M119" s="159"/>
      <c r="N119" s="213">
        <v>106</v>
      </c>
    </row>
    <row r="120" spans="1:16" outlineLevel="1" x14ac:dyDescent="0.3">
      <c r="A120" s="177"/>
      <c r="B120" s="149">
        <v>6</v>
      </c>
      <c r="C120" s="150" t="s">
        <v>6918</v>
      </c>
      <c r="D120" s="161">
        <v>100</v>
      </c>
      <c r="E120" s="161">
        <v>5</v>
      </c>
      <c r="F120" s="161">
        <v>4</v>
      </c>
      <c r="G120" s="138">
        <v>100</v>
      </c>
      <c r="H120" s="160">
        <v>10</v>
      </c>
      <c r="I120" s="161">
        <v>10</v>
      </c>
      <c r="J120" s="161">
        <v>5</v>
      </c>
      <c r="K120" s="138">
        <v>5</v>
      </c>
      <c r="L120" s="161"/>
      <c r="M120" s="138"/>
      <c r="N120" s="214">
        <v>101</v>
      </c>
    </row>
    <row r="121" spans="1:16" s="170" customFormat="1" outlineLevel="1" x14ac:dyDescent="0.3"/>
    <row r="122" spans="1:16" s="170" customFormat="1" x14ac:dyDescent="0.3"/>
    <row r="123" spans="1:16" ht="18" x14ac:dyDescent="0.35">
      <c r="A123" s="141" t="s">
        <v>8351</v>
      </c>
    </row>
    <row r="124" spans="1:16" outlineLevel="1" x14ac:dyDescent="0.3">
      <c r="A124" s="143" t="s">
        <v>8544</v>
      </c>
      <c r="B124" s="143"/>
      <c r="C124" s="143"/>
      <c r="E124" s="183"/>
    </row>
    <row r="125" spans="1:16" outlineLevel="1" x14ac:dyDescent="0.3">
      <c r="A125" s="173" t="s">
        <v>8542</v>
      </c>
      <c r="B125" s="165" t="s">
        <v>782</v>
      </c>
      <c r="C125" s="166" t="s">
        <v>768</v>
      </c>
      <c r="D125" s="165" t="s">
        <v>6586</v>
      </c>
      <c r="E125" s="166" t="s">
        <v>768</v>
      </c>
      <c r="F125" s="165" t="s">
        <v>7090</v>
      </c>
      <c r="G125" s="166" t="s">
        <v>1766</v>
      </c>
      <c r="H125" s="165" t="s">
        <v>8543</v>
      </c>
      <c r="I125" s="166" t="s">
        <v>1766</v>
      </c>
    </row>
    <row r="126" spans="1:16" outlineLevel="1" x14ac:dyDescent="0.3">
      <c r="A126" s="198">
        <v>1</v>
      </c>
      <c r="B126" s="174"/>
      <c r="C126" s="159"/>
      <c r="D126" s="174"/>
      <c r="E126" s="159"/>
      <c r="F126" s="174"/>
      <c r="G126" s="159"/>
      <c r="H126" s="174"/>
      <c r="I126" s="159"/>
    </row>
    <row r="127" spans="1:16" outlineLevel="1" x14ac:dyDescent="0.3">
      <c r="A127" s="198">
        <v>2</v>
      </c>
      <c r="B127" s="175"/>
      <c r="C127" s="159"/>
      <c r="D127" s="175"/>
      <c r="E127" s="159"/>
      <c r="F127" s="175"/>
      <c r="G127" s="159"/>
      <c r="H127" s="175"/>
      <c r="I127" s="159"/>
    </row>
    <row r="128" spans="1:16" outlineLevel="1" x14ac:dyDescent="0.3">
      <c r="A128" s="151">
        <v>3</v>
      </c>
      <c r="B128" s="176"/>
      <c r="C128" s="138"/>
      <c r="D128" s="176"/>
      <c r="E128" s="138"/>
      <c r="F128" s="176"/>
      <c r="G128" s="138"/>
      <c r="H128" s="176"/>
      <c r="I128" s="138"/>
    </row>
    <row r="129" spans="1:3" outlineLevel="1" x14ac:dyDescent="0.3">
      <c r="A129" s="170"/>
      <c r="B129" s="170"/>
      <c r="C129" s="170"/>
    </row>
  </sheetData>
  <dataConsolidate/>
  <mergeCells count="2">
    <mergeCell ref="B16:C16"/>
    <mergeCell ref="B54:C54"/>
  </mergeCells>
  <conditionalFormatting sqref="M59:M67">
    <cfRule type="expression" dxfId="23" priority="28">
      <formula>$B59&lt;&gt;3</formula>
    </cfRule>
  </conditionalFormatting>
  <conditionalFormatting sqref="N59:N67">
    <cfRule type="expression" dxfId="22" priority="27">
      <formula>OR($B59&lt;&gt;3,AND($B59=3,$E59&lt;4))</formula>
    </cfRule>
  </conditionalFormatting>
  <conditionalFormatting sqref="G64:G67 G59:G61">
    <cfRule type="expression" dxfId="21" priority="26">
      <formula>$B59=3</formula>
    </cfRule>
  </conditionalFormatting>
  <conditionalFormatting sqref="L59:L67">
    <cfRule type="expression" dxfId="20" priority="25">
      <formula>OR($B59&lt;&gt;3,$E59&lt;4)</formula>
    </cfRule>
  </conditionalFormatting>
  <conditionalFormatting sqref="K59:K67">
    <cfRule type="expression" dxfId="19" priority="24">
      <formula>B59&lt;&gt;3</formula>
    </cfRule>
  </conditionalFormatting>
  <conditionalFormatting sqref="J64:J67 J59:J61">
    <cfRule type="expression" dxfId="18" priority="23">
      <formula>$B59&lt;2</formula>
    </cfRule>
  </conditionalFormatting>
  <conditionalFormatting sqref="J115:J120">
    <cfRule type="expression" dxfId="17" priority="18">
      <formula>#REF!&lt;&gt;3</formula>
    </cfRule>
  </conditionalFormatting>
  <conditionalFormatting sqref="I115:I120">
    <cfRule type="expression" dxfId="16" priority="17">
      <formula>#REF!&lt;2</formula>
    </cfRule>
  </conditionalFormatting>
  <conditionalFormatting sqref="M115:M120">
    <cfRule type="expression" dxfId="15" priority="31">
      <formula>$E115&lt;4</formula>
    </cfRule>
  </conditionalFormatting>
  <conditionalFormatting sqref="K115:K120">
    <cfRule type="expression" dxfId="14" priority="32">
      <formula>$E115&lt;4</formula>
    </cfRule>
  </conditionalFormatting>
  <conditionalFormatting sqref="G62:G63">
    <cfRule type="expression" dxfId="13" priority="16">
      <formula>$B62=3</formula>
    </cfRule>
  </conditionalFormatting>
  <conditionalFormatting sqref="J62:J63">
    <cfRule type="expression" dxfId="12" priority="15">
      <formula>$B62&lt;2</formula>
    </cfRule>
  </conditionalFormatting>
  <conditionalFormatting sqref="G62:G63">
    <cfRule type="expression" dxfId="11" priority="14">
      <formula>$B62=3</formula>
    </cfRule>
  </conditionalFormatting>
  <conditionalFormatting sqref="G60:G61">
    <cfRule type="expression" dxfId="10" priority="13">
      <formula>$B60=3</formula>
    </cfRule>
  </conditionalFormatting>
  <conditionalFormatting sqref="M75">
    <cfRule type="expression" dxfId="9" priority="12">
      <formula>$J$75="Doll"</formula>
    </cfRule>
  </conditionalFormatting>
  <conditionalFormatting sqref="L75">
    <cfRule type="expression" dxfId="8" priority="10">
      <formula>OR($J$75="SF",$J$75="HOC")</formula>
    </cfRule>
  </conditionalFormatting>
  <conditionalFormatting sqref="H82:I85">
    <cfRule type="expression" dxfId="7" priority="33">
      <formula>$C$75&lt;7</formula>
    </cfRule>
  </conditionalFormatting>
  <conditionalFormatting sqref="J82:K85">
    <cfRule type="expression" dxfId="6" priority="7">
      <formula>$C$75&lt;12</formula>
    </cfRule>
  </conditionalFormatting>
  <conditionalFormatting sqref="H89:I89">
    <cfRule type="expression" dxfId="5" priority="36">
      <formula>$C76&lt;7</formula>
    </cfRule>
  </conditionalFormatting>
  <conditionalFormatting sqref="J89:K89">
    <cfRule type="expression" dxfId="4" priority="38">
      <formula>$C76&lt;12</formula>
    </cfRule>
  </conditionalFormatting>
  <conditionalFormatting sqref="C83:C85 E83:E85 G83:G85 I83:I85 K83:K85 M83:M85 O83:O85 Q83:Q85 S83:S85">
    <cfRule type="expression" dxfId="3" priority="34">
      <formula>B83&lt;&gt;"skill"</formula>
    </cfRule>
  </conditionalFormatting>
  <conditionalFormatting sqref="H90:I92">
    <cfRule type="expression" dxfId="2" priority="2">
      <formula>$C$76&lt;7</formula>
    </cfRule>
  </conditionalFormatting>
  <conditionalFormatting sqref="J90:K92">
    <cfRule type="expression" dxfId="1" priority="1">
      <formula>$C$76&lt;12</formula>
    </cfRule>
  </conditionalFormatting>
  <conditionalFormatting sqref="C90:C92 E90:E92 G90:G92 I90:I92 K90:K92 M90:M92 O90:O92 Q90:Q92 S90:S92">
    <cfRule type="expression" dxfId="0" priority="3">
      <formula>B90&lt;&gt;"skill"</formula>
    </cfRule>
  </conditionalFormatting>
  <dataValidations count="36">
    <dataValidation type="list" allowBlank="1" showInputMessage="1" showErrorMessage="1" sqref="C30 F34 F21:F25 E75:E76 G75 L75:M75 I75" xr:uid="{24894C0B-5BAD-472B-866B-1A8F479AD8C3}">
      <formula1>"1,2,3,4,5"</formula1>
    </dataValidation>
    <dataValidation type="list" allowBlank="1" showInputMessage="1" showErrorMessage="1" sqref="C126:C128" xr:uid="{67EB2CFB-B052-497D-800E-2AC21BF49A5A}">
      <formula1>"1,2,3,4,5,6,7,8,9,10"</formula1>
    </dataValidation>
    <dataValidation type="whole" allowBlank="1" showInputMessage="1" showErrorMessage="1" sqref="D59:D67 D115:D120 D30 E9" xr:uid="{4ADCAFB2-0300-41C0-9957-BBDF629D7116}">
      <formula1>1</formula1>
      <formula2>100</formula2>
    </dataValidation>
    <dataValidation type="custom" allowBlank="1" showInputMessage="1" showErrorMessage="1" sqref="H28:J30" xr:uid="{EB7A4CD4-C61B-474A-B642-0DBF1A6C008B}">
      <formula1>AND(COUNTA($H$28:$J$30)&lt;=5,COUNTIF($H$28:$J$30,1)&lt;=1,COUNTIF($H$28:$J$30,2)&lt;=1,COUNTIF($H$28:$J$30,3)&lt;=1,COUNTIF($H$28:$J$30,4)&lt;=1,COUNTIF($H$28:$J$30,5)&lt;=1)</formula1>
    </dataValidation>
    <dataValidation type="list" allowBlank="1" showInputMessage="1" showErrorMessage="1" sqref="B9" xr:uid="{33201867-5B32-45A0-8397-5D762D757D36}">
      <formula1>"Yellow,Red,Blue,White"</formula1>
    </dataValidation>
    <dataValidation type="list" allowBlank="1" showInputMessage="1" showErrorMessage="1" sqref="Q58 AC19 E10:E11" xr:uid="{0C5E760C-FF00-41E6-AF74-B67EE9E6E5C3}">
      <formula1>"TRUE,FALSE"</formula1>
    </dataValidation>
    <dataValidation type="list" allowBlank="1" showInputMessage="1" showErrorMessage="1" sqref="B8" xr:uid="{1435D334-0D06-4A39-A3C8-E93C52B72988}">
      <formula1>"Day,Night,TargetTrain"</formula1>
    </dataValidation>
    <dataValidation type="whole" allowBlank="1" showInputMessage="1" showErrorMessage="1" sqref="B10" xr:uid="{685BEF51-702B-4949-B78F-A530EEE6F56D}">
      <formula1>1</formula1>
      <formula2>99</formula2>
    </dataValidation>
    <dataValidation type="whole" operator="greaterThan" allowBlank="1" showInputMessage="1" showErrorMessage="1" sqref="E8" xr:uid="{1BAEF607-95F9-45D2-AA58-21BE9201EAFF}">
      <formula1>0</formula1>
    </dataValidation>
    <dataValidation type="whole" operator="greaterThanOrEqual" allowBlank="1" showInputMessage="1" showErrorMessage="1" sqref="Y21:AC25 Y34:AC34 D110:I110" xr:uid="{587138AA-5A03-4394-8790-C07B4847F1A0}">
      <formula1>0</formula1>
    </dataValidation>
    <dataValidation type="list" allowBlank="1" showInputMessage="1" showErrorMessage="1" sqref="B16" xr:uid="{DEDA9561-35BB-46AC-80D4-FE158FD22152}">
      <formula1>ListOfPresets</formula1>
    </dataValidation>
    <dataValidation type="list" allowBlank="1" showInputMessage="1" showErrorMessage="1" sqref="F59:F67 F115:F120 I34 I21:I25" xr:uid="{E44D81C9-6ACA-41C2-9EA0-D3EE431CFE39}">
      <formula1>"0,1,2,3,4"</formula1>
    </dataValidation>
    <dataValidation type="list" allowBlank="1" showInputMessage="1" showErrorMessage="1" sqref="E126:E128 E30 E89 N34 N21:N25 G34:H34 G21:H25 R34 R21:R25 V34 V21:V25 G89 I89 K89 M89 O89 Q89 S89 C89 S82 Q82 O82 M82 K82 I82 G82 E82 C82 J110:S110 D110 E99:I110" xr:uid="{37B08F38-6B5F-4E7C-94B9-D10DBBBE145D}">
      <formula1>"0,1,2,3,4,5,6,7,8,9,10"</formula1>
    </dataValidation>
    <dataValidation type="custom" allowBlank="1" showInputMessage="1" showErrorMessage="1" errorTitle="Error:" error="Input must:_x000a_- Be an integer from 1 to 5_x000a_- Not be smaller than the base rarity" sqref="E59:E67" xr:uid="{D70FA83A-55EF-451A-936B-10CD4BF6EC24}">
      <formula1>AND(OR(E59=1,E59=2,E59=3,E59=4,E59=5),E59&gt;=B59)</formula1>
    </dataValidation>
    <dataValidation type="list" allowBlank="1" showInputMessage="1" showErrorMessage="1" sqref="G59:G67" xr:uid="{A3D26842-03C9-4948-9508-B25BC5164900}">
      <formula1>"XS,S,M,L,XL"</formula1>
    </dataValidation>
    <dataValidation type="list" allowBlank="1" showInputMessage="1" showErrorMessage="1" sqref="B7" xr:uid="{2911DA9B-BE3D-438C-BFA9-C0F7BB5E373A}">
      <formula1>"G&amp;K,SF"</formula1>
    </dataValidation>
    <dataValidation type="custom" allowBlank="1" showInputMessage="1" showErrorMessage="1" sqref="H59:H67" xr:uid="{77CAC4FA-F282-47C3-9741-1D979993C26E}">
      <formula1>IF($B59&lt;3,AND(H59&gt;=0,H59&lt;=100,H59=INT(H59)),AND(H59&gt;=0,H59&lt;=150,H59=INT(H59)))</formula1>
    </dataValidation>
    <dataValidation type="custom" allowBlank="1" showInputMessage="1" showErrorMessage="1" sqref="S60:U62" xr:uid="{398DAEA0-567C-4D71-A6DE-A43B56255E65}">
      <formula1>AND(S60&gt;=1,S60&lt;=9,S60=INT(S60),COUNTIF($S$60:$U$62,S60)&lt;=1)</formula1>
    </dataValidation>
    <dataValidation type="custom" allowBlank="1" showInputMessage="1" showErrorMessage="1" sqref="B75:B76 A115:A120 A99:A110" xr:uid="{D3BBD59B-FDE8-4A6C-8A44-54A948C513F9}">
      <formula1>A75="X"</formula1>
    </dataValidation>
    <dataValidation type="custom" allowBlank="1" showInputMessage="1" showErrorMessage="1" sqref="I59:J67" xr:uid="{5EE0CBA7-9205-4AC5-B23C-3927B1B22DD1}">
      <formula1>IF($B59=3,AND(I59&gt;=0,I59&lt;=10,I59=INT(I59)),AND(I59&gt;=0,I59&lt;=5,I59=INT(I59)))</formula1>
    </dataValidation>
    <dataValidation type="custom" allowBlank="1" showInputMessage="1" showErrorMessage="1" sqref="K59:L67 J115:K120" xr:uid="{7F465E0D-C938-4D5E-9BAC-28C63DD7B40A}">
      <formula1>AND(J59&gt;=0,J59&lt;=5,J59=INT(J59))</formula1>
    </dataValidation>
    <dataValidation type="custom" allowBlank="1" showInputMessage="1" showErrorMessage="1" errorTitle="Error:" error="Input must:_x000a_- Be an integer from 1 to 5_x000a_- Not be smaller than the base rarity" sqref="E115:E120" xr:uid="{BB409F3D-33F1-41B6-B0DB-3A5060011A7D}">
      <formula1>AND(OR(E115=1,E115=2,E115=3,E115=4,E115=5),E115&gt;=3)</formula1>
    </dataValidation>
    <dataValidation type="custom" allowBlank="1" showInputMessage="1" showErrorMessage="1" sqref="G115:G120" xr:uid="{748FF211-ADC0-46BE-AB49-EB7BBEF83C54}">
      <formula1>AND(G115&gt;=0,G115&lt;=150,G115=INT(G115))</formula1>
    </dataValidation>
    <dataValidation type="custom" allowBlank="1" showInputMessage="1" showErrorMessage="1" sqref="H115:I120" xr:uid="{2EE145C6-076E-4A6B-AD67-1EB7C0A19E14}">
      <formula1>AND(H115&gt;=0,H115&lt;=10,H115=INT(H115))</formula1>
    </dataValidation>
    <dataValidation operator="greaterThan" allowBlank="1" showInputMessage="1" showErrorMessage="1" sqref="E7" xr:uid="{D8DF66E1-68DA-4E76-84C7-23986DD4BD46}"/>
    <dataValidation type="list" allowBlank="1" showInputMessage="1" showErrorMessage="1" sqref="B54:C54" xr:uid="{2B76564C-DB4B-47F7-8891-37510BF9B205}">
      <formula1>ListOfPresetsSF</formula1>
    </dataValidation>
    <dataValidation type="whole" allowBlank="1" showInputMessage="1" showErrorMessage="1" sqref="B11" xr:uid="{F9776B82-5CF9-4BC9-BBAF-B92BA7E5289D}">
      <formula1>1</formula1>
      <formula2>9999</formula2>
    </dataValidation>
    <dataValidation type="whole" operator="greaterThanOrEqual" allowBlank="1" showInputMessage="1" showErrorMessage="1" sqref="F126:F128" xr:uid="{EC99D27F-FC78-4A13-9E17-A1AD1C6A0944}">
      <formula1>1</formula1>
    </dataValidation>
    <dataValidation type="whole" allowBlank="1" showInputMessage="1" showErrorMessage="1" sqref="E21:E25 E34 D75:D76 K75 F75 H75 D99:D109" xr:uid="{6D323A3D-80EE-40A5-AAED-592A1B066E66}">
      <formula1>1</formula1>
      <formula2>120</formula2>
    </dataValidation>
    <dataValidation type="whole" allowBlank="1" showInputMessage="1" showErrorMessage="1" sqref="J21:J25 J34" xr:uid="{90359DD6-1520-477B-B852-474A03B2E94D}">
      <formula1>0</formula1>
      <formula2>200</formula2>
    </dataValidation>
    <dataValidation type="list" allowBlank="1" showInputMessage="1" showErrorMessage="1" sqref="B12" xr:uid="{40C6BE28-4C32-445F-93DF-DB3D14F90DE8}">
      <formula1>"Off,Support,RangeCombat,Combat"</formula1>
    </dataValidation>
    <dataValidation type="list" allowBlank="1" showInputMessage="1" showErrorMessage="1" sqref="J75" xr:uid="{B79E385E-B50D-45A6-A7BD-81B295645540}">
      <formula1>"Doll,SF,HOC"</formula1>
    </dataValidation>
    <dataValidation type="list" allowBlank="1" showInputMessage="1" showErrorMessage="1" sqref="C75:C76" xr:uid="{6D2FDE66-997C-4881-B4DD-A904B1BBEE91}">
      <formula1>"1,2,3,4,5,6,7,8,9,10,11,12,13,14,15"</formula1>
    </dataValidation>
    <dataValidation type="list" allowBlank="1" showInputMessage="1" showErrorMessage="1" sqref="J99:S109" xr:uid="{29981CC9-ED2A-4658-9465-743F2CD15090}">
      <formula1>"0,1,2,3,4,5,6,7,8,9,10,11,12,13,14,15,16,17,18,19,20"</formula1>
    </dataValidation>
    <dataValidation type="list" operator="greaterThanOrEqual" allowBlank="1" showInputMessage="1" showErrorMessage="1" sqref="F99:I109" xr:uid="{91948A4F-8968-449D-8C28-0CC855E88D12}">
      <formula1>"0,1,2,3,4,5,6,7,8,9,10"</formula1>
    </dataValidation>
    <dataValidation type="list" operator="greaterThanOrEqual" allowBlank="1" showInputMessage="1" showErrorMessage="1" sqref="E99:E109" xr:uid="{30D86064-830D-4AF7-96E9-6CFFC0C46CFD}">
      <formula1>"1,2,3,4,5"</formula1>
    </dataValidation>
  </dataValidations>
  <hyperlinks>
    <hyperlink ref="N114" r:id="rId1" xr:uid="{C9B6B32C-C0B9-4935-BA6E-CAC6C812B73C}"/>
    <hyperlink ref="B5" r:id="rId2" xr:uid="{CC4B866B-5C06-4BB1-B7C7-AE7333F777BC}"/>
  </hyperlinks>
  <pageMargins left="0.7" right="0.7" top="0.75" bottom="0.75" header="0.3" footer="0.3"/>
  <pageSetup orientation="portrait" r:id="rId3"/>
  <ignoredErrors>
    <ignoredError sqref="O58"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1035" r:id="rId6" name="Button 11">
              <controlPr defaultSize="0" print="0" autoFill="0" autoPict="0" macro="[0]!KRSimJSON">
                <anchor moveWithCells="1" sizeWithCells="1">
                  <from>
                    <xdr:col>5</xdr:col>
                    <xdr:colOff>449580</xdr:colOff>
                    <xdr:row>5</xdr:row>
                    <xdr:rowOff>68580</xdr:rowOff>
                  </from>
                  <to>
                    <xdr:col>7</xdr:col>
                    <xdr:colOff>487680</xdr:colOff>
                    <xdr:row>7</xdr:row>
                    <xdr:rowOff>45720</xdr:rowOff>
                  </to>
                </anchor>
              </controlPr>
            </control>
          </mc:Choice>
        </mc:AlternateContent>
        <mc:AlternateContent xmlns:mc="http://schemas.openxmlformats.org/markup-compatibility/2006">
          <mc:Choice Requires="x14">
            <control shapeId="1051" r:id="rId7" name="Button 27">
              <controlPr defaultSize="0" print="0" autoFill="0" autoPict="0" macro="[0]!LoadTeam">
                <anchor moveWithCells="1" sizeWithCells="1">
                  <from>
                    <xdr:col>3</xdr:col>
                    <xdr:colOff>137160</xdr:colOff>
                    <xdr:row>14</xdr:row>
                    <xdr:rowOff>137160</xdr:rowOff>
                  </from>
                  <to>
                    <xdr:col>4</xdr:col>
                    <xdr:colOff>121920</xdr:colOff>
                    <xdr:row>16</xdr:row>
                    <xdr:rowOff>83820</xdr:rowOff>
                  </to>
                </anchor>
              </controlPr>
            </control>
          </mc:Choice>
        </mc:AlternateContent>
        <mc:AlternateContent xmlns:mc="http://schemas.openxmlformats.org/markup-compatibility/2006">
          <mc:Choice Requires="x14">
            <control shapeId="1053" r:id="rId8" name="Button 29">
              <controlPr defaultSize="0" print="0" autoFill="0" autoPict="0" macro="[0]!SaveTeam">
                <anchor moveWithCells="1" sizeWithCells="1">
                  <from>
                    <xdr:col>4</xdr:col>
                    <xdr:colOff>190500</xdr:colOff>
                    <xdr:row>14</xdr:row>
                    <xdr:rowOff>137160</xdr:rowOff>
                  </from>
                  <to>
                    <xdr:col>5</xdr:col>
                    <xdr:colOff>426720</xdr:colOff>
                    <xdr:row>16</xdr:row>
                    <xdr:rowOff>83820</xdr:rowOff>
                  </to>
                </anchor>
              </controlPr>
            </control>
          </mc:Choice>
        </mc:AlternateContent>
        <mc:AlternateContent xmlns:mc="http://schemas.openxmlformats.org/markup-compatibility/2006">
          <mc:Choice Requires="x14">
            <control shapeId="1062" r:id="rId9" name="Button 38">
              <controlPr defaultSize="0" print="0" autoFill="0" autoPict="0" macro="[0]!DeleteTeam">
                <anchor moveWithCells="1" sizeWithCells="1">
                  <from>
                    <xdr:col>5</xdr:col>
                    <xdr:colOff>495300</xdr:colOff>
                    <xdr:row>14</xdr:row>
                    <xdr:rowOff>137160</xdr:rowOff>
                  </from>
                  <to>
                    <xdr:col>7</xdr:col>
                    <xdr:colOff>45720</xdr:colOff>
                    <xdr:row>16</xdr:row>
                    <xdr:rowOff>83820</xdr:rowOff>
                  </to>
                </anchor>
              </controlPr>
            </control>
          </mc:Choice>
        </mc:AlternateContent>
        <mc:AlternateContent xmlns:mc="http://schemas.openxmlformats.org/markup-compatibility/2006">
          <mc:Choice Requires="x14">
            <control shapeId="1132" r:id="rId10" name="Button 108">
              <controlPr defaultSize="0" print="0" autoFill="0" autoPict="0" macro="[0]!ClearInput">
                <anchor moveWithCells="1" sizeWithCells="1">
                  <from>
                    <xdr:col>5</xdr:col>
                    <xdr:colOff>449580</xdr:colOff>
                    <xdr:row>7</xdr:row>
                    <xdr:rowOff>160020</xdr:rowOff>
                  </from>
                  <to>
                    <xdr:col>7</xdr:col>
                    <xdr:colOff>487680</xdr:colOff>
                    <xdr:row>9</xdr:row>
                    <xdr:rowOff>137160</xdr:rowOff>
                  </to>
                </anchor>
              </controlPr>
            </control>
          </mc:Choice>
        </mc:AlternateContent>
        <mc:AlternateContent xmlns:mc="http://schemas.openxmlformats.org/markup-compatibility/2006">
          <mc:Choice Requires="x14">
            <control shapeId="1135" r:id="rId11" name="Button 111">
              <controlPr defaultSize="0" print="0" autoFill="0" autoPict="0" macro="[0]!UpdateWorkbook">
                <anchor moveWithCells="1" sizeWithCells="1">
                  <from>
                    <xdr:col>8</xdr:col>
                    <xdr:colOff>160020</xdr:colOff>
                    <xdr:row>0</xdr:row>
                    <xdr:rowOff>182880</xdr:rowOff>
                  </from>
                  <to>
                    <xdr:col>10</xdr:col>
                    <xdr:colOff>678180</xdr:colOff>
                    <xdr:row>2</xdr:row>
                    <xdr:rowOff>106680</xdr:rowOff>
                  </to>
                </anchor>
              </controlPr>
            </control>
          </mc:Choice>
        </mc:AlternateContent>
        <mc:AlternateContent xmlns:mc="http://schemas.openxmlformats.org/markup-compatibility/2006">
          <mc:Choice Requires="x14">
            <control shapeId="1136" r:id="rId12" name="Button 112">
              <controlPr defaultSize="0" print="0" autoFill="0" autoPict="0" macro="[0]!LoadTeamSF">
                <anchor moveWithCells="1" sizeWithCells="1">
                  <from>
                    <xdr:col>3</xdr:col>
                    <xdr:colOff>137160</xdr:colOff>
                    <xdr:row>52</xdr:row>
                    <xdr:rowOff>137160</xdr:rowOff>
                  </from>
                  <to>
                    <xdr:col>4</xdr:col>
                    <xdr:colOff>121920</xdr:colOff>
                    <xdr:row>54</xdr:row>
                    <xdr:rowOff>83820</xdr:rowOff>
                  </to>
                </anchor>
              </controlPr>
            </control>
          </mc:Choice>
        </mc:AlternateContent>
        <mc:AlternateContent xmlns:mc="http://schemas.openxmlformats.org/markup-compatibility/2006">
          <mc:Choice Requires="x14">
            <control shapeId="1137" r:id="rId13" name="Button 113">
              <controlPr defaultSize="0" print="0" autoFill="0" autoPict="0" macro="[0]!SaveTeamSF">
                <anchor moveWithCells="1" sizeWithCells="1">
                  <from>
                    <xdr:col>4</xdr:col>
                    <xdr:colOff>190500</xdr:colOff>
                    <xdr:row>52</xdr:row>
                    <xdr:rowOff>137160</xdr:rowOff>
                  </from>
                  <to>
                    <xdr:col>5</xdr:col>
                    <xdr:colOff>426720</xdr:colOff>
                    <xdr:row>54</xdr:row>
                    <xdr:rowOff>83820</xdr:rowOff>
                  </to>
                </anchor>
              </controlPr>
            </control>
          </mc:Choice>
        </mc:AlternateContent>
        <mc:AlternateContent xmlns:mc="http://schemas.openxmlformats.org/markup-compatibility/2006">
          <mc:Choice Requires="x14">
            <control shapeId="1138" r:id="rId14" name="Button 114">
              <controlPr defaultSize="0" print="0" autoFill="0" autoPict="0" macro="[0]!DeleteTeamSF">
                <anchor moveWithCells="1" sizeWithCells="1">
                  <from>
                    <xdr:col>5</xdr:col>
                    <xdr:colOff>495300</xdr:colOff>
                    <xdr:row>52</xdr:row>
                    <xdr:rowOff>137160</xdr:rowOff>
                  </from>
                  <to>
                    <xdr:col>7</xdr:col>
                    <xdr:colOff>45720</xdr:colOff>
                    <xdr:row>54</xdr:row>
                    <xdr:rowOff>83820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7">
        <x14:dataValidation type="list" allowBlank="1" showInputMessage="1" showErrorMessage="1" xr:uid="{C0BD674D-87E7-42C3-A131-925B8510D8F8}">
          <x14:formula1>
            <xm:f>'Fairy Data'!$B$2:$B$101</xm:f>
          </x14:formula1>
          <xm:sqref>B30</xm:sqref>
        </x14:dataValidation>
        <x14:dataValidation type="list" allowBlank="1" showInputMessage="1" showErrorMessage="1" xr:uid="{4A4DAA55-D695-4949-9362-F92C6A0D5F6F}">
          <x14:formula1>
            <xm:f>'Talent Data'!$A$2:$A$100</xm:f>
          </x14:formula1>
          <xm:sqref>F30</xm:sqref>
        </x14:dataValidation>
        <x14:dataValidation type="list" allowBlank="1" showInputMessage="1" showErrorMessage="1" xr:uid="{3BE5D463-6BAD-4CD4-8C77-F69A747D147C}">
          <x14:formula1>
            <xm:f>'SF Data'!$C$2:$C$1048576</xm:f>
          </x14:formula1>
          <xm:sqref>C59:C67</xm:sqref>
        </x14:dataValidation>
        <x14:dataValidation type="list" allowBlank="1" showInputMessage="1" showErrorMessage="1" xr:uid="{086FF767-BA43-42B1-805E-99681D4832F6}">
          <x14:formula1>
            <xm:f>'SF Chip Data'!$B$2:$B$1048576</xm:f>
          </x14:formula1>
          <xm:sqref>M59:N67 L115:M120</xm:sqref>
        </x14:dataValidation>
        <x14:dataValidation type="list" allowBlank="1" showInputMessage="1" showErrorMessage="1" xr:uid="{C84BA770-4C70-4938-ADD8-E9F24D069AA9}">
          <x14:formula1>
            <xm:f>Dropdowns!$AZ$3:$AZ$300</xm:f>
          </x14:formula1>
          <xm:sqref>D21</xm:sqref>
        </x14:dataValidation>
        <x14:dataValidation type="list" allowBlank="1" showInputMessage="1" showErrorMessage="1" xr:uid="{2967F8D7-9836-47AE-B644-7710F7221376}">
          <x14:formula1>
            <xm:f>Dropdowns!$BA$3:$BA$300</xm:f>
          </x14:formula1>
          <xm:sqref>D22</xm:sqref>
        </x14:dataValidation>
        <x14:dataValidation type="list" allowBlank="1" showInputMessage="1" showErrorMessage="1" xr:uid="{7219ECA1-E740-40D1-ADE4-0741C8C3A5AC}">
          <x14:formula1>
            <xm:f>Dropdowns!$BB$3:$BB$300</xm:f>
          </x14:formula1>
          <xm:sqref>D23</xm:sqref>
        </x14:dataValidation>
        <x14:dataValidation type="list" allowBlank="1" showInputMessage="1" showErrorMessage="1" xr:uid="{8D1F9FE6-5638-47D2-80BA-3EF46FA69230}">
          <x14:formula1>
            <xm:f>Dropdowns!$BC$3:$BC$300</xm:f>
          </x14:formula1>
          <xm:sqref>D24</xm:sqref>
        </x14:dataValidation>
        <x14:dataValidation type="list" allowBlank="1" showInputMessage="1" showErrorMessage="1" xr:uid="{A99B10EF-7F27-4912-AF40-1009A733D855}">
          <x14:formula1>
            <xm:f>Dropdowns!$BE$2:$BE$999</xm:f>
          </x14:formula1>
          <xm:sqref>M21</xm:sqref>
        </x14:dataValidation>
        <x14:dataValidation type="list" allowBlank="1" showInputMessage="1" showErrorMessage="1" xr:uid="{5D0269A5-2D03-45A9-81A9-529C7A302B88}">
          <x14:formula1>
            <xm:f>Dropdowns!$BF$3:$BF$999</xm:f>
          </x14:formula1>
          <xm:sqref>M22</xm:sqref>
        </x14:dataValidation>
        <x14:dataValidation type="list" allowBlank="1" showInputMessage="1" showErrorMessage="1" xr:uid="{6BA27123-C1FF-4F1D-BC0F-DD29EAD3662B}">
          <x14:formula1>
            <xm:f>Dropdowns!$BG$3:$BG$999</xm:f>
          </x14:formula1>
          <xm:sqref>M23</xm:sqref>
        </x14:dataValidation>
        <x14:dataValidation type="list" allowBlank="1" showInputMessage="1" showErrorMessage="1" xr:uid="{2C202921-4B8E-4EB5-B410-6AFEDED42AC1}">
          <x14:formula1>
            <xm:f>Dropdowns!$BH$3:$BH$999</xm:f>
          </x14:formula1>
          <xm:sqref>M24</xm:sqref>
        </x14:dataValidation>
        <x14:dataValidation type="list" allowBlank="1" showInputMessage="1" showErrorMessage="1" xr:uid="{56C87473-1D1F-4DA0-AB8D-F644FFBB1F11}">
          <x14:formula1>
            <xm:f>Dropdowns!$BJ$3:$BJ$999</xm:f>
          </x14:formula1>
          <xm:sqref>Q21</xm:sqref>
        </x14:dataValidation>
        <x14:dataValidation type="list" allowBlank="1" showInputMessage="1" showErrorMessage="1" xr:uid="{34DC3FB3-5A55-4AB1-BDEC-D0E7588BB0DB}">
          <x14:formula1>
            <xm:f>Dropdowns!$BK$3:$BK$999</xm:f>
          </x14:formula1>
          <xm:sqref>Q22</xm:sqref>
        </x14:dataValidation>
        <x14:dataValidation type="list" allowBlank="1" showInputMessage="1" showErrorMessage="1" xr:uid="{7B0B4B47-8D9F-4615-A62E-576AEE2668A5}">
          <x14:formula1>
            <xm:f>Dropdowns!$BL$3:$BL$999</xm:f>
          </x14:formula1>
          <xm:sqref>Q23</xm:sqref>
        </x14:dataValidation>
        <x14:dataValidation type="list" allowBlank="1" showInputMessage="1" showErrorMessage="1" xr:uid="{4791F70A-10E4-4DA3-B907-52C83A8ED8F4}">
          <x14:formula1>
            <xm:f>Dropdowns!$BM$3:$BM$999</xm:f>
          </x14:formula1>
          <xm:sqref>Q24</xm:sqref>
        </x14:dataValidation>
        <x14:dataValidation type="list" allowBlank="1" showInputMessage="1" showErrorMessage="1" xr:uid="{C3446B05-CA29-4CED-9108-8CDC571A2740}">
          <x14:formula1>
            <xm:f>Dropdowns!$BO$3:$BO$999</xm:f>
          </x14:formula1>
          <xm:sqref>U21</xm:sqref>
        </x14:dataValidation>
        <x14:dataValidation type="list" allowBlank="1" showInputMessage="1" showErrorMessage="1" xr:uid="{37BA3898-3489-46D8-8306-4D73F61E62EB}">
          <x14:formula1>
            <xm:f>Dropdowns!$BP$3:$BP$999</xm:f>
          </x14:formula1>
          <xm:sqref>U22</xm:sqref>
        </x14:dataValidation>
        <x14:dataValidation type="list" allowBlank="1" showInputMessage="1" showErrorMessage="1" xr:uid="{F5303E74-8CCA-4391-8A9A-A1A250BD1B85}">
          <x14:formula1>
            <xm:f>Dropdowns!$BQ$3:$BQ$999</xm:f>
          </x14:formula1>
          <xm:sqref>U23</xm:sqref>
        </x14:dataValidation>
        <x14:dataValidation type="list" allowBlank="1" showInputMessage="1" showErrorMessage="1" xr:uid="{7C3F97FF-93E6-496B-AC7C-7F93B212A1FA}">
          <x14:formula1>
            <xm:f>Dropdowns!$BR$3:$BR$999</xm:f>
          </x14:formula1>
          <xm:sqref>U24</xm:sqref>
        </x14:dataValidation>
        <x14:dataValidation type="list" allowBlank="1" showInputMessage="1" showErrorMessage="1" errorTitle="Error: Invalid Spot ID" error="Input must be a spot ID from 1-3 or 8-2N._x000a__x000a_https://pengupengupengu.github.io/gflmaps/#campaign=1001&amp;mission=7_x000a__x000a_https://pengupengupengu.github.io/gflmaps/#campaign=1008&amp;mission=90030" xr:uid="{26DD5C0C-C412-4D0D-8DCB-F6DE21C0E517}">
          <x14:formula1>
            <xm:f>Dropdowns!$BU$2:$BU$50</xm:f>
          </x14:formula1>
          <xm:sqref>N115:N120 G126:G128 I126:I128</xm:sqref>
        </x14:dataValidation>
        <x14:dataValidation type="list" allowBlank="1" showInputMessage="1" showErrorMessage="1" xr:uid="{D26BA938-2521-4648-8B61-4540EA9A8F54}">
          <x14:formula1>
            <xm:f>'Strat Buff Data'!$A$2:$A$1048576</xm:f>
          </x14:formula1>
          <xm:sqref>B126:B128</xm:sqref>
        </x14:dataValidation>
        <x14:dataValidation type="list" allowBlank="1" showInputMessage="1" showErrorMessage="1" xr:uid="{62B9B726-D091-48D5-9B4A-75A96BF924A8}">
          <x14:formula1>
            <xm:f>'Strat Buff Data'!$E$2:$E$1048576</xm:f>
          </x14:formula1>
          <xm:sqref>D126:D128</xm:sqref>
        </x14:dataValidation>
        <x14:dataValidation type="list" allowBlank="1" showInputMessage="1" showErrorMessage="1" xr:uid="{61294708-0276-4755-BD49-427CB1A5567E}">
          <x14:formula1>
            <xm:f>Dropdowns!$BD$3:$BD$252</xm:f>
          </x14:formula1>
          <xm:sqref>D34</xm:sqref>
        </x14:dataValidation>
        <x14:dataValidation type="list" allowBlank="1" showInputMessage="1" showErrorMessage="1" xr:uid="{0893DE93-EE7A-4A09-A1CB-BB38609C4822}">
          <x14:formula1>
            <xm:f>Dropdowns!$BS$3:$BS$252</xm:f>
          </x14:formula1>
          <xm:sqref>U34</xm:sqref>
        </x14:dataValidation>
        <x14:dataValidation type="list" allowBlank="1" showInputMessage="1" showErrorMessage="1" xr:uid="{AC012831-BF6F-4ABD-9B9D-DF8F2FBEFFA4}">
          <x14:formula1>
            <xm:f>Dropdowns!$B$2:$B$7</xm:f>
          </x14:formula1>
          <xm:sqref>C21:C25 C34</xm:sqref>
        </x14:dataValidation>
        <x14:dataValidation type="list" allowBlank="1" showInputMessage="1" showErrorMessage="1" xr:uid="{860EC6C9-7B65-433D-95F6-E770F379F1E2}">
          <x14:formula1>
            <xm:f>Dropdowns!$A$2:$A$6</xm:f>
          </x14:formula1>
          <xm:sqref>B21:B25 B34</xm:sqref>
        </x14:dataValidation>
        <x14:dataValidation type="list" allowBlank="1" showInputMessage="1" showErrorMessage="1" xr:uid="{781096B7-2914-47F7-BD55-095FB5DA29EC}">
          <x14:formula1>
            <xm:f>Dropdowns!$AH$1:$AV$1</xm:f>
          </x14:formula1>
          <xm:sqref>T21:T25 L34 L21:L25 P34 P21:P25 T34</xm:sqref>
        </x14:dataValidation>
        <x14:dataValidation type="list" allowBlank="1" showInputMessage="1" showErrorMessage="1" xr:uid="{757A97B8-80A8-458C-BDEE-15AB65824C16}">
          <x14:formula1>
            <xm:f>Dropdowns!$BI$3:$BI$252</xm:f>
          </x14:formula1>
          <xm:sqref>M34</xm:sqref>
        </x14:dataValidation>
        <x14:dataValidation type="list" allowBlank="1" showInputMessage="1" showErrorMessage="1" xr:uid="{FE684614-EBDB-495B-8061-D7E2E01AB616}">
          <x14:formula1>
            <xm:f>Dropdowns!$BN$3:$BN$252</xm:f>
          </x14:formula1>
          <xm:sqref>Q34</xm:sqref>
        </x14:dataValidation>
        <x14:dataValidation type="list" allowBlank="1" showInputMessage="1" showErrorMessage="1" xr:uid="{31768101-0025-46E1-8FBE-D6B760DE5973}">
          <x14:formula1>
            <xm:f>'Vehicle Comp Data'!$J$2:$J$48</xm:f>
          </x14:formula1>
          <xm:sqref>F82</xm:sqref>
        </x14:dataValidation>
        <x14:dataValidation type="list" allowBlank="1" showInputMessage="1" showErrorMessage="1" xr:uid="{0FB515D9-89E2-44D4-9FFA-47525C6A4BB8}">
          <x14:formula1>
            <xm:f>'Vehicle Comp Data'!$I$2:$I$1048576</xm:f>
          </x14:formula1>
          <xm:sqref>D82</xm:sqref>
        </x14:dataValidation>
        <x14:dataValidation type="list" allowBlank="1" showInputMessage="1" showErrorMessage="1" xr:uid="{F3DC8EF0-D82D-4130-893E-99A290B5E643}">
          <x14:formula1>
            <xm:f>'Vehicle Comp Data'!$Q$2:$Q$1048576</xm:f>
          </x14:formula1>
          <xm:sqref>F89</xm:sqref>
        </x14:dataValidation>
        <x14:dataValidation type="list" allowBlank="1" showInputMessage="1" showErrorMessage="1" xr:uid="{4A0F8363-C667-4834-B076-081B36ECC453}">
          <x14:formula1>
            <xm:f>'Vehicle Comp Data'!$L$2:$L$1048576</xm:f>
          </x14:formula1>
          <xm:sqref>J82</xm:sqref>
        </x14:dataValidation>
        <x14:dataValidation type="list" allowBlank="1" showInputMessage="1" showErrorMessage="1" xr:uid="{1A453EFA-1A0E-42F0-A4DC-6C51E46196D7}">
          <x14:formula1>
            <xm:f>'Vehicle Substats'!$A$3:$A$16</xm:f>
          </x14:formula1>
          <xm:sqref>B83:B85 D83:D85 F83:F85 H83:H85 J83:J85 L83:L85 N83:N85 P83:P85 R83:R85 B90:B92 D90:D92 F90:F92 H90:H92 J90:J92 L90:L92 N90:N92 P90:P92 R90:R92</xm:sqref>
        </x14:dataValidation>
        <x14:dataValidation type="list" allowBlank="1" showInputMessage="1" showErrorMessage="1" xr:uid="{75C7EBDF-E2F9-4864-A94B-965DAD1CDFA0}">
          <x14:formula1>
            <xm:f>Dropdowns!$BD$3:$BD$300</xm:f>
          </x14:formula1>
          <xm:sqref>D25</xm:sqref>
        </x14:dataValidation>
        <x14:dataValidation type="list" allowBlank="1" showInputMessage="1" showErrorMessage="1" xr:uid="{2171363D-001E-4C80-A289-E9027391AC3F}">
          <x14:formula1>
            <xm:f>Dropdowns!$BI$3:$BI$999</xm:f>
          </x14:formula1>
          <xm:sqref>M25</xm:sqref>
        </x14:dataValidation>
        <x14:dataValidation type="list" allowBlank="1" showInputMessage="1" showErrorMessage="1" xr:uid="{A76B4D50-2D67-4C29-BDE2-9E038328A80D}">
          <x14:formula1>
            <xm:f>Dropdowns!$BN$3:$BN$999</xm:f>
          </x14:formula1>
          <xm:sqref>Q25</xm:sqref>
        </x14:dataValidation>
        <x14:dataValidation type="list" allowBlank="1" showInputMessage="1" showErrorMessage="1" xr:uid="{85D0784E-772B-452A-8742-E9A5E47450C8}">
          <x14:formula1>
            <xm:f>Dropdowns!$BS$3:$BS$999</xm:f>
          </x14:formula1>
          <xm:sqref>U25</xm:sqref>
        </x14:dataValidation>
        <x14:dataValidation type="list" allowBlank="1" showInputMessage="1" showErrorMessage="1" xr:uid="{93CF8BA8-929D-4AC9-94A9-EB798D33659B}">
          <x14:formula1>
            <xm:f>'Vehicle Comp Data'!$O$2:$O$1048576</xm:f>
          </x14:formula1>
          <xm:sqref>B89</xm:sqref>
        </x14:dataValidation>
        <x14:dataValidation type="list" allowBlank="1" showInputMessage="1" showErrorMessage="1" xr:uid="{6CA01910-EDF9-43F4-BE58-A9C3CA095F07}">
          <x14:formula1>
            <xm:f>'Vehicle Comp Data'!$R$2:$R$1048576</xm:f>
          </x14:formula1>
          <xm:sqref>H89</xm:sqref>
        </x14:dataValidation>
        <x14:dataValidation type="list" allowBlank="1" showInputMessage="1" showErrorMessage="1" xr:uid="{3B86F506-F0A7-4E2D-880A-D655BC1EEB8A}">
          <x14:formula1>
            <xm:f>'Vehicle Comp Data'!$P$2:$P$1048576</xm:f>
          </x14:formula1>
          <xm:sqref>D89</xm:sqref>
        </x14:dataValidation>
        <x14:dataValidation type="list" allowBlank="1" showInputMessage="1" showErrorMessage="1" xr:uid="{D7E86B65-5761-4D3F-980A-DC50D49CA8ED}">
          <x14:formula1>
            <xm:f>'Vehicle Comp Data'!$S$2:$S$1048576</xm:f>
          </x14:formula1>
          <xm:sqref>J89</xm:sqref>
        </x14:dataValidation>
        <x14:dataValidation type="list" allowBlank="1" showInputMessage="1" showErrorMessage="1" xr:uid="{4B874E7E-53DB-4349-B648-00AA127CD190}">
          <x14:formula1>
            <xm:f>'Vehicle Comp Data'!$H$2:$H$1048576</xm:f>
          </x14:formula1>
          <xm:sqref>B82</xm:sqref>
        </x14:dataValidation>
        <x14:dataValidation type="list" allowBlank="1" showInputMessage="1" showErrorMessage="1" xr:uid="{F738BC1B-3D8B-401C-8FED-A1DDF28312C4}">
          <x14:formula1>
            <xm:f>'Vehicle Comp Data'!$K$2:$K$1048576</xm:f>
          </x14:formula1>
          <xm:sqref>H82</xm:sqref>
        </x14:dataValidation>
        <x14:dataValidation type="list" allowBlank="1" showInputMessage="1" showErrorMessage="1" xr:uid="{D3359248-485C-4FA3-AF86-70E57B940121}">
          <x14:formula1>
            <xm:f>'Vehicle Comp Data'!$U$2:$U$1048576</xm:f>
          </x14:formula1>
          <xm:sqref>L82 L89 N89 N82 P82 P89 R89 R82</xm:sqref>
        </x14:dataValidation>
        <x14:dataValidation type="list" allowBlank="1" showInputMessage="1" showErrorMessage="1" xr:uid="{130C8A6C-F261-47DE-88A6-3F255A96F1CC}">
          <x14:formula1>
            <xm:f>'Vehicle Substats'!$I$2:$I$100</xm:f>
          </x14:formula1>
          <xm:sqref>C83:C85 C90:C92 E83:E85 E90:E92 G83:G85 I83:I85 G90:G92 I90:I92 K83:K85 M83:M85 O83:O85 Q83:Q85 S83:S85 K90:K92 M90:M92 O90:O92 Q90:Q92 S90:S92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DDB5-1C61-4C65-B217-BB8D2ABDB54A}">
  <sheetPr codeName="Sheet29">
    <tabColor theme="7" tint="0.79998168889431442"/>
  </sheetPr>
  <dimension ref="A1:H187"/>
  <sheetViews>
    <sheetView workbookViewId="0">
      <pane ySplit="1" topLeftCell="A63" activePane="bottomLeft" state="frozen"/>
      <selection pane="bottomLeft"/>
    </sheetView>
  </sheetViews>
  <sheetFormatPr defaultRowHeight="14.4" x14ac:dyDescent="0.3"/>
  <cols>
    <col min="1" max="1" width="10.33203125" bestFit="1" customWidth="1"/>
    <col min="2" max="2" width="9" bestFit="1" customWidth="1"/>
    <col min="3" max="3" width="23.88671875" bestFit="1" customWidth="1"/>
    <col min="4" max="4" width="151.88671875" bestFit="1" customWidth="1"/>
    <col min="5" max="5" width="12.5546875" bestFit="1" customWidth="1"/>
    <col min="6" max="6" width="137.6640625" bestFit="1" customWidth="1"/>
  </cols>
  <sheetData>
    <row r="1" spans="1:8" x14ac:dyDescent="0.3">
      <c r="A1" s="10" t="s">
        <v>7683</v>
      </c>
      <c r="B1" s="10" t="s">
        <v>699</v>
      </c>
      <c r="C1" s="10" t="s">
        <v>8</v>
      </c>
      <c r="D1" s="10" t="s">
        <v>700</v>
      </c>
      <c r="E1" s="10" t="s">
        <v>7953</v>
      </c>
      <c r="F1" s="10" t="s">
        <v>7954</v>
      </c>
      <c r="H1" s="10" t="s">
        <v>7955</v>
      </c>
    </row>
    <row r="2" spans="1:8" x14ac:dyDescent="0.3">
      <c r="A2" t="s">
        <v>7684</v>
      </c>
      <c r="B2">
        <v>1</v>
      </c>
      <c r="C2" t="s">
        <v>7313</v>
      </c>
      <c r="D2" t="s">
        <v>7314</v>
      </c>
      <c r="H2" s="9" t="str">
        <f>IF(A2="Y",B2,"")</f>
        <v/>
      </c>
    </row>
    <row r="3" spans="1:8" x14ac:dyDescent="0.3">
      <c r="A3" t="s">
        <v>7684</v>
      </c>
      <c r="B3">
        <v>2</v>
      </c>
      <c r="C3" t="s">
        <v>7315</v>
      </c>
      <c r="D3" t="s">
        <v>7316</v>
      </c>
      <c r="H3" s="9" t="str">
        <f>IF(A3="N",H2,IF(H2="",B3,H2&amp;";"&amp;B3))</f>
        <v/>
      </c>
    </row>
    <row r="4" spans="1:8" x14ac:dyDescent="0.3">
      <c r="A4" t="s">
        <v>7684</v>
      </c>
      <c r="B4">
        <v>3</v>
      </c>
      <c r="C4" t="s">
        <v>7317</v>
      </c>
      <c r="D4" t="s">
        <v>7318</v>
      </c>
      <c r="H4" s="9" t="str">
        <f t="shared" ref="H4:H67" si="0">IF(A4="N",H3,IF(H3="",B4,H3&amp;";"&amp;B4))</f>
        <v/>
      </c>
    </row>
    <row r="5" spans="1:8" x14ac:dyDescent="0.3">
      <c r="A5" t="s">
        <v>7684</v>
      </c>
      <c r="B5">
        <v>4</v>
      </c>
      <c r="C5" t="s">
        <v>7319</v>
      </c>
      <c r="D5" t="s">
        <v>7320</v>
      </c>
      <c r="H5" s="9" t="str">
        <f t="shared" si="0"/>
        <v/>
      </c>
    </row>
    <row r="6" spans="1:8" x14ac:dyDescent="0.3">
      <c r="A6" t="s">
        <v>7684</v>
      </c>
      <c r="B6">
        <v>5</v>
      </c>
      <c r="C6" t="s">
        <v>7321</v>
      </c>
      <c r="D6" t="s">
        <v>7322</v>
      </c>
      <c r="H6" s="9" t="str">
        <f t="shared" si="0"/>
        <v/>
      </c>
    </row>
    <row r="7" spans="1:8" x14ac:dyDescent="0.3">
      <c r="A7" t="s">
        <v>7684</v>
      </c>
      <c r="B7">
        <v>6</v>
      </c>
      <c r="C7" t="s">
        <v>7323</v>
      </c>
      <c r="D7" t="s">
        <v>7324</v>
      </c>
      <c r="H7" s="9" t="str">
        <f t="shared" si="0"/>
        <v/>
      </c>
    </row>
    <row r="8" spans="1:8" x14ac:dyDescent="0.3">
      <c r="A8" t="s">
        <v>7684</v>
      </c>
      <c r="B8">
        <v>7</v>
      </c>
      <c r="C8" t="s">
        <v>7325</v>
      </c>
      <c r="D8" t="s">
        <v>7326</v>
      </c>
      <c r="H8" s="9" t="str">
        <f t="shared" si="0"/>
        <v/>
      </c>
    </row>
    <row r="9" spans="1:8" x14ac:dyDescent="0.3">
      <c r="A9" t="s">
        <v>7684</v>
      </c>
      <c r="B9">
        <v>8</v>
      </c>
      <c r="C9" t="s">
        <v>7327</v>
      </c>
      <c r="D9" t="s">
        <v>7328</v>
      </c>
      <c r="H9" s="9" t="str">
        <f t="shared" si="0"/>
        <v/>
      </c>
    </row>
    <row r="10" spans="1:8" x14ac:dyDescent="0.3">
      <c r="A10" t="s">
        <v>7684</v>
      </c>
      <c r="B10">
        <v>701</v>
      </c>
      <c r="C10" t="s">
        <v>7329</v>
      </c>
      <c r="D10" t="s">
        <v>7330</v>
      </c>
      <c r="H10" s="9" t="str">
        <f t="shared" si="0"/>
        <v/>
      </c>
    </row>
    <row r="11" spans="1:8" x14ac:dyDescent="0.3">
      <c r="A11" t="s">
        <v>7684</v>
      </c>
      <c r="B11">
        <v>702</v>
      </c>
      <c r="C11" t="s">
        <v>7331</v>
      </c>
      <c r="D11" t="s">
        <v>7332</v>
      </c>
      <c r="H11" s="9" t="str">
        <f t="shared" si="0"/>
        <v/>
      </c>
    </row>
    <row r="12" spans="1:8" x14ac:dyDescent="0.3">
      <c r="A12" t="s">
        <v>7684</v>
      </c>
      <c r="B12">
        <v>703</v>
      </c>
      <c r="C12" t="s">
        <v>7333</v>
      </c>
      <c r="D12" t="s">
        <v>7334</v>
      </c>
      <c r="H12" s="9" t="str">
        <f t="shared" si="0"/>
        <v/>
      </c>
    </row>
    <row r="13" spans="1:8" x14ac:dyDescent="0.3">
      <c r="A13" t="s">
        <v>7684</v>
      </c>
      <c r="B13">
        <v>704</v>
      </c>
      <c r="C13" t="s">
        <v>7335</v>
      </c>
      <c r="D13" t="s">
        <v>7336</v>
      </c>
      <c r="H13" s="9" t="str">
        <f t="shared" si="0"/>
        <v/>
      </c>
    </row>
    <row r="14" spans="1:8" x14ac:dyDescent="0.3">
      <c r="A14" t="s">
        <v>7684</v>
      </c>
      <c r="B14">
        <v>705</v>
      </c>
      <c r="C14" t="s">
        <v>7337</v>
      </c>
      <c r="D14" t="s">
        <v>7338</v>
      </c>
      <c r="H14" s="9" t="str">
        <f t="shared" si="0"/>
        <v/>
      </c>
    </row>
    <row r="15" spans="1:8" x14ac:dyDescent="0.3">
      <c r="A15" t="s">
        <v>7684</v>
      </c>
      <c r="B15">
        <v>706</v>
      </c>
      <c r="C15" t="s">
        <v>7339</v>
      </c>
      <c r="D15" t="s">
        <v>7340</v>
      </c>
      <c r="H15" s="9" t="str">
        <f t="shared" si="0"/>
        <v/>
      </c>
    </row>
    <row r="16" spans="1:8" x14ac:dyDescent="0.3">
      <c r="A16" t="s">
        <v>7684</v>
      </c>
      <c r="B16">
        <v>707</v>
      </c>
      <c r="C16" t="s">
        <v>7341</v>
      </c>
      <c r="D16" t="s">
        <v>7342</v>
      </c>
      <c r="H16" s="9" t="str">
        <f t="shared" si="0"/>
        <v/>
      </c>
    </row>
    <row r="17" spans="1:8" x14ac:dyDescent="0.3">
      <c r="A17" t="s">
        <v>7684</v>
      </c>
      <c r="B17">
        <v>708</v>
      </c>
      <c r="C17" t="s">
        <v>7343</v>
      </c>
      <c r="D17" t="s">
        <v>7344</v>
      </c>
      <c r="H17" s="9" t="str">
        <f t="shared" si="0"/>
        <v/>
      </c>
    </row>
    <row r="18" spans="1:8" x14ac:dyDescent="0.3">
      <c r="A18" t="s">
        <v>7684</v>
      </c>
      <c r="B18">
        <v>709</v>
      </c>
      <c r="C18" t="s">
        <v>7345</v>
      </c>
      <c r="D18" t="s">
        <v>7346</v>
      </c>
      <c r="H18" s="9" t="str">
        <f t="shared" si="0"/>
        <v/>
      </c>
    </row>
    <row r="19" spans="1:8" x14ac:dyDescent="0.3">
      <c r="A19" t="s">
        <v>7684</v>
      </c>
      <c r="B19">
        <v>710</v>
      </c>
      <c r="C19" t="s">
        <v>7347</v>
      </c>
      <c r="D19" t="s">
        <v>7348</v>
      </c>
      <c r="H19" s="9" t="str">
        <f t="shared" si="0"/>
        <v/>
      </c>
    </row>
    <row r="20" spans="1:8" x14ac:dyDescent="0.3">
      <c r="A20" t="s">
        <v>7684</v>
      </c>
      <c r="B20">
        <v>711</v>
      </c>
      <c r="C20" t="s">
        <v>7349</v>
      </c>
      <c r="D20" t="s">
        <v>7350</v>
      </c>
      <c r="H20" s="9" t="str">
        <f t="shared" si="0"/>
        <v/>
      </c>
    </row>
    <row r="21" spans="1:8" x14ac:dyDescent="0.3">
      <c r="A21" t="s">
        <v>7684</v>
      </c>
      <c r="B21">
        <v>712</v>
      </c>
      <c r="C21" t="s">
        <v>7351</v>
      </c>
      <c r="D21" t="s">
        <v>7352</v>
      </c>
      <c r="H21" s="9" t="str">
        <f t="shared" si="0"/>
        <v/>
      </c>
    </row>
    <row r="22" spans="1:8" x14ac:dyDescent="0.3">
      <c r="A22" t="s">
        <v>7684</v>
      </c>
      <c r="B22">
        <v>713</v>
      </c>
      <c r="C22" t="s">
        <v>7353</v>
      </c>
      <c r="D22" t="s">
        <v>7354</v>
      </c>
      <c r="H22" s="9" t="str">
        <f t="shared" si="0"/>
        <v/>
      </c>
    </row>
    <row r="23" spans="1:8" x14ac:dyDescent="0.3">
      <c r="A23" t="s">
        <v>7684</v>
      </c>
      <c r="B23">
        <v>714</v>
      </c>
      <c r="C23" t="s">
        <v>7355</v>
      </c>
      <c r="D23" t="s">
        <v>7356</v>
      </c>
      <c r="H23" s="9" t="str">
        <f t="shared" si="0"/>
        <v/>
      </c>
    </row>
    <row r="24" spans="1:8" x14ac:dyDescent="0.3">
      <c r="A24" t="s">
        <v>7684</v>
      </c>
      <c r="B24">
        <v>715</v>
      </c>
      <c r="C24" t="s">
        <v>7357</v>
      </c>
      <c r="D24" t="s">
        <v>7358</v>
      </c>
      <c r="H24" s="9" t="str">
        <f t="shared" si="0"/>
        <v/>
      </c>
    </row>
    <row r="25" spans="1:8" x14ac:dyDescent="0.3">
      <c r="A25" t="s">
        <v>7684</v>
      </c>
      <c r="B25">
        <v>716</v>
      </c>
      <c r="C25" t="s">
        <v>7359</v>
      </c>
      <c r="D25" t="s">
        <v>7360</v>
      </c>
      <c r="H25" s="9" t="str">
        <f t="shared" si="0"/>
        <v/>
      </c>
    </row>
    <row r="26" spans="1:8" x14ac:dyDescent="0.3">
      <c r="A26" t="s">
        <v>7684</v>
      </c>
      <c r="B26">
        <v>717</v>
      </c>
      <c r="C26" t="s">
        <v>7361</v>
      </c>
      <c r="D26" t="s">
        <v>7362</v>
      </c>
      <c r="H26" s="9" t="str">
        <f t="shared" si="0"/>
        <v/>
      </c>
    </row>
    <row r="27" spans="1:8" x14ac:dyDescent="0.3">
      <c r="A27" t="s">
        <v>7684</v>
      </c>
      <c r="B27">
        <v>718</v>
      </c>
      <c r="C27" t="s">
        <v>7363</v>
      </c>
      <c r="D27" t="s">
        <v>7364</v>
      </c>
      <c r="H27" s="9" t="str">
        <f t="shared" si="0"/>
        <v/>
      </c>
    </row>
    <row r="28" spans="1:8" x14ac:dyDescent="0.3">
      <c r="A28" t="s">
        <v>7684</v>
      </c>
      <c r="B28">
        <v>719</v>
      </c>
      <c r="C28" t="s">
        <v>7365</v>
      </c>
      <c r="D28" t="s">
        <v>7366</v>
      </c>
      <c r="H28" s="9" t="str">
        <f t="shared" si="0"/>
        <v/>
      </c>
    </row>
    <row r="29" spans="1:8" x14ac:dyDescent="0.3">
      <c r="A29" t="s">
        <v>7684</v>
      </c>
      <c r="B29">
        <v>720</v>
      </c>
      <c r="C29" t="s">
        <v>7367</v>
      </c>
      <c r="D29" t="s">
        <v>7368</v>
      </c>
      <c r="H29" s="9" t="str">
        <f t="shared" si="0"/>
        <v/>
      </c>
    </row>
    <row r="30" spans="1:8" x14ac:dyDescent="0.3">
      <c r="A30" t="s">
        <v>7684</v>
      </c>
      <c r="B30">
        <v>721</v>
      </c>
      <c r="C30" t="s">
        <v>7369</v>
      </c>
      <c r="D30" t="s">
        <v>7370</v>
      </c>
      <c r="H30" s="9" t="str">
        <f t="shared" si="0"/>
        <v/>
      </c>
    </row>
    <row r="31" spans="1:8" x14ac:dyDescent="0.3">
      <c r="A31" t="s">
        <v>7684</v>
      </c>
      <c r="B31">
        <v>722</v>
      </c>
      <c r="C31" t="s">
        <v>7371</v>
      </c>
      <c r="D31" t="s">
        <v>7372</v>
      </c>
      <c r="H31" s="9" t="str">
        <f t="shared" si="0"/>
        <v/>
      </c>
    </row>
    <row r="32" spans="1:8" x14ac:dyDescent="0.3">
      <c r="A32" t="s">
        <v>7684</v>
      </c>
      <c r="B32">
        <v>723</v>
      </c>
      <c r="C32" t="s">
        <v>7373</v>
      </c>
      <c r="D32" t="s">
        <v>7374</v>
      </c>
      <c r="H32" s="9" t="str">
        <f t="shared" si="0"/>
        <v/>
      </c>
    </row>
    <row r="33" spans="1:8" x14ac:dyDescent="0.3">
      <c r="A33" t="s">
        <v>7684</v>
      </c>
      <c r="B33">
        <v>724</v>
      </c>
      <c r="C33" t="s">
        <v>7375</v>
      </c>
      <c r="D33" t="s">
        <v>7376</v>
      </c>
      <c r="H33" s="9" t="str">
        <f t="shared" si="0"/>
        <v/>
      </c>
    </row>
    <row r="34" spans="1:8" x14ac:dyDescent="0.3">
      <c r="A34" t="s">
        <v>7684</v>
      </c>
      <c r="B34">
        <v>725</v>
      </c>
      <c r="C34" t="s">
        <v>7377</v>
      </c>
      <c r="D34" t="s">
        <v>7378</v>
      </c>
      <c r="H34" s="9" t="str">
        <f t="shared" si="0"/>
        <v/>
      </c>
    </row>
    <row r="35" spans="1:8" x14ac:dyDescent="0.3">
      <c r="A35" t="s">
        <v>7684</v>
      </c>
      <c r="B35">
        <v>726</v>
      </c>
      <c r="C35" t="s">
        <v>7379</v>
      </c>
      <c r="D35" t="s">
        <v>7380</v>
      </c>
      <c r="H35" s="9" t="str">
        <f t="shared" si="0"/>
        <v/>
      </c>
    </row>
    <row r="36" spans="1:8" x14ac:dyDescent="0.3">
      <c r="A36" t="s">
        <v>7684</v>
      </c>
      <c r="B36">
        <v>727</v>
      </c>
      <c r="C36" t="s">
        <v>7381</v>
      </c>
      <c r="D36" t="s">
        <v>7382</v>
      </c>
      <c r="H36" s="9" t="str">
        <f t="shared" si="0"/>
        <v/>
      </c>
    </row>
    <row r="37" spans="1:8" x14ac:dyDescent="0.3">
      <c r="A37" t="s">
        <v>7684</v>
      </c>
      <c r="B37">
        <v>728</v>
      </c>
      <c r="C37" t="s">
        <v>7383</v>
      </c>
      <c r="D37" t="s">
        <v>7384</v>
      </c>
      <c r="H37" s="9" t="str">
        <f t="shared" si="0"/>
        <v/>
      </c>
    </row>
    <row r="38" spans="1:8" x14ac:dyDescent="0.3">
      <c r="A38" t="s">
        <v>7684</v>
      </c>
      <c r="B38">
        <v>729</v>
      </c>
      <c r="C38" t="s">
        <v>7375</v>
      </c>
      <c r="D38" t="s">
        <v>7385</v>
      </c>
      <c r="H38" s="9" t="str">
        <f t="shared" si="0"/>
        <v/>
      </c>
    </row>
    <row r="39" spans="1:8" x14ac:dyDescent="0.3">
      <c r="A39" t="s">
        <v>7684</v>
      </c>
      <c r="B39">
        <v>730</v>
      </c>
      <c r="C39" t="s">
        <v>7386</v>
      </c>
      <c r="D39" t="s">
        <v>7387</v>
      </c>
      <c r="H39" s="9" t="str">
        <f t="shared" si="0"/>
        <v/>
      </c>
    </row>
    <row r="40" spans="1:8" x14ac:dyDescent="0.3">
      <c r="A40" t="s">
        <v>7684</v>
      </c>
      <c r="B40">
        <v>731</v>
      </c>
      <c r="C40" t="s">
        <v>7388</v>
      </c>
      <c r="D40" t="s">
        <v>7389</v>
      </c>
      <c r="H40" s="9" t="str">
        <f t="shared" si="0"/>
        <v/>
      </c>
    </row>
    <row r="41" spans="1:8" x14ac:dyDescent="0.3">
      <c r="A41" t="s">
        <v>7684</v>
      </c>
      <c r="B41">
        <v>732</v>
      </c>
      <c r="C41" t="s">
        <v>7390</v>
      </c>
      <c r="D41" t="s">
        <v>7391</v>
      </c>
      <c r="H41" s="9" t="str">
        <f t="shared" si="0"/>
        <v/>
      </c>
    </row>
    <row r="42" spans="1:8" x14ac:dyDescent="0.3">
      <c r="A42" t="s">
        <v>7684</v>
      </c>
      <c r="B42">
        <v>733</v>
      </c>
      <c r="C42" t="s">
        <v>7392</v>
      </c>
      <c r="D42" t="s">
        <v>7393</v>
      </c>
      <c r="H42" s="9" t="str">
        <f t="shared" si="0"/>
        <v/>
      </c>
    </row>
    <row r="43" spans="1:8" x14ac:dyDescent="0.3">
      <c r="A43" t="s">
        <v>7684</v>
      </c>
      <c r="B43">
        <v>734</v>
      </c>
      <c r="C43" t="s">
        <v>7394</v>
      </c>
      <c r="D43" t="s">
        <v>7395</v>
      </c>
      <c r="H43" s="9" t="str">
        <f t="shared" si="0"/>
        <v/>
      </c>
    </row>
    <row r="44" spans="1:8" x14ac:dyDescent="0.3">
      <c r="A44" t="s">
        <v>7684</v>
      </c>
      <c r="B44">
        <v>735</v>
      </c>
      <c r="C44" t="s">
        <v>7396</v>
      </c>
      <c r="D44" t="s">
        <v>7397</v>
      </c>
      <c r="H44" s="9" t="str">
        <f t="shared" si="0"/>
        <v/>
      </c>
    </row>
    <row r="45" spans="1:8" x14ac:dyDescent="0.3">
      <c r="A45" t="s">
        <v>7684</v>
      </c>
      <c r="B45">
        <v>736</v>
      </c>
      <c r="C45" t="s">
        <v>7398</v>
      </c>
      <c r="D45" t="s">
        <v>7399</v>
      </c>
      <c r="H45" s="9" t="str">
        <f t="shared" si="0"/>
        <v/>
      </c>
    </row>
    <row r="46" spans="1:8" x14ac:dyDescent="0.3">
      <c r="A46" t="s">
        <v>7684</v>
      </c>
      <c r="B46">
        <v>737</v>
      </c>
      <c r="C46" t="s">
        <v>7400</v>
      </c>
      <c r="D46" t="s">
        <v>7401</v>
      </c>
      <c r="H46" s="9" t="str">
        <f t="shared" si="0"/>
        <v/>
      </c>
    </row>
    <row r="47" spans="1:8" x14ac:dyDescent="0.3">
      <c r="A47" t="s">
        <v>7684</v>
      </c>
      <c r="B47">
        <v>738</v>
      </c>
      <c r="C47" t="s">
        <v>7402</v>
      </c>
      <c r="D47" t="s">
        <v>7403</v>
      </c>
      <c r="H47" s="9" t="str">
        <f t="shared" si="0"/>
        <v/>
      </c>
    </row>
    <row r="48" spans="1:8" x14ac:dyDescent="0.3">
      <c r="A48" t="s">
        <v>7684</v>
      </c>
      <c r="B48">
        <v>739</v>
      </c>
      <c r="C48" t="s">
        <v>7404</v>
      </c>
      <c r="D48" t="s">
        <v>7405</v>
      </c>
      <c r="H48" s="9" t="str">
        <f t="shared" si="0"/>
        <v/>
      </c>
    </row>
    <row r="49" spans="1:8" x14ac:dyDescent="0.3">
      <c r="A49" t="s">
        <v>7684</v>
      </c>
      <c r="B49">
        <v>740</v>
      </c>
      <c r="C49" t="s">
        <v>7406</v>
      </c>
      <c r="D49" t="s">
        <v>7407</v>
      </c>
      <c r="H49" s="9" t="str">
        <f t="shared" si="0"/>
        <v/>
      </c>
    </row>
    <row r="50" spans="1:8" x14ac:dyDescent="0.3">
      <c r="A50" t="s">
        <v>7684</v>
      </c>
      <c r="B50">
        <v>741</v>
      </c>
      <c r="C50" t="s">
        <v>7408</v>
      </c>
      <c r="D50" t="s">
        <v>7409</v>
      </c>
      <c r="H50" s="9" t="str">
        <f t="shared" si="0"/>
        <v/>
      </c>
    </row>
    <row r="51" spans="1:8" x14ac:dyDescent="0.3">
      <c r="A51" t="s">
        <v>7684</v>
      </c>
      <c r="B51">
        <v>742</v>
      </c>
      <c r="C51" t="s">
        <v>7410</v>
      </c>
      <c r="D51" t="s">
        <v>7411</v>
      </c>
      <c r="H51" s="9" t="str">
        <f t="shared" si="0"/>
        <v/>
      </c>
    </row>
    <row r="52" spans="1:8" x14ac:dyDescent="0.3">
      <c r="A52" t="s">
        <v>7684</v>
      </c>
      <c r="B52">
        <v>743</v>
      </c>
      <c r="C52" t="s">
        <v>7412</v>
      </c>
      <c r="D52" t="s">
        <v>7413</v>
      </c>
      <c r="H52" s="9" t="str">
        <f t="shared" si="0"/>
        <v/>
      </c>
    </row>
    <row r="53" spans="1:8" x14ac:dyDescent="0.3">
      <c r="A53" t="s">
        <v>7684</v>
      </c>
      <c r="B53">
        <v>901</v>
      </c>
      <c r="C53" t="s">
        <v>7685</v>
      </c>
      <c r="D53" t="s">
        <v>7819</v>
      </c>
      <c r="E53" t="s">
        <v>7414</v>
      </c>
      <c r="F53" t="s">
        <v>7415</v>
      </c>
      <c r="H53" s="9" t="str">
        <f t="shared" si="0"/>
        <v/>
      </c>
    </row>
    <row r="54" spans="1:8" x14ac:dyDescent="0.3">
      <c r="A54" t="s">
        <v>7684</v>
      </c>
      <c r="B54">
        <v>902</v>
      </c>
      <c r="C54" t="s">
        <v>7686</v>
      </c>
      <c r="D54" t="s">
        <v>7820</v>
      </c>
      <c r="E54" t="s">
        <v>7416</v>
      </c>
      <c r="F54" t="s">
        <v>7417</v>
      </c>
      <c r="H54" s="9" t="str">
        <f t="shared" si="0"/>
        <v/>
      </c>
    </row>
    <row r="55" spans="1:8" x14ac:dyDescent="0.3">
      <c r="A55" t="s">
        <v>7684</v>
      </c>
      <c r="B55">
        <v>903</v>
      </c>
      <c r="C55" t="s">
        <v>7687</v>
      </c>
      <c r="D55" t="s">
        <v>7821</v>
      </c>
      <c r="E55" t="s">
        <v>7418</v>
      </c>
      <c r="F55" t="s">
        <v>7419</v>
      </c>
      <c r="H55" s="9" t="str">
        <f t="shared" si="0"/>
        <v/>
      </c>
    </row>
    <row r="56" spans="1:8" x14ac:dyDescent="0.3">
      <c r="A56" t="s">
        <v>7684</v>
      </c>
      <c r="B56">
        <v>904</v>
      </c>
      <c r="C56" t="s">
        <v>7688</v>
      </c>
      <c r="D56" t="s">
        <v>7822</v>
      </c>
      <c r="E56" t="s">
        <v>7420</v>
      </c>
      <c r="F56" t="s">
        <v>7421</v>
      </c>
      <c r="H56" s="9" t="str">
        <f t="shared" si="0"/>
        <v/>
      </c>
    </row>
    <row r="57" spans="1:8" x14ac:dyDescent="0.3">
      <c r="A57" t="s">
        <v>7684</v>
      </c>
      <c r="B57">
        <v>905</v>
      </c>
      <c r="C57" t="s">
        <v>7689</v>
      </c>
      <c r="D57" t="s">
        <v>7823</v>
      </c>
      <c r="E57" t="s">
        <v>7422</v>
      </c>
      <c r="F57" t="s">
        <v>7423</v>
      </c>
      <c r="H57" s="9" t="str">
        <f t="shared" si="0"/>
        <v/>
      </c>
    </row>
    <row r="58" spans="1:8" x14ac:dyDescent="0.3">
      <c r="A58" t="s">
        <v>7684</v>
      </c>
      <c r="B58">
        <v>906</v>
      </c>
      <c r="C58" t="s">
        <v>7690</v>
      </c>
      <c r="D58" t="s">
        <v>7824</v>
      </c>
      <c r="E58" t="s">
        <v>7424</v>
      </c>
      <c r="F58" t="s">
        <v>7425</v>
      </c>
      <c r="H58" s="9" t="str">
        <f t="shared" si="0"/>
        <v/>
      </c>
    </row>
    <row r="59" spans="1:8" ht="28.8" x14ac:dyDescent="0.3">
      <c r="A59" t="s">
        <v>7684</v>
      </c>
      <c r="B59">
        <v>1101</v>
      </c>
      <c r="C59" t="s">
        <v>7691</v>
      </c>
      <c r="D59" s="216" t="s">
        <v>7825</v>
      </c>
      <c r="E59" t="s">
        <v>7426</v>
      </c>
      <c r="F59" t="s">
        <v>7427</v>
      </c>
      <c r="H59" s="9" t="str">
        <f t="shared" si="0"/>
        <v/>
      </c>
    </row>
    <row r="60" spans="1:8" ht="28.8" x14ac:dyDescent="0.3">
      <c r="A60" t="s">
        <v>7684</v>
      </c>
      <c r="B60">
        <v>1102</v>
      </c>
      <c r="C60" t="s">
        <v>7692</v>
      </c>
      <c r="D60" s="216" t="s">
        <v>7826</v>
      </c>
      <c r="E60" t="s">
        <v>7428</v>
      </c>
      <c r="F60" t="s">
        <v>7429</v>
      </c>
      <c r="H60" s="9" t="str">
        <f t="shared" si="0"/>
        <v/>
      </c>
    </row>
    <row r="61" spans="1:8" ht="28.8" x14ac:dyDescent="0.3">
      <c r="A61" t="s">
        <v>7684</v>
      </c>
      <c r="B61">
        <v>1103</v>
      </c>
      <c r="C61" t="s">
        <v>7693</v>
      </c>
      <c r="D61" s="216" t="s">
        <v>7827</v>
      </c>
      <c r="E61" t="s">
        <v>7430</v>
      </c>
      <c r="F61" t="s">
        <v>7431</v>
      </c>
      <c r="H61" s="9" t="str">
        <f t="shared" si="0"/>
        <v/>
      </c>
    </row>
    <row r="62" spans="1:8" ht="28.8" x14ac:dyDescent="0.3">
      <c r="A62" t="s">
        <v>7684</v>
      </c>
      <c r="B62">
        <v>1104</v>
      </c>
      <c r="C62" t="s">
        <v>7694</v>
      </c>
      <c r="D62" s="216" t="s">
        <v>7828</v>
      </c>
      <c r="E62" t="s">
        <v>7432</v>
      </c>
      <c r="F62" t="s">
        <v>7433</v>
      </c>
      <c r="H62" s="9" t="str">
        <f t="shared" si="0"/>
        <v/>
      </c>
    </row>
    <row r="63" spans="1:8" ht="28.8" x14ac:dyDescent="0.3">
      <c r="A63" t="s">
        <v>7684</v>
      </c>
      <c r="B63">
        <v>1105</v>
      </c>
      <c r="C63" t="s">
        <v>7695</v>
      </c>
      <c r="D63" s="216" t="s">
        <v>7829</v>
      </c>
      <c r="E63" t="s">
        <v>7434</v>
      </c>
      <c r="F63" t="s">
        <v>7435</v>
      </c>
      <c r="H63" s="9" t="str">
        <f t="shared" si="0"/>
        <v/>
      </c>
    </row>
    <row r="64" spans="1:8" ht="28.8" x14ac:dyDescent="0.3">
      <c r="A64" t="s">
        <v>7684</v>
      </c>
      <c r="B64">
        <v>1106</v>
      </c>
      <c r="C64" t="s">
        <v>7696</v>
      </c>
      <c r="D64" s="216" t="s">
        <v>7830</v>
      </c>
      <c r="E64" t="s">
        <v>7436</v>
      </c>
      <c r="F64" t="s">
        <v>7437</v>
      </c>
      <c r="H64" s="9" t="str">
        <f t="shared" si="0"/>
        <v/>
      </c>
    </row>
    <row r="65" spans="1:8" ht="28.8" x14ac:dyDescent="0.3">
      <c r="A65" t="s">
        <v>7684</v>
      </c>
      <c r="B65">
        <v>1107</v>
      </c>
      <c r="C65" t="s">
        <v>7697</v>
      </c>
      <c r="D65" s="216" t="s">
        <v>7831</v>
      </c>
      <c r="E65" t="s">
        <v>7438</v>
      </c>
      <c r="F65" t="s">
        <v>7439</v>
      </c>
      <c r="H65" s="9" t="str">
        <f t="shared" si="0"/>
        <v/>
      </c>
    </row>
    <row r="66" spans="1:8" ht="28.8" x14ac:dyDescent="0.3">
      <c r="A66" t="s">
        <v>7684</v>
      </c>
      <c r="B66">
        <v>1108</v>
      </c>
      <c r="C66" t="s">
        <v>7698</v>
      </c>
      <c r="D66" s="216" t="s">
        <v>7832</v>
      </c>
      <c r="E66" t="s">
        <v>7440</v>
      </c>
      <c r="F66" t="s">
        <v>7441</v>
      </c>
      <c r="H66" s="9" t="str">
        <f t="shared" si="0"/>
        <v/>
      </c>
    </row>
    <row r="67" spans="1:8" ht="28.8" x14ac:dyDescent="0.3">
      <c r="A67" t="s">
        <v>7684</v>
      </c>
      <c r="B67">
        <v>1109</v>
      </c>
      <c r="C67" t="s">
        <v>7699</v>
      </c>
      <c r="D67" s="216" t="s">
        <v>7833</v>
      </c>
      <c r="E67" t="s">
        <v>7442</v>
      </c>
      <c r="F67" t="s">
        <v>7443</v>
      </c>
      <c r="H67" s="9" t="str">
        <f t="shared" si="0"/>
        <v/>
      </c>
    </row>
    <row r="68" spans="1:8" x14ac:dyDescent="0.3">
      <c r="A68" t="s">
        <v>7684</v>
      </c>
      <c r="B68">
        <v>1133001</v>
      </c>
      <c r="C68" t="s">
        <v>7700</v>
      </c>
      <c r="D68" t="s">
        <v>7834</v>
      </c>
      <c r="E68" t="s">
        <v>7444</v>
      </c>
      <c r="F68" t="s">
        <v>7445</v>
      </c>
      <c r="H68" s="9" t="str">
        <f t="shared" ref="H68:H131" si="1">IF(A68="N",H67,IF(H67="",B68,H67&amp;";"&amp;B68))</f>
        <v/>
      </c>
    </row>
    <row r="69" spans="1:8" x14ac:dyDescent="0.3">
      <c r="A69" t="s">
        <v>7684</v>
      </c>
      <c r="B69">
        <v>1133002</v>
      </c>
      <c r="C69" t="s">
        <v>7701</v>
      </c>
      <c r="D69" t="s">
        <v>7835</v>
      </c>
      <c r="E69" t="s">
        <v>7446</v>
      </c>
      <c r="F69" t="s">
        <v>7447</v>
      </c>
      <c r="H69" s="9" t="str">
        <f t="shared" si="1"/>
        <v/>
      </c>
    </row>
    <row r="70" spans="1:8" x14ac:dyDescent="0.3">
      <c r="A70" t="s">
        <v>7684</v>
      </c>
      <c r="B70">
        <v>1133003</v>
      </c>
      <c r="C70" t="s">
        <v>7702</v>
      </c>
      <c r="D70" t="s">
        <v>7836</v>
      </c>
      <c r="E70" t="s">
        <v>7448</v>
      </c>
      <c r="F70" t="s">
        <v>7449</v>
      </c>
      <c r="H70" s="9" t="str">
        <f t="shared" si="1"/>
        <v/>
      </c>
    </row>
    <row r="71" spans="1:8" x14ac:dyDescent="0.3">
      <c r="A71" t="s">
        <v>7684</v>
      </c>
      <c r="B71">
        <v>1133004</v>
      </c>
      <c r="C71" t="s">
        <v>7703</v>
      </c>
      <c r="D71" t="s">
        <v>7837</v>
      </c>
      <c r="E71" t="s">
        <v>7450</v>
      </c>
      <c r="F71" t="s">
        <v>7451</v>
      </c>
      <c r="H71" s="9" t="str">
        <f t="shared" si="1"/>
        <v/>
      </c>
    </row>
    <row r="72" spans="1:8" x14ac:dyDescent="0.3">
      <c r="A72" t="s">
        <v>7684</v>
      </c>
      <c r="B72">
        <v>1133005</v>
      </c>
      <c r="C72" t="s">
        <v>7704</v>
      </c>
      <c r="D72" t="s">
        <v>7838</v>
      </c>
      <c r="E72" t="s">
        <v>7452</v>
      </c>
      <c r="F72" t="s">
        <v>7453</v>
      </c>
      <c r="H72" s="9" t="str">
        <f t="shared" si="1"/>
        <v/>
      </c>
    </row>
    <row r="73" spans="1:8" x14ac:dyDescent="0.3">
      <c r="A73" t="s">
        <v>7684</v>
      </c>
      <c r="B73">
        <v>1133006</v>
      </c>
      <c r="C73" t="s">
        <v>7705</v>
      </c>
      <c r="D73" t="s">
        <v>7839</v>
      </c>
      <c r="E73" t="s">
        <v>7454</v>
      </c>
      <c r="F73" t="s">
        <v>7455</v>
      </c>
      <c r="H73" s="9" t="str">
        <f t="shared" si="1"/>
        <v/>
      </c>
    </row>
    <row r="74" spans="1:8" x14ac:dyDescent="0.3">
      <c r="A74" t="s">
        <v>7684</v>
      </c>
      <c r="B74">
        <v>1133007</v>
      </c>
      <c r="C74" t="s">
        <v>7706</v>
      </c>
      <c r="D74" t="s">
        <v>7840</v>
      </c>
      <c r="E74" t="s">
        <v>7456</v>
      </c>
      <c r="F74" t="s">
        <v>7457</v>
      </c>
      <c r="H74" s="9" t="str">
        <f t="shared" si="1"/>
        <v/>
      </c>
    </row>
    <row r="75" spans="1:8" x14ac:dyDescent="0.3">
      <c r="A75" t="s">
        <v>7684</v>
      </c>
      <c r="B75">
        <v>1133008</v>
      </c>
      <c r="C75" t="s">
        <v>7707</v>
      </c>
      <c r="D75" t="s">
        <v>7841</v>
      </c>
      <c r="E75" t="s">
        <v>7458</v>
      </c>
      <c r="F75" t="s">
        <v>7459</v>
      </c>
      <c r="H75" s="9" t="str">
        <f t="shared" si="1"/>
        <v/>
      </c>
    </row>
    <row r="76" spans="1:8" x14ac:dyDescent="0.3">
      <c r="A76" t="s">
        <v>7684</v>
      </c>
      <c r="B76">
        <v>1133009</v>
      </c>
      <c r="C76" t="s">
        <v>7708</v>
      </c>
      <c r="D76" t="s">
        <v>7842</v>
      </c>
      <c r="E76" t="s">
        <v>7460</v>
      </c>
      <c r="F76" t="s">
        <v>7461</v>
      </c>
      <c r="H76" s="9" t="str">
        <f t="shared" si="1"/>
        <v/>
      </c>
    </row>
    <row r="77" spans="1:8" x14ac:dyDescent="0.3">
      <c r="A77" t="s">
        <v>7684</v>
      </c>
      <c r="B77">
        <v>1133010</v>
      </c>
      <c r="C77" t="s">
        <v>7709</v>
      </c>
      <c r="D77" t="s">
        <v>7843</v>
      </c>
      <c r="E77" t="s">
        <v>7462</v>
      </c>
      <c r="F77" t="s">
        <v>7463</v>
      </c>
      <c r="H77" s="9" t="str">
        <f t="shared" si="1"/>
        <v/>
      </c>
    </row>
    <row r="78" spans="1:8" x14ac:dyDescent="0.3">
      <c r="A78" t="s">
        <v>7684</v>
      </c>
      <c r="B78">
        <v>1133011</v>
      </c>
      <c r="C78" t="s">
        <v>7710</v>
      </c>
      <c r="D78" t="s">
        <v>7844</v>
      </c>
      <c r="E78" t="s">
        <v>7464</v>
      </c>
      <c r="F78" t="s">
        <v>7465</v>
      </c>
      <c r="H78" s="9" t="str">
        <f t="shared" si="1"/>
        <v/>
      </c>
    </row>
    <row r="79" spans="1:8" x14ac:dyDescent="0.3">
      <c r="A79" t="s">
        <v>7684</v>
      </c>
      <c r="B79">
        <v>1133012</v>
      </c>
      <c r="C79" t="s">
        <v>7711</v>
      </c>
      <c r="D79" t="s">
        <v>7845</v>
      </c>
      <c r="E79" t="s">
        <v>7466</v>
      </c>
      <c r="F79" t="s">
        <v>7467</v>
      </c>
      <c r="H79" s="9" t="str">
        <f t="shared" si="1"/>
        <v/>
      </c>
    </row>
    <row r="80" spans="1:8" x14ac:dyDescent="0.3">
      <c r="A80" t="s">
        <v>7684</v>
      </c>
      <c r="B80">
        <v>1133013</v>
      </c>
      <c r="C80" t="s">
        <v>7712</v>
      </c>
      <c r="D80" t="s">
        <v>7846</v>
      </c>
      <c r="E80" t="s">
        <v>7468</v>
      </c>
      <c r="F80" t="s">
        <v>7469</v>
      </c>
      <c r="H80" s="9" t="str">
        <f t="shared" si="1"/>
        <v/>
      </c>
    </row>
    <row r="81" spans="1:8" x14ac:dyDescent="0.3">
      <c r="A81" t="s">
        <v>7684</v>
      </c>
      <c r="B81">
        <v>1133014</v>
      </c>
      <c r="C81" t="s">
        <v>7713</v>
      </c>
      <c r="D81" t="s">
        <v>7847</v>
      </c>
      <c r="E81" t="s">
        <v>7470</v>
      </c>
      <c r="F81" t="s">
        <v>7471</v>
      </c>
      <c r="H81" s="9" t="str">
        <f t="shared" si="1"/>
        <v/>
      </c>
    </row>
    <row r="82" spans="1:8" x14ac:dyDescent="0.3">
      <c r="A82" t="s">
        <v>7684</v>
      </c>
      <c r="B82">
        <v>1133015</v>
      </c>
      <c r="C82" t="s">
        <v>7714</v>
      </c>
      <c r="D82" t="s">
        <v>7848</v>
      </c>
      <c r="E82" t="s">
        <v>7472</v>
      </c>
      <c r="F82" t="s">
        <v>7473</v>
      </c>
      <c r="H82" s="9" t="str">
        <f t="shared" si="1"/>
        <v/>
      </c>
    </row>
    <row r="83" spans="1:8" x14ac:dyDescent="0.3">
      <c r="A83" t="s">
        <v>7684</v>
      </c>
      <c r="B83">
        <v>1133016</v>
      </c>
      <c r="C83" t="s">
        <v>7715</v>
      </c>
      <c r="D83" t="s">
        <v>7849</v>
      </c>
      <c r="E83" t="s">
        <v>7474</v>
      </c>
      <c r="F83" t="s">
        <v>7475</v>
      </c>
      <c r="H83" s="9" t="str">
        <f t="shared" si="1"/>
        <v/>
      </c>
    </row>
    <row r="84" spans="1:8" x14ac:dyDescent="0.3">
      <c r="A84" t="s">
        <v>7684</v>
      </c>
      <c r="B84">
        <v>1133017</v>
      </c>
      <c r="C84" t="s">
        <v>7716</v>
      </c>
      <c r="D84" t="s">
        <v>7850</v>
      </c>
      <c r="E84" t="s">
        <v>7476</v>
      </c>
      <c r="F84" t="s">
        <v>7477</v>
      </c>
      <c r="H84" s="9" t="str">
        <f t="shared" si="1"/>
        <v/>
      </c>
    </row>
    <row r="85" spans="1:8" x14ac:dyDescent="0.3">
      <c r="A85" t="s">
        <v>7684</v>
      </c>
      <c r="B85">
        <v>1133018</v>
      </c>
      <c r="C85" t="s">
        <v>7717</v>
      </c>
      <c r="D85" t="s">
        <v>7851</v>
      </c>
      <c r="E85" t="s">
        <v>7478</v>
      </c>
      <c r="F85" t="s">
        <v>7479</v>
      </c>
      <c r="H85" s="9" t="str">
        <f t="shared" si="1"/>
        <v/>
      </c>
    </row>
    <row r="86" spans="1:8" x14ac:dyDescent="0.3">
      <c r="A86" t="s">
        <v>7684</v>
      </c>
      <c r="B86">
        <v>1133019</v>
      </c>
      <c r="C86" t="s">
        <v>7718</v>
      </c>
      <c r="D86" t="s">
        <v>7852</v>
      </c>
      <c r="E86" t="s">
        <v>7480</v>
      </c>
      <c r="F86" t="s">
        <v>7481</v>
      </c>
      <c r="H86" s="9" t="str">
        <f t="shared" si="1"/>
        <v/>
      </c>
    </row>
    <row r="87" spans="1:8" x14ac:dyDescent="0.3">
      <c r="A87" t="s">
        <v>7684</v>
      </c>
      <c r="B87">
        <v>1133020</v>
      </c>
      <c r="C87" t="s">
        <v>7719</v>
      </c>
      <c r="D87" t="s">
        <v>7853</v>
      </c>
      <c r="E87" t="s">
        <v>7482</v>
      </c>
      <c r="F87" t="s">
        <v>7483</v>
      </c>
      <c r="H87" s="9" t="str">
        <f t="shared" si="1"/>
        <v/>
      </c>
    </row>
    <row r="88" spans="1:8" x14ac:dyDescent="0.3">
      <c r="A88" t="s">
        <v>7684</v>
      </c>
      <c r="B88">
        <v>1133021</v>
      </c>
      <c r="C88" t="s">
        <v>7720</v>
      </c>
      <c r="D88" t="s">
        <v>7854</v>
      </c>
      <c r="E88" t="s">
        <v>7484</v>
      </c>
      <c r="F88" t="s">
        <v>7485</v>
      </c>
      <c r="H88" s="9" t="str">
        <f t="shared" si="1"/>
        <v/>
      </c>
    </row>
    <row r="89" spans="1:8" x14ac:dyDescent="0.3">
      <c r="A89" t="s">
        <v>7684</v>
      </c>
      <c r="B89">
        <v>1133022</v>
      </c>
      <c r="C89" t="s">
        <v>7721</v>
      </c>
      <c r="D89" t="s">
        <v>7855</v>
      </c>
      <c r="E89" t="s">
        <v>7486</v>
      </c>
      <c r="F89" t="s">
        <v>7487</v>
      </c>
      <c r="H89" s="9" t="str">
        <f t="shared" si="1"/>
        <v/>
      </c>
    </row>
    <row r="90" spans="1:8" x14ac:dyDescent="0.3">
      <c r="A90" t="s">
        <v>7684</v>
      </c>
      <c r="B90">
        <v>1133023</v>
      </c>
      <c r="C90" t="s">
        <v>7722</v>
      </c>
      <c r="D90" t="s">
        <v>7856</v>
      </c>
      <c r="E90" t="s">
        <v>7488</v>
      </c>
      <c r="F90" t="s">
        <v>7489</v>
      </c>
      <c r="H90" s="9" t="str">
        <f t="shared" si="1"/>
        <v/>
      </c>
    </row>
    <row r="91" spans="1:8" x14ac:dyDescent="0.3">
      <c r="A91" t="s">
        <v>7684</v>
      </c>
      <c r="B91">
        <v>1133024</v>
      </c>
      <c r="C91" t="s">
        <v>7723</v>
      </c>
      <c r="D91" t="s">
        <v>7857</v>
      </c>
      <c r="E91" t="s">
        <v>7490</v>
      </c>
      <c r="F91" t="s">
        <v>7491</v>
      </c>
      <c r="H91" s="9" t="str">
        <f t="shared" si="1"/>
        <v/>
      </c>
    </row>
    <row r="92" spans="1:8" x14ac:dyDescent="0.3">
      <c r="A92" t="s">
        <v>7684</v>
      </c>
      <c r="B92">
        <v>1133025</v>
      </c>
      <c r="C92" t="s">
        <v>7724</v>
      </c>
      <c r="D92" t="s">
        <v>7858</v>
      </c>
      <c r="E92" t="s">
        <v>7492</v>
      </c>
      <c r="F92" t="s">
        <v>7493</v>
      </c>
      <c r="H92" s="9" t="str">
        <f t="shared" si="1"/>
        <v/>
      </c>
    </row>
    <row r="93" spans="1:8" x14ac:dyDescent="0.3">
      <c r="A93" t="s">
        <v>7684</v>
      </c>
      <c r="B93">
        <v>1133026</v>
      </c>
      <c r="C93" t="s">
        <v>7725</v>
      </c>
      <c r="D93" t="s">
        <v>7859</v>
      </c>
      <c r="E93" t="s">
        <v>7494</v>
      </c>
      <c r="F93" t="s">
        <v>7495</v>
      </c>
      <c r="H93" s="9" t="str">
        <f t="shared" si="1"/>
        <v/>
      </c>
    </row>
    <row r="94" spans="1:8" x14ac:dyDescent="0.3">
      <c r="A94" t="s">
        <v>7684</v>
      </c>
      <c r="B94">
        <v>1133027</v>
      </c>
      <c r="C94" t="s">
        <v>7726</v>
      </c>
      <c r="D94" t="s">
        <v>7860</v>
      </c>
      <c r="E94" t="s">
        <v>7496</v>
      </c>
      <c r="F94" t="s">
        <v>7497</v>
      </c>
      <c r="H94" s="9" t="str">
        <f t="shared" si="1"/>
        <v/>
      </c>
    </row>
    <row r="95" spans="1:8" x14ac:dyDescent="0.3">
      <c r="A95" t="s">
        <v>7684</v>
      </c>
      <c r="B95">
        <v>1133028</v>
      </c>
      <c r="C95" t="s">
        <v>7727</v>
      </c>
      <c r="D95" t="s">
        <v>7861</v>
      </c>
      <c r="E95" t="s">
        <v>7498</v>
      </c>
      <c r="F95" t="s">
        <v>7499</v>
      </c>
      <c r="H95" s="9" t="str">
        <f t="shared" si="1"/>
        <v/>
      </c>
    </row>
    <row r="96" spans="1:8" x14ac:dyDescent="0.3">
      <c r="A96" t="s">
        <v>7684</v>
      </c>
      <c r="B96">
        <v>1133029</v>
      </c>
      <c r="C96" t="s">
        <v>7728</v>
      </c>
      <c r="D96" t="s">
        <v>7862</v>
      </c>
      <c r="E96" t="s">
        <v>7500</v>
      </c>
      <c r="F96" t="s">
        <v>7501</v>
      </c>
      <c r="H96" s="9" t="str">
        <f t="shared" si="1"/>
        <v/>
      </c>
    </row>
    <row r="97" spans="1:8" x14ac:dyDescent="0.3">
      <c r="A97" t="s">
        <v>7684</v>
      </c>
      <c r="B97">
        <v>1133030</v>
      </c>
      <c r="C97" t="s">
        <v>7729</v>
      </c>
      <c r="D97" t="s">
        <v>7863</v>
      </c>
      <c r="E97" t="s">
        <v>7502</v>
      </c>
      <c r="F97" t="s">
        <v>7503</v>
      </c>
      <c r="H97" s="9" t="str">
        <f t="shared" si="1"/>
        <v/>
      </c>
    </row>
    <row r="98" spans="1:8" x14ac:dyDescent="0.3">
      <c r="A98" t="s">
        <v>7684</v>
      </c>
      <c r="B98">
        <v>1133031</v>
      </c>
      <c r="C98" t="s">
        <v>7730</v>
      </c>
      <c r="D98" t="s">
        <v>7864</v>
      </c>
      <c r="E98" t="s">
        <v>7504</v>
      </c>
      <c r="F98" t="s">
        <v>7505</v>
      </c>
      <c r="H98" s="9" t="str">
        <f t="shared" si="1"/>
        <v/>
      </c>
    </row>
    <row r="99" spans="1:8" x14ac:dyDescent="0.3">
      <c r="A99" t="s">
        <v>7684</v>
      </c>
      <c r="B99">
        <v>1133032</v>
      </c>
      <c r="C99" t="s">
        <v>7731</v>
      </c>
      <c r="D99" t="s">
        <v>7865</v>
      </c>
      <c r="E99" t="s">
        <v>7506</v>
      </c>
      <c r="F99" t="s">
        <v>7507</v>
      </c>
      <c r="H99" s="9" t="str">
        <f t="shared" si="1"/>
        <v/>
      </c>
    </row>
    <row r="100" spans="1:8" x14ac:dyDescent="0.3">
      <c r="A100" t="s">
        <v>7684</v>
      </c>
      <c r="B100">
        <v>1133033</v>
      </c>
      <c r="C100" t="s">
        <v>7732</v>
      </c>
      <c r="D100" t="s">
        <v>7866</v>
      </c>
      <c r="E100" t="s">
        <v>7508</v>
      </c>
      <c r="F100" t="s">
        <v>7509</v>
      </c>
      <c r="H100" s="9" t="str">
        <f t="shared" si="1"/>
        <v/>
      </c>
    </row>
    <row r="101" spans="1:8" x14ac:dyDescent="0.3">
      <c r="A101" t="s">
        <v>7684</v>
      </c>
      <c r="B101">
        <v>1133034</v>
      </c>
      <c r="C101" t="s">
        <v>7733</v>
      </c>
      <c r="D101" t="s">
        <v>7867</v>
      </c>
      <c r="E101" t="s">
        <v>7510</v>
      </c>
      <c r="F101" t="s">
        <v>7511</v>
      </c>
      <c r="H101" s="9" t="str">
        <f t="shared" si="1"/>
        <v/>
      </c>
    </row>
    <row r="102" spans="1:8" x14ac:dyDescent="0.3">
      <c r="A102" t="s">
        <v>7684</v>
      </c>
      <c r="B102">
        <v>1133035</v>
      </c>
      <c r="C102" t="s">
        <v>7734</v>
      </c>
      <c r="D102" t="s">
        <v>7868</v>
      </c>
      <c r="E102" t="s">
        <v>7512</v>
      </c>
      <c r="F102" t="s">
        <v>7513</v>
      </c>
      <c r="H102" s="9" t="str">
        <f t="shared" si="1"/>
        <v/>
      </c>
    </row>
    <row r="103" spans="1:8" x14ac:dyDescent="0.3">
      <c r="A103" t="s">
        <v>7684</v>
      </c>
      <c r="B103">
        <v>1133036</v>
      </c>
      <c r="C103" t="s">
        <v>7735</v>
      </c>
      <c r="D103" t="s">
        <v>7869</v>
      </c>
      <c r="E103" t="s">
        <v>7514</v>
      </c>
      <c r="F103" t="s">
        <v>7515</v>
      </c>
      <c r="H103" s="9" t="str">
        <f t="shared" si="1"/>
        <v/>
      </c>
    </row>
    <row r="104" spans="1:8" x14ac:dyDescent="0.3">
      <c r="A104" t="s">
        <v>7684</v>
      </c>
      <c r="B104">
        <v>1133037</v>
      </c>
      <c r="C104" t="s">
        <v>7736</v>
      </c>
      <c r="D104" t="s">
        <v>7870</v>
      </c>
      <c r="E104" t="s">
        <v>7516</v>
      </c>
      <c r="F104" t="s">
        <v>7517</v>
      </c>
      <c r="H104" s="9" t="str">
        <f t="shared" si="1"/>
        <v/>
      </c>
    </row>
    <row r="105" spans="1:8" x14ac:dyDescent="0.3">
      <c r="A105" t="s">
        <v>7684</v>
      </c>
      <c r="B105">
        <v>1133038</v>
      </c>
      <c r="C105" t="s">
        <v>7737</v>
      </c>
      <c r="D105" t="s">
        <v>7871</v>
      </c>
      <c r="E105" t="s">
        <v>7518</v>
      </c>
      <c r="F105" t="s">
        <v>7519</v>
      </c>
      <c r="H105" s="9" t="str">
        <f t="shared" si="1"/>
        <v/>
      </c>
    </row>
    <row r="106" spans="1:8" x14ac:dyDescent="0.3">
      <c r="A106" t="s">
        <v>7684</v>
      </c>
      <c r="B106">
        <v>1133039</v>
      </c>
      <c r="C106" t="s">
        <v>7738</v>
      </c>
      <c r="D106" t="s">
        <v>7872</v>
      </c>
      <c r="E106" t="s">
        <v>7520</v>
      </c>
      <c r="F106" t="s">
        <v>7521</v>
      </c>
      <c r="H106" s="9" t="str">
        <f t="shared" si="1"/>
        <v/>
      </c>
    </row>
    <row r="107" spans="1:8" x14ac:dyDescent="0.3">
      <c r="A107" t="s">
        <v>7684</v>
      </c>
      <c r="B107">
        <v>1133040</v>
      </c>
      <c r="C107" t="s">
        <v>7739</v>
      </c>
      <c r="D107" t="s">
        <v>7873</v>
      </c>
      <c r="E107" t="s">
        <v>7522</v>
      </c>
      <c r="F107" t="s">
        <v>7523</v>
      </c>
      <c r="H107" s="9" t="str">
        <f t="shared" si="1"/>
        <v/>
      </c>
    </row>
    <row r="108" spans="1:8" x14ac:dyDescent="0.3">
      <c r="A108" t="s">
        <v>7684</v>
      </c>
      <c r="B108">
        <v>1133041</v>
      </c>
      <c r="C108" t="s">
        <v>7740</v>
      </c>
      <c r="D108" t="s">
        <v>7874</v>
      </c>
      <c r="E108" t="s">
        <v>7524</v>
      </c>
      <c r="F108" t="s">
        <v>7525</v>
      </c>
      <c r="H108" s="9" t="str">
        <f t="shared" si="1"/>
        <v/>
      </c>
    </row>
    <row r="109" spans="1:8" x14ac:dyDescent="0.3">
      <c r="A109" t="s">
        <v>7684</v>
      </c>
      <c r="B109">
        <v>1133042</v>
      </c>
      <c r="C109" t="s">
        <v>7741</v>
      </c>
      <c r="D109" t="s">
        <v>7875</v>
      </c>
      <c r="E109" t="s">
        <v>7526</v>
      </c>
      <c r="F109" t="s">
        <v>7527</v>
      </c>
      <c r="H109" s="9" t="str">
        <f t="shared" si="1"/>
        <v/>
      </c>
    </row>
    <row r="110" spans="1:8" x14ac:dyDescent="0.3">
      <c r="A110" t="s">
        <v>7684</v>
      </c>
      <c r="B110">
        <v>1133043</v>
      </c>
      <c r="C110" t="s">
        <v>7742</v>
      </c>
      <c r="D110" t="s">
        <v>7876</v>
      </c>
      <c r="E110" t="s">
        <v>7528</v>
      </c>
      <c r="F110" t="s">
        <v>7529</v>
      </c>
      <c r="H110" s="9" t="str">
        <f t="shared" si="1"/>
        <v/>
      </c>
    </row>
    <row r="111" spans="1:8" x14ac:dyDescent="0.3">
      <c r="A111" t="s">
        <v>7684</v>
      </c>
      <c r="B111">
        <v>1133044</v>
      </c>
      <c r="C111" t="s">
        <v>7743</v>
      </c>
      <c r="D111" t="s">
        <v>7877</v>
      </c>
      <c r="E111" t="s">
        <v>7530</v>
      </c>
      <c r="F111" t="s">
        <v>7531</v>
      </c>
      <c r="H111" s="9" t="str">
        <f t="shared" si="1"/>
        <v/>
      </c>
    </row>
    <row r="112" spans="1:8" x14ac:dyDescent="0.3">
      <c r="A112" t="s">
        <v>7684</v>
      </c>
      <c r="B112">
        <v>1133045</v>
      </c>
      <c r="C112" t="s">
        <v>7744</v>
      </c>
      <c r="D112" t="s">
        <v>7878</v>
      </c>
      <c r="E112" t="s">
        <v>7532</v>
      </c>
      <c r="F112" t="s">
        <v>7533</v>
      </c>
      <c r="H112" s="9" t="str">
        <f t="shared" si="1"/>
        <v/>
      </c>
    </row>
    <row r="113" spans="1:8" x14ac:dyDescent="0.3">
      <c r="A113" t="s">
        <v>7684</v>
      </c>
      <c r="B113">
        <v>1133046</v>
      </c>
      <c r="C113" t="s">
        <v>7745</v>
      </c>
      <c r="D113" t="s">
        <v>7879</v>
      </c>
      <c r="E113" t="s">
        <v>7534</v>
      </c>
      <c r="F113" t="s">
        <v>7535</v>
      </c>
      <c r="H113" s="9" t="str">
        <f t="shared" si="1"/>
        <v/>
      </c>
    </row>
    <row r="114" spans="1:8" x14ac:dyDescent="0.3">
      <c r="A114" t="s">
        <v>7684</v>
      </c>
      <c r="B114">
        <v>1133047</v>
      </c>
      <c r="C114" t="s">
        <v>7746</v>
      </c>
      <c r="D114" t="s">
        <v>7880</v>
      </c>
      <c r="E114" t="s">
        <v>7536</v>
      </c>
      <c r="F114" t="s">
        <v>7537</v>
      </c>
      <c r="H114" s="9" t="str">
        <f t="shared" si="1"/>
        <v/>
      </c>
    </row>
    <row r="115" spans="1:8" x14ac:dyDescent="0.3">
      <c r="A115" t="s">
        <v>7684</v>
      </c>
      <c r="B115">
        <v>1133048</v>
      </c>
      <c r="C115" t="s">
        <v>7747</v>
      </c>
      <c r="D115" t="s">
        <v>7881</v>
      </c>
      <c r="E115" t="s">
        <v>7538</v>
      </c>
      <c r="F115" t="s">
        <v>7539</v>
      </c>
      <c r="H115" s="9" t="str">
        <f t="shared" si="1"/>
        <v/>
      </c>
    </row>
    <row r="116" spans="1:8" x14ac:dyDescent="0.3">
      <c r="A116" t="s">
        <v>7684</v>
      </c>
      <c r="B116">
        <v>1133049</v>
      </c>
      <c r="C116" t="s">
        <v>7748</v>
      </c>
      <c r="D116" t="s">
        <v>7882</v>
      </c>
      <c r="E116" t="s">
        <v>7540</v>
      </c>
      <c r="F116" t="s">
        <v>7541</v>
      </c>
      <c r="H116" s="9" t="str">
        <f t="shared" si="1"/>
        <v/>
      </c>
    </row>
    <row r="117" spans="1:8" x14ac:dyDescent="0.3">
      <c r="A117" t="s">
        <v>7684</v>
      </c>
      <c r="B117">
        <v>1133050</v>
      </c>
      <c r="C117" t="s">
        <v>7749</v>
      </c>
      <c r="D117" t="s">
        <v>7883</v>
      </c>
      <c r="E117" t="s">
        <v>7542</v>
      </c>
      <c r="F117" t="s">
        <v>7543</v>
      </c>
      <c r="H117" s="9" t="str">
        <f t="shared" si="1"/>
        <v/>
      </c>
    </row>
    <row r="118" spans="1:8" x14ac:dyDescent="0.3">
      <c r="A118" t="s">
        <v>7684</v>
      </c>
      <c r="B118">
        <v>1133051</v>
      </c>
      <c r="C118" t="s">
        <v>7750</v>
      </c>
      <c r="D118" t="s">
        <v>7884</v>
      </c>
      <c r="E118" t="s">
        <v>7544</v>
      </c>
      <c r="F118" t="s">
        <v>7545</v>
      </c>
      <c r="H118" s="9" t="str">
        <f t="shared" si="1"/>
        <v/>
      </c>
    </row>
    <row r="119" spans="1:8" x14ac:dyDescent="0.3">
      <c r="A119" t="s">
        <v>7684</v>
      </c>
      <c r="B119">
        <v>1133052</v>
      </c>
      <c r="C119" t="s">
        <v>7751</v>
      </c>
      <c r="D119" t="s">
        <v>7885</v>
      </c>
      <c r="E119" t="s">
        <v>7546</v>
      </c>
      <c r="F119" t="s">
        <v>7547</v>
      </c>
      <c r="H119" s="9" t="str">
        <f t="shared" si="1"/>
        <v/>
      </c>
    </row>
    <row r="120" spans="1:8" x14ac:dyDescent="0.3">
      <c r="A120" t="s">
        <v>7684</v>
      </c>
      <c r="B120">
        <v>1133053</v>
      </c>
      <c r="C120" t="s">
        <v>7752</v>
      </c>
      <c r="D120" t="s">
        <v>7886</v>
      </c>
      <c r="E120" t="s">
        <v>7548</v>
      </c>
      <c r="F120" t="s">
        <v>7549</v>
      </c>
      <c r="H120" s="9" t="str">
        <f t="shared" si="1"/>
        <v/>
      </c>
    </row>
    <row r="121" spans="1:8" x14ac:dyDescent="0.3">
      <c r="A121" t="s">
        <v>7684</v>
      </c>
      <c r="B121">
        <v>1133054</v>
      </c>
      <c r="C121" t="s">
        <v>7753</v>
      </c>
      <c r="D121" t="s">
        <v>7887</v>
      </c>
      <c r="E121" t="s">
        <v>7550</v>
      </c>
      <c r="F121" t="s">
        <v>7551</v>
      </c>
      <c r="H121" s="9" t="str">
        <f t="shared" si="1"/>
        <v/>
      </c>
    </row>
    <row r="122" spans="1:8" x14ac:dyDescent="0.3">
      <c r="A122" t="s">
        <v>7684</v>
      </c>
      <c r="B122">
        <v>1133055</v>
      </c>
      <c r="C122" t="s">
        <v>7754</v>
      </c>
      <c r="D122" t="s">
        <v>7888</v>
      </c>
      <c r="E122" t="s">
        <v>7552</v>
      </c>
      <c r="F122" t="s">
        <v>7553</v>
      </c>
      <c r="H122" s="9" t="str">
        <f t="shared" si="1"/>
        <v/>
      </c>
    </row>
    <row r="123" spans="1:8" x14ac:dyDescent="0.3">
      <c r="A123" t="s">
        <v>7684</v>
      </c>
      <c r="B123">
        <v>1133056</v>
      </c>
      <c r="C123" t="s">
        <v>7755</v>
      </c>
      <c r="D123" t="s">
        <v>7889</v>
      </c>
      <c r="E123" t="s">
        <v>7554</v>
      </c>
      <c r="F123" t="s">
        <v>7555</v>
      </c>
      <c r="H123" s="9" t="str">
        <f t="shared" si="1"/>
        <v/>
      </c>
    </row>
    <row r="124" spans="1:8" x14ac:dyDescent="0.3">
      <c r="A124" t="s">
        <v>7684</v>
      </c>
      <c r="B124">
        <v>1133057</v>
      </c>
      <c r="C124" t="s">
        <v>7756</v>
      </c>
      <c r="D124" t="s">
        <v>7890</v>
      </c>
      <c r="E124" t="s">
        <v>7556</v>
      </c>
      <c r="F124" t="s">
        <v>7557</v>
      </c>
      <c r="H124" s="9" t="str">
        <f t="shared" si="1"/>
        <v/>
      </c>
    </row>
    <row r="125" spans="1:8" x14ac:dyDescent="0.3">
      <c r="A125" t="s">
        <v>7684</v>
      </c>
      <c r="B125">
        <v>1133058</v>
      </c>
      <c r="C125" t="s">
        <v>7757</v>
      </c>
      <c r="D125" t="s">
        <v>7891</v>
      </c>
      <c r="E125" t="s">
        <v>7558</v>
      </c>
      <c r="F125" t="s">
        <v>7559</v>
      </c>
      <c r="H125" s="9" t="str">
        <f t="shared" si="1"/>
        <v/>
      </c>
    </row>
    <row r="126" spans="1:8" x14ac:dyDescent="0.3">
      <c r="A126" t="s">
        <v>7684</v>
      </c>
      <c r="B126">
        <v>1133059</v>
      </c>
      <c r="C126" t="s">
        <v>7758</v>
      </c>
      <c r="D126" t="s">
        <v>7892</v>
      </c>
      <c r="E126" t="s">
        <v>7560</v>
      </c>
      <c r="F126" t="s">
        <v>7561</v>
      </c>
      <c r="H126" s="9" t="str">
        <f t="shared" si="1"/>
        <v/>
      </c>
    </row>
    <row r="127" spans="1:8" x14ac:dyDescent="0.3">
      <c r="A127" t="s">
        <v>7684</v>
      </c>
      <c r="B127">
        <v>1133060</v>
      </c>
      <c r="C127" t="s">
        <v>7759</v>
      </c>
      <c r="D127" t="s">
        <v>7893</v>
      </c>
      <c r="E127" t="s">
        <v>7562</v>
      </c>
      <c r="F127" t="s">
        <v>7563</v>
      </c>
      <c r="H127" s="9" t="str">
        <f t="shared" si="1"/>
        <v/>
      </c>
    </row>
    <row r="128" spans="1:8" x14ac:dyDescent="0.3">
      <c r="A128" t="s">
        <v>7684</v>
      </c>
      <c r="B128">
        <v>1133061</v>
      </c>
      <c r="C128" t="s">
        <v>7760</v>
      </c>
      <c r="D128" t="s">
        <v>7894</v>
      </c>
      <c r="E128" t="s">
        <v>7564</v>
      </c>
      <c r="F128" t="s">
        <v>7565</v>
      </c>
      <c r="H128" s="9" t="str">
        <f t="shared" si="1"/>
        <v/>
      </c>
    </row>
    <row r="129" spans="1:8" x14ac:dyDescent="0.3">
      <c r="A129" t="s">
        <v>7684</v>
      </c>
      <c r="B129">
        <v>1133062</v>
      </c>
      <c r="C129" t="s">
        <v>7761</v>
      </c>
      <c r="D129" t="s">
        <v>7895</v>
      </c>
      <c r="E129" t="s">
        <v>7566</v>
      </c>
      <c r="F129" t="s">
        <v>7567</v>
      </c>
      <c r="H129" s="9" t="str">
        <f t="shared" si="1"/>
        <v/>
      </c>
    </row>
    <row r="130" spans="1:8" x14ac:dyDescent="0.3">
      <c r="A130" t="s">
        <v>7684</v>
      </c>
      <c r="B130">
        <v>1133063</v>
      </c>
      <c r="C130" t="s">
        <v>7762</v>
      </c>
      <c r="D130" t="s">
        <v>7896</v>
      </c>
      <c r="E130" t="s">
        <v>7568</v>
      </c>
      <c r="F130" t="s">
        <v>7569</v>
      </c>
      <c r="H130" s="9" t="str">
        <f t="shared" si="1"/>
        <v/>
      </c>
    </row>
    <row r="131" spans="1:8" x14ac:dyDescent="0.3">
      <c r="A131" t="s">
        <v>7684</v>
      </c>
      <c r="B131">
        <v>1133064</v>
      </c>
      <c r="C131" t="s">
        <v>7763</v>
      </c>
      <c r="D131" t="s">
        <v>7897</v>
      </c>
      <c r="E131" t="s">
        <v>7570</v>
      </c>
      <c r="F131" t="s">
        <v>7571</v>
      </c>
      <c r="H131" s="9" t="str">
        <f t="shared" si="1"/>
        <v/>
      </c>
    </row>
    <row r="132" spans="1:8" x14ac:dyDescent="0.3">
      <c r="A132" t="s">
        <v>7684</v>
      </c>
      <c r="B132">
        <v>1133065</v>
      </c>
      <c r="C132" t="s">
        <v>7764</v>
      </c>
      <c r="D132" t="s">
        <v>7898</v>
      </c>
      <c r="E132" t="s">
        <v>7572</v>
      </c>
      <c r="F132" t="s">
        <v>7573</v>
      </c>
      <c r="H132" s="9" t="str">
        <f t="shared" ref="H132:H187" si="2">IF(A132="N",H131,IF(H131="",B132,H131&amp;";"&amp;B132))</f>
        <v/>
      </c>
    </row>
    <row r="133" spans="1:8" x14ac:dyDescent="0.3">
      <c r="A133" t="s">
        <v>7684</v>
      </c>
      <c r="B133">
        <v>1133066</v>
      </c>
      <c r="C133" t="s">
        <v>7765</v>
      </c>
      <c r="D133" t="s">
        <v>7899</v>
      </c>
      <c r="E133" t="s">
        <v>7574</v>
      </c>
      <c r="F133" t="s">
        <v>7575</v>
      </c>
      <c r="H133" s="9" t="str">
        <f t="shared" si="2"/>
        <v/>
      </c>
    </row>
    <row r="134" spans="1:8" x14ac:dyDescent="0.3">
      <c r="A134" t="s">
        <v>7684</v>
      </c>
      <c r="B134">
        <v>1133067</v>
      </c>
      <c r="C134" t="s">
        <v>7766</v>
      </c>
      <c r="D134" t="s">
        <v>7900</v>
      </c>
      <c r="E134" t="s">
        <v>7576</v>
      </c>
      <c r="F134" t="s">
        <v>7577</v>
      </c>
      <c r="H134" s="9" t="str">
        <f t="shared" si="2"/>
        <v/>
      </c>
    </row>
    <row r="135" spans="1:8" x14ac:dyDescent="0.3">
      <c r="A135" t="s">
        <v>7684</v>
      </c>
      <c r="B135">
        <v>1133068</v>
      </c>
      <c r="C135" t="s">
        <v>7767</v>
      </c>
      <c r="D135" t="s">
        <v>7901</v>
      </c>
      <c r="E135" t="s">
        <v>7578</v>
      </c>
      <c r="F135" t="s">
        <v>7579</v>
      </c>
      <c r="H135" s="9" t="str">
        <f t="shared" si="2"/>
        <v/>
      </c>
    </row>
    <row r="136" spans="1:8" x14ac:dyDescent="0.3">
      <c r="A136" t="s">
        <v>7684</v>
      </c>
      <c r="B136">
        <v>1133069</v>
      </c>
      <c r="C136" t="s">
        <v>7768</v>
      </c>
      <c r="D136" t="s">
        <v>7902</v>
      </c>
      <c r="E136" t="s">
        <v>7580</v>
      </c>
      <c r="F136" t="s">
        <v>7581</v>
      </c>
      <c r="H136" s="9" t="str">
        <f t="shared" si="2"/>
        <v/>
      </c>
    </row>
    <row r="137" spans="1:8" x14ac:dyDescent="0.3">
      <c r="A137" t="s">
        <v>7684</v>
      </c>
      <c r="B137">
        <v>1133070</v>
      </c>
      <c r="C137" t="s">
        <v>7769</v>
      </c>
      <c r="D137" t="s">
        <v>7903</v>
      </c>
      <c r="E137" t="s">
        <v>7582</v>
      </c>
      <c r="F137" t="s">
        <v>7583</v>
      </c>
      <c r="H137" s="9" t="str">
        <f t="shared" si="2"/>
        <v/>
      </c>
    </row>
    <row r="138" spans="1:8" x14ac:dyDescent="0.3">
      <c r="A138" t="s">
        <v>7684</v>
      </c>
      <c r="B138">
        <v>1133071</v>
      </c>
      <c r="C138" t="s">
        <v>7770</v>
      </c>
      <c r="D138" t="s">
        <v>7904</v>
      </c>
      <c r="E138" t="s">
        <v>7584</v>
      </c>
      <c r="F138" t="s">
        <v>7585</v>
      </c>
      <c r="H138" s="9" t="str">
        <f t="shared" si="2"/>
        <v/>
      </c>
    </row>
    <row r="139" spans="1:8" x14ac:dyDescent="0.3">
      <c r="A139" t="s">
        <v>7684</v>
      </c>
      <c r="B139">
        <v>1133072</v>
      </c>
      <c r="C139" t="s">
        <v>7771</v>
      </c>
      <c r="D139" t="s">
        <v>7905</v>
      </c>
      <c r="E139" t="s">
        <v>7586</v>
      </c>
      <c r="F139" t="s">
        <v>7587</v>
      </c>
      <c r="H139" s="9" t="str">
        <f t="shared" si="2"/>
        <v/>
      </c>
    </row>
    <row r="140" spans="1:8" x14ac:dyDescent="0.3">
      <c r="A140" t="s">
        <v>7684</v>
      </c>
      <c r="B140">
        <v>1133073</v>
      </c>
      <c r="C140" t="s">
        <v>7772</v>
      </c>
      <c r="D140" t="s">
        <v>7906</v>
      </c>
      <c r="E140" t="s">
        <v>7588</v>
      </c>
      <c r="F140" t="s">
        <v>7589</v>
      </c>
      <c r="H140" s="9" t="str">
        <f t="shared" si="2"/>
        <v/>
      </c>
    </row>
    <row r="141" spans="1:8" x14ac:dyDescent="0.3">
      <c r="A141" t="s">
        <v>7684</v>
      </c>
      <c r="B141">
        <v>1133074</v>
      </c>
      <c r="C141" t="s">
        <v>7773</v>
      </c>
      <c r="D141" t="s">
        <v>7907</v>
      </c>
      <c r="E141" t="s">
        <v>7590</v>
      </c>
      <c r="F141" t="s">
        <v>7591</v>
      </c>
      <c r="H141" s="9" t="str">
        <f t="shared" si="2"/>
        <v/>
      </c>
    </row>
    <row r="142" spans="1:8" x14ac:dyDescent="0.3">
      <c r="A142" t="s">
        <v>7684</v>
      </c>
      <c r="B142">
        <v>1133075</v>
      </c>
      <c r="C142" t="s">
        <v>7774</v>
      </c>
      <c r="D142" t="s">
        <v>7908</v>
      </c>
      <c r="E142" t="s">
        <v>7592</v>
      </c>
      <c r="F142" t="s">
        <v>7593</v>
      </c>
      <c r="H142" s="9" t="str">
        <f t="shared" si="2"/>
        <v/>
      </c>
    </row>
    <row r="143" spans="1:8" x14ac:dyDescent="0.3">
      <c r="A143" t="s">
        <v>7684</v>
      </c>
      <c r="B143">
        <v>1133076</v>
      </c>
      <c r="C143" t="s">
        <v>7775</v>
      </c>
      <c r="D143" t="s">
        <v>7909</v>
      </c>
      <c r="E143" t="s">
        <v>7594</v>
      </c>
      <c r="F143" t="s">
        <v>7595</v>
      </c>
      <c r="H143" s="9" t="str">
        <f t="shared" si="2"/>
        <v/>
      </c>
    </row>
    <row r="144" spans="1:8" x14ac:dyDescent="0.3">
      <c r="A144" t="s">
        <v>7684</v>
      </c>
      <c r="B144">
        <v>1133077</v>
      </c>
      <c r="C144" t="s">
        <v>7776</v>
      </c>
      <c r="D144" t="s">
        <v>7910</v>
      </c>
      <c r="E144" t="s">
        <v>7596</v>
      </c>
      <c r="F144" t="s">
        <v>7597</v>
      </c>
      <c r="H144" s="9" t="str">
        <f t="shared" si="2"/>
        <v/>
      </c>
    </row>
    <row r="145" spans="1:8" x14ac:dyDescent="0.3">
      <c r="A145" t="s">
        <v>7684</v>
      </c>
      <c r="B145">
        <v>1133078</v>
      </c>
      <c r="C145" t="s">
        <v>7777</v>
      </c>
      <c r="D145" t="s">
        <v>7911</v>
      </c>
      <c r="E145" t="s">
        <v>7598</v>
      </c>
      <c r="F145" t="s">
        <v>7599</v>
      </c>
      <c r="H145" s="9" t="str">
        <f t="shared" si="2"/>
        <v/>
      </c>
    </row>
    <row r="146" spans="1:8" x14ac:dyDescent="0.3">
      <c r="A146" t="s">
        <v>7684</v>
      </c>
      <c r="B146">
        <v>1133079</v>
      </c>
      <c r="C146" t="s">
        <v>7778</v>
      </c>
      <c r="D146" t="s">
        <v>7912</v>
      </c>
      <c r="E146" t="s">
        <v>7600</v>
      </c>
      <c r="F146" t="s">
        <v>7601</v>
      </c>
      <c r="H146" s="9" t="str">
        <f t="shared" si="2"/>
        <v/>
      </c>
    </row>
    <row r="147" spans="1:8" x14ac:dyDescent="0.3">
      <c r="A147" t="s">
        <v>7684</v>
      </c>
      <c r="B147">
        <v>1133080</v>
      </c>
      <c r="C147" t="s">
        <v>7779</v>
      </c>
      <c r="D147" t="s">
        <v>7913</v>
      </c>
      <c r="E147" t="s">
        <v>7602</v>
      </c>
      <c r="F147" t="s">
        <v>7603</v>
      </c>
      <c r="H147" s="9" t="str">
        <f t="shared" si="2"/>
        <v/>
      </c>
    </row>
    <row r="148" spans="1:8" x14ac:dyDescent="0.3">
      <c r="A148" t="s">
        <v>7684</v>
      </c>
      <c r="B148">
        <v>1133081</v>
      </c>
      <c r="C148" t="s">
        <v>7780</v>
      </c>
      <c r="D148" t="s">
        <v>7914</v>
      </c>
      <c r="E148" t="s">
        <v>7604</v>
      </c>
      <c r="F148" t="s">
        <v>7605</v>
      </c>
      <c r="H148" s="9" t="str">
        <f t="shared" si="2"/>
        <v/>
      </c>
    </row>
    <row r="149" spans="1:8" x14ac:dyDescent="0.3">
      <c r="A149" t="s">
        <v>7684</v>
      </c>
      <c r="B149">
        <v>1133082</v>
      </c>
      <c r="C149" t="s">
        <v>7781</v>
      </c>
      <c r="D149" t="s">
        <v>7915</v>
      </c>
      <c r="E149" t="s">
        <v>7606</v>
      </c>
      <c r="F149" t="s">
        <v>7607</v>
      </c>
      <c r="H149" s="9" t="str">
        <f t="shared" si="2"/>
        <v/>
      </c>
    </row>
    <row r="150" spans="1:8" x14ac:dyDescent="0.3">
      <c r="A150" t="s">
        <v>7684</v>
      </c>
      <c r="B150">
        <v>1133083</v>
      </c>
      <c r="C150" t="s">
        <v>7782</v>
      </c>
      <c r="D150" t="s">
        <v>7916</v>
      </c>
      <c r="E150" t="s">
        <v>7608</v>
      </c>
      <c r="F150" t="s">
        <v>7609</v>
      </c>
      <c r="H150" s="9" t="str">
        <f t="shared" si="2"/>
        <v/>
      </c>
    </row>
    <row r="151" spans="1:8" x14ac:dyDescent="0.3">
      <c r="A151" t="s">
        <v>7684</v>
      </c>
      <c r="B151">
        <v>1133084</v>
      </c>
      <c r="C151" t="s">
        <v>7783</v>
      </c>
      <c r="D151" t="s">
        <v>7917</v>
      </c>
      <c r="E151" t="s">
        <v>7610</v>
      </c>
      <c r="F151" t="s">
        <v>7611</v>
      </c>
      <c r="H151" s="9" t="str">
        <f t="shared" si="2"/>
        <v/>
      </c>
    </row>
    <row r="152" spans="1:8" x14ac:dyDescent="0.3">
      <c r="A152" t="s">
        <v>7684</v>
      </c>
      <c r="B152">
        <v>1133085</v>
      </c>
      <c r="C152" t="s">
        <v>7784</v>
      </c>
      <c r="D152" t="s">
        <v>7918</v>
      </c>
      <c r="E152" t="s">
        <v>7612</v>
      </c>
      <c r="F152" t="s">
        <v>7613</v>
      </c>
      <c r="H152" s="9" t="str">
        <f t="shared" si="2"/>
        <v/>
      </c>
    </row>
    <row r="153" spans="1:8" x14ac:dyDescent="0.3">
      <c r="A153" t="s">
        <v>7684</v>
      </c>
      <c r="B153">
        <v>12020101</v>
      </c>
      <c r="C153" t="s">
        <v>7785</v>
      </c>
      <c r="D153" t="s">
        <v>7919</v>
      </c>
      <c r="E153" t="s">
        <v>7614</v>
      </c>
      <c r="F153" t="s">
        <v>7615</v>
      </c>
      <c r="H153" s="9" t="str">
        <f t="shared" si="2"/>
        <v/>
      </c>
    </row>
    <row r="154" spans="1:8" x14ac:dyDescent="0.3">
      <c r="A154" t="s">
        <v>7684</v>
      </c>
      <c r="B154">
        <v>12020201</v>
      </c>
      <c r="C154" t="s">
        <v>7786</v>
      </c>
      <c r="D154" t="s">
        <v>7920</v>
      </c>
      <c r="E154" t="s">
        <v>7616</v>
      </c>
      <c r="F154" t="s">
        <v>7617</v>
      </c>
      <c r="H154" s="9" t="str">
        <f t="shared" si="2"/>
        <v/>
      </c>
    </row>
    <row r="155" spans="1:8" x14ac:dyDescent="0.3">
      <c r="A155" t="s">
        <v>7684</v>
      </c>
      <c r="B155">
        <v>12020301</v>
      </c>
      <c r="C155" t="s">
        <v>7787</v>
      </c>
      <c r="D155" t="s">
        <v>7921</v>
      </c>
      <c r="E155" t="s">
        <v>7618</v>
      </c>
      <c r="F155" t="s">
        <v>7619</v>
      </c>
      <c r="H155" s="9" t="str">
        <f t="shared" si="2"/>
        <v/>
      </c>
    </row>
    <row r="156" spans="1:8" x14ac:dyDescent="0.3">
      <c r="A156" t="s">
        <v>7684</v>
      </c>
      <c r="B156">
        <v>12020401</v>
      </c>
      <c r="C156" t="s">
        <v>7788</v>
      </c>
      <c r="D156" t="s">
        <v>7922</v>
      </c>
      <c r="E156" t="s">
        <v>7620</v>
      </c>
      <c r="F156" t="s">
        <v>7621</v>
      </c>
      <c r="H156" s="9" t="str">
        <f t="shared" si="2"/>
        <v/>
      </c>
    </row>
    <row r="157" spans="1:8" x14ac:dyDescent="0.3">
      <c r="A157" t="s">
        <v>7684</v>
      </c>
      <c r="B157">
        <v>12020501</v>
      </c>
      <c r="C157" t="s">
        <v>7720</v>
      </c>
      <c r="D157" t="s">
        <v>7923</v>
      </c>
      <c r="E157" t="s">
        <v>7622</v>
      </c>
      <c r="F157" t="s">
        <v>7623</v>
      </c>
      <c r="H157" s="9" t="str">
        <f t="shared" si="2"/>
        <v/>
      </c>
    </row>
    <row r="158" spans="1:8" x14ac:dyDescent="0.3">
      <c r="A158" t="s">
        <v>7684</v>
      </c>
      <c r="B158">
        <v>12020601</v>
      </c>
      <c r="C158" t="s">
        <v>7789</v>
      </c>
      <c r="D158" t="s">
        <v>7924</v>
      </c>
      <c r="E158" t="s">
        <v>7624</v>
      </c>
      <c r="F158" t="s">
        <v>7625</v>
      </c>
      <c r="H158" s="9" t="str">
        <f t="shared" si="2"/>
        <v/>
      </c>
    </row>
    <row r="159" spans="1:8" x14ac:dyDescent="0.3">
      <c r="A159" t="s">
        <v>7684</v>
      </c>
      <c r="B159">
        <v>12020701</v>
      </c>
      <c r="C159" t="s">
        <v>7790</v>
      </c>
      <c r="D159" t="s">
        <v>7925</v>
      </c>
      <c r="E159" t="s">
        <v>7626</v>
      </c>
      <c r="F159" t="s">
        <v>7627</v>
      </c>
      <c r="H159" s="9" t="str">
        <f t="shared" si="2"/>
        <v/>
      </c>
    </row>
    <row r="160" spans="1:8" x14ac:dyDescent="0.3">
      <c r="A160" t="s">
        <v>7684</v>
      </c>
      <c r="B160">
        <v>12020801</v>
      </c>
      <c r="C160" t="s">
        <v>7791</v>
      </c>
      <c r="D160" t="s">
        <v>7926</v>
      </c>
      <c r="E160" t="s">
        <v>7628</v>
      </c>
      <c r="F160" t="s">
        <v>7629</v>
      </c>
      <c r="H160" s="9" t="str">
        <f t="shared" si="2"/>
        <v/>
      </c>
    </row>
    <row r="161" spans="1:8" x14ac:dyDescent="0.3">
      <c r="A161" t="s">
        <v>7684</v>
      </c>
      <c r="B161">
        <v>12020901</v>
      </c>
      <c r="C161" t="s">
        <v>7792</v>
      </c>
      <c r="D161" t="s">
        <v>7927</v>
      </c>
      <c r="E161" t="s">
        <v>7630</v>
      </c>
      <c r="F161" t="s">
        <v>7631</v>
      </c>
      <c r="H161" s="9" t="str">
        <f t="shared" si="2"/>
        <v/>
      </c>
    </row>
    <row r="162" spans="1:8" x14ac:dyDescent="0.3">
      <c r="A162" t="s">
        <v>7684</v>
      </c>
      <c r="B162">
        <v>12021001</v>
      </c>
      <c r="C162" t="s">
        <v>7793</v>
      </c>
      <c r="D162" t="s">
        <v>7928</v>
      </c>
      <c r="E162" t="s">
        <v>7632</v>
      </c>
      <c r="F162" t="s">
        <v>7633</v>
      </c>
      <c r="H162" s="9" t="str">
        <f t="shared" si="2"/>
        <v/>
      </c>
    </row>
    <row r="163" spans="1:8" x14ac:dyDescent="0.3">
      <c r="A163" t="s">
        <v>7684</v>
      </c>
      <c r="B163">
        <v>12021101</v>
      </c>
      <c r="C163" t="s">
        <v>7794</v>
      </c>
      <c r="D163" t="s">
        <v>7929</v>
      </c>
      <c r="E163" t="s">
        <v>7634</v>
      </c>
      <c r="F163" t="s">
        <v>7635</v>
      </c>
      <c r="H163" s="9" t="str">
        <f t="shared" si="2"/>
        <v/>
      </c>
    </row>
    <row r="164" spans="1:8" x14ac:dyDescent="0.3">
      <c r="A164" t="s">
        <v>7684</v>
      </c>
      <c r="B164">
        <v>12021201</v>
      </c>
      <c r="C164" t="s">
        <v>7795</v>
      </c>
      <c r="D164" t="s">
        <v>7930</v>
      </c>
      <c r="E164" t="s">
        <v>7636</v>
      </c>
      <c r="F164" t="s">
        <v>7637</v>
      </c>
      <c r="H164" s="9" t="str">
        <f t="shared" si="2"/>
        <v/>
      </c>
    </row>
    <row r="165" spans="1:8" x14ac:dyDescent="0.3">
      <c r="A165" t="s">
        <v>7684</v>
      </c>
      <c r="B165">
        <v>12021301</v>
      </c>
      <c r="C165" t="s">
        <v>7796</v>
      </c>
      <c r="D165" t="s">
        <v>7931</v>
      </c>
      <c r="E165" t="s">
        <v>7638</v>
      </c>
      <c r="F165" t="s">
        <v>7639</v>
      </c>
      <c r="H165" s="9" t="str">
        <f t="shared" si="2"/>
        <v/>
      </c>
    </row>
    <row r="166" spans="1:8" x14ac:dyDescent="0.3">
      <c r="A166" t="s">
        <v>7684</v>
      </c>
      <c r="B166">
        <v>12021401</v>
      </c>
      <c r="C166" t="s">
        <v>7797</v>
      </c>
      <c r="D166" t="s">
        <v>7932</v>
      </c>
      <c r="E166" t="s">
        <v>7640</v>
      </c>
      <c r="F166" t="s">
        <v>7641</v>
      </c>
      <c r="H166" s="9" t="str">
        <f t="shared" si="2"/>
        <v/>
      </c>
    </row>
    <row r="167" spans="1:8" x14ac:dyDescent="0.3">
      <c r="A167" t="s">
        <v>7684</v>
      </c>
      <c r="B167">
        <v>12021501</v>
      </c>
      <c r="C167" t="s">
        <v>7798</v>
      </c>
      <c r="D167" t="s">
        <v>7933</v>
      </c>
      <c r="E167" t="s">
        <v>7642</v>
      </c>
      <c r="F167" t="s">
        <v>7643</v>
      </c>
      <c r="H167" s="9" t="str">
        <f t="shared" si="2"/>
        <v/>
      </c>
    </row>
    <row r="168" spans="1:8" x14ac:dyDescent="0.3">
      <c r="A168" t="s">
        <v>7684</v>
      </c>
      <c r="B168">
        <v>12021601</v>
      </c>
      <c r="C168" t="s">
        <v>7799</v>
      </c>
      <c r="D168" t="s">
        <v>7934</v>
      </c>
      <c r="E168" t="s">
        <v>7644</v>
      </c>
      <c r="F168" t="s">
        <v>7645</v>
      </c>
      <c r="H168" s="9" t="str">
        <f t="shared" si="2"/>
        <v/>
      </c>
    </row>
    <row r="169" spans="1:8" x14ac:dyDescent="0.3">
      <c r="A169" t="s">
        <v>7684</v>
      </c>
      <c r="B169">
        <v>12021701</v>
      </c>
      <c r="C169" t="s">
        <v>7800</v>
      </c>
      <c r="D169" t="s">
        <v>7935</v>
      </c>
      <c r="E169" t="s">
        <v>7646</v>
      </c>
      <c r="F169" t="s">
        <v>7647</v>
      </c>
      <c r="H169" s="9" t="str">
        <f t="shared" si="2"/>
        <v/>
      </c>
    </row>
    <row r="170" spans="1:8" x14ac:dyDescent="0.3">
      <c r="A170" t="s">
        <v>7684</v>
      </c>
      <c r="B170">
        <v>12021801</v>
      </c>
      <c r="C170" t="s">
        <v>7801</v>
      </c>
      <c r="D170" t="s">
        <v>7936</v>
      </c>
      <c r="E170" t="s">
        <v>7648</v>
      </c>
      <c r="F170" t="s">
        <v>7649</v>
      </c>
      <c r="H170" s="9" t="str">
        <f t="shared" si="2"/>
        <v/>
      </c>
    </row>
    <row r="171" spans="1:8" x14ac:dyDescent="0.3">
      <c r="A171" t="s">
        <v>7684</v>
      </c>
      <c r="B171">
        <v>12021901</v>
      </c>
      <c r="C171" t="s">
        <v>7802</v>
      </c>
      <c r="D171" t="s">
        <v>7937</v>
      </c>
      <c r="E171" t="s">
        <v>7650</v>
      </c>
      <c r="F171" t="s">
        <v>7651</v>
      </c>
      <c r="H171" s="9" t="str">
        <f t="shared" si="2"/>
        <v/>
      </c>
    </row>
    <row r="172" spans="1:8" x14ac:dyDescent="0.3">
      <c r="A172" t="s">
        <v>7684</v>
      </c>
      <c r="B172">
        <v>12022001</v>
      </c>
      <c r="C172" t="s">
        <v>7803</v>
      </c>
      <c r="D172" t="s">
        <v>7938</v>
      </c>
      <c r="E172" t="s">
        <v>7652</v>
      </c>
      <c r="F172" t="s">
        <v>7653</v>
      </c>
      <c r="H172" s="9" t="str">
        <f t="shared" si="2"/>
        <v/>
      </c>
    </row>
    <row r="173" spans="1:8" x14ac:dyDescent="0.3">
      <c r="A173" t="s">
        <v>7684</v>
      </c>
      <c r="B173">
        <v>12022101</v>
      </c>
      <c r="C173" t="s">
        <v>7804</v>
      </c>
      <c r="D173" t="s">
        <v>7939</v>
      </c>
      <c r="E173" t="s">
        <v>7654</v>
      </c>
      <c r="F173" t="s">
        <v>7655</v>
      </c>
      <c r="H173" s="9" t="str">
        <f t="shared" si="2"/>
        <v/>
      </c>
    </row>
    <row r="174" spans="1:8" x14ac:dyDescent="0.3">
      <c r="A174" t="s">
        <v>7684</v>
      </c>
      <c r="B174">
        <v>12022201</v>
      </c>
      <c r="C174" t="s">
        <v>7805</v>
      </c>
      <c r="D174" t="s">
        <v>7940</v>
      </c>
      <c r="E174" t="s">
        <v>7656</v>
      </c>
      <c r="F174" t="s">
        <v>7657</v>
      </c>
      <c r="H174" s="9" t="str">
        <f t="shared" si="2"/>
        <v/>
      </c>
    </row>
    <row r="175" spans="1:8" x14ac:dyDescent="0.3">
      <c r="A175" t="s">
        <v>7684</v>
      </c>
      <c r="B175">
        <v>12022301</v>
      </c>
      <c r="C175" t="s">
        <v>7806</v>
      </c>
      <c r="D175" t="s">
        <v>7941</v>
      </c>
      <c r="E175" t="s">
        <v>7658</v>
      </c>
      <c r="F175" t="s">
        <v>7659</v>
      </c>
      <c r="H175" s="9" t="str">
        <f t="shared" si="2"/>
        <v/>
      </c>
    </row>
    <row r="176" spans="1:8" x14ac:dyDescent="0.3">
      <c r="A176" t="s">
        <v>7684</v>
      </c>
      <c r="B176">
        <v>12022401</v>
      </c>
      <c r="C176" t="s">
        <v>7807</v>
      </c>
      <c r="D176" t="s">
        <v>7942</v>
      </c>
      <c r="E176" t="s">
        <v>7660</v>
      </c>
      <c r="F176" t="s">
        <v>7661</v>
      </c>
      <c r="H176" s="9" t="str">
        <f t="shared" si="2"/>
        <v/>
      </c>
    </row>
    <row r="177" spans="1:8" x14ac:dyDescent="0.3">
      <c r="A177" t="s">
        <v>7684</v>
      </c>
      <c r="B177">
        <v>12022501</v>
      </c>
      <c r="C177" t="s">
        <v>7808</v>
      </c>
      <c r="D177" t="s">
        <v>7943</v>
      </c>
      <c r="E177" t="s">
        <v>7662</v>
      </c>
      <c r="F177" t="s">
        <v>7663</v>
      </c>
      <c r="H177" s="9" t="str">
        <f t="shared" si="2"/>
        <v/>
      </c>
    </row>
    <row r="178" spans="1:8" x14ac:dyDescent="0.3">
      <c r="A178" t="s">
        <v>7684</v>
      </c>
      <c r="B178">
        <v>12022601</v>
      </c>
      <c r="C178" t="s">
        <v>7809</v>
      </c>
      <c r="D178" t="s">
        <v>7944</v>
      </c>
      <c r="E178" t="s">
        <v>7664</v>
      </c>
      <c r="F178" t="s">
        <v>7665</v>
      </c>
      <c r="H178" s="9" t="str">
        <f t="shared" si="2"/>
        <v/>
      </c>
    </row>
    <row r="179" spans="1:8" x14ac:dyDescent="0.3">
      <c r="A179" t="s">
        <v>7684</v>
      </c>
      <c r="B179">
        <v>12022701</v>
      </c>
      <c r="C179" t="s">
        <v>7810</v>
      </c>
      <c r="D179" t="s">
        <v>7945</v>
      </c>
      <c r="E179" t="s">
        <v>7666</v>
      </c>
      <c r="F179" t="s">
        <v>7667</v>
      </c>
      <c r="H179" s="9" t="str">
        <f t="shared" si="2"/>
        <v/>
      </c>
    </row>
    <row r="180" spans="1:8" x14ac:dyDescent="0.3">
      <c r="A180" t="s">
        <v>7684</v>
      </c>
      <c r="B180">
        <v>12022801</v>
      </c>
      <c r="C180" t="s">
        <v>7811</v>
      </c>
      <c r="D180" t="s">
        <v>7946</v>
      </c>
      <c r="E180" t="s">
        <v>7668</v>
      </c>
      <c r="F180" t="s">
        <v>7669</v>
      </c>
      <c r="H180" s="9" t="str">
        <f t="shared" si="2"/>
        <v/>
      </c>
    </row>
    <row r="181" spans="1:8" x14ac:dyDescent="0.3">
      <c r="A181" t="s">
        <v>7684</v>
      </c>
      <c r="B181">
        <v>12022901</v>
      </c>
      <c r="C181" t="s">
        <v>7812</v>
      </c>
      <c r="D181" t="s">
        <v>7947</v>
      </c>
      <c r="E181" t="s">
        <v>7670</v>
      </c>
      <c r="F181" t="s">
        <v>7671</v>
      </c>
      <c r="H181" s="9" t="str">
        <f t="shared" si="2"/>
        <v/>
      </c>
    </row>
    <row r="182" spans="1:8" x14ac:dyDescent="0.3">
      <c r="A182" t="s">
        <v>7684</v>
      </c>
      <c r="B182">
        <v>12023001</v>
      </c>
      <c r="C182" t="s">
        <v>7813</v>
      </c>
      <c r="D182" t="s">
        <v>7948</v>
      </c>
      <c r="E182" t="s">
        <v>7672</v>
      </c>
      <c r="F182" t="s">
        <v>7673</v>
      </c>
      <c r="H182" s="9" t="str">
        <f t="shared" si="2"/>
        <v/>
      </c>
    </row>
    <row r="183" spans="1:8" x14ac:dyDescent="0.3">
      <c r="A183" t="s">
        <v>7684</v>
      </c>
      <c r="B183">
        <v>12023101</v>
      </c>
      <c r="C183" t="s">
        <v>7814</v>
      </c>
      <c r="D183" t="s">
        <v>7814</v>
      </c>
      <c r="E183" t="s">
        <v>7674</v>
      </c>
      <c r="F183" t="s">
        <v>7674</v>
      </c>
      <c r="H183" s="9" t="str">
        <f t="shared" si="2"/>
        <v/>
      </c>
    </row>
    <row r="184" spans="1:8" x14ac:dyDescent="0.3">
      <c r="A184" t="s">
        <v>7684</v>
      </c>
      <c r="B184">
        <v>12023201</v>
      </c>
      <c r="C184" t="s">
        <v>7815</v>
      </c>
      <c r="D184" t="s">
        <v>7949</v>
      </c>
      <c r="E184" t="s">
        <v>7675</v>
      </c>
      <c r="F184" t="s">
        <v>7676</v>
      </c>
      <c r="H184" s="9" t="str">
        <f t="shared" si="2"/>
        <v/>
      </c>
    </row>
    <row r="185" spans="1:8" x14ac:dyDescent="0.3">
      <c r="A185" t="s">
        <v>7684</v>
      </c>
      <c r="B185">
        <v>12023301</v>
      </c>
      <c r="C185" t="s">
        <v>7816</v>
      </c>
      <c r="D185" t="s">
        <v>7950</v>
      </c>
      <c r="E185" t="s">
        <v>7677</v>
      </c>
      <c r="F185" t="s">
        <v>7678</v>
      </c>
      <c r="H185" s="9" t="str">
        <f t="shared" si="2"/>
        <v/>
      </c>
    </row>
    <row r="186" spans="1:8" x14ac:dyDescent="0.3">
      <c r="A186" t="s">
        <v>7684</v>
      </c>
      <c r="B186">
        <v>12023401</v>
      </c>
      <c r="C186" t="s">
        <v>7817</v>
      </c>
      <c r="D186" t="s">
        <v>7951</v>
      </c>
      <c r="E186" t="s">
        <v>7679</v>
      </c>
      <c r="F186" t="s">
        <v>7680</v>
      </c>
      <c r="H186" s="9" t="str">
        <f t="shared" si="2"/>
        <v/>
      </c>
    </row>
    <row r="187" spans="1:8" x14ac:dyDescent="0.3">
      <c r="A187" t="s">
        <v>7684</v>
      </c>
      <c r="B187">
        <v>12023501</v>
      </c>
      <c r="C187" t="s">
        <v>7818</v>
      </c>
      <c r="D187" t="s">
        <v>7952</v>
      </c>
      <c r="E187" t="s">
        <v>7681</v>
      </c>
      <c r="F187" t="s">
        <v>7682</v>
      </c>
      <c r="H187" s="9" t="str">
        <f t="shared" si="2"/>
        <v/>
      </c>
    </row>
  </sheetData>
  <autoFilter ref="A1:F187" xr:uid="{6E7C30DD-83FC-4527-B73C-2B6641A41BA3}"/>
  <dataValidations count="1">
    <dataValidation type="list" allowBlank="1" showInputMessage="1" showErrorMessage="1" sqref="A2:A187" xr:uid="{81ECC6A0-2D43-4167-B85D-DF6DBAAF1BEA}">
      <formula1>"Y,N"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3431E-BD31-4C98-9E50-7111624E0E02}">
  <sheetPr codeName="Sheet35"/>
  <dimension ref="A1:K44"/>
  <sheetViews>
    <sheetView topLeftCell="H1" workbookViewId="0">
      <selection activeCell="I1" sqref="I1:K1048576"/>
    </sheetView>
  </sheetViews>
  <sheetFormatPr defaultRowHeight="14.4" x14ac:dyDescent="0.3"/>
  <cols>
    <col min="1" max="1" width="16.88671875" bestFit="1" customWidth="1"/>
    <col min="2" max="3" width="5.5546875" bestFit="1" customWidth="1"/>
    <col min="4" max="5" width="5.33203125" bestFit="1" customWidth="1"/>
    <col min="6" max="6" width="5.5546875" bestFit="1" customWidth="1"/>
    <col min="8" max="8" width="14.44140625" bestFit="1" customWidth="1"/>
    <col min="9" max="9" width="36.5546875" bestFit="1" customWidth="1"/>
    <col min="11" max="11" width="152.5546875" bestFit="1" customWidth="1"/>
  </cols>
  <sheetData>
    <row r="1" spans="1:11" x14ac:dyDescent="0.3">
      <c r="A1" t="s">
        <v>25</v>
      </c>
      <c r="B1">
        <v>1</v>
      </c>
      <c r="C1">
        <v>2</v>
      </c>
      <c r="D1">
        <v>3</v>
      </c>
      <c r="E1">
        <v>4</v>
      </c>
      <c r="F1">
        <v>5</v>
      </c>
      <c r="H1" t="s">
        <v>8747</v>
      </c>
      <c r="I1" t="s">
        <v>8</v>
      </c>
      <c r="J1" t="s">
        <v>8824</v>
      </c>
      <c r="K1" t="s">
        <v>700</v>
      </c>
    </row>
    <row r="2" spans="1:11" x14ac:dyDescent="0.3">
      <c r="A2" t="s">
        <v>1777</v>
      </c>
      <c r="B2" t="s">
        <v>8743</v>
      </c>
      <c r="C2" t="s">
        <v>955</v>
      </c>
      <c r="D2" t="s">
        <v>8744</v>
      </c>
      <c r="E2" t="s">
        <v>8745</v>
      </c>
      <c r="F2" t="s">
        <v>8746</v>
      </c>
      <c r="H2" t="s">
        <v>8748</v>
      </c>
      <c r="I2" t="s">
        <v>8308</v>
      </c>
      <c r="J2">
        <v>220183</v>
      </c>
      <c r="K2" t="s">
        <v>8749</v>
      </c>
    </row>
    <row r="3" spans="1:11" x14ac:dyDescent="0.3">
      <c r="A3" t="s">
        <v>8182</v>
      </c>
      <c r="B3">
        <v>24</v>
      </c>
      <c r="C3">
        <v>28</v>
      </c>
      <c r="D3">
        <v>33</v>
      </c>
      <c r="E3">
        <v>38</v>
      </c>
      <c r="F3">
        <v>48</v>
      </c>
      <c r="H3" t="s">
        <v>8748</v>
      </c>
      <c r="I3" t="s">
        <v>8307</v>
      </c>
      <c r="J3">
        <v>770037</v>
      </c>
      <c r="K3" t="s">
        <v>8750</v>
      </c>
    </row>
    <row r="4" spans="1:11" x14ac:dyDescent="0.3">
      <c r="A4" t="s">
        <v>8183</v>
      </c>
      <c r="B4">
        <v>24</v>
      </c>
      <c r="C4">
        <v>28</v>
      </c>
      <c r="D4">
        <v>33</v>
      </c>
      <c r="E4">
        <v>38</v>
      </c>
      <c r="F4">
        <v>48</v>
      </c>
      <c r="H4" t="s">
        <v>8748</v>
      </c>
      <c r="I4" t="s">
        <v>8751</v>
      </c>
      <c r="J4">
        <v>770104</v>
      </c>
      <c r="K4" t="s">
        <v>8752</v>
      </c>
    </row>
    <row r="5" spans="1:11" x14ac:dyDescent="0.3">
      <c r="A5" t="s">
        <v>8184</v>
      </c>
      <c r="B5">
        <v>8</v>
      </c>
      <c r="C5">
        <v>9</v>
      </c>
      <c r="D5">
        <v>11</v>
      </c>
      <c r="E5">
        <v>12</v>
      </c>
      <c r="F5">
        <v>16</v>
      </c>
      <c r="H5" t="s">
        <v>8748</v>
      </c>
      <c r="I5" t="s">
        <v>8753</v>
      </c>
      <c r="J5">
        <v>770040</v>
      </c>
      <c r="K5" t="s">
        <v>8754</v>
      </c>
    </row>
    <row r="6" spans="1:11" x14ac:dyDescent="0.3">
      <c r="A6" t="s">
        <v>7733</v>
      </c>
      <c r="B6">
        <v>16</v>
      </c>
      <c r="C6">
        <v>19</v>
      </c>
      <c r="D6">
        <v>22</v>
      </c>
      <c r="E6">
        <v>25</v>
      </c>
      <c r="F6">
        <v>32</v>
      </c>
      <c r="H6" t="s">
        <v>8748</v>
      </c>
      <c r="I6" t="s">
        <v>8755</v>
      </c>
      <c r="J6">
        <v>770114</v>
      </c>
      <c r="K6" t="s">
        <v>8756</v>
      </c>
    </row>
    <row r="7" spans="1:11" x14ac:dyDescent="0.3">
      <c r="A7" t="s">
        <v>877</v>
      </c>
      <c r="B7">
        <v>5</v>
      </c>
      <c r="C7">
        <v>6</v>
      </c>
      <c r="D7">
        <v>7</v>
      </c>
      <c r="E7">
        <v>8</v>
      </c>
      <c r="F7">
        <v>10</v>
      </c>
      <c r="H7" t="s">
        <v>8748</v>
      </c>
      <c r="I7" t="s">
        <v>8757</v>
      </c>
      <c r="J7">
        <v>770039</v>
      </c>
      <c r="K7" t="s">
        <v>8758</v>
      </c>
    </row>
    <row r="8" spans="1:11" x14ac:dyDescent="0.3">
      <c r="A8" t="s">
        <v>38</v>
      </c>
      <c r="B8">
        <v>5</v>
      </c>
      <c r="C8">
        <v>6</v>
      </c>
      <c r="D8">
        <v>7</v>
      </c>
      <c r="E8">
        <v>8</v>
      </c>
      <c r="F8">
        <v>10</v>
      </c>
      <c r="H8" t="s">
        <v>8748</v>
      </c>
      <c r="I8" t="s">
        <v>8759</v>
      </c>
      <c r="J8">
        <v>770041</v>
      </c>
      <c r="K8" t="s">
        <v>8760</v>
      </c>
    </row>
    <row r="9" spans="1:11" x14ac:dyDescent="0.3">
      <c r="A9" t="s">
        <v>277</v>
      </c>
      <c r="B9">
        <v>2</v>
      </c>
      <c r="C9">
        <v>3</v>
      </c>
      <c r="D9">
        <v>4</v>
      </c>
      <c r="E9">
        <v>5</v>
      </c>
      <c r="F9">
        <v>6</v>
      </c>
      <c r="H9" t="s">
        <v>8761</v>
      </c>
      <c r="I9" t="s">
        <v>8762</v>
      </c>
      <c r="J9">
        <v>770093</v>
      </c>
      <c r="K9" t="s">
        <v>8763</v>
      </c>
    </row>
    <row r="10" spans="1:11" x14ac:dyDescent="0.3">
      <c r="A10" t="s">
        <v>39</v>
      </c>
      <c r="B10">
        <v>2</v>
      </c>
      <c r="C10">
        <v>3</v>
      </c>
      <c r="D10">
        <v>4</v>
      </c>
      <c r="E10">
        <v>5</v>
      </c>
      <c r="F10">
        <v>6</v>
      </c>
      <c r="H10" t="s">
        <v>8761</v>
      </c>
      <c r="I10" t="s">
        <v>8764</v>
      </c>
      <c r="J10">
        <v>770092</v>
      </c>
      <c r="K10" t="s">
        <v>8765</v>
      </c>
    </row>
    <row r="11" spans="1:11" x14ac:dyDescent="0.3">
      <c r="A11" t="s">
        <v>8263</v>
      </c>
      <c r="B11">
        <v>10</v>
      </c>
      <c r="C11">
        <v>12</v>
      </c>
      <c r="D11">
        <v>14</v>
      </c>
      <c r="E11">
        <v>16</v>
      </c>
      <c r="F11">
        <v>20</v>
      </c>
      <c r="H11" t="s">
        <v>8761</v>
      </c>
      <c r="I11" t="s">
        <v>8766</v>
      </c>
      <c r="J11">
        <v>770028</v>
      </c>
      <c r="K11" t="s">
        <v>8767</v>
      </c>
    </row>
    <row r="12" spans="1:11" x14ac:dyDescent="0.3">
      <c r="A12" t="s">
        <v>8264</v>
      </c>
      <c r="B12">
        <v>10</v>
      </c>
      <c r="C12">
        <v>12</v>
      </c>
      <c r="D12">
        <v>14</v>
      </c>
      <c r="E12">
        <v>16</v>
      </c>
      <c r="F12">
        <v>20</v>
      </c>
      <c r="H12" t="s">
        <v>8761</v>
      </c>
      <c r="I12" t="s">
        <v>8768</v>
      </c>
      <c r="J12">
        <v>770100</v>
      </c>
      <c r="K12" t="s">
        <v>8769</v>
      </c>
    </row>
    <row r="13" spans="1:11" x14ac:dyDescent="0.3">
      <c r="A13" t="s">
        <v>8186</v>
      </c>
      <c r="B13">
        <v>13</v>
      </c>
      <c r="C13">
        <v>15</v>
      </c>
      <c r="D13">
        <v>18</v>
      </c>
      <c r="E13">
        <v>20</v>
      </c>
      <c r="F13">
        <v>26</v>
      </c>
      <c r="H13" t="s">
        <v>8761</v>
      </c>
      <c r="I13" t="s">
        <v>8312</v>
      </c>
      <c r="J13">
        <v>770026</v>
      </c>
      <c r="K13" t="s">
        <v>8770</v>
      </c>
    </row>
    <row r="14" spans="1:11" x14ac:dyDescent="0.3">
      <c r="A14" t="s">
        <v>8187</v>
      </c>
      <c r="B14">
        <v>38</v>
      </c>
      <c r="C14">
        <v>45</v>
      </c>
      <c r="D14">
        <v>53</v>
      </c>
      <c r="E14">
        <v>60</v>
      </c>
      <c r="F14">
        <v>76</v>
      </c>
      <c r="H14" t="s">
        <v>8761</v>
      </c>
      <c r="I14" t="s">
        <v>8771</v>
      </c>
      <c r="J14">
        <v>220182</v>
      </c>
      <c r="K14" t="s">
        <v>8772</v>
      </c>
    </row>
    <row r="15" spans="1:11" x14ac:dyDescent="0.3">
      <c r="A15" t="s">
        <v>8185</v>
      </c>
      <c r="B15">
        <v>19</v>
      </c>
      <c r="C15">
        <v>22</v>
      </c>
      <c r="D15">
        <v>26</v>
      </c>
      <c r="E15">
        <v>30</v>
      </c>
      <c r="F15">
        <v>38</v>
      </c>
      <c r="H15" t="s">
        <v>8761</v>
      </c>
      <c r="I15" t="s">
        <v>8311</v>
      </c>
      <c r="J15">
        <v>770030</v>
      </c>
      <c r="K15" t="s">
        <v>8773</v>
      </c>
    </row>
    <row r="16" spans="1:11" x14ac:dyDescent="0.3">
      <c r="A16" t="s">
        <v>1797</v>
      </c>
      <c r="B16" t="s">
        <v>8317</v>
      </c>
      <c r="C16" t="s">
        <v>8317</v>
      </c>
      <c r="D16" t="s">
        <v>8317</v>
      </c>
      <c r="E16" t="s">
        <v>8317</v>
      </c>
      <c r="F16" t="s">
        <v>8317</v>
      </c>
      <c r="H16" t="s">
        <v>8761</v>
      </c>
      <c r="I16" t="s">
        <v>8774</v>
      </c>
      <c r="J16">
        <v>770032</v>
      </c>
      <c r="K16" t="s">
        <v>8775</v>
      </c>
    </row>
    <row r="17" spans="8:11" x14ac:dyDescent="0.3">
      <c r="H17" t="s">
        <v>8761</v>
      </c>
      <c r="I17" t="s">
        <v>8776</v>
      </c>
      <c r="J17">
        <v>770034</v>
      </c>
      <c r="K17" t="s">
        <v>8777</v>
      </c>
    </row>
    <row r="18" spans="8:11" x14ac:dyDescent="0.3">
      <c r="H18" t="s">
        <v>639</v>
      </c>
      <c r="I18" t="s">
        <v>8778</v>
      </c>
      <c r="J18">
        <v>770024</v>
      </c>
      <c r="K18" t="s">
        <v>8779</v>
      </c>
    </row>
    <row r="19" spans="8:11" x14ac:dyDescent="0.3">
      <c r="H19" t="s">
        <v>639</v>
      </c>
      <c r="I19" t="s">
        <v>7375</v>
      </c>
      <c r="J19">
        <v>770109</v>
      </c>
      <c r="K19" t="s">
        <v>8780</v>
      </c>
    </row>
    <row r="20" spans="8:11" x14ac:dyDescent="0.3">
      <c r="H20" t="s">
        <v>639</v>
      </c>
      <c r="I20" t="s">
        <v>8781</v>
      </c>
      <c r="J20">
        <v>770091</v>
      </c>
      <c r="K20" t="s">
        <v>8782</v>
      </c>
    </row>
    <row r="21" spans="8:11" x14ac:dyDescent="0.3">
      <c r="H21" t="s">
        <v>639</v>
      </c>
      <c r="I21" t="s">
        <v>8314</v>
      </c>
      <c r="J21">
        <v>770090</v>
      </c>
      <c r="K21" t="s">
        <v>8783</v>
      </c>
    </row>
    <row r="22" spans="8:11" x14ac:dyDescent="0.3">
      <c r="H22" t="s">
        <v>639</v>
      </c>
      <c r="I22" t="s">
        <v>8784</v>
      </c>
      <c r="J22">
        <v>770107</v>
      </c>
      <c r="K22" t="s">
        <v>8785</v>
      </c>
    </row>
    <row r="23" spans="8:11" x14ac:dyDescent="0.3">
      <c r="H23" t="s">
        <v>639</v>
      </c>
      <c r="I23" t="s">
        <v>8786</v>
      </c>
      <c r="J23">
        <v>770096</v>
      </c>
      <c r="K23" t="s">
        <v>8787</v>
      </c>
    </row>
    <row r="24" spans="8:11" x14ac:dyDescent="0.3">
      <c r="H24" t="s">
        <v>639</v>
      </c>
      <c r="I24" t="s">
        <v>8788</v>
      </c>
      <c r="J24">
        <v>770014</v>
      </c>
      <c r="K24" t="s">
        <v>8789</v>
      </c>
    </row>
    <row r="25" spans="8:11" x14ac:dyDescent="0.3">
      <c r="H25" t="s">
        <v>639</v>
      </c>
      <c r="I25" t="s">
        <v>8313</v>
      </c>
      <c r="J25">
        <v>770016</v>
      </c>
      <c r="K25" t="s">
        <v>8790</v>
      </c>
    </row>
    <row r="26" spans="8:11" x14ac:dyDescent="0.3">
      <c r="H26" t="s">
        <v>639</v>
      </c>
      <c r="I26" t="s">
        <v>8791</v>
      </c>
      <c r="J26">
        <v>770019</v>
      </c>
      <c r="K26" t="s">
        <v>8792</v>
      </c>
    </row>
    <row r="27" spans="8:11" x14ac:dyDescent="0.3">
      <c r="H27" t="s">
        <v>8292</v>
      </c>
      <c r="I27" t="s">
        <v>8793</v>
      </c>
      <c r="J27">
        <v>220173</v>
      </c>
      <c r="K27" t="s">
        <v>8794</v>
      </c>
    </row>
    <row r="28" spans="8:11" x14ac:dyDescent="0.3">
      <c r="H28" t="s">
        <v>8292</v>
      </c>
      <c r="I28" t="s">
        <v>8795</v>
      </c>
      <c r="J28">
        <v>220181</v>
      </c>
      <c r="K28" t="s">
        <v>8796</v>
      </c>
    </row>
    <row r="29" spans="8:11" x14ac:dyDescent="0.3">
      <c r="H29" t="s">
        <v>8292</v>
      </c>
      <c r="I29" t="s">
        <v>8797</v>
      </c>
      <c r="J29">
        <v>220175</v>
      </c>
      <c r="K29" t="s">
        <v>8798</v>
      </c>
    </row>
    <row r="30" spans="8:11" x14ac:dyDescent="0.3">
      <c r="H30" t="s">
        <v>8292</v>
      </c>
      <c r="I30" t="s">
        <v>8315</v>
      </c>
      <c r="J30">
        <v>220167</v>
      </c>
      <c r="K30" t="s">
        <v>8799</v>
      </c>
    </row>
    <row r="31" spans="8:11" x14ac:dyDescent="0.3">
      <c r="H31" t="s">
        <v>8292</v>
      </c>
      <c r="I31" t="s">
        <v>8800</v>
      </c>
      <c r="J31">
        <v>220185</v>
      </c>
      <c r="K31" t="s">
        <v>8801</v>
      </c>
    </row>
    <row r="32" spans="8:11" x14ac:dyDescent="0.3">
      <c r="H32" t="s">
        <v>8292</v>
      </c>
      <c r="I32" t="s">
        <v>8802</v>
      </c>
      <c r="J32">
        <v>220180</v>
      </c>
      <c r="K32" t="s">
        <v>8803</v>
      </c>
    </row>
    <row r="33" spans="8:11" x14ac:dyDescent="0.3">
      <c r="H33" t="s">
        <v>8293</v>
      </c>
      <c r="I33" t="s">
        <v>8804</v>
      </c>
      <c r="J33">
        <v>770038</v>
      </c>
      <c r="K33" t="s">
        <v>8805</v>
      </c>
    </row>
    <row r="34" spans="8:11" x14ac:dyDescent="0.3">
      <c r="H34" t="s">
        <v>8293</v>
      </c>
      <c r="I34" t="s">
        <v>8806</v>
      </c>
      <c r="J34">
        <v>770036</v>
      </c>
      <c r="K34" t="s">
        <v>8807</v>
      </c>
    </row>
    <row r="35" spans="8:11" x14ac:dyDescent="0.3">
      <c r="H35" t="s">
        <v>8293</v>
      </c>
      <c r="I35" t="s">
        <v>8316</v>
      </c>
      <c r="J35">
        <v>770113</v>
      </c>
      <c r="K35" t="s">
        <v>8808</v>
      </c>
    </row>
    <row r="36" spans="8:11" x14ac:dyDescent="0.3">
      <c r="H36" t="s">
        <v>8293</v>
      </c>
      <c r="I36" t="s">
        <v>7331</v>
      </c>
      <c r="J36">
        <v>770106</v>
      </c>
      <c r="K36" t="s">
        <v>8809</v>
      </c>
    </row>
    <row r="37" spans="8:11" x14ac:dyDescent="0.3">
      <c r="H37" t="s">
        <v>8293</v>
      </c>
      <c r="I37" t="s">
        <v>8810</v>
      </c>
      <c r="J37">
        <v>220187</v>
      </c>
      <c r="K37" t="s">
        <v>8811</v>
      </c>
    </row>
    <row r="38" spans="8:11" x14ac:dyDescent="0.3">
      <c r="H38" t="s">
        <v>8293</v>
      </c>
      <c r="I38" t="s">
        <v>8812</v>
      </c>
      <c r="J38">
        <v>770125</v>
      </c>
      <c r="K38" t="s">
        <v>8813</v>
      </c>
    </row>
    <row r="39" spans="8:11" x14ac:dyDescent="0.3">
      <c r="H39" t="s">
        <v>8743</v>
      </c>
      <c r="I39" t="s">
        <v>8814</v>
      </c>
      <c r="J39">
        <v>770084</v>
      </c>
      <c r="K39" t="s">
        <v>8815</v>
      </c>
    </row>
    <row r="40" spans="8:11" x14ac:dyDescent="0.3">
      <c r="H40" t="s">
        <v>8743</v>
      </c>
      <c r="I40" t="s">
        <v>8816</v>
      </c>
      <c r="J40">
        <v>770081</v>
      </c>
      <c r="K40" t="s">
        <v>8817</v>
      </c>
    </row>
    <row r="41" spans="8:11" x14ac:dyDescent="0.3">
      <c r="H41" t="s">
        <v>8743</v>
      </c>
      <c r="I41" t="s">
        <v>8309</v>
      </c>
      <c r="J41">
        <v>770045</v>
      </c>
      <c r="K41" t="s">
        <v>8818</v>
      </c>
    </row>
    <row r="42" spans="8:11" x14ac:dyDescent="0.3">
      <c r="H42" t="s">
        <v>8743</v>
      </c>
      <c r="I42" t="s">
        <v>8819</v>
      </c>
      <c r="J42">
        <v>770082</v>
      </c>
      <c r="K42" t="s">
        <v>8820</v>
      </c>
    </row>
    <row r="43" spans="8:11" x14ac:dyDescent="0.3">
      <c r="H43" t="s">
        <v>8743</v>
      </c>
      <c r="I43" t="s">
        <v>8310</v>
      </c>
      <c r="J43">
        <v>770046</v>
      </c>
      <c r="K43" t="s">
        <v>8821</v>
      </c>
    </row>
    <row r="44" spans="8:11" x14ac:dyDescent="0.3">
      <c r="H44" t="s">
        <v>8743</v>
      </c>
      <c r="I44" t="s">
        <v>8822</v>
      </c>
      <c r="J44">
        <v>770047</v>
      </c>
      <c r="K44" t="s">
        <v>8823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21909-F34E-40D7-A155-9E1CB389A99B}">
  <sheetPr codeName="Sheet28"/>
  <dimension ref="A1:B11"/>
  <sheetViews>
    <sheetView workbookViewId="0">
      <pane ySplit="2" topLeftCell="A3" activePane="bottomLeft" state="frozen"/>
      <selection pane="bottomLeft" activeCell="A11" sqref="A11"/>
    </sheetView>
  </sheetViews>
  <sheetFormatPr defaultRowHeight="14.4" x14ac:dyDescent="0.3"/>
  <cols>
    <col min="1" max="1" width="33.109375" customWidth="1"/>
  </cols>
  <sheetData>
    <row r="1" spans="1:2" x14ac:dyDescent="0.3">
      <c r="A1" s="131" t="s">
        <v>6359</v>
      </c>
    </row>
    <row r="2" spans="1:2" x14ac:dyDescent="0.3">
      <c r="A2" s="10" t="s">
        <v>700</v>
      </c>
      <c r="B2" s="10" t="s">
        <v>6324</v>
      </c>
    </row>
    <row r="3" spans="1:2" x14ac:dyDescent="0.3">
      <c r="A3" t="s">
        <v>6846</v>
      </c>
      <c r="B3" s="188" t="s">
        <v>6845</v>
      </c>
    </row>
    <row r="4" spans="1:2" x14ac:dyDescent="0.3">
      <c r="A4" t="s">
        <v>6311</v>
      </c>
      <c r="B4" s="188" t="s">
        <v>5633</v>
      </c>
    </row>
    <row r="5" spans="1:2" x14ac:dyDescent="0.3">
      <c r="A5" t="s">
        <v>6312</v>
      </c>
      <c r="B5" s="189" t="s">
        <v>6313</v>
      </c>
    </row>
    <row r="6" spans="1:2" x14ac:dyDescent="0.3">
      <c r="A6" t="s">
        <v>6314</v>
      </c>
      <c r="B6" s="188" t="s">
        <v>6315</v>
      </c>
    </row>
    <row r="7" spans="1:2" x14ac:dyDescent="0.3">
      <c r="A7" t="s">
        <v>6316</v>
      </c>
      <c r="B7" s="188" t="s">
        <v>6317</v>
      </c>
    </row>
    <row r="8" spans="1:2" x14ac:dyDescent="0.3">
      <c r="A8" t="s">
        <v>6318</v>
      </c>
      <c r="B8" s="188" t="s">
        <v>6319</v>
      </c>
    </row>
    <row r="9" spans="1:2" x14ac:dyDescent="0.3">
      <c r="A9" t="s">
        <v>6320</v>
      </c>
      <c r="B9" s="188" t="s">
        <v>6321</v>
      </c>
    </row>
    <row r="10" spans="1:2" x14ac:dyDescent="0.3">
      <c r="A10" t="s">
        <v>6322</v>
      </c>
      <c r="B10" s="188" t="s">
        <v>6323</v>
      </c>
    </row>
    <row r="11" spans="1:2" x14ac:dyDescent="0.3">
      <c r="A11" t="s">
        <v>6844</v>
      </c>
      <c r="B11" s="188" t="s">
        <v>6843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FA3E-23AE-4E64-B5C6-F5CC4A793D5C}">
  <sheetPr codeName="Sheet16"/>
  <dimension ref="A2:AO158"/>
  <sheetViews>
    <sheetView workbookViewId="0">
      <pane xSplit="6" topLeftCell="G1" activePane="topRight" state="frozen"/>
      <selection pane="topRight"/>
    </sheetView>
  </sheetViews>
  <sheetFormatPr defaultRowHeight="14.4" x14ac:dyDescent="0.3"/>
  <cols>
    <col min="1" max="1" width="13.88671875" bestFit="1" customWidth="1"/>
    <col min="3" max="3" width="16.33203125" customWidth="1"/>
    <col min="4" max="4" width="13.109375" customWidth="1"/>
    <col min="5" max="5" width="8.6640625" customWidth="1"/>
    <col min="6" max="6" width="13.88671875" bestFit="1" customWidth="1"/>
    <col min="7" max="7" width="10.109375" customWidth="1"/>
    <col min="8" max="8" width="10.33203125" customWidth="1"/>
    <col min="14" max="14" width="10.88671875" customWidth="1"/>
  </cols>
  <sheetData>
    <row r="2" spans="1:41" x14ac:dyDescent="0.3">
      <c r="D2" s="191" t="s">
        <v>572</v>
      </c>
      <c r="E2" s="192"/>
      <c r="F2" s="192"/>
      <c r="G2" s="192"/>
      <c r="H2" s="192"/>
      <c r="I2" s="192"/>
      <c r="J2" s="192"/>
      <c r="K2" s="192"/>
      <c r="L2" s="193"/>
      <c r="M2" s="46"/>
      <c r="N2" s="191" t="s">
        <v>704</v>
      </c>
      <c r="O2" s="192"/>
      <c r="P2" s="192"/>
      <c r="Q2" s="193"/>
      <c r="R2" s="191" t="s">
        <v>705</v>
      </c>
      <c r="S2" s="192"/>
      <c r="T2" s="192"/>
      <c r="U2" s="193"/>
      <c r="V2" s="191" t="s">
        <v>706</v>
      </c>
      <c r="W2" s="192"/>
      <c r="X2" s="192"/>
      <c r="Y2" s="193"/>
      <c r="AA2" s="184" t="s">
        <v>953</v>
      </c>
      <c r="AB2" s="185"/>
      <c r="AC2" s="185"/>
      <c r="AD2" s="185"/>
      <c r="AE2" s="186"/>
      <c r="AG2" s="147" t="s">
        <v>763</v>
      </c>
      <c r="AH2" s="145"/>
      <c r="AI2" s="145"/>
      <c r="AJ2" s="145"/>
      <c r="AK2" s="146"/>
    </row>
    <row r="3" spans="1:41" x14ac:dyDescent="0.3">
      <c r="A3" s="10" t="s">
        <v>959</v>
      </c>
      <c r="D3" s="47" t="s">
        <v>281</v>
      </c>
      <c r="E3" s="48" t="s">
        <v>1</v>
      </c>
      <c r="F3" s="48" t="s">
        <v>8</v>
      </c>
      <c r="G3" s="48" t="s">
        <v>18</v>
      </c>
      <c r="H3" s="48" t="s">
        <v>280</v>
      </c>
      <c r="I3" s="48" t="s">
        <v>58</v>
      </c>
      <c r="J3" s="48" t="s">
        <v>59</v>
      </c>
      <c r="K3" s="48" t="s">
        <v>268</v>
      </c>
      <c r="L3" s="49" t="s">
        <v>60</v>
      </c>
      <c r="M3" s="46"/>
      <c r="N3" s="47" t="s">
        <v>702</v>
      </c>
      <c r="O3" s="48" t="s">
        <v>8</v>
      </c>
      <c r="P3" s="48" t="s">
        <v>18</v>
      </c>
      <c r="Q3" s="49" t="s">
        <v>703</v>
      </c>
      <c r="R3" s="48" t="s">
        <v>702</v>
      </c>
      <c r="S3" s="48" t="s">
        <v>8</v>
      </c>
      <c r="T3" s="48" t="s">
        <v>18</v>
      </c>
      <c r="U3" s="49" t="s">
        <v>703</v>
      </c>
      <c r="V3" s="48" t="s">
        <v>702</v>
      </c>
      <c r="W3" s="48" t="s">
        <v>8</v>
      </c>
      <c r="X3" s="48" t="s">
        <v>18</v>
      </c>
      <c r="Y3" s="49" t="s">
        <v>703</v>
      </c>
      <c r="AA3" s="164" t="s">
        <v>954</v>
      </c>
      <c r="AB3" s="165" t="s">
        <v>10</v>
      </c>
      <c r="AC3" s="165" t="s">
        <v>11</v>
      </c>
      <c r="AD3" s="165" t="s">
        <v>12</v>
      </c>
      <c r="AE3" s="166" t="s">
        <v>13</v>
      </c>
      <c r="AG3" s="151" t="s">
        <v>8</v>
      </c>
      <c r="AH3" s="149" t="s">
        <v>1074</v>
      </c>
      <c r="AI3" s="149" t="s">
        <v>18</v>
      </c>
      <c r="AJ3" s="149" t="s">
        <v>768</v>
      </c>
      <c r="AK3" s="150" t="s">
        <v>579</v>
      </c>
    </row>
    <row r="4" spans="1:41" x14ac:dyDescent="0.3">
      <c r="A4" t="s">
        <v>6327</v>
      </c>
      <c r="C4" t="s">
        <v>956</v>
      </c>
      <c r="D4" s="152">
        <v>5</v>
      </c>
      <c r="E4" s="153" t="s">
        <v>6</v>
      </c>
      <c r="F4" s="154" t="s">
        <v>265</v>
      </c>
      <c r="G4" s="153">
        <v>115</v>
      </c>
      <c r="H4" s="153">
        <v>5</v>
      </c>
      <c r="I4" s="153">
        <v>10</v>
      </c>
      <c r="J4" s="153">
        <v>10</v>
      </c>
      <c r="K4" s="153">
        <v>3</v>
      </c>
      <c r="L4" s="154">
        <v>100</v>
      </c>
      <c r="M4" s="155"/>
      <c r="N4" s="156" t="s">
        <v>712</v>
      </c>
      <c r="O4" s="157" t="s">
        <v>522</v>
      </c>
      <c r="P4" s="157">
        <v>10</v>
      </c>
      <c r="Q4" s="158">
        <v>1</v>
      </c>
      <c r="R4" s="156" t="s">
        <v>701</v>
      </c>
      <c r="S4" s="157" t="s">
        <v>265</v>
      </c>
      <c r="T4" s="157">
        <v>10</v>
      </c>
      <c r="U4" s="158">
        <v>1</v>
      </c>
      <c r="V4" s="156" t="s">
        <v>742</v>
      </c>
      <c r="W4" s="157" t="s">
        <v>571</v>
      </c>
      <c r="X4" s="157">
        <v>10</v>
      </c>
      <c r="Y4" s="158">
        <v>1</v>
      </c>
      <c r="AA4" s="156"/>
      <c r="AB4" s="157"/>
      <c r="AC4" s="157"/>
      <c r="AD4" s="157"/>
      <c r="AE4" s="159"/>
      <c r="AG4" s="160" t="s">
        <v>657</v>
      </c>
      <c r="AH4" s="161">
        <v>5</v>
      </c>
      <c r="AI4" s="161">
        <v>100</v>
      </c>
      <c r="AJ4" s="161">
        <v>10</v>
      </c>
      <c r="AK4" s="138" t="s">
        <v>697</v>
      </c>
      <c r="AM4" s="140">
        <v>1</v>
      </c>
      <c r="AN4" s="140">
        <v>5</v>
      </c>
      <c r="AO4" s="140"/>
    </row>
    <row r="5" spans="1:41" x14ac:dyDescent="0.3">
      <c r="A5" t="s">
        <v>964</v>
      </c>
      <c r="D5" s="156">
        <v>5</v>
      </c>
      <c r="E5" s="157" t="s">
        <v>6</v>
      </c>
      <c r="F5" s="159" t="s">
        <v>804</v>
      </c>
      <c r="G5" s="157">
        <v>100</v>
      </c>
      <c r="H5" s="157">
        <v>5</v>
      </c>
      <c r="I5" s="157">
        <v>10</v>
      </c>
      <c r="J5" s="157">
        <v>0</v>
      </c>
      <c r="K5" s="157">
        <v>0</v>
      </c>
      <c r="L5" s="159">
        <v>100</v>
      </c>
      <c r="M5" s="155"/>
      <c r="N5" s="156" t="s">
        <v>712</v>
      </c>
      <c r="O5" s="157" t="s">
        <v>522</v>
      </c>
      <c r="P5" s="157">
        <v>10</v>
      </c>
      <c r="Q5" s="158">
        <v>1</v>
      </c>
      <c r="R5" s="156" t="s">
        <v>720</v>
      </c>
      <c r="S5" s="157" t="s">
        <v>534</v>
      </c>
      <c r="T5" s="157">
        <v>10</v>
      </c>
      <c r="U5" s="158">
        <v>1</v>
      </c>
      <c r="V5" s="156" t="s">
        <v>742</v>
      </c>
      <c r="W5" s="157" t="s">
        <v>571</v>
      </c>
      <c r="X5" s="157">
        <v>10</v>
      </c>
      <c r="Y5" s="158">
        <v>1</v>
      </c>
      <c r="AA5" s="156"/>
      <c r="AB5" s="157"/>
      <c r="AC5" s="157"/>
      <c r="AD5" s="157"/>
      <c r="AE5" s="159"/>
      <c r="AM5" s="140">
        <v>4</v>
      </c>
      <c r="AN5" s="140">
        <v>3</v>
      </c>
      <c r="AO5" s="140"/>
    </row>
    <row r="6" spans="1:41" x14ac:dyDescent="0.3">
      <c r="A6" t="s">
        <v>957</v>
      </c>
      <c r="D6" s="156">
        <v>6</v>
      </c>
      <c r="E6" s="157" t="s">
        <v>3</v>
      </c>
      <c r="F6" s="159" t="s">
        <v>262</v>
      </c>
      <c r="G6" s="157">
        <v>110</v>
      </c>
      <c r="H6" s="157">
        <v>5</v>
      </c>
      <c r="I6" s="157">
        <v>10</v>
      </c>
      <c r="J6" s="157">
        <v>10</v>
      </c>
      <c r="K6" s="157">
        <v>2</v>
      </c>
      <c r="L6" s="159">
        <v>100</v>
      </c>
      <c r="M6" s="155"/>
      <c r="N6" s="156" t="s">
        <v>753</v>
      </c>
      <c r="O6" s="157" t="s">
        <v>553</v>
      </c>
      <c r="P6" s="157">
        <v>10</v>
      </c>
      <c r="Q6" s="158">
        <v>1</v>
      </c>
      <c r="R6" s="156" t="s">
        <v>9</v>
      </c>
      <c r="S6" s="157" t="s">
        <v>559</v>
      </c>
      <c r="T6" s="157">
        <v>10</v>
      </c>
      <c r="U6" s="158">
        <v>1</v>
      </c>
      <c r="V6" s="156" t="s">
        <v>732</v>
      </c>
      <c r="W6" s="157" t="s">
        <v>542</v>
      </c>
      <c r="X6" s="157">
        <v>10</v>
      </c>
      <c r="Y6" s="158">
        <v>1</v>
      </c>
      <c r="AA6" s="156"/>
      <c r="AB6" s="157"/>
      <c r="AC6" s="157"/>
      <c r="AD6" s="157"/>
      <c r="AE6" s="159"/>
      <c r="AM6" s="140">
        <v>2</v>
      </c>
      <c r="AN6" s="140"/>
      <c r="AO6" s="140"/>
    </row>
    <row r="7" spans="1:41" x14ac:dyDescent="0.3">
      <c r="A7" t="s">
        <v>1701</v>
      </c>
      <c r="D7" s="156">
        <v>4</v>
      </c>
      <c r="E7" s="157" t="s">
        <v>3</v>
      </c>
      <c r="F7" s="159" t="s">
        <v>1683</v>
      </c>
      <c r="G7" s="157">
        <v>110</v>
      </c>
      <c r="H7" s="157">
        <v>5</v>
      </c>
      <c r="I7" s="157">
        <v>10</v>
      </c>
      <c r="J7" s="157">
        <v>10</v>
      </c>
      <c r="K7" s="157">
        <v>2</v>
      </c>
      <c r="L7" s="159">
        <v>100</v>
      </c>
      <c r="M7" s="155"/>
      <c r="N7" s="156" t="s">
        <v>753</v>
      </c>
      <c r="O7" s="157" t="s">
        <v>553</v>
      </c>
      <c r="P7" s="157">
        <v>10</v>
      </c>
      <c r="Q7" s="158">
        <v>1</v>
      </c>
      <c r="R7" s="156" t="s">
        <v>9</v>
      </c>
      <c r="S7" s="157" t="s">
        <v>559</v>
      </c>
      <c r="T7" s="157">
        <v>10</v>
      </c>
      <c r="U7" s="158">
        <v>1</v>
      </c>
      <c r="V7" s="156" t="s">
        <v>732</v>
      </c>
      <c r="W7" s="157" t="s">
        <v>542</v>
      </c>
      <c r="X7" s="157">
        <v>10</v>
      </c>
      <c r="Y7" s="158">
        <v>1</v>
      </c>
      <c r="AA7" s="156"/>
      <c r="AB7" s="157"/>
      <c r="AC7" s="157"/>
      <c r="AD7" s="157"/>
      <c r="AE7" s="159"/>
    </row>
    <row r="8" spans="1:41" x14ac:dyDescent="0.3">
      <c r="A8" t="s">
        <v>5507</v>
      </c>
      <c r="D8" s="160">
        <v>6</v>
      </c>
      <c r="E8" s="161" t="s">
        <v>7</v>
      </c>
      <c r="F8" s="138" t="s">
        <v>825</v>
      </c>
      <c r="G8" s="161">
        <v>110</v>
      </c>
      <c r="H8" s="161">
        <v>5</v>
      </c>
      <c r="I8" s="161">
        <v>10</v>
      </c>
      <c r="J8" s="161">
        <v>10</v>
      </c>
      <c r="K8" s="161">
        <v>2</v>
      </c>
      <c r="L8" s="138">
        <v>100</v>
      </c>
      <c r="M8" s="155"/>
      <c r="N8" s="160" t="s">
        <v>753</v>
      </c>
      <c r="O8" s="161" t="s">
        <v>553</v>
      </c>
      <c r="P8" s="161">
        <v>10</v>
      </c>
      <c r="Q8" s="162">
        <v>1</v>
      </c>
      <c r="R8" s="160" t="s">
        <v>9</v>
      </c>
      <c r="S8" s="161" t="s">
        <v>559</v>
      </c>
      <c r="T8" s="161">
        <v>10</v>
      </c>
      <c r="U8" s="162">
        <v>1</v>
      </c>
      <c r="V8" s="160" t="s">
        <v>732</v>
      </c>
      <c r="W8" s="161" t="s">
        <v>542</v>
      </c>
      <c r="X8" s="161">
        <v>10</v>
      </c>
      <c r="Y8" s="162">
        <v>1</v>
      </c>
      <c r="AA8" s="160"/>
      <c r="AB8" s="161"/>
      <c r="AC8" s="161"/>
      <c r="AD8" s="161"/>
      <c r="AE8" s="138"/>
    </row>
    <row r="9" spans="1:41" x14ac:dyDescent="0.3">
      <c r="A9" t="s">
        <v>956</v>
      </c>
      <c r="C9" t="s">
        <v>957</v>
      </c>
      <c r="D9" s="152">
        <v>6</v>
      </c>
      <c r="E9" s="153" t="s">
        <v>2</v>
      </c>
      <c r="F9" s="154" t="s">
        <v>258</v>
      </c>
      <c r="G9" s="153">
        <v>115</v>
      </c>
      <c r="H9" s="153">
        <v>5</v>
      </c>
      <c r="I9" s="153">
        <v>10</v>
      </c>
      <c r="J9" s="153">
        <v>10</v>
      </c>
      <c r="K9" s="153">
        <v>3</v>
      </c>
      <c r="L9" s="154">
        <v>100</v>
      </c>
      <c r="M9" s="155"/>
      <c r="N9" s="156" t="s">
        <v>701</v>
      </c>
      <c r="O9" s="157" t="s">
        <v>223</v>
      </c>
      <c r="P9" s="157">
        <v>10</v>
      </c>
      <c r="Q9" s="158">
        <v>1</v>
      </c>
      <c r="R9" s="156" t="s">
        <v>727</v>
      </c>
      <c r="S9" s="157" t="s">
        <v>538</v>
      </c>
      <c r="T9" s="157">
        <v>10</v>
      </c>
      <c r="U9" s="158">
        <v>1</v>
      </c>
      <c r="V9" s="156" t="s">
        <v>701</v>
      </c>
      <c r="W9" s="157" t="s">
        <v>258</v>
      </c>
      <c r="X9" s="157">
        <v>10</v>
      </c>
      <c r="Y9" s="158">
        <v>1</v>
      </c>
      <c r="AA9" s="156"/>
      <c r="AB9" s="157"/>
      <c r="AC9" s="157"/>
      <c r="AD9" s="157"/>
      <c r="AE9" s="159"/>
      <c r="AG9" s="160" t="s">
        <v>640</v>
      </c>
      <c r="AH9" s="161">
        <v>5</v>
      </c>
      <c r="AI9" s="161">
        <v>100</v>
      </c>
      <c r="AJ9" s="161">
        <v>10</v>
      </c>
      <c r="AK9" s="138" t="s">
        <v>697</v>
      </c>
      <c r="AM9" s="140">
        <v>1</v>
      </c>
      <c r="AN9" s="140"/>
      <c r="AO9" s="140"/>
    </row>
    <row r="10" spans="1:41" x14ac:dyDescent="0.3">
      <c r="A10" t="s">
        <v>5506</v>
      </c>
      <c r="D10" s="156">
        <v>5</v>
      </c>
      <c r="E10" s="157" t="s">
        <v>3</v>
      </c>
      <c r="F10" s="159" t="s">
        <v>266</v>
      </c>
      <c r="G10" s="157">
        <v>110</v>
      </c>
      <c r="H10" s="157">
        <v>5</v>
      </c>
      <c r="I10" s="157">
        <v>10</v>
      </c>
      <c r="J10" s="157">
        <v>10</v>
      </c>
      <c r="K10" s="157">
        <v>2</v>
      </c>
      <c r="L10" s="159">
        <v>100</v>
      </c>
      <c r="M10" s="155"/>
      <c r="N10" s="156" t="s">
        <v>753</v>
      </c>
      <c r="O10" s="157" t="s">
        <v>553</v>
      </c>
      <c r="P10" s="157">
        <v>10</v>
      </c>
      <c r="Q10" s="158">
        <v>1</v>
      </c>
      <c r="R10" s="156" t="s">
        <v>9</v>
      </c>
      <c r="S10" s="157" t="s">
        <v>559</v>
      </c>
      <c r="T10" s="157">
        <v>10</v>
      </c>
      <c r="U10" s="158">
        <v>1</v>
      </c>
      <c r="V10" s="156" t="s">
        <v>732</v>
      </c>
      <c r="W10" s="157" t="s">
        <v>542</v>
      </c>
      <c r="X10" s="157">
        <v>10</v>
      </c>
      <c r="Y10" s="158">
        <v>1</v>
      </c>
      <c r="AA10" s="156"/>
      <c r="AB10" s="157"/>
      <c r="AC10" s="157"/>
      <c r="AD10" s="157"/>
      <c r="AE10" s="159"/>
      <c r="AM10" s="140">
        <v>2</v>
      </c>
      <c r="AN10" s="140">
        <v>4</v>
      </c>
      <c r="AO10" s="140"/>
    </row>
    <row r="11" spans="1:41" x14ac:dyDescent="0.3">
      <c r="A11" t="s">
        <v>5505</v>
      </c>
      <c r="D11" s="156">
        <v>6</v>
      </c>
      <c r="E11" s="157" t="s">
        <v>6</v>
      </c>
      <c r="F11" s="159" t="s">
        <v>1681</v>
      </c>
      <c r="G11" s="157">
        <v>115</v>
      </c>
      <c r="H11" s="157">
        <v>5</v>
      </c>
      <c r="I11" s="157">
        <v>10</v>
      </c>
      <c r="J11" s="157">
        <v>10</v>
      </c>
      <c r="K11" s="157">
        <v>3</v>
      </c>
      <c r="L11" s="159">
        <v>100</v>
      </c>
      <c r="M11" s="155"/>
      <c r="N11" s="156" t="s">
        <v>712</v>
      </c>
      <c r="O11" s="157" t="s">
        <v>522</v>
      </c>
      <c r="P11" s="157">
        <v>10</v>
      </c>
      <c r="Q11" s="158">
        <v>1</v>
      </c>
      <c r="R11" s="156" t="s">
        <v>701</v>
      </c>
      <c r="S11" s="157" t="s">
        <v>1681</v>
      </c>
      <c r="T11" s="157">
        <v>10</v>
      </c>
      <c r="U11" s="158">
        <v>1</v>
      </c>
      <c r="V11" s="156" t="s">
        <v>742</v>
      </c>
      <c r="W11" s="157" t="s">
        <v>571</v>
      </c>
      <c r="X11" s="157">
        <v>10</v>
      </c>
      <c r="Y11" s="158">
        <v>1</v>
      </c>
      <c r="AA11" s="156"/>
      <c r="AB11" s="157"/>
      <c r="AC11" s="157"/>
      <c r="AD11" s="157"/>
      <c r="AE11" s="159"/>
      <c r="AM11" s="140">
        <v>3</v>
      </c>
      <c r="AN11" s="140">
        <v>5</v>
      </c>
      <c r="AO11" s="140"/>
    </row>
    <row r="12" spans="1:41" x14ac:dyDescent="0.3">
      <c r="A12" t="s">
        <v>6377</v>
      </c>
      <c r="D12" s="156">
        <v>5</v>
      </c>
      <c r="E12" s="157" t="s">
        <v>7</v>
      </c>
      <c r="F12" s="159" t="s">
        <v>1602</v>
      </c>
      <c r="G12" s="157">
        <v>100</v>
      </c>
      <c r="H12" s="157">
        <v>5</v>
      </c>
      <c r="I12" s="157">
        <v>10</v>
      </c>
      <c r="J12" s="157">
        <v>0</v>
      </c>
      <c r="K12" s="157">
        <v>0</v>
      </c>
      <c r="L12" s="159">
        <v>100</v>
      </c>
      <c r="M12" s="155"/>
      <c r="N12" s="156" t="s">
        <v>753</v>
      </c>
      <c r="O12" s="157" t="s">
        <v>553</v>
      </c>
      <c r="P12" s="157">
        <v>10</v>
      </c>
      <c r="Q12" s="158">
        <v>1</v>
      </c>
      <c r="R12" s="156" t="s">
        <v>9</v>
      </c>
      <c r="S12" s="157" t="s">
        <v>559</v>
      </c>
      <c r="T12" s="157">
        <v>10</v>
      </c>
      <c r="U12" s="158">
        <v>1</v>
      </c>
      <c r="V12" s="156" t="s">
        <v>732</v>
      </c>
      <c r="W12" s="157" t="s">
        <v>542</v>
      </c>
      <c r="X12" s="157">
        <v>10</v>
      </c>
      <c r="Y12" s="158">
        <v>1</v>
      </c>
      <c r="AA12" s="156"/>
      <c r="AB12" s="157"/>
      <c r="AC12" s="157"/>
      <c r="AD12" s="157"/>
      <c r="AE12" s="159"/>
    </row>
    <row r="13" spans="1:41" x14ac:dyDescent="0.3">
      <c r="A13" t="s">
        <v>6376</v>
      </c>
      <c r="D13" s="160">
        <v>5</v>
      </c>
      <c r="E13" s="161" t="s">
        <v>3</v>
      </c>
      <c r="F13" s="138" t="s">
        <v>197</v>
      </c>
      <c r="G13" s="161">
        <v>100</v>
      </c>
      <c r="H13" s="161">
        <v>5</v>
      </c>
      <c r="I13" s="161">
        <v>10</v>
      </c>
      <c r="J13" s="161">
        <v>0</v>
      </c>
      <c r="K13" s="161">
        <v>0</v>
      </c>
      <c r="L13" s="138">
        <v>100</v>
      </c>
      <c r="M13" s="155"/>
      <c r="N13" s="160" t="s">
        <v>753</v>
      </c>
      <c r="O13" s="161" t="s">
        <v>553</v>
      </c>
      <c r="P13" s="161">
        <v>10</v>
      </c>
      <c r="Q13" s="162">
        <v>1</v>
      </c>
      <c r="R13" s="160" t="s">
        <v>9</v>
      </c>
      <c r="S13" s="161" t="s">
        <v>559</v>
      </c>
      <c r="T13" s="161">
        <v>10</v>
      </c>
      <c r="U13" s="162">
        <v>1</v>
      </c>
      <c r="V13" s="160" t="s">
        <v>732</v>
      </c>
      <c r="W13" s="161" t="s">
        <v>542</v>
      </c>
      <c r="X13" s="161">
        <v>10</v>
      </c>
      <c r="Y13" s="162">
        <v>1</v>
      </c>
      <c r="AA13" s="160"/>
      <c r="AB13" s="161"/>
      <c r="AC13" s="161"/>
      <c r="AD13" s="161"/>
      <c r="AE13" s="138"/>
    </row>
    <row r="14" spans="1:41" x14ac:dyDescent="0.3">
      <c r="A14" t="s">
        <v>6859</v>
      </c>
      <c r="C14" t="s">
        <v>964</v>
      </c>
      <c r="D14" s="152">
        <v>6</v>
      </c>
      <c r="E14" s="153" t="s">
        <v>2</v>
      </c>
      <c r="F14" s="154" t="s">
        <v>258</v>
      </c>
      <c r="G14" s="153">
        <v>115</v>
      </c>
      <c r="H14" s="153">
        <v>5</v>
      </c>
      <c r="I14" s="153">
        <v>10</v>
      </c>
      <c r="J14" s="153">
        <v>10</v>
      </c>
      <c r="K14" s="153">
        <v>3</v>
      </c>
      <c r="L14" s="154">
        <v>100</v>
      </c>
      <c r="M14" s="155"/>
      <c r="N14" s="156" t="s">
        <v>701</v>
      </c>
      <c r="O14" s="157" t="s">
        <v>223</v>
      </c>
      <c r="P14" s="157">
        <v>10</v>
      </c>
      <c r="Q14" s="158">
        <v>1</v>
      </c>
      <c r="R14" s="156" t="s">
        <v>727</v>
      </c>
      <c r="S14" s="157" t="s">
        <v>538</v>
      </c>
      <c r="T14" s="157">
        <v>10</v>
      </c>
      <c r="U14" s="158">
        <v>1</v>
      </c>
      <c r="V14" s="156" t="s">
        <v>701</v>
      </c>
      <c r="W14" s="157" t="s">
        <v>258</v>
      </c>
      <c r="X14" s="157">
        <v>10</v>
      </c>
      <c r="Y14" s="158">
        <v>1</v>
      </c>
      <c r="AA14" s="156"/>
      <c r="AB14" s="157"/>
      <c r="AC14" s="157"/>
      <c r="AD14" s="157"/>
      <c r="AE14" s="159"/>
      <c r="AG14" s="160" t="s">
        <v>640</v>
      </c>
      <c r="AH14" s="161">
        <v>5</v>
      </c>
      <c r="AI14" s="161">
        <v>100</v>
      </c>
      <c r="AJ14" s="161">
        <v>10</v>
      </c>
      <c r="AK14" s="138" t="s">
        <v>697</v>
      </c>
      <c r="AM14" s="140">
        <v>1</v>
      </c>
      <c r="AN14" s="140"/>
      <c r="AO14" s="140"/>
    </row>
    <row r="15" spans="1:41" x14ac:dyDescent="0.3">
      <c r="A15" t="s">
        <v>6375</v>
      </c>
      <c r="D15" s="156">
        <v>5</v>
      </c>
      <c r="E15" s="157" t="s">
        <v>4</v>
      </c>
      <c r="F15" s="159" t="s">
        <v>212</v>
      </c>
      <c r="G15" s="157">
        <v>100</v>
      </c>
      <c r="H15" s="157">
        <v>5</v>
      </c>
      <c r="I15" s="157">
        <v>10</v>
      </c>
      <c r="J15" s="157">
        <v>0</v>
      </c>
      <c r="K15" s="157">
        <v>0</v>
      </c>
      <c r="L15" s="159">
        <v>100</v>
      </c>
      <c r="M15" s="155"/>
      <c r="N15" s="156" t="s">
        <v>712</v>
      </c>
      <c r="O15" s="157" t="s">
        <v>522</v>
      </c>
      <c r="P15" s="157">
        <v>10</v>
      </c>
      <c r="Q15" s="158">
        <v>1</v>
      </c>
      <c r="R15" s="156" t="s">
        <v>720</v>
      </c>
      <c r="S15" s="157" t="s">
        <v>534</v>
      </c>
      <c r="T15" s="157">
        <v>10</v>
      </c>
      <c r="U15" s="158">
        <v>1</v>
      </c>
      <c r="V15" s="156" t="s">
        <v>741</v>
      </c>
      <c r="W15" s="157" t="s">
        <v>555</v>
      </c>
      <c r="X15" s="157">
        <v>10</v>
      </c>
      <c r="Y15" s="158">
        <v>1</v>
      </c>
      <c r="AA15" s="156"/>
      <c r="AB15" s="157"/>
      <c r="AC15" s="157"/>
      <c r="AD15" s="157"/>
      <c r="AE15" s="159"/>
      <c r="AM15" s="140">
        <v>2</v>
      </c>
      <c r="AN15" s="140">
        <v>4</v>
      </c>
      <c r="AO15" s="140"/>
    </row>
    <row r="16" spans="1:41" x14ac:dyDescent="0.3">
      <c r="A16" t="s">
        <v>6444</v>
      </c>
      <c r="D16" s="156">
        <v>5</v>
      </c>
      <c r="E16" s="157" t="s">
        <v>6</v>
      </c>
      <c r="F16" s="159" t="s">
        <v>171</v>
      </c>
      <c r="G16" s="157">
        <v>100</v>
      </c>
      <c r="H16" s="157">
        <v>5</v>
      </c>
      <c r="I16" s="157">
        <v>10</v>
      </c>
      <c r="J16" s="157">
        <v>0</v>
      </c>
      <c r="K16" s="157">
        <v>0</v>
      </c>
      <c r="L16" s="159">
        <v>100</v>
      </c>
      <c r="M16" s="155"/>
      <c r="N16" s="156" t="s">
        <v>712</v>
      </c>
      <c r="O16" s="157" t="s">
        <v>522</v>
      </c>
      <c r="P16" s="157">
        <v>10</v>
      </c>
      <c r="Q16" s="158">
        <v>1</v>
      </c>
      <c r="R16" s="156" t="s">
        <v>720</v>
      </c>
      <c r="S16" s="157" t="s">
        <v>534</v>
      </c>
      <c r="T16" s="157">
        <v>10</v>
      </c>
      <c r="U16" s="158">
        <v>1</v>
      </c>
      <c r="V16" s="156" t="s">
        <v>742</v>
      </c>
      <c r="W16" s="157" t="s">
        <v>571</v>
      </c>
      <c r="X16" s="157">
        <v>10</v>
      </c>
      <c r="Y16" s="158">
        <v>1</v>
      </c>
      <c r="AA16" s="156"/>
      <c r="AB16" s="157"/>
      <c r="AC16" s="157"/>
      <c r="AD16" s="157"/>
      <c r="AE16" s="159"/>
      <c r="AM16" s="140">
        <v>3</v>
      </c>
      <c r="AN16" s="140">
        <v>5</v>
      </c>
      <c r="AO16" s="140"/>
    </row>
    <row r="17" spans="1:41" x14ac:dyDescent="0.3">
      <c r="A17" t="s">
        <v>6328</v>
      </c>
      <c r="D17" s="156">
        <v>4</v>
      </c>
      <c r="E17" s="157" t="s">
        <v>3</v>
      </c>
      <c r="F17" s="159" t="s">
        <v>1178</v>
      </c>
      <c r="G17" s="157">
        <v>100</v>
      </c>
      <c r="H17" s="157">
        <v>5</v>
      </c>
      <c r="I17" s="157">
        <v>10</v>
      </c>
      <c r="J17" s="157">
        <v>0</v>
      </c>
      <c r="K17" s="157">
        <v>0</v>
      </c>
      <c r="L17" s="159">
        <v>100</v>
      </c>
      <c r="M17" s="155"/>
      <c r="N17" s="156" t="s">
        <v>753</v>
      </c>
      <c r="O17" s="157" t="s">
        <v>553</v>
      </c>
      <c r="P17" s="157">
        <v>10</v>
      </c>
      <c r="Q17" s="158">
        <v>1</v>
      </c>
      <c r="R17" s="156" t="s">
        <v>9</v>
      </c>
      <c r="S17" s="157" t="s">
        <v>559</v>
      </c>
      <c r="T17" s="157">
        <v>10</v>
      </c>
      <c r="U17" s="158">
        <v>1</v>
      </c>
      <c r="V17" s="156" t="s">
        <v>732</v>
      </c>
      <c r="W17" s="157" t="s">
        <v>542</v>
      </c>
      <c r="X17" s="157">
        <v>10</v>
      </c>
      <c r="Y17" s="158">
        <v>1</v>
      </c>
      <c r="AA17" s="156"/>
      <c r="AB17" s="157"/>
      <c r="AC17" s="157"/>
      <c r="AD17" s="157"/>
      <c r="AE17" s="159"/>
    </row>
    <row r="18" spans="1:41" x14ac:dyDescent="0.3">
      <c r="A18" t="s">
        <v>6329</v>
      </c>
      <c r="D18" s="160">
        <v>5</v>
      </c>
      <c r="E18" s="161" t="s">
        <v>3</v>
      </c>
      <c r="F18" s="138" t="s">
        <v>197</v>
      </c>
      <c r="G18" s="161">
        <v>100</v>
      </c>
      <c r="H18" s="161">
        <v>5</v>
      </c>
      <c r="I18" s="161">
        <v>10</v>
      </c>
      <c r="J18" s="161">
        <v>0</v>
      </c>
      <c r="K18" s="161">
        <v>0</v>
      </c>
      <c r="L18" s="138">
        <v>100</v>
      </c>
      <c r="M18" s="155"/>
      <c r="N18" s="160" t="s">
        <v>753</v>
      </c>
      <c r="O18" s="161" t="s">
        <v>553</v>
      </c>
      <c r="P18" s="161">
        <v>10</v>
      </c>
      <c r="Q18" s="162">
        <v>1</v>
      </c>
      <c r="R18" s="160" t="s">
        <v>9</v>
      </c>
      <c r="S18" s="161" t="s">
        <v>559</v>
      </c>
      <c r="T18" s="161">
        <v>10</v>
      </c>
      <c r="U18" s="162">
        <v>1</v>
      </c>
      <c r="V18" s="160" t="s">
        <v>732</v>
      </c>
      <c r="W18" s="161" t="s">
        <v>542</v>
      </c>
      <c r="X18" s="161">
        <v>10</v>
      </c>
      <c r="Y18" s="162">
        <v>1</v>
      </c>
      <c r="AA18" s="160"/>
      <c r="AB18" s="161"/>
      <c r="AC18" s="161"/>
      <c r="AD18" s="161"/>
      <c r="AE18" s="138"/>
    </row>
    <row r="19" spans="1:41" x14ac:dyDescent="0.3">
      <c r="A19" t="s">
        <v>6513</v>
      </c>
      <c r="C19" t="s">
        <v>1701</v>
      </c>
      <c r="D19" s="152">
        <v>5</v>
      </c>
      <c r="E19" s="153" t="s">
        <v>4</v>
      </c>
      <c r="F19" s="154" t="s">
        <v>212</v>
      </c>
      <c r="G19" s="153">
        <v>100</v>
      </c>
      <c r="H19" s="153">
        <v>5</v>
      </c>
      <c r="I19" s="153">
        <v>10</v>
      </c>
      <c r="J19" s="153">
        <v>0</v>
      </c>
      <c r="K19" s="153">
        <v>0</v>
      </c>
      <c r="L19" s="154">
        <v>100</v>
      </c>
      <c r="M19" s="155"/>
      <c r="N19" s="156" t="s">
        <v>712</v>
      </c>
      <c r="O19" s="157" t="s">
        <v>522</v>
      </c>
      <c r="P19" s="157">
        <v>10</v>
      </c>
      <c r="Q19" s="158">
        <v>1</v>
      </c>
      <c r="R19" s="156" t="s">
        <v>720</v>
      </c>
      <c r="S19" s="157" t="s">
        <v>534</v>
      </c>
      <c r="T19" s="157">
        <v>10</v>
      </c>
      <c r="U19" s="158">
        <v>1</v>
      </c>
      <c r="V19" s="156" t="s">
        <v>741</v>
      </c>
      <c r="W19" s="157" t="s">
        <v>555</v>
      </c>
      <c r="X19" s="157">
        <v>10</v>
      </c>
      <c r="Y19" s="158">
        <v>1</v>
      </c>
      <c r="AA19" s="156"/>
      <c r="AB19" s="157"/>
      <c r="AC19" s="157"/>
      <c r="AD19" s="157"/>
      <c r="AE19" s="159"/>
      <c r="AG19" s="160" t="s">
        <v>637</v>
      </c>
      <c r="AH19" s="161">
        <v>5</v>
      </c>
      <c r="AI19" s="161">
        <v>100</v>
      </c>
      <c r="AJ19" s="161">
        <v>10</v>
      </c>
      <c r="AK19" s="138" t="s">
        <v>679</v>
      </c>
      <c r="AM19" s="140">
        <v>2</v>
      </c>
      <c r="AN19" s="140"/>
      <c r="AO19" s="140"/>
    </row>
    <row r="20" spans="1:41" x14ac:dyDescent="0.3">
      <c r="A20" t="s">
        <v>6330</v>
      </c>
      <c r="D20" s="156">
        <v>5</v>
      </c>
      <c r="E20" s="157" t="s">
        <v>4</v>
      </c>
      <c r="F20" s="159" t="s">
        <v>1662</v>
      </c>
      <c r="G20" s="157">
        <v>100</v>
      </c>
      <c r="H20" s="157">
        <v>5</v>
      </c>
      <c r="I20" s="157">
        <v>10</v>
      </c>
      <c r="J20" s="157">
        <v>0</v>
      </c>
      <c r="K20" s="157">
        <v>0</v>
      </c>
      <c r="L20" s="159">
        <v>100</v>
      </c>
      <c r="M20" s="155"/>
      <c r="N20" s="156" t="s">
        <v>712</v>
      </c>
      <c r="O20" s="157" t="s">
        <v>522</v>
      </c>
      <c r="P20" s="157">
        <v>10</v>
      </c>
      <c r="Q20" s="158">
        <v>1</v>
      </c>
      <c r="R20" s="156" t="s">
        <v>720</v>
      </c>
      <c r="S20" s="157" t="s">
        <v>534</v>
      </c>
      <c r="T20" s="157">
        <v>10</v>
      </c>
      <c r="U20" s="158">
        <v>1</v>
      </c>
      <c r="V20" s="156" t="s">
        <v>741</v>
      </c>
      <c r="W20" s="157" t="s">
        <v>555</v>
      </c>
      <c r="X20" s="157">
        <v>10</v>
      </c>
      <c r="Y20" s="158">
        <v>1</v>
      </c>
      <c r="AA20" s="156"/>
      <c r="AB20" s="157"/>
      <c r="AC20" s="157"/>
      <c r="AD20" s="157"/>
      <c r="AE20" s="159"/>
      <c r="AM20" s="140">
        <v>1</v>
      </c>
      <c r="AN20" s="140">
        <v>5</v>
      </c>
      <c r="AO20" s="140">
        <v>4</v>
      </c>
    </row>
    <row r="21" spans="1:41" x14ac:dyDescent="0.3">
      <c r="A21" t="s">
        <v>6310</v>
      </c>
      <c r="D21" s="156">
        <v>5</v>
      </c>
      <c r="E21" s="157" t="s">
        <v>4</v>
      </c>
      <c r="F21" s="159" t="s">
        <v>240</v>
      </c>
      <c r="G21" s="157">
        <v>100</v>
      </c>
      <c r="H21" s="157">
        <v>5</v>
      </c>
      <c r="I21" s="157">
        <v>10</v>
      </c>
      <c r="J21" s="157">
        <v>0</v>
      </c>
      <c r="K21" s="157">
        <v>0</v>
      </c>
      <c r="L21" s="159">
        <v>100</v>
      </c>
      <c r="M21" s="155"/>
      <c r="N21" s="156" t="s">
        <v>712</v>
      </c>
      <c r="O21" s="157" t="s">
        <v>522</v>
      </c>
      <c r="P21" s="157">
        <v>10</v>
      </c>
      <c r="Q21" s="158">
        <v>1</v>
      </c>
      <c r="R21" s="156" t="s">
        <v>720</v>
      </c>
      <c r="S21" s="157" t="s">
        <v>534</v>
      </c>
      <c r="T21" s="157">
        <v>10</v>
      </c>
      <c r="U21" s="158">
        <v>1</v>
      </c>
      <c r="V21" s="156" t="s">
        <v>741</v>
      </c>
      <c r="W21" s="157" t="s">
        <v>555</v>
      </c>
      <c r="X21" s="157">
        <v>10</v>
      </c>
      <c r="Y21" s="158">
        <v>1</v>
      </c>
      <c r="AA21" s="156"/>
      <c r="AB21" s="157"/>
      <c r="AC21" s="157"/>
      <c r="AD21" s="157"/>
      <c r="AE21" s="159"/>
      <c r="AM21" s="140">
        <v>3</v>
      </c>
      <c r="AN21" s="140"/>
      <c r="AO21" s="140"/>
    </row>
    <row r="22" spans="1:41" x14ac:dyDescent="0.3">
      <c r="A22" t="s">
        <v>6361</v>
      </c>
      <c r="D22" s="156">
        <v>5</v>
      </c>
      <c r="E22" s="157" t="s">
        <v>5</v>
      </c>
      <c r="F22" s="159" t="s">
        <v>5631</v>
      </c>
      <c r="G22" s="157">
        <v>100</v>
      </c>
      <c r="H22" s="157">
        <v>5</v>
      </c>
      <c r="I22" s="157">
        <v>10</v>
      </c>
      <c r="J22" s="157">
        <v>0</v>
      </c>
      <c r="K22" s="157">
        <v>0</v>
      </c>
      <c r="L22" s="159">
        <v>100</v>
      </c>
      <c r="M22" s="155"/>
      <c r="N22" s="156" t="s">
        <v>6364</v>
      </c>
      <c r="O22" s="157" t="s">
        <v>6368</v>
      </c>
      <c r="P22" s="157">
        <v>10</v>
      </c>
      <c r="Q22" s="158">
        <v>1</v>
      </c>
      <c r="R22" s="156" t="s">
        <v>914</v>
      </c>
      <c r="S22" s="157" t="s">
        <v>905</v>
      </c>
      <c r="T22" s="157">
        <v>10</v>
      </c>
      <c r="U22" s="158">
        <v>1</v>
      </c>
      <c r="V22" s="156" t="s">
        <v>637</v>
      </c>
      <c r="W22" s="157" t="s">
        <v>545</v>
      </c>
      <c r="X22" s="157">
        <v>10</v>
      </c>
      <c r="Y22" s="158">
        <v>1</v>
      </c>
      <c r="AA22" s="156"/>
      <c r="AB22" s="157"/>
      <c r="AC22" s="157"/>
      <c r="AD22" s="157"/>
      <c r="AE22" s="159"/>
    </row>
    <row r="23" spans="1:41" x14ac:dyDescent="0.3">
      <c r="A23" t="s">
        <v>6373</v>
      </c>
      <c r="D23" s="160">
        <v>5</v>
      </c>
      <c r="E23" s="161" t="s">
        <v>3</v>
      </c>
      <c r="F23" s="138" t="s">
        <v>1692</v>
      </c>
      <c r="G23" s="161">
        <v>100</v>
      </c>
      <c r="H23" s="161">
        <v>5</v>
      </c>
      <c r="I23" s="161">
        <v>10</v>
      </c>
      <c r="J23" s="161">
        <v>0</v>
      </c>
      <c r="K23" s="161">
        <v>0</v>
      </c>
      <c r="L23" s="138">
        <v>100</v>
      </c>
      <c r="M23" s="155"/>
      <c r="N23" s="160" t="s">
        <v>701</v>
      </c>
      <c r="O23" s="161" t="s">
        <v>754</v>
      </c>
      <c r="P23" s="161"/>
      <c r="Q23" s="162">
        <v>1</v>
      </c>
      <c r="R23" s="160" t="s">
        <v>701</v>
      </c>
      <c r="S23" s="161" t="s">
        <v>757</v>
      </c>
      <c r="T23" s="161"/>
      <c r="U23" s="162">
        <v>1</v>
      </c>
      <c r="V23" s="160" t="s">
        <v>701</v>
      </c>
      <c r="W23" s="161" t="s">
        <v>760</v>
      </c>
      <c r="X23" s="161"/>
      <c r="Y23" s="162">
        <v>1</v>
      </c>
      <c r="AA23" s="160"/>
      <c r="AB23" s="161"/>
      <c r="AC23" s="161"/>
      <c r="AD23" s="161"/>
      <c r="AE23" s="138"/>
    </row>
    <row r="24" spans="1:41" x14ac:dyDescent="0.3">
      <c r="A24" t="s">
        <v>6602</v>
      </c>
      <c r="C24" t="s">
        <v>5505</v>
      </c>
      <c r="D24" s="152">
        <v>4</v>
      </c>
      <c r="E24" s="153" t="s">
        <v>6</v>
      </c>
      <c r="F24" s="154" t="s">
        <v>838</v>
      </c>
      <c r="G24" s="153">
        <v>115</v>
      </c>
      <c r="H24" s="153">
        <v>5</v>
      </c>
      <c r="I24" s="153">
        <v>10</v>
      </c>
      <c r="J24" s="153">
        <v>10</v>
      </c>
      <c r="K24" s="153">
        <v>3</v>
      </c>
      <c r="L24" s="154">
        <v>100</v>
      </c>
      <c r="M24" s="155"/>
      <c r="N24" s="156" t="s">
        <v>701</v>
      </c>
      <c r="O24" s="157" t="s">
        <v>838</v>
      </c>
      <c r="P24" s="157">
        <v>10</v>
      </c>
      <c r="Q24" s="158">
        <v>1</v>
      </c>
      <c r="R24" s="156" t="s">
        <v>701</v>
      </c>
      <c r="S24" s="157" t="s">
        <v>119</v>
      </c>
      <c r="T24" s="157">
        <v>10</v>
      </c>
      <c r="U24" s="158">
        <v>1</v>
      </c>
      <c r="V24" s="156" t="s">
        <v>742</v>
      </c>
      <c r="W24" s="157" t="s">
        <v>571</v>
      </c>
      <c r="X24" s="157">
        <v>10</v>
      </c>
      <c r="Y24" s="158">
        <v>1</v>
      </c>
      <c r="AA24" s="156"/>
      <c r="AB24" s="157"/>
      <c r="AC24" s="157"/>
      <c r="AD24" s="157"/>
      <c r="AE24" s="159"/>
      <c r="AG24" s="160" t="s">
        <v>645</v>
      </c>
      <c r="AH24" s="161">
        <v>5</v>
      </c>
      <c r="AI24" s="161">
        <v>100</v>
      </c>
      <c r="AJ24" s="161">
        <v>10</v>
      </c>
      <c r="AK24" s="138" t="s">
        <v>697</v>
      </c>
      <c r="AM24" s="140">
        <v>1</v>
      </c>
      <c r="AN24" s="140"/>
      <c r="AO24" s="140"/>
    </row>
    <row r="25" spans="1:41" x14ac:dyDescent="0.3">
      <c r="A25" t="s">
        <v>6369</v>
      </c>
      <c r="D25" s="156">
        <v>5</v>
      </c>
      <c r="E25" s="157" t="s">
        <v>6</v>
      </c>
      <c r="F25" s="159" t="s">
        <v>171</v>
      </c>
      <c r="G25" s="157">
        <v>100</v>
      </c>
      <c r="H25" s="157">
        <v>5</v>
      </c>
      <c r="I25" s="157">
        <v>10</v>
      </c>
      <c r="J25" s="157">
        <v>0</v>
      </c>
      <c r="K25" s="157">
        <v>0</v>
      </c>
      <c r="L25" s="159">
        <v>100</v>
      </c>
      <c r="M25" s="155"/>
      <c r="N25" s="156" t="s">
        <v>712</v>
      </c>
      <c r="O25" s="157" t="s">
        <v>522</v>
      </c>
      <c r="P25" s="157">
        <v>10</v>
      </c>
      <c r="Q25" s="158">
        <v>1</v>
      </c>
      <c r="R25" s="156" t="s">
        <v>720</v>
      </c>
      <c r="S25" s="157" t="s">
        <v>534</v>
      </c>
      <c r="T25" s="157">
        <v>10</v>
      </c>
      <c r="U25" s="158">
        <v>1</v>
      </c>
      <c r="V25" s="156" t="s">
        <v>742</v>
      </c>
      <c r="W25" s="157" t="s">
        <v>571</v>
      </c>
      <c r="X25" s="157">
        <v>10</v>
      </c>
      <c r="Y25" s="158">
        <v>1</v>
      </c>
      <c r="AA25" s="156"/>
      <c r="AB25" s="157"/>
      <c r="AC25" s="157"/>
      <c r="AD25" s="157"/>
      <c r="AE25" s="159"/>
      <c r="AM25" s="140">
        <v>4</v>
      </c>
      <c r="AN25" s="140">
        <v>3</v>
      </c>
      <c r="AO25" s="140"/>
    </row>
    <row r="26" spans="1:41" x14ac:dyDescent="0.3">
      <c r="A26" t="s">
        <v>6370</v>
      </c>
      <c r="D26" s="156">
        <v>5</v>
      </c>
      <c r="E26" s="157" t="s">
        <v>7</v>
      </c>
      <c r="F26" s="159" t="s">
        <v>1409</v>
      </c>
      <c r="G26" s="157">
        <v>110</v>
      </c>
      <c r="H26" s="157">
        <v>5</v>
      </c>
      <c r="I26" s="157">
        <v>10</v>
      </c>
      <c r="J26" s="157">
        <v>10</v>
      </c>
      <c r="K26" s="157">
        <v>2</v>
      </c>
      <c r="L26" s="159">
        <v>100</v>
      </c>
      <c r="M26" s="155"/>
      <c r="N26" s="156" t="s">
        <v>753</v>
      </c>
      <c r="O26" s="157" t="s">
        <v>553</v>
      </c>
      <c r="P26" s="157">
        <v>10</v>
      </c>
      <c r="Q26" s="158">
        <v>1</v>
      </c>
      <c r="R26" s="156" t="s">
        <v>9</v>
      </c>
      <c r="S26" s="157" t="s">
        <v>559</v>
      </c>
      <c r="T26" s="157">
        <v>10</v>
      </c>
      <c r="U26" s="158">
        <v>1</v>
      </c>
      <c r="V26" s="156" t="s">
        <v>701</v>
      </c>
      <c r="W26" s="157" t="s">
        <v>729</v>
      </c>
      <c r="X26" s="157">
        <v>10</v>
      </c>
      <c r="Y26" s="158">
        <v>1</v>
      </c>
      <c r="AA26" s="156"/>
      <c r="AB26" s="157"/>
      <c r="AC26" s="157"/>
      <c r="AD26" s="157"/>
      <c r="AE26" s="159"/>
      <c r="AM26" s="140">
        <v>2</v>
      </c>
      <c r="AN26" s="140">
        <v>5</v>
      </c>
      <c r="AO26" s="140"/>
    </row>
    <row r="27" spans="1:41" x14ac:dyDescent="0.3">
      <c r="A27" t="s">
        <v>6326</v>
      </c>
      <c r="D27" s="156">
        <v>5</v>
      </c>
      <c r="E27" s="157" t="s">
        <v>3</v>
      </c>
      <c r="F27" s="159" t="s">
        <v>739</v>
      </c>
      <c r="G27" s="157">
        <v>110</v>
      </c>
      <c r="H27" s="157">
        <v>5</v>
      </c>
      <c r="I27" s="157">
        <v>10</v>
      </c>
      <c r="J27" s="157">
        <v>10</v>
      </c>
      <c r="K27" s="157">
        <v>2</v>
      </c>
      <c r="L27" s="159">
        <v>100</v>
      </c>
      <c r="M27" s="155"/>
      <c r="N27" s="156" t="s">
        <v>701</v>
      </c>
      <c r="O27" s="157" t="s">
        <v>67</v>
      </c>
      <c r="P27" s="157">
        <v>10</v>
      </c>
      <c r="Q27" s="158">
        <v>1</v>
      </c>
      <c r="R27" s="156" t="s">
        <v>9</v>
      </c>
      <c r="S27" s="157" t="s">
        <v>559</v>
      </c>
      <c r="T27" s="157">
        <v>10</v>
      </c>
      <c r="U27" s="158">
        <v>1</v>
      </c>
      <c r="V27" s="156" t="s">
        <v>732</v>
      </c>
      <c r="W27" s="157" t="s">
        <v>542</v>
      </c>
      <c r="X27" s="157">
        <v>10</v>
      </c>
      <c r="Y27" s="158">
        <v>1</v>
      </c>
      <c r="AA27" s="156"/>
      <c r="AB27" s="157"/>
      <c r="AC27" s="157"/>
      <c r="AD27" s="157"/>
      <c r="AE27" s="159"/>
    </row>
    <row r="28" spans="1:41" x14ac:dyDescent="0.3">
      <c r="A28" t="s">
        <v>6325</v>
      </c>
      <c r="D28" s="160">
        <v>5</v>
      </c>
      <c r="E28" s="161" t="s">
        <v>3</v>
      </c>
      <c r="F28" s="138" t="s">
        <v>197</v>
      </c>
      <c r="G28" s="161">
        <v>100</v>
      </c>
      <c r="H28" s="161">
        <v>5</v>
      </c>
      <c r="I28" s="161">
        <v>10</v>
      </c>
      <c r="J28" s="161">
        <v>0</v>
      </c>
      <c r="K28" s="161">
        <v>0</v>
      </c>
      <c r="L28" s="138">
        <v>100</v>
      </c>
      <c r="M28" s="155"/>
      <c r="N28" s="160" t="s">
        <v>753</v>
      </c>
      <c r="O28" s="161" t="s">
        <v>553</v>
      </c>
      <c r="P28" s="161">
        <v>10</v>
      </c>
      <c r="Q28" s="162">
        <v>1</v>
      </c>
      <c r="R28" s="160" t="s">
        <v>9</v>
      </c>
      <c r="S28" s="161" t="s">
        <v>559</v>
      </c>
      <c r="T28" s="161">
        <v>10</v>
      </c>
      <c r="U28" s="162">
        <v>1</v>
      </c>
      <c r="V28" s="160" t="s">
        <v>732</v>
      </c>
      <c r="W28" s="161" t="s">
        <v>542</v>
      </c>
      <c r="X28" s="161">
        <v>10</v>
      </c>
      <c r="Y28" s="162">
        <v>1</v>
      </c>
      <c r="AA28" s="160"/>
      <c r="AB28" s="161"/>
      <c r="AC28" s="161"/>
      <c r="AD28" s="161"/>
      <c r="AE28" s="138"/>
    </row>
    <row r="29" spans="1:41" x14ac:dyDescent="0.3">
      <c r="A29" t="s">
        <v>6862</v>
      </c>
      <c r="C29" t="s">
        <v>5506</v>
      </c>
      <c r="D29" s="152">
        <v>5</v>
      </c>
      <c r="E29" s="153" t="s">
        <v>2</v>
      </c>
      <c r="F29" s="154" t="s">
        <v>255</v>
      </c>
      <c r="G29" s="153">
        <v>115</v>
      </c>
      <c r="H29" s="153">
        <v>5</v>
      </c>
      <c r="I29" s="153">
        <v>10</v>
      </c>
      <c r="J29" s="153">
        <v>10</v>
      </c>
      <c r="K29" s="153">
        <v>3</v>
      </c>
      <c r="L29" s="154">
        <v>100</v>
      </c>
      <c r="M29" s="155"/>
      <c r="N29" s="156" t="s">
        <v>712</v>
      </c>
      <c r="O29" s="157" t="s">
        <v>522</v>
      </c>
      <c r="P29" s="157">
        <v>10</v>
      </c>
      <c r="Q29" s="158">
        <v>1</v>
      </c>
      <c r="R29" s="156" t="s">
        <v>727</v>
      </c>
      <c r="S29" s="157" t="s">
        <v>538</v>
      </c>
      <c r="T29" s="157">
        <v>10</v>
      </c>
      <c r="U29" s="158">
        <v>1</v>
      </c>
      <c r="V29" s="156" t="s">
        <v>701</v>
      </c>
      <c r="W29" s="157" t="s">
        <v>255</v>
      </c>
      <c r="X29" s="157">
        <v>10</v>
      </c>
      <c r="Y29" s="158">
        <v>1</v>
      </c>
      <c r="AA29" s="156"/>
      <c r="AB29" s="157"/>
      <c r="AC29" s="157"/>
      <c r="AD29" s="157"/>
      <c r="AE29" s="159"/>
      <c r="AG29" s="160" t="s">
        <v>655</v>
      </c>
      <c r="AH29" s="161">
        <v>5</v>
      </c>
      <c r="AI29" s="161">
        <v>100</v>
      </c>
      <c r="AJ29" s="161">
        <v>10</v>
      </c>
      <c r="AK29" s="138" t="s">
        <v>697</v>
      </c>
      <c r="AM29" s="140">
        <v>1</v>
      </c>
      <c r="AN29" s="140"/>
      <c r="AO29" s="140"/>
    </row>
    <row r="30" spans="1:41" x14ac:dyDescent="0.3">
      <c r="A30" t="s">
        <v>6860</v>
      </c>
      <c r="D30" s="156">
        <v>5</v>
      </c>
      <c r="E30" s="157" t="s">
        <v>6</v>
      </c>
      <c r="F30" s="159" t="s">
        <v>171</v>
      </c>
      <c r="G30" s="157">
        <v>100</v>
      </c>
      <c r="H30" s="157">
        <v>5</v>
      </c>
      <c r="I30" s="157">
        <v>10</v>
      </c>
      <c r="J30" s="157">
        <v>0</v>
      </c>
      <c r="K30" s="157">
        <v>0</v>
      </c>
      <c r="L30" s="159">
        <v>100</v>
      </c>
      <c r="M30" s="155"/>
      <c r="N30" s="156" t="s">
        <v>712</v>
      </c>
      <c r="O30" s="157" t="s">
        <v>522</v>
      </c>
      <c r="P30" s="157">
        <v>10</v>
      </c>
      <c r="Q30" s="158">
        <v>1</v>
      </c>
      <c r="R30" s="156" t="s">
        <v>720</v>
      </c>
      <c r="S30" s="157" t="s">
        <v>534</v>
      </c>
      <c r="T30" s="157">
        <v>10</v>
      </c>
      <c r="U30" s="158">
        <v>1</v>
      </c>
      <c r="V30" s="156" t="s">
        <v>742</v>
      </c>
      <c r="W30" s="157" t="s">
        <v>571</v>
      </c>
      <c r="X30" s="157">
        <v>10</v>
      </c>
      <c r="Y30" s="158">
        <v>1</v>
      </c>
      <c r="AA30" s="156"/>
      <c r="AB30" s="157"/>
      <c r="AC30" s="157"/>
      <c r="AD30" s="157"/>
      <c r="AE30" s="159"/>
      <c r="AM30" s="140">
        <v>5</v>
      </c>
      <c r="AN30" s="140">
        <v>3</v>
      </c>
      <c r="AO30" s="140"/>
    </row>
    <row r="31" spans="1:41" x14ac:dyDescent="0.3">
      <c r="A31" t="s">
        <v>6856</v>
      </c>
      <c r="D31" s="156">
        <v>6</v>
      </c>
      <c r="E31" s="157" t="s">
        <v>3</v>
      </c>
      <c r="F31" s="159" t="s">
        <v>262</v>
      </c>
      <c r="G31" s="157">
        <v>110</v>
      </c>
      <c r="H31" s="157">
        <v>5</v>
      </c>
      <c r="I31" s="157">
        <v>10</v>
      </c>
      <c r="J31" s="157">
        <v>10</v>
      </c>
      <c r="K31" s="157">
        <v>2</v>
      </c>
      <c r="L31" s="159">
        <v>100</v>
      </c>
      <c r="M31" s="155"/>
      <c r="N31" s="156" t="s">
        <v>753</v>
      </c>
      <c r="O31" s="157" t="s">
        <v>553</v>
      </c>
      <c r="P31" s="157">
        <v>10</v>
      </c>
      <c r="Q31" s="158">
        <v>1</v>
      </c>
      <c r="R31" s="156" t="s">
        <v>9</v>
      </c>
      <c r="S31" s="157" t="s">
        <v>559</v>
      </c>
      <c r="T31" s="157">
        <v>10</v>
      </c>
      <c r="U31" s="158">
        <v>1</v>
      </c>
      <c r="V31" s="156" t="s">
        <v>732</v>
      </c>
      <c r="W31" s="157" t="s">
        <v>542</v>
      </c>
      <c r="X31" s="157">
        <v>10</v>
      </c>
      <c r="Y31" s="158">
        <v>1</v>
      </c>
      <c r="AA31" s="156"/>
      <c r="AB31" s="157"/>
      <c r="AC31" s="157"/>
      <c r="AD31" s="157"/>
      <c r="AE31" s="159"/>
      <c r="AM31" s="140">
        <v>2</v>
      </c>
      <c r="AN31" s="140">
        <v>4</v>
      </c>
      <c r="AO31" s="140"/>
    </row>
    <row r="32" spans="1:41" x14ac:dyDescent="0.3">
      <c r="A32" t="s">
        <v>6861</v>
      </c>
      <c r="D32" s="156">
        <v>5</v>
      </c>
      <c r="E32" s="157" t="s">
        <v>3</v>
      </c>
      <c r="F32" s="159" t="s">
        <v>792</v>
      </c>
      <c r="G32" s="157">
        <v>100</v>
      </c>
      <c r="H32" s="157">
        <v>5</v>
      </c>
      <c r="I32" s="157">
        <v>10</v>
      </c>
      <c r="J32" s="157">
        <v>0</v>
      </c>
      <c r="K32" s="157">
        <v>0</v>
      </c>
      <c r="L32" s="159">
        <v>100</v>
      </c>
      <c r="M32" s="155"/>
      <c r="N32" s="156" t="s">
        <v>753</v>
      </c>
      <c r="O32" s="157" t="s">
        <v>553</v>
      </c>
      <c r="P32" s="157">
        <v>10</v>
      </c>
      <c r="Q32" s="158">
        <v>1</v>
      </c>
      <c r="R32" s="156" t="s">
        <v>9</v>
      </c>
      <c r="S32" s="157" t="s">
        <v>559</v>
      </c>
      <c r="T32" s="157">
        <v>10</v>
      </c>
      <c r="U32" s="158">
        <v>1</v>
      </c>
      <c r="V32" s="156" t="s">
        <v>732</v>
      </c>
      <c r="W32" s="157" t="s">
        <v>542</v>
      </c>
      <c r="X32" s="157">
        <v>10</v>
      </c>
      <c r="Y32" s="158">
        <v>1</v>
      </c>
      <c r="AA32" s="156"/>
      <c r="AB32" s="157"/>
      <c r="AC32" s="157"/>
      <c r="AD32" s="157"/>
      <c r="AE32" s="159"/>
    </row>
    <row r="33" spans="1:41" x14ac:dyDescent="0.3">
      <c r="A33" t="s">
        <v>6858</v>
      </c>
      <c r="D33" s="160">
        <v>5</v>
      </c>
      <c r="E33" s="161" t="s">
        <v>3</v>
      </c>
      <c r="F33" s="138" t="s">
        <v>739</v>
      </c>
      <c r="G33" s="161">
        <v>110</v>
      </c>
      <c r="H33" s="161">
        <v>5</v>
      </c>
      <c r="I33" s="161">
        <v>10</v>
      </c>
      <c r="J33" s="161">
        <v>10</v>
      </c>
      <c r="K33" s="161">
        <v>2</v>
      </c>
      <c r="L33" s="138">
        <v>100</v>
      </c>
      <c r="M33" s="155"/>
      <c r="N33" s="160" t="s">
        <v>701</v>
      </c>
      <c r="O33" s="161" t="s">
        <v>67</v>
      </c>
      <c r="P33" s="161">
        <v>10</v>
      </c>
      <c r="Q33" s="162">
        <v>1</v>
      </c>
      <c r="R33" s="160" t="s">
        <v>9</v>
      </c>
      <c r="S33" s="161" t="s">
        <v>559</v>
      </c>
      <c r="T33" s="161">
        <v>10</v>
      </c>
      <c r="U33" s="162">
        <v>1</v>
      </c>
      <c r="V33" s="160" t="s">
        <v>732</v>
      </c>
      <c r="W33" s="161" t="s">
        <v>542</v>
      </c>
      <c r="X33" s="161">
        <v>10</v>
      </c>
      <c r="Y33" s="162">
        <v>1</v>
      </c>
      <c r="AA33" s="160"/>
      <c r="AB33" s="161"/>
      <c r="AC33" s="161"/>
      <c r="AD33" s="161"/>
      <c r="AE33" s="138"/>
    </row>
    <row r="34" spans="1:41" x14ac:dyDescent="0.3">
      <c r="A34" t="s">
        <v>6857</v>
      </c>
      <c r="C34" t="s">
        <v>5507</v>
      </c>
      <c r="D34" s="152">
        <v>6</v>
      </c>
      <c r="E34" s="153" t="s">
        <v>2</v>
      </c>
      <c r="F34" s="154" t="s">
        <v>1447</v>
      </c>
      <c r="G34" s="153">
        <v>115</v>
      </c>
      <c r="H34" s="153">
        <v>5</v>
      </c>
      <c r="I34" s="153">
        <v>10</v>
      </c>
      <c r="J34" s="153">
        <v>10</v>
      </c>
      <c r="K34" s="153">
        <v>3</v>
      </c>
      <c r="L34" s="154">
        <v>100</v>
      </c>
      <c r="M34" s="155"/>
      <c r="N34" s="156" t="s">
        <v>712</v>
      </c>
      <c r="O34" s="157" t="s">
        <v>522</v>
      </c>
      <c r="P34" s="157">
        <v>10</v>
      </c>
      <c r="Q34" s="158">
        <v>1</v>
      </c>
      <c r="R34" s="156" t="s">
        <v>727</v>
      </c>
      <c r="S34" s="157" t="s">
        <v>538</v>
      </c>
      <c r="T34" s="157">
        <v>10</v>
      </c>
      <c r="U34" s="158">
        <v>1</v>
      </c>
      <c r="V34" s="156" t="s">
        <v>701</v>
      </c>
      <c r="W34" s="157" t="s">
        <v>1447</v>
      </c>
      <c r="X34" s="157">
        <v>10</v>
      </c>
      <c r="Y34" s="158">
        <v>1</v>
      </c>
      <c r="AA34" s="156"/>
      <c r="AB34" s="157"/>
      <c r="AC34" s="157"/>
      <c r="AD34" s="157"/>
      <c r="AE34" s="159"/>
      <c r="AG34" s="160" t="s">
        <v>655</v>
      </c>
      <c r="AH34" s="161">
        <v>5</v>
      </c>
      <c r="AI34" s="161">
        <v>100</v>
      </c>
      <c r="AJ34" s="161">
        <v>10</v>
      </c>
      <c r="AK34" s="138" t="s">
        <v>697</v>
      </c>
      <c r="AM34" s="140">
        <v>1</v>
      </c>
      <c r="AN34" s="140">
        <v>3</v>
      </c>
      <c r="AO34" s="140"/>
    </row>
    <row r="35" spans="1:41" x14ac:dyDescent="0.3">
      <c r="D35" s="156">
        <v>5</v>
      </c>
      <c r="E35" s="157" t="s">
        <v>6</v>
      </c>
      <c r="F35" s="159" t="s">
        <v>171</v>
      </c>
      <c r="G35" s="157">
        <v>100</v>
      </c>
      <c r="H35" s="157">
        <v>5</v>
      </c>
      <c r="I35" s="157">
        <v>10</v>
      </c>
      <c r="J35" s="157">
        <v>0</v>
      </c>
      <c r="K35" s="157">
        <v>0</v>
      </c>
      <c r="L35" s="159">
        <v>100</v>
      </c>
      <c r="M35" s="155"/>
      <c r="N35" s="156" t="s">
        <v>712</v>
      </c>
      <c r="O35" s="157" t="s">
        <v>522</v>
      </c>
      <c r="P35" s="157">
        <v>10</v>
      </c>
      <c r="Q35" s="158">
        <v>1</v>
      </c>
      <c r="R35" s="156" t="s">
        <v>720</v>
      </c>
      <c r="S35" s="157" t="s">
        <v>534</v>
      </c>
      <c r="T35" s="157">
        <v>10</v>
      </c>
      <c r="U35" s="158">
        <v>1</v>
      </c>
      <c r="V35" s="156" t="s">
        <v>742</v>
      </c>
      <c r="W35" s="157" t="s">
        <v>571</v>
      </c>
      <c r="X35" s="157">
        <v>10</v>
      </c>
      <c r="Y35" s="158">
        <v>1</v>
      </c>
      <c r="AA35" s="156"/>
      <c r="AB35" s="157"/>
      <c r="AC35" s="157"/>
      <c r="AD35" s="157"/>
      <c r="AE35" s="159"/>
      <c r="AM35" s="140"/>
      <c r="AN35" s="140">
        <v>4</v>
      </c>
      <c r="AO35" s="140"/>
    </row>
    <row r="36" spans="1:41" x14ac:dyDescent="0.3">
      <c r="D36" s="156">
        <v>5</v>
      </c>
      <c r="E36" s="157" t="s">
        <v>3</v>
      </c>
      <c r="F36" s="159" t="s">
        <v>186</v>
      </c>
      <c r="G36" s="157">
        <v>100</v>
      </c>
      <c r="H36" s="157">
        <v>5</v>
      </c>
      <c r="I36" s="157">
        <v>10</v>
      </c>
      <c r="J36" s="157">
        <v>0</v>
      </c>
      <c r="K36" s="157">
        <v>0</v>
      </c>
      <c r="L36" s="159">
        <v>100</v>
      </c>
      <c r="M36" s="155"/>
      <c r="N36" s="156" t="s">
        <v>753</v>
      </c>
      <c r="O36" s="157" t="s">
        <v>553</v>
      </c>
      <c r="P36" s="157">
        <v>10</v>
      </c>
      <c r="Q36" s="158">
        <v>1</v>
      </c>
      <c r="R36" s="156" t="s">
        <v>9</v>
      </c>
      <c r="S36" s="157" t="s">
        <v>559</v>
      </c>
      <c r="T36" s="157">
        <v>10</v>
      </c>
      <c r="U36" s="158">
        <v>1</v>
      </c>
      <c r="V36" s="156" t="s">
        <v>732</v>
      </c>
      <c r="W36" s="157" t="s">
        <v>542</v>
      </c>
      <c r="X36" s="157">
        <v>10</v>
      </c>
      <c r="Y36" s="158">
        <v>1</v>
      </c>
      <c r="AA36" s="156"/>
      <c r="AB36" s="157"/>
      <c r="AC36" s="157"/>
      <c r="AD36" s="157"/>
      <c r="AE36" s="159"/>
      <c r="AM36" s="140">
        <v>2</v>
      </c>
      <c r="AN36" s="140">
        <v>5</v>
      </c>
      <c r="AO36" s="140"/>
    </row>
    <row r="37" spans="1:41" x14ac:dyDescent="0.3">
      <c r="D37" s="156">
        <v>2</v>
      </c>
      <c r="E37" s="157" t="s">
        <v>3</v>
      </c>
      <c r="F37" s="159" t="s">
        <v>70</v>
      </c>
      <c r="G37" s="157">
        <v>100</v>
      </c>
      <c r="H37" s="157">
        <v>5</v>
      </c>
      <c r="I37" s="157">
        <v>10</v>
      </c>
      <c r="J37" s="157">
        <v>0</v>
      </c>
      <c r="K37" s="157">
        <v>0</v>
      </c>
      <c r="L37" s="159">
        <v>100</v>
      </c>
      <c r="M37" s="155"/>
      <c r="N37" s="156" t="s">
        <v>753</v>
      </c>
      <c r="O37" s="157" t="s">
        <v>553</v>
      </c>
      <c r="P37" s="157">
        <v>10</v>
      </c>
      <c r="Q37" s="158">
        <v>1</v>
      </c>
      <c r="R37" s="156" t="s">
        <v>9</v>
      </c>
      <c r="S37" s="157" t="s">
        <v>559</v>
      </c>
      <c r="T37" s="157">
        <v>10</v>
      </c>
      <c r="U37" s="158">
        <v>1</v>
      </c>
      <c r="V37" s="156" t="s">
        <v>732</v>
      </c>
      <c r="W37" s="157" t="s">
        <v>542</v>
      </c>
      <c r="X37" s="157">
        <v>10</v>
      </c>
      <c r="Y37" s="158">
        <v>1</v>
      </c>
      <c r="AA37" s="156"/>
      <c r="AB37" s="157"/>
      <c r="AC37" s="157"/>
      <c r="AD37" s="157"/>
      <c r="AE37" s="159"/>
    </row>
    <row r="38" spans="1:41" x14ac:dyDescent="0.3">
      <c r="D38" s="160">
        <v>5</v>
      </c>
      <c r="E38" s="161" t="s">
        <v>3</v>
      </c>
      <c r="F38" s="138" t="s">
        <v>197</v>
      </c>
      <c r="G38" s="161">
        <v>100</v>
      </c>
      <c r="H38" s="161">
        <v>5</v>
      </c>
      <c r="I38" s="161">
        <v>10</v>
      </c>
      <c r="J38" s="161">
        <v>0</v>
      </c>
      <c r="K38" s="161">
        <v>0</v>
      </c>
      <c r="L38" s="138">
        <v>100</v>
      </c>
      <c r="M38" s="155"/>
      <c r="N38" s="160" t="s">
        <v>753</v>
      </c>
      <c r="O38" s="161" t="s">
        <v>553</v>
      </c>
      <c r="P38" s="161">
        <v>10</v>
      </c>
      <c r="Q38" s="162">
        <v>1</v>
      </c>
      <c r="R38" s="160" t="s">
        <v>9</v>
      </c>
      <c r="S38" s="161" t="s">
        <v>559</v>
      </c>
      <c r="T38" s="161">
        <v>10</v>
      </c>
      <c r="U38" s="162">
        <v>1</v>
      </c>
      <c r="V38" s="160" t="s">
        <v>732</v>
      </c>
      <c r="W38" s="161" t="s">
        <v>542</v>
      </c>
      <c r="X38" s="161">
        <v>10</v>
      </c>
      <c r="Y38" s="162">
        <v>1</v>
      </c>
      <c r="AA38" s="160"/>
      <c r="AB38" s="161"/>
      <c r="AC38" s="161"/>
      <c r="AD38" s="161"/>
      <c r="AE38" s="138"/>
    </row>
    <row r="39" spans="1:41" x14ac:dyDescent="0.3">
      <c r="C39" t="s">
        <v>6310</v>
      </c>
      <c r="D39" s="152">
        <v>5</v>
      </c>
      <c r="E39" s="153" t="s">
        <v>3</v>
      </c>
      <c r="F39" s="154" t="s">
        <v>6090</v>
      </c>
      <c r="G39" s="153">
        <v>100</v>
      </c>
      <c r="H39" s="153">
        <v>1</v>
      </c>
      <c r="I39" s="153">
        <v>1</v>
      </c>
      <c r="J39" s="153">
        <v>0</v>
      </c>
      <c r="K39" s="153">
        <v>0</v>
      </c>
      <c r="L39" s="154">
        <v>50</v>
      </c>
      <c r="M39" s="155"/>
      <c r="N39" s="156"/>
      <c r="O39" s="157"/>
      <c r="P39" s="157"/>
      <c r="Q39" s="158"/>
      <c r="R39" s="156"/>
      <c r="S39" s="157"/>
      <c r="T39" s="157"/>
      <c r="U39" s="158"/>
      <c r="V39" s="156"/>
      <c r="W39" s="157"/>
      <c r="X39" s="157"/>
      <c r="Y39" s="158"/>
      <c r="Z39" s="134"/>
      <c r="AA39" s="156">
        <v>1188</v>
      </c>
      <c r="AB39" s="157">
        <v>145</v>
      </c>
      <c r="AC39" s="157">
        <v>242</v>
      </c>
      <c r="AD39" s="157">
        <v>76</v>
      </c>
      <c r="AE39" s="159">
        <v>115</v>
      </c>
      <c r="AG39" s="160"/>
      <c r="AH39" s="161"/>
      <c r="AI39" s="161"/>
      <c r="AJ39" s="161"/>
      <c r="AK39" s="138"/>
      <c r="AM39" s="140">
        <v>3</v>
      </c>
      <c r="AN39" s="140">
        <v>4</v>
      </c>
      <c r="AO39" s="140"/>
    </row>
    <row r="40" spans="1:41" x14ac:dyDescent="0.3">
      <c r="D40" s="156">
        <v>5</v>
      </c>
      <c r="E40" s="157" t="s">
        <v>2</v>
      </c>
      <c r="F40" s="159" t="s">
        <v>233</v>
      </c>
      <c r="G40" s="157">
        <v>100</v>
      </c>
      <c r="H40" s="157">
        <v>5</v>
      </c>
      <c r="I40" s="157">
        <v>10</v>
      </c>
      <c r="J40" s="157">
        <v>0</v>
      </c>
      <c r="K40" s="157">
        <v>0</v>
      </c>
      <c r="L40" s="159">
        <v>50</v>
      </c>
      <c r="M40" s="155"/>
      <c r="N40" s="156"/>
      <c r="O40" s="157"/>
      <c r="P40" s="157"/>
      <c r="Q40" s="158"/>
      <c r="R40" s="156"/>
      <c r="S40" s="157"/>
      <c r="T40" s="157"/>
      <c r="U40" s="158"/>
      <c r="V40" s="156"/>
      <c r="W40" s="157"/>
      <c r="X40" s="157"/>
      <c r="Y40" s="158"/>
      <c r="Z40" s="134"/>
      <c r="AA40" s="156">
        <v>110</v>
      </c>
      <c r="AB40" s="157">
        <v>56</v>
      </c>
      <c r="AC40" s="157">
        <v>78</v>
      </c>
      <c r="AD40" s="157">
        <v>62</v>
      </c>
      <c r="AE40" s="159">
        <v>52</v>
      </c>
      <c r="AM40" s="140">
        <v>1</v>
      </c>
      <c r="AN40" s="140"/>
      <c r="AO40" s="140"/>
    </row>
    <row r="41" spans="1:41" x14ac:dyDescent="0.3">
      <c r="D41" s="156">
        <v>5</v>
      </c>
      <c r="E41" s="157" t="s">
        <v>2</v>
      </c>
      <c r="F41" s="159" t="s">
        <v>1663</v>
      </c>
      <c r="G41" s="157">
        <v>100</v>
      </c>
      <c r="H41" s="157">
        <v>5</v>
      </c>
      <c r="I41" s="157">
        <v>10</v>
      </c>
      <c r="J41" s="157">
        <v>0</v>
      </c>
      <c r="K41" s="157">
        <v>0</v>
      </c>
      <c r="L41" s="159">
        <v>50</v>
      </c>
      <c r="M41" s="155"/>
      <c r="N41" s="156"/>
      <c r="O41" s="157"/>
      <c r="P41" s="157"/>
      <c r="Q41" s="158"/>
      <c r="R41" s="156"/>
      <c r="S41" s="157"/>
      <c r="T41" s="157"/>
      <c r="U41" s="158"/>
      <c r="V41" s="156"/>
      <c r="W41" s="157"/>
      <c r="X41" s="157"/>
      <c r="Y41" s="158"/>
      <c r="Z41" s="134"/>
      <c r="AA41" s="156">
        <v>110</v>
      </c>
      <c r="AB41" s="157">
        <v>108</v>
      </c>
      <c r="AC41" s="157">
        <v>127</v>
      </c>
      <c r="AD41" s="157">
        <v>102</v>
      </c>
      <c r="AE41" s="159">
        <v>101</v>
      </c>
      <c r="AM41" s="140">
        <v>2</v>
      </c>
      <c r="AN41" s="140"/>
      <c r="AO41" s="140"/>
    </row>
    <row r="42" spans="1:41" x14ac:dyDescent="0.3">
      <c r="D42" s="156">
        <v>5</v>
      </c>
      <c r="E42" s="157" t="s">
        <v>4</v>
      </c>
      <c r="F42" s="159" t="s">
        <v>1662</v>
      </c>
      <c r="G42" s="157">
        <v>100</v>
      </c>
      <c r="H42" s="157">
        <v>5</v>
      </c>
      <c r="I42" s="157">
        <v>10</v>
      </c>
      <c r="J42" s="157">
        <v>0</v>
      </c>
      <c r="K42" s="157">
        <v>0</v>
      </c>
      <c r="L42" s="159">
        <v>50</v>
      </c>
      <c r="M42" s="155"/>
      <c r="N42" s="156"/>
      <c r="O42" s="157"/>
      <c r="P42" s="157"/>
      <c r="Q42" s="158"/>
      <c r="R42" s="156"/>
      <c r="S42" s="157"/>
      <c r="T42" s="157"/>
      <c r="U42" s="158"/>
      <c r="V42" s="156"/>
      <c r="W42" s="157"/>
      <c r="X42" s="157"/>
      <c r="Y42" s="158"/>
      <c r="Z42" s="134"/>
      <c r="AA42" s="156">
        <v>165</v>
      </c>
      <c r="AB42" s="157">
        <v>135</v>
      </c>
      <c r="AC42" s="157">
        <v>179</v>
      </c>
      <c r="AD42" s="157">
        <v>87</v>
      </c>
      <c r="AE42" s="159">
        <v>86</v>
      </c>
    </row>
    <row r="43" spans="1:41" x14ac:dyDescent="0.3">
      <c r="D43" s="160"/>
      <c r="E43" s="161"/>
      <c r="F43" s="138"/>
      <c r="G43" s="161"/>
      <c r="H43" s="161"/>
      <c r="I43" s="161"/>
      <c r="J43" s="161"/>
      <c r="K43" s="161"/>
      <c r="L43" s="138"/>
      <c r="M43" s="155"/>
      <c r="N43" s="160"/>
      <c r="O43" s="161"/>
      <c r="P43" s="161"/>
      <c r="Q43" s="162"/>
      <c r="R43" s="160"/>
      <c r="S43" s="161"/>
      <c r="T43" s="161"/>
      <c r="U43" s="162"/>
      <c r="V43" s="160"/>
      <c r="W43" s="161"/>
      <c r="X43" s="161"/>
      <c r="Y43" s="162"/>
      <c r="Z43" s="134"/>
      <c r="AA43" s="160"/>
      <c r="AB43" s="161"/>
      <c r="AC43" s="161"/>
      <c r="AD43" s="161"/>
      <c r="AE43" s="138"/>
    </row>
    <row r="44" spans="1:41" x14ac:dyDescent="0.3">
      <c r="C44" t="s">
        <v>6325</v>
      </c>
      <c r="D44" s="152">
        <v>5</v>
      </c>
      <c r="E44" s="153" t="s">
        <v>6</v>
      </c>
      <c r="F44" s="154" t="s">
        <v>265</v>
      </c>
      <c r="G44" s="153">
        <v>115</v>
      </c>
      <c r="H44" s="153">
        <v>5</v>
      </c>
      <c r="I44" s="153">
        <v>10</v>
      </c>
      <c r="J44" s="153">
        <v>10</v>
      </c>
      <c r="K44" s="153">
        <v>3</v>
      </c>
      <c r="L44" s="154">
        <v>100</v>
      </c>
      <c r="M44" s="155"/>
      <c r="N44" s="156" t="s">
        <v>712</v>
      </c>
      <c r="O44" s="157" t="s">
        <v>522</v>
      </c>
      <c r="P44" s="157">
        <v>10</v>
      </c>
      <c r="Q44" s="158">
        <v>1</v>
      </c>
      <c r="R44" s="156" t="s">
        <v>701</v>
      </c>
      <c r="S44" s="157" t="s">
        <v>265</v>
      </c>
      <c r="T44" s="157">
        <v>10</v>
      </c>
      <c r="U44" s="158">
        <v>1</v>
      </c>
      <c r="V44" s="156" t="s">
        <v>742</v>
      </c>
      <c r="W44" s="157" t="s">
        <v>571</v>
      </c>
      <c r="X44" s="157">
        <v>10</v>
      </c>
      <c r="Y44" s="158">
        <v>1</v>
      </c>
      <c r="Z44" s="134"/>
      <c r="AA44" s="156"/>
      <c r="AB44" s="157"/>
      <c r="AC44" s="157"/>
      <c r="AD44" s="157"/>
      <c r="AE44" s="159"/>
      <c r="AG44" s="160" t="s">
        <v>655</v>
      </c>
      <c r="AH44" s="161">
        <v>5</v>
      </c>
      <c r="AI44" s="161">
        <v>100</v>
      </c>
      <c r="AJ44" s="161">
        <v>10</v>
      </c>
      <c r="AK44" s="138" t="s">
        <v>697</v>
      </c>
      <c r="AM44" s="140">
        <v>2</v>
      </c>
      <c r="AN44" s="140"/>
      <c r="AO44" s="140"/>
    </row>
    <row r="45" spans="1:41" x14ac:dyDescent="0.3">
      <c r="D45" s="156">
        <v>4</v>
      </c>
      <c r="E45" s="157" t="s">
        <v>6</v>
      </c>
      <c r="F45" s="159" t="s">
        <v>838</v>
      </c>
      <c r="G45" s="157">
        <v>115</v>
      </c>
      <c r="H45" s="157">
        <v>5</v>
      </c>
      <c r="I45" s="157">
        <v>10</v>
      </c>
      <c r="J45" s="157">
        <v>10</v>
      </c>
      <c r="K45" s="157">
        <v>3</v>
      </c>
      <c r="L45" s="159">
        <v>100</v>
      </c>
      <c r="M45" s="155"/>
      <c r="N45" s="156" t="s">
        <v>701</v>
      </c>
      <c r="O45" s="157" t="s">
        <v>838</v>
      </c>
      <c r="P45" s="157">
        <v>10</v>
      </c>
      <c r="Q45" s="158">
        <v>1</v>
      </c>
      <c r="R45" s="156" t="s">
        <v>701</v>
      </c>
      <c r="S45" s="157" t="s">
        <v>119</v>
      </c>
      <c r="T45" s="157">
        <v>10</v>
      </c>
      <c r="U45" s="158">
        <v>1</v>
      </c>
      <c r="V45" s="156" t="s">
        <v>742</v>
      </c>
      <c r="W45" s="157" t="s">
        <v>571</v>
      </c>
      <c r="X45" s="157">
        <v>10</v>
      </c>
      <c r="Y45" s="158">
        <v>1</v>
      </c>
      <c r="Z45" s="134"/>
      <c r="AA45" s="156"/>
      <c r="AB45" s="157"/>
      <c r="AC45" s="157"/>
      <c r="AD45" s="157"/>
      <c r="AE45" s="159"/>
      <c r="AM45" s="140">
        <v>5</v>
      </c>
      <c r="AN45" s="140">
        <v>3</v>
      </c>
      <c r="AO45" s="140"/>
    </row>
    <row r="46" spans="1:41" x14ac:dyDescent="0.3">
      <c r="D46" s="156">
        <v>6</v>
      </c>
      <c r="E46" s="157" t="s">
        <v>3</v>
      </c>
      <c r="F46" s="159" t="s">
        <v>262</v>
      </c>
      <c r="G46" s="157">
        <v>110</v>
      </c>
      <c r="H46" s="157">
        <v>5</v>
      </c>
      <c r="I46" s="157">
        <v>10</v>
      </c>
      <c r="J46" s="157">
        <v>10</v>
      </c>
      <c r="K46" s="157">
        <v>2</v>
      </c>
      <c r="L46" s="159">
        <v>100</v>
      </c>
      <c r="M46" s="155"/>
      <c r="N46" s="156" t="s">
        <v>753</v>
      </c>
      <c r="O46" s="157" t="s">
        <v>553</v>
      </c>
      <c r="P46" s="157">
        <v>10</v>
      </c>
      <c r="Q46" s="158">
        <v>1</v>
      </c>
      <c r="R46" s="156" t="s">
        <v>9</v>
      </c>
      <c r="S46" s="157" t="s">
        <v>559</v>
      </c>
      <c r="T46" s="157">
        <v>10</v>
      </c>
      <c r="U46" s="158">
        <v>1</v>
      </c>
      <c r="V46" s="156" t="s">
        <v>732</v>
      </c>
      <c r="W46" s="157" t="s">
        <v>542</v>
      </c>
      <c r="X46" s="157">
        <v>10</v>
      </c>
      <c r="Y46" s="158">
        <v>1</v>
      </c>
      <c r="Z46" s="134"/>
      <c r="AA46" s="156"/>
      <c r="AB46" s="157"/>
      <c r="AC46" s="157"/>
      <c r="AD46" s="157"/>
      <c r="AE46" s="159"/>
      <c r="AM46" s="140">
        <v>1</v>
      </c>
      <c r="AN46" s="140">
        <v>4</v>
      </c>
      <c r="AO46" s="140"/>
    </row>
    <row r="47" spans="1:41" x14ac:dyDescent="0.3">
      <c r="D47" s="156">
        <v>5</v>
      </c>
      <c r="E47" s="157" t="s">
        <v>3</v>
      </c>
      <c r="F47" s="159" t="s">
        <v>792</v>
      </c>
      <c r="G47" s="157">
        <v>100</v>
      </c>
      <c r="H47" s="157">
        <v>5</v>
      </c>
      <c r="I47" s="157">
        <v>10</v>
      </c>
      <c r="J47" s="157">
        <v>0</v>
      </c>
      <c r="K47" s="157">
        <v>0</v>
      </c>
      <c r="L47" s="159">
        <v>100</v>
      </c>
      <c r="M47" s="155"/>
      <c r="N47" s="156" t="s">
        <v>753</v>
      </c>
      <c r="O47" s="157" t="s">
        <v>553</v>
      </c>
      <c r="P47" s="157">
        <v>10</v>
      </c>
      <c r="Q47" s="158">
        <v>1</v>
      </c>
      <c r="R47" s="156" t="s">
        <v>9</v>
      </c>
      <c r="S47" s="157" t="s">
        <v>559</v>
      </c>
      <c r="T47" s="157">
        <v>10</v>
      </c>
      <c r="U47" s="158">
        <v>1</v>
      </c>
      <c r="V47" s="156" t="s">
        <v>732</v>
      </c>
      <c r="W47" s="157" t="s">
        <v>542</v>
      </c>
      <c r="X47" s="157">
        <v>10</v>
      </c>
      <c r="Y47" s="158">
        <v>1</v>
      </c>
      <c r="Z47" s="134"/>
      <c r="AA47" s="156"/>
      <c r="AB47" s="157"/>
      <c r="AC47" s="157"/>
      <c r="AD47" s="157"/>
      <c r="AE47" s="159"/>
    </row>
    <row r="48" spans="1:41" x14ac:dyDescent="0.3">
      <c r="D48" s="160">
        <v>5</v>
      </c>
      <c r="E48" s="161" t="s">
        <v>3</v>
      </c>
      <c r="F48" s="138" t="s">
        <v>120</v>
      </c>
      <c r="G48" s="161">
        <v>100</v>
      </c>
      <c r="H48" s="161">
        <v>5</v>
      </c>
      <c r="I48" s="161">
        <v>10</v>
      </c>
      <c r="J48" s="161">
        <v>0</v>
      </c>
      <c r="K48" s="161">
        <v>0</v>
      </c>
      <c r="L48" s="138">
        <v>100</v>
      </c>
      <c r="M48" s="155"/>
      <c r="N48" s="160" t="s">
        <v>753</v>
      </c>
      <c r="O48" s="161" t="s">
        <v>553</v>
      </c>
      <c r="P48" s="161">
        <v>10</v>
      </c>
      <c r="Q48" s="162">
        <v>1</v>
      </c>
      <c r="R48" s="160" t="s">
        <v>9</v>
      </c>
      <c r="S48" s="161" t="s">
        <v>559</v>
      </c>
      <c r="T48" s="161">
        <v>10</v>
      </c>
      <c r="U48" s="162">
        <v>1</v>
      </c>
      <c r="V48" s="160" t="s">
        <v>732</v>
      </c>
      <c r="W48" s="161" t="s">
        <v>542</v>
      </c>
      <c r="X48" s="161">
        <v>10</v>
      </c>
      <c r="Y48" s="162">
        <v>1</v>
      </c>
      <c r="Z48" s="134"/>
      <c r="AA48" s="160"/>
      <c r="AB48" s="161"/>
      <c r="AC48" s="161"/>
      <c r="AD48" s="161"/>
      <c r="AE48" s="138"/>
    </row>
    <row r="49" spans="3:41" x14ac:dyDescent="0.3">
      <c r="C49" t="s">
        <v>6326</v>
      </c>
      <c r="D49" s="152">
        <v>5</v>
      </c>
      <c r="E49" s="153" t="s">
        <v>4</v>
      </c>
      <c r="F49" s="154" t="s">
        <v>212</v>
      </c>
      <c r="G49" s="153">
        <v>100</v>
      </c>
      <c r="H49" s="153">
        <v>5</v>
      </c>
      <c r="I49" s="153">
        <v>10</v>
      </c>
      <c r="J49" s="153">
        <v>0</v>
      </c>
      <c r="K49" s="153">
        <v>0</v>
      </c>
      <c r="L49" s="154">
        <v>100</v>
      </c>
      <c r="M49" s="155"/>
      <c r="N49" s="156" t="s">
        <v>712</v>
      </c>
      <c r="O49" s="157" t="s">
        <v>522</v>
      </c>
      <c r="P49" s="157">
        <v>10</v>
      </c>
      <c r="Q49" s="158">
        <v>1</v>
      </c>
      <c r="R49" s="156" t="s">
        <v>720</v>
      </c>
      <c r="S49" s="157" t="s">
        <v>534</v>
      </c>
      <c r="T49" s="157">
        <v>10</v>
      </c>
      <c r="U49" s="158">
        <v>1</v>
      </c>
      <c r="V49" s="156" t="s">
        <v>741</v>
      </c>
      <c r="W49" s="157" t="s">
        <v>555</v>
      </c>
      <c r="X49" s="157">
        <v>10</v>
      </c>
      <c r="Y49" s="158">
        <v>1</v>
      </c>
      <c r="Z49" s="134"/>
      <c r="AA49" s="156"/>
      <c r="AB49" s="157"/>
      <c r="AC49" s="157"/>
      <c r="AD49" s="157"/>
      <c r="AE49" s="159"/>
      <c r="AG49" s="160" t="s">
        <v>655</v>
      </c>
      <c r="AH49" s="161">
        <v>5</v>
      </c>
      <c r="AI49" s="161">
        <v>100</v>
      </c>
      <c r="AJ49" s="161">
        <v>10</v>
      </c>
      <c r="AK49" s="138" t="s">
        <v>697</v>
      </c>
      <c r="AM49" s="140">
        <v>1</v>
      </c>
      <c r="AN49" s="140">
        <v>3</v>
      </c>
      <c r="AO49" s="140"/>
    </row>
    <row r="50" spans="3:41" x14ac:dyDescent="0.3">
      <c r="D50" s="156">
        <v>4</v>
      </c>
      <c r="E50" s="157" t="s">
        <v>4</v>
      </c>
      <c r="F50" s="159" t="s">
        <v>836</v>
      </c>
      <c r="G50" s="157">
        <v>100</v>
      </c>
      <c r="H50" s="157">
        <v>5</v>
      </c>
      <c r="I50" s="157">
        <v>10</v>
      </c>
      <c r="J50" s="157">
        <v>0</v>
      </c>
      <c r="K50" s="157">
        <v>0</v>
      </c>
      <c r="L50" s="159">
        <v>100</v>
      </c>
      <c r="M50" s="155"/>
      <c r="N50" s="156" t="s">
        <v>712</v>
      </c>
      <c r="O50" s="157" t="s">
        <v>522</v>
      </c>
      <c r="P50" s="157">
        <v>10</v>
      </c>
      <c r="Q50" s="158">
        <v>1</v>
      </c>
      <c r="R50" s="156" t="s">
        <v>720</v>
      </c>
      <c r="S50" s="157" t="s">
        <v>534</v>
      </c>
      <c r="T50" s="157">
        <v>10</v>
      </c>
      <c r="U50" s="158">
        <v>1</v>
      </c>
      <c r="V50" s="156" t="s">
        <v>741</v>
      </c>
      <c r="W50" s="157" t="s">
        <v>555</v>
      </c>
      <c r="X50" s="157">
        <v>10</v>
      </c>
      <c r="Y50" s="158">
        <v>1</v>
      </c>
      <c r="Z50" s="134"/>
      <c r="AA50" s="156"/>
      <c r="AB50" s="157"/>
      <c r="AC50" s="157"/>
      <c r="AD50" s="157"/>
      <c r="AE50" s="159"/>
      <c r="AM50" s="140">
        <v>4</v>
      </c>
      <c r="AN50" s="140">
        <v>5</v>
      </c>
      <c r="AO50" s="140"/>
    </row>
    <row r="51" spans="3:41" x14ac:dyDescent="0.3">
      <c r="D51" s="156">
        <v>5</v>
      </c>
      <c r="E51" s="157" t="s">
        <v>4</v>
      </c>
      <c r="F51" s="159" t="s">
        <v>154</v>
      </c>
      <c r="G51" s="157">
        <v>100</v>
      </c>
      <c r="H51" s="157">
        <v>5</v>
      </c>
      <c r="I51" s="157">
        <v>10</v>
      </c>
      <c r="J51" s="157">
        <v>0</v>
      </c>
      <c r="K51" s="157">
        <v>0</v>
      </c>
      <c r="L51" s="159">
        <v>100</v>
      </c>
      <c r="M51" s="155"/>
      <c r="N51" s="156" t="s">
        <v>712</v>
      </c>
      <c r="O51" s="157" t="s">
        <v>522</v>
      </c>
      <c r="P51" s="157">
        <v>10</v>
      </c>
      <c r="Q51" s="158">
        <v>1</v>
      </c>
      <c r="R51" s="156" t="s">
        <v>720</v>
      </c>
      <c r="S51" s="157" t="s">
        <v>534</v>
      </c>
      <c r="T51" s="157">
        <v>10</v>
      </c>
      <c r="U51" s="158">
        <v>1</v>
      </c>
      <c r="V51" s="156" t="s">
        <v>741</v>
      </c>
      <c r="W51" s="157" t="s">
        <v>555</v>
      </c>
      <c r="X51" s="157">
        <v>10</v>
      </c>
      <c r="Y51" s="158">
        <v>1</v>
      </c>
      <c r="Z51" s="134"/>
      <c r="AA51" s="156"/>
      <c r="AB51" s="157"/>
      <c r="AC51" s="157"/>
      <c r="AD51" s="157"/>
      <c r="AE51" s="159"/>
      <c r="AM51" s="140">
        <v>2</v>
      </c>
      <c r="AN51" s="140"/>
      <c r="AO51" s="140"/>
    </row>
    <row r="52" spans="3:41" x14ac:dyDescent="0.3">
      <c r="D52" s="156">
        <v>5</v>
      </c>
      <c r="E52" s="157" t="s">
        <v>3</v>
      </c>
      <c r="F52" s="159" t="s">
        <v>64</v>
      </c>
      <c r="G52" s="157">
        <v>100</v>
      </c>
      <c r="H52" s="157">
        <v>5</v>
      </c>
      <c r="I52" s="157">
        <v>10</v>
      </c>
      <c r="J52" s="157">
        <v>0</v>
      </c>
      <c r="K52" s="157">
        <v>0</v>
      </c>
      <c r="L52" s="159">
        <v>100</v>
      </c>
      <c r="M52" s="155"/>
      <c r="N52" s="156" t="s">
        <v>914</v>
      </c>
      <c r="O52" s="157" t="s">
        <v>923</v>
      </c>
      <c r="P52" s="157">
        <v>10</v>
      </c>
      <c r="Q52" s="158">
        <v>1</v>
      </c>
      <c r="R52" s="156" t="s">
        <v>9</v>
      </c>
      <c r="S52" s="157" t="s">
        <v>559</v>
      </c>
      <c r="T52" s="157">
        <v>10</v>
      </c>
      <c r="U52" s="158">
        <v>1</v>
      </c>
      <c r="V52" s="156" t="s">
        <v>732</v>
      </c>
      <c r="W52" s="157" t="s">
        <v>549</v>
      </c>
      <c r="X52" s="157">
        <v>10</v>
      </c>
      <c r="Y52" s="158">
        <v>1</v>
      </c>
      <c r="Z52" s="134"/>
      <c r="AA52" s="156"/>
      <c r="AB52" s="157"/>
      <c r="AC52" s="157"/>
      <c r="AD52" s="157"/>
      <c r="AE52" s="159"/>
    </row>
    <row r="53" spans="3:41" x14ac:dyDescent="0.3">
      <c r="D53" s="160">
        <v>5</v>
      </c>
      <c r="E53" s="161" t="s">
        <v>3</v>
      </c>
      <c r="F53" s="138" t="s">
        <v>1692</v>
      </c>
      <c r="G53" s="161">
        <v>100</v>
      </c>
      <c r="H53" s="161">
        <v>5</v>
      </c>
      <c r="I53" s="161">
        <v>10</v>
      </c>
      <c r="J53" s="161">
        <v>0</v>
      </c>
      <c r="K53" s="161">
        <v>0</v>
      </c>
      <c r="L53" s="138">
        <v>100</v>
      </c>
      <c r="M53" s="155"/>
      <c r="N53" s="160" t="s">
        <v>701</v>
      </c>
      <c r="O53" s="161" t="s">
        <v>754</v>
      </c>
      <c r="P53" s="161">
        <v>10</v>
      </c>
      <c r="Q53" s="162">
        <v>1</v>
      </c>
      <c r="R53" s="160" t="s">
        <v>701</v>
      </c>
      <c r="S53" s="161" t="s">
        <v>757</v>
      </c>
      <c r="T53" s="161">
        <v>10</v>
      </c>
      <c r="U53" s="162">
        <v>1</v>
      </c>
      <c r="V53" s="160" t="s">
        <v>701</v>
      </c>
      <c r="W53" s="161" t="s">
        <v>760</v>
      </c>
      <c r="X53" s="161">
        <v>10</v>
      </c>
      <c r="Y53" s="162">
        <v>1</v>
      </c>
      <c r="Z53" s="134"/>
      <c r="AA53" s="160"/>
      <c r="AB53" s="161"/>
      <c r="AC53" s="161"/>
      <c r="AD53" s="161"/>
      <c r="AE53" s="138"/>
    </row>
    <row r="54" spans="3:41" x14ac:dyDescent="0.3">
      <c r="C54" t="s">
        <v>6327</v>
      </c>
      <c r="D54" s="152">
        <v>5</v>
      </c>
      <c r="E54" s="153" t="s">
        <v>4</v>
      </c>
      <c r="F54" s="154" t="s">
        <v>212</v>
      </c>
      <c r="G54" s="153">
        <v>100</v>
      </c>
      <c r="H54" s="153">
        <v>5</v>
      </c>
      <c r="I54" s="153">
        <v>10</v>
      </c>
      <c r="J54" s="153">
        <v>0</v>
      </c>
      <c r="K54" s="153">
        <v>0</v>
      </c>
      <c r="L54" s="154">
        <v>100</v>
      </c>
      <c r="M54" s="155"/>
      <c r="N54" s="156" t="s">
        <v>712</v>
      </c>
      <c r="O54" s="157" t="s">
        <v>522</v>
      </c>
      <c r="P54" s="157">
        <v>10</v>
      </c>
      <c r="Q54" s="158">
        <v>1</v>
      </c>
      <c r="R54" s="156" t="s">
        <v>720</v>
      </c>
      <c r="S54" s="157" t="s">
        <v>534</v>
      </c>
      <c r="T54" s="157">
        <v>10</v>
      </c>
      <c r="U54" s="158">
        <v>1</v>
      </c>
      <c r="V54" s="156" t="s">
        <v>741</v>
      </c>
      <c r="W54" s="157" t="s">
        <v>555</v>
      </c>
      <c r="X54" s="157">
        <v>10</v>
      </c>
      <c r="Y54" s="158">
        <v>1</v>
      </c>
      <c r="Z54" s="134"/>
      <c r="AA54" s="156"/>
      <c r="AB54" s="157"/>
      <c r="AC54" s="157"/>
      <c r="AD54" s="157"/>
      <c r="AE54" s="159"/>
      <c r="AG54" s="160" t="s">
        <v>655</v>
      </c>
      <c r="AH54" s="161">
        <v>5</v>
      </c>
      <c r="AI54" s="161">
        <v>100</v>
      </c>
      <c r="AJ54" s="161">
        <v>10</v>
      </c>
      <c r="AK54" s="138" t="s">
        <v>697</v>
      </c>
      <c r="AM54" s="140">
        <v>1</v>
      </c>
      <c r="AN54" s="140"/>
      <c r="AO54" s="140"/>
    </row>
    <row r="55" spans="3:41" x14ac:dyDescent="0.3">
      <c r="D55" s="156">
        <v>4</v>
      </c>
      <c r="E55" s="157" t="s">
        <v>4</v>
      </c>
      <c r="F55" s="159" t="s">
        <v>836</v>
      </c>
      <c r="G55" s="157">
        <v>100</v>
      </c>
      <c r="H55" s="157">
        <v>5</v>
      </c>
      <c r="I55" s="157">
        <v>10</v>
      </c>
      <c r="J55" s="157">
        <v>0</v>
      </c>
      <c r="K55" s="157">
        <v>0</v>
      </c>
      <c r="L55" s="159">
        <v>100</v>
      </c>
      <c r="M55" s="155"/>
      <c r="N55" s="156" t="s">
        <v>712</v>
      </c>
      <c r="O55" s="157" t="s">
        <v>522</v>
      </c>
      <c r="P55" s="157">
        <v>10</v>
      </c>
      <c r="Q55" s="158">
        <v>1</v>
      </c>
      <c r="R55" s="156" t="s">
        <v>720</v>
      </c>
      <c r="S55" s="157" t="s">
        <v>534</v>
      </c>
      <c r="T55" s="157">
        <v>10</v>
      </c>
      <c r="U55" s="158">
        <v>1</v>
      </c>
      <c r="V55" s="156" t="s">
        <v>741</v>
      </c>
      <c r="W55" s="157" t="s">
        <v>555</v>
      </c>
      <c r="X55" s="157">
        <v>10</v>
      </c>
      <c r="Y55" s="158">
        <v>1</v>
      </c>
      <c r="Z55" s="134"/>
      <c r="AA55" s="156"/>
      <c r="AB55" s="157"/>
      <c r="AC55" s="157"/>
      <c r="AD55" s="157"/>
      <c r="AE55" s="159"/>
      <c r="AM55" s="140">
        <v>4</v>
      </c>
      <c r="AN55" s="140">
        <v>3</v>
      </c>
      <c r="AO55" s="140"/>
    </row>
    <row r="56" spans="3:41" x14ac:dyDescent="0.3">
      <c r="D56" s="156">
        <v>5</v>
      </c>
      <c r="E56" s="157" t="s">
        <v>3</v>
      </c>
      <c r="F56" s="159" t="s">
        <v>1692</v>
      </c>
      <c r="G56" s="157">
        <v>100</v>
      </c>
      <c r="H56" s="157">
        <v>5</v>
      </c>
      <c r="I56" s="157">
        <v>10</v>
      </c>
      <c r="J56" s="157">
        <v>0</v>
      </c>
      <c r="K56" s="157">
        <v>0</v>
      </c>
      <c r="L56" s="159">
        <v>100</v>
      </c>
      <c r="M56" s="155"/>
      <c r="N56" s="156" t="s">
        <v>701</v>
      </c>
      <c r="O56" s="157" t="s">
        <v>754</v>
      </c>
      <c r="P56" s="157">
        <v>10</v>
      </c>
      <c r="Q56" s="158">
        <v>1</v>
      </c>
      <c r="R56" s="156" t="s">
        <v>701</v>
      </c>
      <c r="S56" s="157" t="s">
        <v>757</v>
      </c>
      <c r="T56" s="157">
        <v>10</v>
      </c>
      <c r="U56" s="158">
        <v>1</v>
      </c>
      <c r="V56" s="156" t="s">
        <v>701</v>
      </c>
      <c r="W56" s="157" t="s">
        <v>760</v>
      </c>
      <c r="X56" s="157">
        <v>10</v>
      </c>
      <c r="Y56" s="158">
        <v>1</v>
      </c>
      <c r="Z56" s="134"/>
      <c r="AA56" s="156"/>
      <c r="AB56" s="157"/>
      <c r="AC56" s="157"/>
      <c r="AD56" s="157"/>
      <c r="AE56" s="159"/>
      <c r="AM56" s="140">
        <v>2</v>
      </c>
      <c r="AN56" s="140">
        <v>5</v>
      </c>
      <c r="AO56" s="140"/>
    </row>
    <row r="57" spans="3:41" x14ac:dyDescent="0.3">
      <c r="D57" s="156">
        <v>5</v>
      </c>
      <c r="E57" s="157" t="s">
        <v>3</v>
      </c>
      <c r="F57" s="159" t="s">
        <v>64</v>
      </c>
      <c r="G57" s="157">
        <v>100</v>
      </c>
      <c r="H57" s="157">
        <v>5</v>
      </c>
      <c r="I57" s="157">
        <v>10</v>
      </c>
      <c r="J57" s="157">
        <v>0</v>
      </c>
      <c r="K57" s="157">
        <v>0</v>
      </c>
      <c r="L57" s="159">
        <v>100</v>
      </c>
      <c r="M57" s="155"/>
      <c r="N57" s="156" t="s">
        <v>914</v>
      </c>
      <c r="O57" s="157" t="s">
        <v>923</v>
      </c>
      <c r="P57" s="157">
        <v>10</v>
      </c>
      <c r="Q57" s="158">
        <v>1</v>
      </c>
      <c r="R57" s="156" t="s">
        <v>9</v>
      </c>
      <c r="S57" s="157" t="s">
        <v>559</v>
      </c>
      <c r="T57" s="157">
        <v>10</v>
      </c>
      <c r="U57" s="158">
        <v>1</v>
      </c>
      <c r="V57" s="156" t="s">
        <v>732</v>
      </c>
      <c r="W57" s="157" t="s">
        <v>549</v>
      </c>
      <c r="X57" s="157">
        <v>10</v>
      </c>
      <c r="Y57" s="158">
        <v>1</v>
      </c>
      <c r="Z57" s="134"/>
      <c r="AA57" s="156"/>
      <c r="AB57" s="157"/>
      <c r="AC57" s="157"/>
      <c r="AD57" s="157"/>
      <c r="AE57" s="159"/>
    </row>
    <row r="58" spans="3:41" x14ac:dyDescent="0.3">
      <c r="D58" s="160">
        <v>5</v>
      </c>
      <c r="E58" s="161" t="s">
        <v>3</v>
      </c>
      <c r="F58" s="138" t="s">
        <v>197</v>
      </c>
      <c r="G58" s="161">
        <v>100</v>
      </c>
      <c r="H58" s="161">
        <v>5</v>
      </c>
      <c r="I58" s="161">
        <v>10</v>
      </c>
      <c r="J58" s="161">
        <v>0</v>
      </c>
      <c r="K58" s="161">
        <v>0</v>
      </c>
      <c r="L58" s="138">
        <v>100</v>
      </c>
      <c r="M58" s="155"/>
      <c r="N58" s="160" t="s">
        <v>753</v>
      </c>
      <c r="O58" s="161" t="s">
        <v>553</v>
      </c>
      <c r="P58" s="161">
        <v>10</v>
      </c>
      <c r="Q58" s="162">
        <v>1</v>
      </c>
      <c r="R58" s="160" t="s">
        <v>9</v>
      </c>
      <c r="S58" s="161" t="s">
        <v>559</v>
      </c>
      <c r="T58" s="161">
        <v>10</v>
      </c>
      <c r="U58" s="162">
        <v>1</v>
      </c>
      <c r="V58" s="160" t="s">
        <v>732</v>
      </c>
      <c r="W58" s="161" t="s">
        <v>542</v>
      </c>
      <c r="X58" s="161">
        <v>10</v>
      </c>
      <c r="Y58" s="162">
        <v>1</v>
      </c>
      <c r="Z58" s="134"/>
      <c r="AA58" s="160"/>
      <c r="AB58" s="161"/>
      <c r="AC58" s="161"/>
      <c r="AD58" s="161"/>
      <c r="AE58" s="138"/>
    </row>
    <row r="59" spans="3:41" x14ac:dyDescent="0.3">
      <c r="C59" t="s">
        <v>6328</v>
      </c>
      <c r="D59" s="152">
        <v>5</v>
      </c>
      <c r="E59" s="153" t="s">
        <v>3</v>
      </c>
      <c r="F59" s="154" t="s">
        <v>1686</v>
      </c>
      <c r="G59" s="153">
        <v>100</v>
      </c>
      <c r="H59" s="153">
        <v>5</v>
      </c>
      <c r="I59" s="153">
        <v>10</v>
      </c>
      <c r="J59" s="153">
        <v>0</v>
      </c>
      <c r="K59" s="153">
        <v>0</v>
      </c>
      <c r="L59" s="154">
        <v>100</v>
      </c>
      <c r="M59" s="155"/>
      <c r="N59" s="156" t="s">
        <v>914</v>
      </c>
      <c r="O59" s="157" t="s">
        <v>923</v>
      </c>
      <c r="P59" s="157">
        <v>10</v>
      </c>
      <c r="Q59" s="158">
        <v>1</v>
      </c>
      <c r="R59" s="156" t="s">
        <v>9</v>
      </c>
      <c r="S59" s="157" t="s">
        <v>559</v>
      </c>
      <c r="T59" s="157">
        <v>10</v>
      </c>
      <c r="U59" s="158">
        <v>1</v>
      </c>
      <c r="V59" s="156" t="s">
        <v>732</v>
      </c>
      <c r="W59" s="157" t="s">
        <v>549</v>
      </c>
      <c r="X59" s="157">
        <v>10</v>
      </c>
      <c r="Y59" s="158">
        <v>1</v>
      </c>
      <c r="Z59" s="134"/>
      <c r="AA59" s="156"/>
      <c r="AB59" s="157"/>
      <c r="AC59" s="157"/>
      <c r="AD59" s="157"/>
      <c r="AE59" s="159"/>
      <c r="AG59" s="160" t="s">
        <v>655</v>
      </c>
      <c r="AH59" s="161">
        <v>5</v>
      </c>
      <c r="AI59" s="161">
        <v>100</v>
      </c>
      <c r="AJ59" s="161">
        <v>10</v>
      </c>
      <c r="AK59" s="138" t="s">
        <v>697</v>
      </c>
      <c r="AM59" s="140">
        <v>1</v>
      </c>
      <c r="AN59" s="140">
        <v>4</v>
      </c>
      <c r="AO59" s="140"/>
    </row>
    <row r="60" spans="3:41" x14ac:dyDescent="0.3">
      <c r="D60" s="156">
        <v>5</v>
      </c>
      <c r="E60" s="157" t="s">
        <v>3</v>
      </c>
      <c r="F60" s="159" t="s">
        <v>64</v>
      </c>
      <c r="G60" s="157">
        <v>100</v>
      </c>
      <c r="H60" s="157">
        <v>5</v>
      </c>
      <c r="I60" s="157">
        <v>10</v>
      </c>
      <c r="J60" s="157">
        <v>0</v>
      </c>
      <c r="K60" s="157">
        <v>0</v>
      </c>
      <c r="L60" s="159">
        <v>100</v>
      </c>
      <c r="M60" s="155"/>
      <c r="N60" s="156" t="s">
        <v>914</v>
      </c>
      <c r="O60" s="157" t="s">
        <v>923</v>
      </c>
      <c r="P60" s="157">
        <v>10</v>
      </c>
      <c r="Q60" s="158">
        <v>1</v>
      </c>
      <c r="R60" s="156" t="s">
        <v>9</v>
      </c>
      <c r="S60" s="157" t="s">
        <v>559</v>
      </c>
      <c r="T60" s="157">
        <v>10</v>
      </c>
      <c r="U60" s="158">
        <v>1</v>
      </c>
      <c r="V60" s="156" t="s">
        <v>732</v>
      </c>
      <c r="W60" s="157" t="s">
        <v>549</v>
      </c>
      <c r="X60" s="157">
        <v>10</v>
      </c>
      <c r="Y60" s="158">
        <v>1</v>
      </c>
      <c r="Z60" s="134"/>
      <c r="AA60" s="156"/>
      <c r="AB60" s="157"/>
      <c r="AC60" s="157"/>
      <c r="AD60" s="157"/>
      <c r="AE60" s="159"/>
      <c r="AM60" s="140">
        <v>2</v>
      </c>
      <c r="AN60" s="140">
        <v>3</v>
      </c>
      <c r="AO60" s="140"/>
    </row>
    <row r="61" spans="3:41" x14ac:dyDescent="0.3">
      <c r="D61" s="156">
        <v>6</v>
      </c>
      <c r="E61" s="157" t="s">
        <v>3</v>
      </c>
      <c r="F61" s="159" t="s">
        <v>262</v>
      </c>
      <c r="G61" s="157">
        <v>110</v>
      </c>
      <c r="H61" s="157">
        <v>5</v>
      </c>
      <c r="I61" s="157">
        <v>10</v>
      </c>
      <c r="J61" s="157">
        <v>10</v>
      </c>
      <c r="K61" s="157">
        <v>2</v>
      </c>
      <c r="L61" s="159">
        <v>100</v>
      </c>
      <c r="M61" s="155"/>
      <c r="N61" s="156" t="s">
        <v>753</v>
      </c>
      <c r="O61" s="157" t="s">
        <v>553</v>
      </c>
      <c r="P61" s="157">
        <v>10</v>
      </c>
      <c r="Q61" s="158">
        <v>1</v>
      </c>
      <c r="R61" s="156" t="s">
        <v>9</v>
      </c>
      <c r="S61" s="157" t="s">
        <v>559</v>
      </c>
      <c r="T61" s="157">
        <v>10</v>
      </c>
      <c r="U61" s="158">
        <v>1</v>
      </c>
      <c r="V61" s="156" t="s">
        <v>732</v>
      </c>
      <c r="W61" s="157" t="s">
        <v>542</v>
      </c>
      <c r="X61" s="157">
        <v>10</v>
      </c>
      <c r="Y61" s="158">
        <v>1</v>
      </c>
      <c r="Z61" s="134"/>
      <c r="AA61" s="156"/>
      <c r="AB61" s="157"/>
      <c r="AC61" s="157"/>
      <c r="AD61" s="157"/>
      <c r="AE61" s="159"/>
      <c r="AM61" s="140"/>
      <c r="AN61" s="140">
        <v>5</v>
      </c>
      <c r="AO61" s="140"/>
    </row>
    <row r="62" spans="3:41" x14ac:dyDescent="0.3">
      <c r="D62" s="156">
        <v>5</v>
      </c>
      <c r="E62" s="157" t="s">
        <v>3</v>
      </c>
      <c r="F62" s="159" t="s">
        <v>186</v>
      </c>
      <c r="G62" s="157">
        <v>100</v>
      </c>
      <c r="H62" s="157">
        <v>5</v>
      </c>
      <c r="I62" s="157">
        <v>10</v>
      </c>
      <c r="J62" s="157">
        <v>0</v>
      </c>
      <c r="K62" s="157">
        <v>0</v>
      </c>
      <c r="L62" s="159">
        <v>100</v>
      </c>
      <c r="M62" s="155"/>
      <c r="N62" s="156" t="s">
        <v>753</v>
      </c>
      <c r="O62" s="157" t="s">
        <v>553</v>
      </c>
      <c r="P62" s="157">
        <v>10</v>
      </c>
      <c r="Q62" s="158">
        <v>1</v>
      </c>
      <c r="R62" s="156" t="s">
        <v>9</v>
      </c>
      <c r="S62" s="157" t="s">
        <v>559</v>
      </c>
      <c r="T62" s="157">
        <v>10</v>
      </c>
      <c r="U62" s="158">
        <v>1</v>
      </c>
      <c r="V62" s="156" t="s">
        <v>732</v>
      </c>
      <c r="W62" s="157" t="s">
        <v>542</v>
      </c>
      <c r="X62" s="157">
        <v>10</v>
      </c>
      <c r="Y62" s="158">
        <v>1</v>
      </c>
      <c r="Z62" s="134"/>
      <c r="AA62" s="156"/>
      <c r="AB62" s="157"/>
      <c r="AC62" s="157"/>
      <c r="AD62" s="157"/>
      <c r="AE62" s="159"/>
    </row>
    <row r="63" spans="3:41" x14ac:dyDescent="0.3">
      <c r="D63" s="160">
        <v>5</v>
      </c>
      <c r="E63" s="161" t="s">
        <v>3</v>
      </c>
      <c r="F63" s="138" t="s">
        <v>197</v>
      </c>
      <c r="G63" s="161">
        <v>100</v>
      </c>
      <c r="H63" s="161">
        <v>5</v>
      </c>
      <c r="I63" s="161">
        <v>10</v>
      </c>
      <c r="J63" s="161">
        <v>0</v>
      </c>
      <c r="K63" s="161">
        <v>0</v>
      </c>
      <c r="L63" s="138">
        <v>100</v>
      </c>
      <c r="M63" s="155"/>
      <c r="N63" s="160" t="s">
        <v>753</v>
      </c>
      <c r="O63" s="161" t="s">
        <v>553</v>
      </c>
      <c r="P63" s="161">
        <v>10</v>
      </c>
      <c r="Q63" s="162">
        <v>1</v>
      </c>
      <c r="R63" s="160" t="s">
        <v>9</v>
      </c>
      <c r="S63" s="161" t="s">
        <v>559</v>
      </c>
      <c r="T63" s="161">
        <v>10</v>
      </c>
      <c r="U63" s="162">
        <v>1</v>
      </c>
      <c r="V63" s="160" t="s">
        <v>732</v>
      </c>
      <c r="W63" s="161" t="s">
        <v>542</v>
      </c>
      <c r="X63" s="161">
        <v>10</v>
      </c>
      <c r="Y63" s="162">
        <v>1</v>
      </c>
      <c r="Z63" s="134"/>
      <c r="AA63" s="160"/>
      <c r="AB63" s="161"/>
      <c r="AC63" s="161"/>
      <c r="AD63" s="161"/>
      <c r="AE63" s="138"/>
    </row>
    <row r="64" spans="3:41" x14ac:dyDescent="0.3">
      <c r="C64" t="s">
        <v>6329</v>
      </c>
      <c r="D64" s="152">
        <v>5</v>
      </c>
      <c r="E64" s="153" t="s">
        <v>2</v>
      </c>
      <c r="F64" s="154" t="s">
        <v>255</v>
      </c>
      <c r="G64" s="153">
        <v>115</v>
      </c>
      <c r="H64" s="153">
        <v>5</v>
      </c>
      <c r="I64" s="153">
        <v>10</v>
      </c>
      <c r="J64" s="153">
        <v>10</v>
      </c>
      <c r="K64" s="153">
        <v>3</v>
      </c>
      <c r="L64" s="154">
        <v>100</v>
      </c>
      <c r="M64" s="155"/>
      <c r="N64" s="156" t="s">
        <v>712</v>
      </c>
      <c r="O64" s="157" t="s">
        <v>522</v>
      </c>
      <c r="P64" s="157">
        <v>10</v>
      </c>
      <c r="Q64" s="158">
        <v>1</v>
      </c>
      <c r="R64" s="156" t="s">
        <v>727</v>
      </c>
      <c r="S64" s="157" t="s">
        <v>538</v>
      </c>
      <c r="T64" s="157">
        <v>10</v>
      </c>
      <c r="U64" s="158">
        <v>1</v>
      </c>
      <c r="V64" s="156" t="s">
        <v>701</v>
      </c>
      <c r="W64" s="157" t="s">
        <v>255</v>
      </c>
      <c r="X64" s="157">
        <v>10</v>
      </c>
      <c r="Y64" s="158">
        <v>1</v>
      </c>
      <c r="Z64" s="134"/>
      <c r="AA64" s="156"/>
      <c r="AB64" s="157"/>
      <c r="AC64" s="157"/>
      <c r="AD64" s="157"/>
      <c r="AE64" s="159"/>
      <c r="AG64" s="160" t="s">
        <v>655</v>
      </c>
      <c r="AH64" s="161">
        <v>5</v>
      </c>
      <c r="AI64" s="161">
        <v>100</v>
      </c>
      <c r="AJ64" s="161">
        <v>10</v>
      </c>
      <c r="AK64" s="138" t="s">
        <v>697</v>
      </c>
      <c r="AM64" s="140">
        <v>2</v>
      </c>
      <c r="AN64" s="140"/>
      <c r="AO64" s="140"/>
    </row>
    <row r="65" spans="3:41" x14ac:dyDescent="0.3">
      <c r="D65" s="156">
        <v>6</v>
      </c>
      <c r="E65" s="157" t="s">
        <v>2</v>
      </c>
      <c r="F65" s="159" t="s">
        <v>1447</v>
      </c>
      <c r="G65" s="157">
        <v>115</v>
      </c>
      <c r="H65" s="157">
        <v>5</v>
      </c>
      <c r="I65" s="157">
        <v>10</v>
      </c>
      <c r="J65" s="157">
        <v>10</v>
      </c>
      <c r="K65" s="157">
        <v>3</v>
      </c>
      <c r="L65" s="159">
        <v>100</v>
      </c>
      <c r="M65" s="155"/>
      <c r="N65" s="156" t="s">
        <v>712</v>
      </c>
      <c r="O65" s="157" t="s">
        <v>522</v>
      </c>
      <c r="P65" s="157">
        <v>10</v>
      </c>
      <c r="Q65" s="158">
        <v>1</v>
      </c>
      <c r="R65" s="156" t="s">
        <v>727</v>
      </c>
      <c r="S65" s="157" t="s">
        <v>538</v>
      </c>
      <c r="T65" s="157">
        <v>10</v>
      </c>
      <c r="U65" s="158">
        <v>1</v>
      </c>
      <c r="V65" s="156" t="s">
        <v>701</v>
      </c>
      <c r="W65" s="157" t="s">
        <v>1447</v>
      </c>
      <c r="X65" s="157">
        <v>10</v>
      </c>
      <c r="Y65" s="158">
        <v>1</v>
      </c>
      <c r="Z65" s="134"/>
      <c r="AA65" s="156"/>
      <c r="AB65" s="157"/>
      <c r="AC65" s="157"/>
      <c r="AD65" s="157"/>
      <c r="AE65" s="159"/>
      <c r="AM65" s="140">
        <v>1</v>
      </c>
      <c r="AN65" s="140">
        <v>4</v>
      </c>
      <c r="AO65" s="140"/>
    </row>
    <row r="66" spans="3:41" x14ac:dyDescent="0.3">
      <c r="D66" s="156">
        <v>6</v>
      </c>
      <c r="E66" s="157" t="s">
        <v>2</v>
      </c>
      <c r="F66" s="159" t="s">
        <v>258</v>
      </c>
      <c r="G66" s="157">
        <v>115</v>
      </c>
      <c r="H66" s="157">
        <v>5</v>
      </c>
      <c r="I66" s="157">
        <v>10</v>
      </c>
      <c r="J66" s="157">
        <v>10</v>
      </c>
      <c r="K66" s="157">
        <v>3</v>
      </c>
      <c r="L66" s="159">
        <v>100</v>
      </c>
      <c r="M66" s="155"/>
      <c r="N66" s="156" t="s">
        <v>701</v>
      </c>
      <c r="O66" s="157" t="s">
        <v>223</v>
      </c>
      <c r="P66" s="157">
        <v>10</v>
      </c>
      <c r="Q66" s="158">
        <v>1</v>
      </c>
      <c r="R66" s="156" t="s">
        <v>727</v>
      </c>
      <c r="S66" s="157" t="s">
        <v>538</v>
      </c>
      <c r="T66" s="157">
        <v>10</v>
      </c>
      <c r="U66" s="158">
        <v>1</v>
      </c>
      <c r="V66" s="156" t="s">
        <v>701</v>
      </c>
      <c r="W66" s="157" t="s">
        <v>258</v>
      </c>
      <c r="X66" s="157">
        <v>10</v>
      </c>
      <c r="Y66" s="158">
        <v>1</v>
      </c>
      <c r="Z66" s="134"/>
      <c r="AA66" s="156"/>
      <c r="AB66" s="157"/>
      <c r="AC66" s="157"/>
      <c r="AD66" s="157"/>
      <c r="AE66" s="159"/>
      <c r="AM66" s="140">
        <v>3</v>
      </c>
      <c r="AN66" s="140">
        <v>5</v>
      </c>
      <c r="AO66" s="140"/>
    </row>
    <row r="67" spans="3:41" x14ac:dyDescent="0.3">
      <c r="D67" s="156">
        <v>5</v>
      </c>
      <c r="E67" s="157" t="s">
        <v>7</v>
      </c>
      <c r="F67" s="159" t="s">
        <v>264</v>
      </c>
      <c r="G67" s="157">
        <v>110</v>
      </c>
      <c r="H67" s="157">
        <v>5</v>
      </c>
      <c r="I67" s="157">
        <v>10</v>
      </c>
      <c r="J67" s="157">
        <v>10</v>
      </c>
      <c r="K67" s="157">
        <v>2</v>
      </c>
      <c r="L67" s="159">
        <v>100</v>
      </c>
      <c r="M67" s="155"/>
      <c r="N67" s="156" t="s">
        <v>701</v>
      </c>
      <c r="O67" s="157" t="s">
        <v>264</v>
      </c>
      <c r="P67" s="157">
        <v>10</v>
      </c>
      <c r="Q67" s="158">
        <v>1</v>
      </c>
      <c r="R67" s="156" t="s">
        <v>9</v>
      </c>
      <c r="S67" s="157" t="s">
        <v>559</v>
      </c>
      <c r="T67" s="157">
        <v>10</v>
      </c>
      <c r="U67" s="158">
        <v>1</v>
      </c>
      <c r="V67" s="156" t="s">
        <v>701</v>
      </c>
      <c r="W67" s="157" t="s">
        <v>730</v>
      </c>
      <c r="X67" s="157">
        <v>10</v>
      </c>
      <c r="Y67" s="158">
        <v>1</v>
      </c>
      <c r="Z67" s="134"/>
      <c r="AA67" s="156"/>
      <c r="AB67" s="157"/>
      <c r="AC67" s="157"/>
      <c r="AD67" s="157"/>
      <c r="AE67" s="159"/>
    </row>
    <row r="68" spans="3:41" x14ac:dyDescent="0.3">
      <c r="D68" s="160">
        <v>5</v>
      </c>
      <c r="E68" s="161" t="s">
        <v>3</v>
      </c>
      <c r="F68" s="138" t="s">
        <v>197</v>
      </c>
      <c r="G68" s="161">
        <v>100</v>
      </c>
      <c r="H68" s="161">
        <v>5</v>
      </c>
      <c r="I68" s="161">
        <v>10</v>
      </c>
      <c r="J68" s="161">
        <v>0</v>
      </c>
      <c r="K68" s="161">
        <v>0</v>
      </c>
      <c r="L68" s="138">
        <v>100</v>
      </c>
      <c r="M68" s="155"/>
      <c r="N68" s="160" t="s">
        <v>753</v>
      </c>
      <c r="O68" s="161" t="s">
        <v>553</v>
      </c>
      <c r="P68" s="161">
        <v>10</v>
      </c>
      <c r="Q68" s="162">
        <v>1</v>
      </c>
      <c r="R68" s="160" t="s">
        <v>9</v>
      </c>
      <c r="S68" s="161" t="s">
        <v>559</v>
      </c>
      <c r="T68" s="161">
        <v>10</v>
      </c>
      <c r="U68" s="162">
        <v>1</v>
      </c>
      <c r="V68" s="160" t="s">
        <v>732</v>
      </c>
      <c r="W68" s="161" t="s">
        <v>542</v>
      </c>
      <c r="X68" s="161">
        <v>10</v>
      </c>
      <c r="Y68" s="162">
        <v>1</v>
      </c>
      <c r="Z68" s="134"/>
      <c r="AA68" s="160"/>
      <c r="AB68" s="161"/>
      <c r="AC68" s="161"/>
      <c r="AD68" s="161"/>
      <c r="AE68" s="138"/>
    </row>
    <row r="69" spans="3:41" x14ac:dyDescent="0.3">
      <c r="C69" t="s">
        <v>6330</v>
      </c>
      <c r="D69" s="152">
        <v>5</v>
      </c>
      <c r="E69" s="153" t="s">
        <v>6</v>
      </c>
      <c r="F69" s="154" t="s">
        <v>96</v>
      </c>
      <c r="G69" s="153">
        <v>100</v>
      </c>
      <c r="H69" s="153">
        <v>5</v>
      </c>
      <c r="I69" s="153">
        <v>10</v>
      </c>
      <c r="J69" s="153">
        <v>0</v>
      </c>
      <c r="K69" s="153">
        <v>0</v>
      </c>
      <c r="L69" s="154">
        <v>100</v>
      </c>
      <c r="M69" s="155"/>
      <c r="N69" s="156" t="s">
        <v>701</v>
      </c>
      <c r="O69" s="157" t="s">
        <v>96</v>
      </c>
      <c r="P69" s="157">
        <v>10</v>
      </c>
      <c r="Q69" s="158">
        <v>1</v>
      </c>
      <c r="R69" s="156" t="s">
        <v>720</v>
      </c>
      <c r="S69" s="157" t="s">
        <v>534</v>
      </c>
      <c r="T69" s="157">
        <v>10</v>
      </c>
      <c r="U69" s="158">
        <v>1</v>
      </c>
      <c r="V69" s="156" t="s">
        <v>742</v>
      </c>
      <c r="W69" s="157" t="s">
        <v>571</v>
      </c>
      <c r="X69" s="157">
        <v>10</v>
      </c>
      <c r="Y69" s="158">
        <v>1</v>
      </c>
      <c r="Z69" s="134"/>
      <c r="AA69" s="156"/>
      <c r="AB69" s="157"/>
      <c r="AC69" s="157"/>
      <c r="AD69" s="157"/>
      <c r="AE69" s="159"/>
      <c r="AG69" s="160" t="s">
        <v>655</v>
      </c>
      <c r="AH69" s="161">
        <v>5</v>
      </c>
      <c r="AI69" s="161">
        <v>100</v>
      </c>
      <c r="AJ69" s="161">
        <v>10</v>
      </c>
      <c r="AK69" s="138" t="s">
        <v>697</v>
      </c>
      <c r="AM69" s="140">
        <v>1</v>
      </c>
      <c r="AN69" s="140"/>
      <c r="AO69" s="140"/>
    </row>
    <row r="70" spans="3:41" x14ac:dyDescent="0.3">
      <c r="D70" s="156">
        <v>5</v>
      </c>
      <c r="E70" s="157" t="s">
        <v>6</v>
      </c>
      <c r="F70" s="159" t="s">
        <v>207</v>
      </c>
      <c r="G70" s="157">
        <v>100</v>
      </c>
      <c r="H70" s="157">
        <v>5</v>
      </c>
      <c r="I70" s="157">
        <v>10</v>
      </c>
      <c r="J70" s="157">
        <v>0</v>
      </c>
      <c r="K70" s="157">
        <v>0</v>
      </c>
      <c r="L70" s="159">
        <v>100</v>
      </c>
      <c r="M70" s="155"/>
      <c r="N70" s="156" t="s">
        <v>712</v>
      </c>
      <c r="O70" s="157" t="s">
        <v>522</v>
      </c>
      <c r="P70" s="157">
        <v>10</v>
      </c>
      <c r="Q70" s="158">
        <v>1</v>
      </c>
      <c r="R70" s="156" t="s">
        <v>720</v>
      </c>
      <c r="S70" s="157" t="s">
        <v>534</v>
      </c>
      <c r="T70" s="157">
        <v>10</v>
      </c>
      <c r="U70" s="158">
        <v>1</v>
      </c>
      <c r="V70" s="156" t="s">
        <v>742</v>
      </c>
      <c r="W70" s="157" t="s">
        <v>571</v>
      </c>
      <c r="X70" s="157">
        <v>10</v>
      </c>
      <c r="Y70" s="158">
        <v>1</v>
      </c>
      <c r="Z70" s="134"/>
      <c r="AA70" s="156"/>
      <c r="AB70" s="157"/>
      <c r="AC70" s="157"/>
      <c r="AD70" s="157"/>
      <c r="AE70" s="159"/>
      <c r="AM70" s="140">
        <v>3</v>
      </c>
      <c r="AN70" s="140">
        <v>4</v>
      </c>
      <c r="AO70" s="140"/>
    </row>
    <row r="71" spans="3:41" x14ac:dyDescent="0.3">
      <c r="D71" s="156">
        <v>5</v>
      </c>
      <c r="E71" s="157" t="s">
        <v>3</v>
      </c>
      <c r="F71" s="159" t="s">
        <v>739</v>
      </c>
      <c r="G71" s="157">
        <v>120</v>
      </c>
      <c r="H71" s="157">
        <v>5</v>
      </c>
      <c r="I71" s="157">
        <v>10</v>
      </c>
      <c r="J71" s="157">
        <v>10</v>
      </c>
      <c r="K71" s="157">
        <v>3</v>
      </c>
      <c r="L71" s="159">
        <v>100</v>
      </c>
      <c r="M71" s="155"/>
      <c r="N71" s="156" t="s">
        <v>701</v>
      </c>
      <c r="O71" s="157" t="s">
        <v>67</v>
      </c>
      <c r="P71" s="157">
        <v>10</v>
      </c>
      <c r="Q71" s="158">
        <v>1</v>
      </c>
      <c r="R71" s="156" t="s">
        <v>9</v>
      </c>
      <c r="S71" s="157" t="s">
        <v>559</v>
      </c>
      <c r="T71" s="157">
        <v>10</v>
      </c>
      <c r="U71" s="158">
        <v>1</v>
      </c>
      <c r="V71" s="156" t="s">
        <v>732</v>
      </c>
      <c r="W71" s="157" t="s">
        <v>542</v>
      </c>
      <c r="X71" s="157">
        <v>10</v>
      </c>
      <c r="Y71" s="158">
        <v>1</v>
      </c>
      <c r="Z71" s="134"/>
      <c r="AA71" s="156"/>
      <c r="AB71" s="157"/>
      <c r="AC71" s="157"/>
      <c r="AD71" s="157"/>
      <c r="AE71" s="159"/>
      <c r="AM71" s="140">
        <v>2</v>
      </c>
      <c r="AN71" s="140">
        <v>5</v>
      </c>
      <c r="AO71" s="140"/>
    </row>
    <row r="72" spans="3:41" x14ac:dyDescent="0.3">
      <c r="D72" s="156">
        <v>6</v>
      </c>
      <c r="E72" s="157" t="s">
        <v>3</v>
      </c>
      <c r="F72" s="159" t="s">
        <v>262</v>
      </c>
      <c r="G72" s="157">
        <v>110</v>
      </c>
      <c r="H72" s="157">
        <v>5</v>
      </c>
      <c r="I72" s="157">
        <v>10</v>
      </c>
      <c r="J72" s="157">
        <v>10</v>
      </c>
      <c r="K72" s="157">
        <v>2</v>
      </c>
      <c r="L72" s="159">
        <v>100</v>
      </c>
      <c r="M72" s="155"/>
      <c r="N72" s="156" t="s">
        <v>753</v>
      </c>
      <c r="O72" s="157" t="s">
        <v>553</v>
      </c>
      <c r="P72" s="157">
        <v>10</v>
      </c>
      <c r="Q72" s="158">
        <v>1</v>
      </c>
      <c r="R72" s="156" t="s">
        <v>9</v>
      </c>
      <c r="S72" s="157" t="s">
        <v>559</v>
      </c>
      <c r="T72" s="157">
        <v>10</v>
      </c>
      <c r="U72" s="158">
        <v>1</v>
      </c>
      <c r="V72" s="156" t="s">
        <v>732</v>
      </c>
      <c r="W72" s="157" t="s">
        <v>542</v>
      </c>
      <c r="X72" s="157">
        <v>10</v>
      </c>
      <c r="Y72" s="158">
        <v>1</v>
      </c>
      <c r="Z72" s="134"/>
      <c r="AA72" s="156"/>
      <c r="AB72" s="157"/>
      <c r="AC72" s="157"/>
      <c r="AD72" s="157"/>
      <c r="AE72" s="159"/>
    </row>
    <row r="73" spans="3:41" x14ac:dyDescent="0.3">
      <c r="D73" s="160">
        <v>5</v>
      </c>
      <c r="E73" s="161" t="s">
        <v>3</v>
      </c>
      <c r="F73" s="138" t="s">
        <v>197</v>
      </c>
      <c r="G73" s="161">
        <v>100</v>
      </c>
      <c r="H73" s="161">
        <v>5</v>
      </c>
      <c r="I73" s="161">
        <v>10</v>
      </c>
      <c r="J73" s="161">
        <v>0</v>
      </c>
      <c r="K73" s="161">
        <v>0</v>
      </c>
      <c r="L73" s="138">
        <v>100</v>
      </c>
      <c r="M73" s="155"/>
      <c r="N73" s="160" t="s">
        <v>753</v>
      </c>
      <c r="O73" s="161" t="s">
        <v>553</v>
      </c>
      <c r="P73" s="161">
        <v>10</v>
      </c>
      <c r="Q73" s="162">
        <v>1</v>
      </c>
      <c r="R73" s="160" t="s">
        <v>9</v>
      </c>
      <c r="S73" s="161" t="s">
        <v>559</v>
      </c>
      <c r="T73" s="161">
        <v>10</v>
      </c>
      <c r="U73" s="162">
        <v>1</v>
      </c>
      <c r="V73" s="160" t="s">
        <v>732</v>
      </c>
      <c r="W73" s="161" t="s">
        <v>542</v>
      </c>
      <c r="X73" s="161">
        <v>10</v>
      </c>
      <c r="Y73" s="162">
        <v>1</v>
      </c>
      <c r="Z73" s="134"/>
      <c r="AA73" s="160"/>
      <c r="AB73" s="161"/>
      <c r="AC73" s="161"/>
      <c r="AD73" s="161"/>
      <c r="AE73" s="138"/>
    </row>
    <row r="74" spans="3:41" x14ac:dyDescent="0.3">
      <c r="C74" t="s">
        <v>6361</v>
      </c>
      <c r="D74" s="152">
        <v>5</v>
      </c>
      <c r="E74" s="153" t="s">
        <v>4</v>
      </c>
      <c r="F74" s="154" t="s">
        <v>212</v>
      </c>
      <c r="G74" s="153">
        <v>100</v>
      </c>
      <c r="H74" s="153">
        <v>5</v>
      </c>
      <c r="I74" s="153">
        <v>10</v>
      </c>
      <c r="J74" s="153">
        <v>0</v>
      </c>
      <c r="K74" s="153">
        <v>0</v>
      </c>
      <c r="L74" s="154">
        <v>100</v>
      </c>
      <c r="M74" s="155"/>
      <c r="N74" s="156" t="s">
        <v>712</v>
      </c>
      <c r="O74" s="157" t="s">
        <v>522</v>
      </c>
      <c r="P74" s="157">
        <v>10</v>
      </c>
      <c r="Q74" s="158">
        <v>1</v>
      </c>
      <c r="R74" s="156" t="s">
        <v>720</v>
      </c>
      <c r="S74" s="157" t="s">
        <v>534</v>
      </c>
      <c r="T74" s="157">
        <v>10</v>
      </c>
      <c r="U74" s="158">
        <v>1</v>
      </c>
      <c r="V74" s="156" t="s">
        <v>741</v>
      </c>
      <c r="W74" s="157" t="s">
        <v>555</v>
      </c>
      <c r="X74" s="157">
        <v>10</v>
      </c>
      <c r="Y74" s="158">
        <v>1</v>
      </c>
      <c r="Z74" s="134"/>
      <c r="AA74" s="156"/>
      <c r="AB74" s="157"/>
      <c r="AC74" s="157"/>
      <c r="AD74" s="157"/>
      <c r="AE74" s="159"/>
      <c r="AG74" s="160" t="s">
        <v>637</v>
      </c>
      <c r="AH74" s="161">
        <v>5</v>
      </c>
      <c r="AI74" s="161">
        <v>100</v>
      </c>
      <c r="AJ74" s="161">
        <v>10</v>
      </c>
      <c r="AK74" s="138" t="s">
        <v>667</v>
      </c>
      <c r="AM74" s="140">
        <v>2</v>
      </c>
      <c r="AN74" s="140"/>
      <c r="AO74" s="140"/>
    </row>
    <row r="75" spans="3:41" x14ac:dyDescent="0.3">
      <c r="D75" s="156">
        <v>5</v>
      </c>
      <c r="E75" s="157" t="s">
        <v>4</v>
      </c>
      <c r="F75" s="159" t="s">
        <v>1662</v>
      </c>
      <c r="G75" s="157">
        <v>100</v>
      </c>
      <c r="H75" s="157">
        <v>5</v>
      </c>
      <c r="I75" s="157">
        <v>10</v>
      </c>
      <c r="J75" s="157">
        <v>0</v>
      </c>
      <c r="K75" s="157">
        <v>0</v>
      </c>
      <c r="L75" s="159">
        <v>100</v>
      </c>
      <c r="M75" s="155"/>
      <c r="N75" s="156" t="s">
        <v>712</v>
      </c>
      <c r="O75" s="157" t="s">
        <v>522</v>
      </c>
      <c r="P75" s="157">
        <v>10</v>
      </c>
      <c r="Q75" s="158">
        <v>1</v>
      </c>
      <c r="R75" s="156" t="s">
        <v>720</v>
      </c>
      <c r="S75" s="157" t="s">
        <v>534</v>
      </c>
      <c r="T75" s="157">
        <v>10</v>
      </c>
      <c r="U75" s="158">
        <v>1</v>
      </c>
      <c r="V75" s="156" t="s">
        <v>741</v>
      </c>
      <c r="W75" s="157" t="s">
        <v>555</v>
      </c>
      <c r="X75" s="157">
        <v>10</v>
      </c>
      <c r="Y75" s="158">
        <v>1</v>
      </c>
      <c r="Z75" s="134"/>
      <c r="AA75" s="156"/>
      <c r="AB75" s="157"/>
      <c r="AC75" s="157"/>
      <c r="AD75" s="157"/>
      <c r="AE75" s="159"/>
      <c r="AM75" s="140">
        <v>1</v>
      </c>
      <c r="AN75" s="140"/>
      <c r="AO75" s="140">
        <v>4</v>
      </c>
    </row>
    <row r="76" spans="3:41" x14ac:dyDescent="0.3">
      <c r="D76" s="156">
        <v>6</v>
      </c>
      <c r="E76" s="157" t="s">
        <v>2</v>
      </c>
      <c r="F76" s="159" t="s">
        <v>258</v>
      </c>
      <c r="G76" s="157">
        <v>115</v>
      </c>
      <c r="H76" s="157">
        <v>5</v>
      </c>
      <c r="I76" s="157">
        <v>10</v>
      </c>
      <c r="J76" s="157">
        <v>10</v>
      </c>
      <c r="K76" s="157">
        <v>3</v>
      </c>
      <c r="L76" s="159">
        <v>100</v>
      </c>
      <c r="M76" s="155"/>
      <c r="N76" s="156" t="s">
        <v>701</v>
      </c>
      <c r="O76" s="157" t="s">
        <v>223</v>
      </c>
      <c r="P76" s="157">
        <v>10</v>
      </c>
      <c r="Q76" s="158">
        <v>1</v>
      </c>
      <c r="R76" s="156" t="s">
        <v>727</v>
      </c>
      <c r="S76" s="157" t="s">
        <v>538</v>
      </c>
      <c r="T76" s="157">
        <v>10</v>
      </c>
      <c r="U76" s="158">
        <v>1</v>
      </c>
      <c r="V76" s="156" t="s">
        <v>701</v>
      </c>
      <c r="W76" s="157" t="s">
        <v>258</v>
      </c>
      <c r="X76" s="157">
        <v>10</v>
      </c>
      <c r="Y76" s="158">
        <v>1</v>
      </c>
      <c r="Z76" s="134"/>
      <c r="AA76" s="156"/>
      <c r="AB76" s="157"/>
      <c r="AC76" s="157"/>
      <c r="AD76" s="157"/>
      <c r="AE76" s="159"/>
      <c r="AM76" s="140">
        <v>3</v>
      </c>
      <c r="AN76" s="140">
        <v>5</v>
      </c>
      <c r="AO76" s="140"/>
    </row>
    <row r="77" spans="3:41" x14ac:dyDescent="0.3">
      <c r="D77" s="156">
        <v>5</v>
      </c>
      <c r="E77" s="157" t="s">
        <v>5</v>
      </c>
      <c r="F77" s="159" t="s">
        <v>1658</v>
      </c>
      <c r="G77" s="157">
        <v>100</v>
      </c>
      <c r="H77" s="157">
        <v>5</v>
      </c>
      <c r="I77" s="157">
        <v>10</v>
      </c>
      <c r="J77" s="157">
        <v>0</v>
      </c>
      <c r="K77" s="157">
        <v>0</v>
      </c>
      <c r="L77" s="159">
        <v>100</v>
      </c>
      <c r="M77" s="155"/>
      <c r="N77" s="156" t="s">
        <v>6364</v>
      </c>
      <c r="O77" s="157" t="s">
        <v>6368</v>
      </c>
      <c r="P77" s="157">
        <v>10</v>
      </c>
      <c r="Q77" s="158">
        <v>1</v>
      </c>
      <c r="R77" s="156" t="s">
        <v>914</v>
      </c>
      <c r="S77" s="157" t="s">
        <v>905</v>
      </c>
      <c r="T77" s="157">
        <v>10</v>
      </c>
      <c r="U77" s="158">
        <v>1</v>
      </c>
      <c r="V77" s="156" t="s">
        <v>637</v>
      </c>
      <c r="W77" s="157" t="s">
        <v>545</v>
      </c>
      <c r="X77" s="157">
        <v>10</v>
      </c>
      <c r="Y77" s="158">
        <v>1</v>
      </c>
      <c r="Z77" s="134"/>
      <c r="AA77" s="156"/>
      <c r="AB77" s="157"/>
      <c r="AC77" s="157"/>
      <c r="AD77" s="157"/>
      <c r="AE77" s="159"/>
    </row>
    <row r="78" spans="3:41" x14ac:dyDescent="0.3">
      <c r="D78" s="160">
        <v>5</v>
      </c>
      <c r="E78" s="161" t="s">
        <v>3</v>
      </c>
      <c r="F78" s="138" t="s">
        <v>197</v>
      </c>
      <c r="G78" s="161">
        <v>100</v>
      </c>
      <c r="H78" s="161">
        <v>5</v>
      </c>
      <c r="I78" s="161">
        <v>10</v>
      </c>
      <c r="J78" s="161">
        <v>0</v>
      </c>
      <c r="K78" s="161">
        <v>0</v>
      </c>
      <c r="L78" s="138">
        <v>100</v>
      </c>
      <c r="M78" s="155"/>
      <c r="N78" s="160" t="s">
        <v>753</v>
      </c>
      <c r="O78" s="161" t="s">
        <v>553</v>
      </c>
      <c r="P78" s="161">
        <v>10</v>
      </c>
      <c r="Q78" s="162">
        <v>1</v>
      </c>
      <c r="R78" s="160" t="s">
        <v>9</v>
      </c>
      <c r="S78" s="161" t="s">
        <v>559</v>
      </c>
      <c r="T78" s="161">
        <v>10</v>
      </c>
      <c r="U78" s="162">
        <v>1</v>
      </c>
      <c r="V78" s="160" t="s">
        <v>732</v>
      </c>
      <c r="W78" s="161" t="s">
        <v>542</v>
      </c>
      <c r="X78" s="161">
        <v>10</v>
      </c>
      <c r="Y78" s="162">
        <v>1</v>
      </c>
      <c r="Z78" s="134"/>
      <c r="AA78" s="160"/>
      <c r="AB78" s="161"/>
      <c r="AC78" s="161"/>
      <c r="AD78" s="161"/>
      <c r="AE78" s="138"/>
    </row>
    <row r="79" spans="3:41" x14ac:dyDescent="0.3">
      <c r="C79" t="s">
        <v>6369</v>
      </c>
      <c r="D79" s="152">
        <v>5</v>
      </c>
      <c r="E79" s="153" t="s">
        <v>6</v>
      </c>
      <c r="F79" s="154" t="s">
        <v>171</v>
      </c>
      <c r="G79" s="153">
        <v>100</v>
      </c>
      <c r="H79" s="153">
        <v>5</v>
      </c>
      <c r="I79" s="153">
        <v>10</v>
      </c>
      <c r="J79" s="153">
        <v>0</v>
      </c>
      <c r="K79" s="153">
        <v>0</v>
      </c>
      <c r="L79" s="154">
        <v>100</v>
      </c>
      <c r="M79" s="155"/>
      <c r="N79" s="156" t="s">
        <v>712</v>
      </c>
      <c r="O79" s="157" t="s">
        <v>522</v>
      </c>
      <c r="P79" s="157">
        <v>10</v>
      </c>
      <c r="Q79" s="158">
        <v>1</v>
      </c>
      <c r="R79" s="156" t="s">
        <v>720</v>
      </c>
      <c r="S79" s="157" t="s">
        <v>534</v>
      </c>
      <c r="T79" s="157">
        <v>10</v>
      </c>
      <c r="U79" s="158">
        <v>1</v>
      </c>
      <c r="V79" s="156" t="s">
        <v>742</v>
      </c>
      <c r="W79" s="157" t="s">
        <v>571</v>
      </c>
      <c r="X79" s="157">
        <v>10</v>
      </c>
      <c r="Y79" s="158">
        <v>1</v>
      </c>
      <c r="Z79" s="134"/>
      <c r="AA79" s="156"/>
      <c r="AB79" s="157"/>
      <c r="AC79" s="157"/>
      <c r="AD79" s="157"/>
      <c r="AE79" s="159"/>
      <c r="AG79" s="160" t="s">
        <v>637</v>
      </c>
      <c r="AH79" s="161">
        <v>5</v>
      </c>
      <c r="AI79" s="161">
        <v>100</v>
      </c>
      <c r="AJ79" s="161">
        <v>10</v>
      </c>
      <c r="AK79" s="138" t="s">
        <v>697</v>
      </c>
      <c r="AM79" s="140"/>
      <c r="AN79" s="140"/>
      <c r="AO79" s="140"/>
    </row>
    <row r="80" spans="3:41" x14ac:dyDescent="0.3">
      <c r="D80" s="156">
        <v>5</v>
      </c>
      <c r="E80" s="157" t="s">
        <v>3</v>
      </c>
      <c r="F80" s="159" t="s">
        <v>64</v>
      </c>
      <c r="G80" s="157">
        <v>100</v>
      </c>
      <c r="H80" s="157">
        <v>5</v>
      </c>
      <c r="I80" s="157">
        <v>10</v>
      </c>
      <c r="J80" s="157">
        <v>0</v>
      </c>
      <c r="K80" s="157">
        <v>0</v>
      </c>
      <c r="L80" s="159">
        <v>100</v>
      </c>
      <c r="M80" s="155"/>
      <c r="N80" s="156" t="s">
        <v>753</v>
      </c>
      <c r="O80" s="157" t="s">
        <v>553</v>
      </c>
      <c r="P80" s="157">
        <v>10</v>
      </c>
      <c r="Q80" s="158">
        <v>1</v>
      </c>
      <c r="R80" s="156" t="s">
        <v>9</v>
      </c>
      <c r="S80" s="157" t="s">
        <v>559</v>
      </c>
      <c r="T80" s="157">
        <v>10</v>
      </c>
      <c r="U80" s="158">
        <v>1</v>
      </c>
      <c r="V80" s="156" t="s">
        <v>732</v>
      </c>
      <c r="W80" s="157" t="s">
        <v>549</v>
      </c>
      <c r="X80" s="157">
        <v>10</v>
      </c>
      <c r="Y80" s="158">
        <v>1</v>
      </c>
      <c r="Z80" s="134"/>
      <c r="AA80" s="156"/>
      <c r="AB80" s="157"/>
      <c r="AC80" s="157"/>
      <c r="AD80" s="157"/>
      <c r="AE80" s="159"/>
      <c r="AM80" s="140"/>
      <c r="AN80" s="140">
        <v>4</v>
      </c>
      <c r="AO80" s="140">
        <v>5</v>
      </c>
    </row>
    <row r="81" spans="3:41" x14ac:dyDescent="0.3">
      <c r="D81" s="156">
        <v>5</v>
      </c>
      <c r="E81" s="157" t="s">
        <v>3</v>
      </c>
      <c r="F81" s="159" t="s">
        <v>266</v>
      </c>
      <c r="G81" s="157">
        <v>110</v>
      </c>
      <c r="H81" s="157">
        <v>5</v>
      </c>
      <c r="I81" s="157">
        <v>10</v>
      </c>
      <c r="J81" s="157">
        <v>10</v>
      </c>
      <c r="K81" s="157">
        <v>2</v>
      </c>
      <c r="L81" s="159">
        <v>100</v>
      </c>
      <c r="M81" s="155"/>
      <c r="N81" s="156" t="s">
        <v>753</v>
      </c>
      <c r="O81" s="157" t="s">
        <v>553</v>
      </c>
      <c r="P81" s="157">
        <v>10</v>
      </c>
      <c r="Q81" s="158">
        <v>1</v>
      </c>
      <c r="R81" s="156" t="s">
        <v>9</v>
      </c>
      <c r="S81" s="157" t="s">
        <v>559</v>
      </c>
      <c r="T81" s="157">
        <v>10</v>
      </c>
      <c r="U81" s="158">
        <v>1</v>
      </c>
      <c r="V81" s="156" t="s">
        <v>732</v>
      </c>
      <c r="W81" s="157" t="s">
        <v>542</v>
      </c>
      <c r="X81" s="157">
        <v>10</v>
      </c>
      <c r="Y81" s="158">
        <v>1</v>
      </c>
      <c r="Z81" s="134"/>
      <c r="AA81" s="156"/>
      <c r="AB81" s="157"/>
      <c r="AC81" s="157"/>
      <c r="AD81" s="157"/>
      <c r="AE81" s="159"/>
      <c r="AM81" s="140">
        <v>3</v>
      </c>
      <c r="AN81" s="140">
        <v>1</v>
      </c>
      <c r="AO81" s="140">
        <v>2</v>
      </c>
    </row>
    <row r="82" spans="3:41" x14ac:dyDescent="0.3">
      <c r="D82" s="156">
        <v>4</v>
      </c>
      <c r="E82" s="157" t="s">
        <v>3</v>
      </c>
      <c r="F82" s="159" t="s">
        <v>784</v>
      </c>
      <c r="G82" s="157">
        <v>110</v>
      </c>
      <c r="H82" s="157">
        <v>5</v>
      </c>
      <c r="I82" s="157">
        <v>10</v>
      </c>
      <c r="J82" s="157">
        <v>10</v>
      </c>
      <c r="K82" s="157">
        <v>2</v>
      </c>
      <c r="L82" s="159">
        <v>100</v>
      </c>
      <c r="M82" s="155"/>
      <c r="N82" s="156" t="s">
        <v>753</v>
      </c>
      <c r="O82" s="157" t="s">
        <v>553</v>
      </c>
      <c r="P82" s="157">
        <v>10</v>
      </c>
      <c r="Q82" s="158">
        <v>1</v>
      </c>
      <c r="R82" s="156" t="s">
        <v>9</v>
      </c>
      <c r="S82" s="157" t="s">
        <v>559</v>
      </c>
      <c r="T82" s="157">
        <v>10</v>
      </c>
      <c r="U82" s="158">
        <v>1</v>
      </c>
      <c r="V82" s="156" t="s">
        <v>732</v>
      </c>
      <c r="W82" s="157" t="s">
        <v>542</v>
      </c>
      <c r="X82" s="157">
        <v>10</v>
      </c>
      <c r="Y82" s="158">
        <v>1</v>
      </c>
      <c r="Z82" s="134"/>
      <c r="AA82" s="156"/>
      <c r="AB82" s="157"/>
      <c r="AC82" s="157"/>
      <c r="AD82" s="157"/>
      <c r="AE82" s="159"/>
    </row>
    <row r="83" spans="3:41" x14ac:dyDescent="0.3">
      <c r="D83" s="160">
        <v>4</v>
      </c>
      <c r="E83" s="161" t="s">
        <v>5</v>
      </c>
      <c r="F83" s="138" t="s">
        <v>715</v>
      </c>
      <c r="G83" s="161">
        <v>110</v>
      </c>
      <c r="H83" s="161">
        <v>5</v>
      </c>
      <c r="I83" s="161">
        <v>10</v>
      </c>
      <c r="J83" s="161">
        <v>10</v>
      </c>
      <c r="K83" s="161">
        <v>2</v>
      </c>
      <c r="L83" s="138">
        <v>100</v>
      </c>
      <c r="M83" s="155"/>
      <c r="N83" s="160" t="s">
        <v>637</v>
      </c>
      <c r="O83" s="161" t="s">
        <v>545</v>
      </c>
      <c r="P83" s="161">
        <v>10</v>
      </c>
      <c r="Q83" s="162">
        <v>1</v>
      </c>
      <c r="R83" s="160" t="s">
        <v>914</v>
      </c>
      <c r="S83" s="161" t="s">
        <v>905</v>
      </c>
      <c r="T83" s="161">
        <v>10</v>
      </c>
      <c r="U83" s="162">
        <v>1</v>
      </c>
      <c r="V83" s="160" t="s">
        <v>6364</v>
      </c>
      <c r="W83" s="161" t="s">
        <v>6368</v>
      </c>
      <c r="X83" s="161">
        <v>10</v>
      </c>
      <c r="Y83" s="162">
        <v>1</v>
      </c>
      <c r="Z83" s="134"/>
      <c r="AA83" s="160"/>
      <c r="AB83" s="161"/>
      <c r="AC83" s="161"/>
      <c r="AD83" s="161"/>
      <c r="AE83" s="138"/>
    </row>
    <row r="84" spans="3:41" x14ac:dyDescent="0.3">
      <c r="C84" t="s">
        <v>6370</v>
      </c>
      <c r="D84" s="152">
        <v>6</v>
      </c>
      <c r="E84" s="153" t="s">
        <v>3</v>
      </c>
      <c r="F84" s="154" t="s">
        <v>262</v>
      </c>
      <c r="G84" s="153">
        <v>110</v>
      </c>
      <c r="H84" s="153">
        <v>5</v>
      </c>
      <c r="I84" s="153">
        <v>10</v>
      </c>
      <c r="J84" s="153">
        <v>10</v>
      </c>
      <c r="K84" s="153">
        <v>2</v>
      </c>
      <c r="L84" s="154">
        <v>100</v>
      </c>
      <c r="M84" s="155"/>
      <c r="N84" s="156" t="s">
        <v>753</v>
      </c>
      <c r="O84" s="157" t="s">
        <v>553</v>
      </c>
      <c r="P84" s="157">
        <v>10</v>
      </c>
      <c r="Q84" s="158">
        <v>1</v>
      </c>
      <c r="R84" s="156" t="s">
        <v>9</v>
      </c>
      <c r="S84" s="157" t="s">
        <v>559</v>
      </c>
      <c r="T84" s="157">
        <v>10</v>
      </c>
      <c r="U84" s="158">
        <v>1</v>
      </c>
      <c r="V84" s="156" t="s">
        <v>732</v>
      </c>
      <c r="W84" s="157" t="s">
        <v>542</v>
      </c>
      <c r="X84" s="157">
        <v>10</v>
      </c>
      <c r="Y84" s="158">
        <v>1</v>
      </c>
      <c r="Z84" s="134"/>
      <c r="AA84" s="156"/>
      <c r="AB84" s="157"/>
      <c r="AC84" s="157"/>
      <c r="AD84" s="157"/>
      <c r="AE84" s="159"/>
      <c r="AG84" s="160" t="s">
        <v>660</v>
      </c>
      <c r="AH84" s="161">
        <v>5</v>
      </c>
      <c r="AI84" s="161">
        <v>100</v>
      </c>
      <c r="AJ84" s="161">
        <v>10</v>
      </c>
      <c r="AK84" s="138" t="s">
        <v>697</v>
      </c>
      <c r="AM84" s="140">
        <v>5</v>
      </c>
      <c r="AN84" s="140"/>
      <c r="AO84" s="140"/>
    </row>
    <row r="85" spans="3:41" x14ac:dyDescent="0.3">
      <c r="D85" s="156">
        <v>5</v>
      </c>
      <c r="E85" s="157" t="s">
        <v>3</v>
      </c>
      <c r="F85" s="159" t="s">
        <v>120</v>
      </c>
      <c r="G85" s="157">
        <v>100</v>
      </c>
      <c r="H85" s="157">
        <v>5</v>
      </c>
      <c r="I85" s="157">
        <v>10</v>
      </c>
      <c r="J85" s="157">
        <v>0</v>
      </c>
      <c r="K85" s="157">
        <v>0</v>
      </c>
      <c r="L85" s="159">
        <v>100</v>
      </c>
      <c r="M85" s="155"/>
      <c r="N85" s="156" t="s">
        <v>753</v>
      </c>
      <c r="O85" s="157" t="s">
        <v>553</v>
      </c>
      <c r="P85" s="157">
        <v>10</v>
      </c>
      <c r="Q85" s="158">
        <v>1</v>
      </c>
      <c r="R85" s="156" t="s">
        <v>9</v>
      </c>
      <c r="S85" s="157" t="s">
        <v>559</v>
      </c>
      <c r="T85" s="157">
        <v>10</v>
      </c>
      <c r="U85" s="158">
        <v>1</v>
      </c>
      <c r="V85" s="156" t="s">
        <v>732</v>
      </c>
      <c r="W85" s="157" t="s">
        <v>542</v>
      </c>
      <c r="X85" s="157">
        <v>10</v>
      </c>
      <c r="Y85" s="158">
        <v>1</v>
      </c>
      <c r="Z85" s="134"/>
      <c r="AA85" s="156"/>
      <c r="AB85" s="157"/>
      <c r="AC85" s="157"/>
      <c r="AD85" s="157"/>
      <c r="AE85" s="159"/>
      <c r="AM85" s="140">
        <v>2</v>
      </c>
      <c r="AN85" s="140">
        <v>1</v>
      </c>
      <c r="AO85" s="140"/>
    </row>
    <row r="86" spans="3:41" x14ac:dyDescent="0.3">
      <c r="D86" s="156">
        <v>5</v>
      </c>
      <c r="E86" s="157" t="s">
        <v>3</v>
      </c>
      <c r="F86" s="159" t="s">
        <v>197</v>
      </c>
      <c r="G86" s="157">
        <v>100</v>
      </c>
      <c r="H86" s="157">
        <v>5</v>
      </c>
      <c r="I86" s="157">
        <v>10</v>
      </c>
      <c r="J86" s="157">
        <v>0</v>
      </c>
      <c r="K86" s="157">
        <v>0</v>
      </c>
      <c r="L86" s="159">
        <v>100</v>
      </c>
      <c r="M86" s="155"/>
      <c r="N86" s="156" t="s">
        <v>753</v>
      </c>
      <c r="O86" s="157" t="s">
        <v>553</v>
      </c>
      <c r="P86" s="157">
        <v>10</v>
      </c>
      <c r="Q86" s="158">
        <v>1</v>
      </c>
      <c r="R86" s="156" t="s">
        <v>9</v>
      </c>
      <c r="S86" s="157" t="s">
        <v>559</v>
      </c>
      <c r="T86" s="157">
        <v>10</v>
      </c>
      <c r="U86" s="158">
        <v>1</v>
      </c>
      <c r="V86" s="156" t="s">
        <v>732</v>
      </c>
      <c r="W86" s="157" t="s">
        <v>542</v>
      </c>
      <c r="X86" s="157">
        <v>10</v>
      </c>
      <c r="Y86" s="158">
        <v>1</v>
      </c>
      <c r="Z86" s="134"/>
      <c r="AA86" s="156"/>
      <c r="AB86" s="157"/>
      <c r="AC86" s="157"/>
      <c r="AD86" s="157"/>
      <c r="AE86" s="159"/>
      <c r="AM86" s="140">
        <v>4</v>
      </c>
      <c r="AN86" s="140">
        <v>3</v>
      </c>
      <c r="AO86" s="140"/>
    </row>
    <row r="87" spans="3:41" x14ac:dyDescent="0.3">
      <c r="D87" s="156">
        <v>5</v>
      </c>
      <c r="E87" s="157" t="s">
        <v>6</v>
      </c>
      <c r="F87" s="159" t="s">
        <v>171</v>
      </c>
      <c r="G87" s="157">
        <v>100</v>
      </c>
      <c r="H87" s="157">
        <v>5</v>
      </c>
      <c r="I87" s="157">
        <v>10</v>
      </c>
      <c r="J87" s="157">
        <v>0</v>
      </c>
      <c r="K87" s="157">
        <v>0</v>
      </c>
      <c r="L87" s="159">
        <v>100</v>
      </c>
      <c r="M87" s="155"/>
      <c r="N87" s="156" t="s">
        <v>712</v>
      </c>
      <c r="O87" s="157" t="s">
        <v>522</v>
      </c>
      <c r="P87" s="157">
        <v>10</v>
      </c>
      <c r="Q87" s="158">
        <v>1</v>
      </c>
      <c r="R87" s="156" t="s">
        <v>720</v>
      </c>
      <c r="S87" s="157" t="s">
        <v>534</v>
      </c>
      <c r="T87" s="157">
        <v>10</v>
      </c>
      <c r="U87" s="158">
        <v>1</v>
      </c>
      <c r="V87" s="156" t="s">
        <v>742</v>
      </c>
      <c r="W87" s="157" t="s">
        <v>571</v>
      </c>
      <c r="X87" s="157">
        <v>10</v>
      </c>
      <c r="Y87" s="158">
        <v>1</v>
      </c>
      <c r="Z87" s="134"/>
      <c r="AA87" s="156"/>
      <c r="AB87" s="157"/>
      <c r="AC87" s="157"/>
      <c r="AD87" s="157"/>
      <c r="AE87" s="159"/>
    </row>
    <row r="88" spans="3:41" x14ac:dyDescent="0.3">
      <c r="D88" s="160">
        <v>5</v>
      </c>
      <c r="E88" s="161" t="s">
        <v>6</v>
      </c>
      <c r="F88" s="138" t="s">
        <v>265</v>
      </c>
      <c r="G88" s="161">
        <v>115</v>
      </c>
      <c r="H88" s="161">
        <v>5</v>
      </c>
      <c r="I88" s="161">
        <v>10</v>
      </c>
      <c r="J88" s="161">
        <v>10</v>
      </c>
      <c r="K88" s="161">
        <v>3</v>
      </c>
      <c r="L88" s="138">
        <v>100</v>
      </c>
      <c r="M88" s="155"/>
      <c r="N88" s="160" t="s">
        <v>712</v>
      </c>
      <c r="O88" s="161" t="s">
        <v>522</v>
      </c>
      <c r="P88" s="161">
        <v>10</v>
      </c>
      <c r="Q88" s="162">
        <v>1</v>
      </c>
      <c r="R88" s="160" t="s">
        <v>701</v>
      </c>
      <c r="S88" s="161" t="s">
        <v>265</v>
      </c>
      <c r="T88" s="161">
        <v>10</v>
      </c>
      <c r="U88" s="162">
        <v>1</v>
      </c>
      <c r="V88" s="160" t="s">
        <v>742</v>
      </c>
      <c r="W88" s="161" t="s">
        <v>571</v>
      </c>
      <c r="X88" s="161">
        <v>10</v>
      </c>
      <c r="Y88" s="162">
        <v>1</v>
      </c>
      <c r="Z88" s="134"/>
      <c r="AA88" s="160"/>
      <c r="AB88" s="161"/>
      <c r="AC88" s="161"/>
      <c r="AD88" s="161"/>
      <c r="AE88" s="138"/>
    </row>
    <row r="89" spans="3:41" x14ac:dyDescent="0.3">
      <c r="C89" t="s">
        <v>6373</v>
      </c>
      <c r="D89" s="152">
        <v>5</v>
      </c>
      <c r="E89" s="153" t="s">
        <v>3</v>
      </c>
      <c r="F89" s="154" t="s">
        <v>1686</v>
      </c>
      <c r="G89" s="153">
        <v>100</v>
      </c>
      <c r="H89" s="153">
        <v>5</v>
      </c>
      <c r="I89" s="153">
        <v>10</v>
      </c>
      <c r="J89" s="153">
        <v>0</v>
      </c>
      <c r="K89" s="153">
        <v>0</v>
      </c>
      <c r="L89" s="154">
        <v>100</v>
      </c>
      <c r="M89" s="155"/>
      <c r="N89" s="156" t="s">
        <v>914</v>
      </c>
      <c r="O89" s="157" t="s">
        <v>923</v>
      </c>
      <c r="P89" s="157">
        <v>10</v>
      </c>
      <c r="Q89" s="158">
        <v>1</v>
      </c>
      <c r="R89" s="156" t="s">
        <v>9</v>
      </c>
      <c r="S89" s="157" t="s">
        <v>559</v>
      </c>
      <c r="T89" s="157">
        <v>10</v>
      </c>
      <c r="U89" s="158">
        <v>1</v>
      </c>
      <c r="V89" s="156" t="s">
        <v>732</v>
      </c>
      <c r="W89" s="157" t="s">
        <v>549</v>
      </c>
      <c r="X89" s="157">
        <v>10</v>
      </c>
      <c r="Y89" s="158">
        <v>1</v>
      </c>
      <c r="Z89" s="134"/>
      <c r="AA89" s="156"/>
      <c r="AB89" s="157"/>
      <c r="AC89" s="157"/>
      <c r="AD89" s="157"/>
      <c r="AE89" s="159"/>
      <c r="AG89" s="160" t="s">
        <v>645</v>
      </c>
      <c r="AH89" s="161">
        <v>5</v>
      </c>
      <c r="AI89" s="161">
        <v>100</v>
      </c>
      <c r="AJ89" s="161">
        <v>10</v>
      </c>
      <c r="AK89" s="138" t="s">
        <v>697</v>
      </c>
      <c r="AM89" s="140">
        <v>2</v>
      </c>
      <c r="AN89" s="140"/>
      <c r="AO89" s="140"/>
    </row>
    <row r="90" spans="3:41" x14ac:dyDescent="0.3">
      <c r="D90" s="156">
        <v>5</v>
      </c>
      <c r="E90" s="157" t="s">
        <v>2</v>
      </c>
      <c r="F90" s="159" t="s">
        <v>229</v>
      </c>
      <c r="G90" s="157">
        <v>100</v>
      </c>
      <c r="H90" s="157">
        <v>5</v>
      </c>
      <c r="I90" s="157">
        <v>10</v>
      </c>
      <c r="J90" s="157">
        <v>0</v>
      </c>
      <c r="K90" s="157">
        <v>0</v>
      </c>
      <c r="L90" s="159">
        <v>100</v>
      </c>
      <c r="M90" s="155"/>
      <c r="N90" s="156" t="s">
        <v>701</v>
      </c>
      <c r="O90" s="157" t="s">
        <v>229</v>
      </c>
      <c r="P90" s="157">
        <v>10</v>
      </c>
      <c r="Q90" s="158">
        <v>1</v>
      </c>
      <c r="R90" s="156" t="s">
        <v>727</v>
      </c>
      <c r="S90" s="157" t="s">
        <v>538</v>
      </c>
      <c r="T90" s="157">
        <v>10</v>
      </c>
      <c r="U90" s="158">
        <v>1</v>
      </c>
      <c r="V90" s="156" t="s">
        <v>914</v>
      </c>
      <c r="W90" s="157" t="s">
        <v>906</v>
      </c>
      <c r="X90" s="157">
        <v>10</v>
      </c>
      <c r="Y90" s="158">
        <v>1</v>
      </c>
      <c r="Z90" s="134"/>
      <c r="AA90" s="156"/>
      <c r="AB90" s="157"/>
      <c r="AC90" s="157"/>
      <c r="AD90" s="157"/>
      <c r="AE90" s="159"/>
      <c r="AM90" s="140">
        <v>3</v>
      </c>
      <c r="AN90" s="140">
        <v>4</v>
      </c>
      <c r="AO90" s="140"/>
    </row>
    <row r="91" spans="3:41" x14ac:dyDescent="0.3">
      <c r="D91" s="156">
        <v>5</v>
      </c>
      <c r="E91" s="157" t="s">
        <v>3</v>
      </c>
      <c r="F91" s="159" t="s">
        <v>161</v>
      </c>
      <c r="G91" s="157">
        <v>100</v>
      </c>
      <c r="H91" s="157">
        <v>5</v>
      </c>
      <c r="I91" s="157">
        <v>10</v>
      </c>
      <c r="J91" s="157">
        <v>0</v>
      </c>
      <c r="K91" s="157">
        <v>0</v>
      </c>
      <c r="L91" s="159">
        <v>100</v>
      </c>
      <c r="M91" s="155"/>
      <c r="N91" s="156" t="s">
        <v>753</v>
      </c>
      <c r="O91" s="157" t="s">
        <v>553</v>
      </c>
      <c r="P91" s="157">
        <v>10</v>
      </c>
      <c r="Q91" s="158">
        <v>1</v>
      </c>
      <c r="R91" s="156" t="s">
        <v>720</v>
      </c>
      <c r="S91" s="157" t="s">
        <v>534</v>
      </c>
      <c r="T91" s="157">
        <v>10</v>
      </c>
      <c r="U91" s="158">
        <v>1</v>
      </c>
      <c r="V91" s="156" t="s">
        <v>732</v>
      </c>
      <c r="W91" s="157" t="s">
        <v>542</v>
      </c>
      <c r="X91" s="157">
        <v>10</v>
      </c>
      <c r="Y91" s="158">
        <v>1</v>
      </c>
      <c r="Z91" s="134"/>
      <c r="AA91" s="156"/>
      <c r="AB91" s="157"/>
      <c r="AC91" s="157"/>
      <c r="AD91" s="157"/>
      <c r="AE91" s="159"/>
      <c r="AM91" s="140">
        <v>1</v>
      </c>
      <c r="AN91" s="140">
        <v>5</v>
      </c>
      <c r="AO91" s="140"/>
    </row>
    <row r="92" spans="3:41" x14ac:dyDescent="0.3">
      <c r="D92" s="156">
        <v>5</v>
      </c>
      <c r="E92" s="157" t="s">
        <v>7</v>
      </c>
      <c r="F92" s="159" t="s">
        <v>1641</v>
      </c>
      <c r="G92" s="157">
        <v>100</v>
      </c>
      <c r="H92" s="157">
        <v>5</v>
      </c>
      <c r="I92" s="157">
        <v>10</v>
      </c>
      <c r="J92" s="157">
        <v>0</v>
      </c>
      <c r="K92" s="157">
        <v>0</v>
      </c>
      <c r="L92" s="159">
        <v>100</v>
      </c>
      <c r="M92" s="155"/>
      <c r="N92" s="156" t="s">
        <v>753</v>
      </c>
      <c r="O92" s="157" t="s">
        <v>553</v>
      </c>
      <c r="P92" s="157">
        <v>10</v>
      </c>
      <c r="Q92" s="158">
        <v>1</v>
      </c>
      <c r="R92" s="156" t="s">
        <v>720</v>
      </c>
      <c r="S92" s="157" t="s">
        <v>534</v>
      </c>
      <c r="T92" s="157">
        <v>10</v>
      </c>
      <c r="U92" s="158">
        <v>1</v>
      </c>
      <c r="V92" s="156" t="s">
        <v>732</v>
      </c>
      <c r="W92" s="157" t="s">
        <v>542</v>
      </c>
      <c r="X92" s="157">
        <v>10</v>
      </c>
      <c r="Y92" s="158">
        <v>1</v>
      </c>
      <c r="Z92" s="134"/>
      <c r="AA92" s="156"/>
      <c r="AB92" s="157"/>
      <c r="AC92" s="157"/>
      <c r="AD92" s="157"/>
      <c r="AE92" s="159"/>
    </row>
    <row r="93" spans="3:41" x14ac:dyDescent="0.3">
      <c r="D93" s="160">
        <v>5</v>
      </c>
      <c r="E93" s="161" t="s">
        <v>3</v>
      </c>
      <c r="F93" s="138" t="s">
        <v>197</v>
      </c>
      <c r="G93" s="161">
        <v>100</v>
      </c>
      <c r="H93" s="161">
        <v>5</v>
      </c>
      <c r="I93" s="161">
        <v>10</v>
      </c>
      <c r="J93" s="161">
        <v>0</v>
      </c>
      <c r="K93" s="161">
        <v>0</v>
      </c>
      <c r="L93" s="138">
        <v>100</v>
      </c>
      <c r="M93" s="155"/>
      <c r="N93" s="160" t="s">
        <v>753</v>
      </c>
      <c r="O93" s="161" t="s">
        <v>553</v>
      </c>
      <c r="P93" s="161">
        <v>10</v>
      </c>
      <c r="Q93" s="162">
        <v>1</v>
      </c>
      <c r="R93" s="160" t="s">
        <v>9</v>
      </c>
      <c r="S93" s="161" t="s">
        <v>559</v>
      </c>
      <c r="T93" s="161">
        <v>10</v>
      </c>
      <c r="U93" s="162">
        <v>1</v>
      </c>
      <c r="V93" s="160" t="s">
        <v>732</v>
      </c>
      <c r="W93" s="161" t="s">
        <v>542</v>
      </c>
      <c r="X93" s="161">
        <v>10</v>
      </c>
      <c r="Y93" s="162">
        <v>1</v>
      </c>
      <c r="Z93" s="134"/>
      <c r="AA93" s="160"/>
      <c r="AB93" s="161"/>
      <c r="AC93" s="161"/>
      <c r="AD93" s="161"/>
      <c r="AE93" s="138"/>
    </row>
    <row r="94" spans="3:41" x14ac:dyDescent="0.3">
      <c r="C94" t="s">
        <v>6856</v>
      </c>
      <c r="D94" s="152">
        <v>5</v>
      </c>
      <c r="E94" s="153" t="s">
        <v>2</v>
      </c>
      <c r="F94" s="154" t="s">
        <v>255</v>
      </c>
      <c r="G94" s="153">
        <v>115</v>
      </c>
      <c r="H94" s="153">
        <v>5</v>
      </c>
      <c r="I94" s="153">
        <v>10</v>
      </c>
      <c r="J94" s="153">
        <v>10</v>
      </c>
      <c r="K94" s="153">
        <v>3</v>
      </c>
      <c r="L94" s="154">
        <v>100</v>
      </c>
      <c r="M94" s="155"/>
      <c r="N94" s="156" t="s">
        <v>712</v>
      </c>
      <c r="O94" s="157" t="s">
        <v>522</v>
      </c>
      <c r="P94" s="157">
        <v>10</v>
      </c>
      <c r="Q94" s="158">
        <v>1</v>
      </c>
      <c r="R94" s="156" t="s">
        <v>727</v>
      </c>
      <c r="S94" s="157" t="s">
        <v>538</v>
      </c>
      <c r="T94" s="157">
        <v>10</v>
      </c>
      <c r="U94" s="158">
        <v>1</v>
      </c>
      <c r="V94" s="156" t="s">
        <v>701</v>
      </c>
      <c r="W94" s="157" t="s">
        <v>255</v>
      </c>
      <c r="X94" s="157">
        <v>10</v>
      </c>
      <c r="Y94" s="158">
        <v>1</v>
      </c>
      <c r="Z94" s="134"/>
      <c r="AA94" s="156"/>
      <c r="AB94" s="157"/>
      <c r="AC94" s="157"/>
      <c r="AD94" s="157"/>
      <c r="AE94" s="159"/>
      <c r="AG94" s="160" t="s">
        <v>645</v>
      </c>
      <c r="AH94" s="161">
        <v>5</v>
      </c>
      <c r="AI94" s="161">
        <v>100</v>
      </c>
      <c r="AJ94" s="161">
        <v>10</v>
      </c>
      <c r="AK94" s="138" t="s">
        <v>697</v>
      </c>
      <c r="AM94" s="140"/>
      <c r="AN94" s="140"/>
      <c r="AO94" s="140"/>
    </row>
    <row r="95" spans="3:41" x14ac:dyDescent="0.3">
      <c r="D95" s="156">
        <v>5</v>
      </c>
      <c r="E95" s="157" t="s">
        <v>3</v>
      </c>
      <c r="F95" s="159" t="s">
        <v>814</v>
      </c>
      <c r="G95" s="157">
        <v>100</v>
      </c>
      <c r="H95" s="157">
        <v>5</v>
      </c>
      <c r="I95" s="157">
        <v>10</v>
      </c>
      <c r="J95" s="157">
        <v>0</v>
      </c>
      <c r="K95" s="157">
        <v>0</v>
      </c>
      <c r="L95" s="159">
        <v>100</v>
      </c>
      <c r="M95" s="155"/>
      <c r="N95" s="156" t="s">
        <v>753</v>
      </c>
      <c r="O95" s="157" t="s">
        <v>553</v>
      </c>
      <c r="P95" s="157">
        <v>10</v>
      </c>
      <c r="Q95" s="158">
        <v>1</v>
      </c>
      <c r="R95" s="156" t="s">
        <v>9</v>
      </c>
      <c r="S95" s="157" t="s">
        <v>559</v>
      </c>
      <c r="T95" s="157">
        <v>10</v>
      </c>
      <c r="U95" s="158">
        <v>1</v>
      </c>
      <c r="V95" s="156" t="s">
        <v>732</v>
      </c>
      <c r="W95" s="157" t="s">
        <v>542</v>
      </c>
      <c r="X95" s="157">
        <v>10</v>
      </c>
      <c r="Y95" s="158">
        <v>1</v>
      </c>
      <c r="Z95" s="134"/>
      <c r="AA95" s="156"/>
      <c r="AB95" s="157"/>
      <c r="AC95" s="157"/>
      <c r="AD95" s="157"/>
      <c r="AE95" s="159"/>
      <c r="AM95" s="140">
        <v>3</v>
      </c>
      <c r="AN95" s="140">
        <v>5</v>
      </c>
      <c r="AO95" s="140"/>
    </row>
    <row r="96" spans="3:41" x14ac:dyDescent="0.3">
      <c r="D96" s="156">
        <v>6</v>
      </c>
      <c r="E96" s="157" t="s">
        <v>3</v>
      </c>
      <c r="F96" s="159" t="s">
        <v>262</v>
      </c>
      <c r="G96" s="157">
        <v>110</v>
      </c>
      <c r="H96" s="157">
        <v>5</v>
      </c>
      <c r="I96" s="157">
        <v>10</v>
      </c>
      <c r="J96" s="157">
        <v>10</v>
      </c>
      <c r="K96" s="157">
        <v>2</v>
      </c>
      <c r="L96" s="159">
        <v>100</v>
      </c>
      <c r="M96" s="155"/>
      <c r="N96" s="156" t="s">
        <v>753</v>
      </c>
      <c r="O96" s="157" t="s">
        <v>553</v>
      </c>
      <c r="P96" s="157">
        <v>10</v>
      </c>
      <c r="Q96" s="158">
        <v>1</v>
      </c>
      <c r="R96" s="156" t="s">
        <v>9</v>
      </c>
      <c r="S96" s="157" t="s">
        <v>559</v>
      </c>
      <c r="T96" s="157">
        <v>10</v>
      </c>
      <c r="U96" s="158">
        <v>1</v>
      </c>
      <c r="V96" s="156" t="s">
        <v>732</v>
      </c>
      <c r="W96" s="157" t="s">
        <v>542</v>
      </c>
      <c r="X96" s="157">
        <v>10</v>
      </c>
      <c r="Y96" s="158">
        <v>1</v>
      </c>
      <c r="Z96" s="134"/>
      <c r="AA96" s="156"/>
      <c r="AB96" s="157"/>
      <c r="AC96" s="157"/>
      <c r="AD96" s="157"/>
      <c r="AE96" s="159"/>
      <c r="AM96" s="140">
        <v>4</v>
      </c>
      <c r="AN96" s="140">
        <v>1</v>
      </c>
      <c r="AO96" s="140">
        <v>2</v>
      </c>
    </row>
    <row r="97" spans="3:41" x14ac:dyDescent="0.3">
      <c r="D97" s="156">
        <v>5</v>
      </c>
      <c r="E97" s="157" t="s">
        <v>3</v>
      </c>
      <c r="F97" s="159" t="s">
        <v>792</v>
      </c>
      <c r="G97" s="157">
        <v>100</v>
      </c>
      <c r="H97" s="157">
        <v>5</v>
      </c>
      <c r="I97" s="157">
        <v>10</v>
      </c>
      <c r="J97" s="157">
        <v>0</v>
      </c>
      <c r="K97" s="157">
        <v>0</v>
      </c>
      <c r="L97" s="159">
        <v>100</v>
      </c>
      <c r="M97" s="155"/>
      <c r="N97" s="156" t="s">
        <v>753</v>
      </c>
      <c r="O97" s="157" t="s">
        <v>553</v>
      </c>
      <c r="P97" s="157">
        <v>10</v>
      </c>
      <c r="Q97" s="158">
        <v>1</v>
      </c>
      <c r="R97" s="156" t="s">
        <v>9</v>
      </c>
      <c r="S97" s="157" t="s">
        <v>559</v>
      </c>
      <c r="T97" s="157">
        <v>10</v>
      </c>
      <c r="U97" s="158">
        <v>1</v>
      </c>
      <c r="V97" s="156" t="s">
        <v>732</v>
      </c>
      <c r="W97" s="157" t="s">
        <v>542</v>
      </c>
      <c r="X97" s="157">
        <v>10</v>
      </c>
      <c r="Y97" s="158">
        <v>1</v>
      </c>
      <c r="Z97" s="134"/>
      <c r="AA97" s="156"/>
      <c r="AB97" s="157"/>
      <c r="AC97" s="157"/>
      <c r="AD97" s="157"/>
      <c r="AE97" s="159"/>
    </row>
    <row r="98" spans="3:41" x14ac:dyDescent="0.3">
      <c r="D98" s="160">
        <v>5</v>
      </c>
      <c r="E98" s="161" t="s">
        <v>5</v>
      </c>
      <c r="F98" s="138" t="s">
        <v>810</v>
      </c>
      <c r="G98" s="161">
        <v>100</v>
      </c>
      <c r="H98" s="161">
        <v>5</v>
      </c>
      <c r="I98" s="161">
        <v>10</v>
      </c>
      <c r="J98" s="161">
        <v>0</v>
      </c>
      <c r="K98" s="161">
        <v>0</v>
      </c>
      <c r="L98" s="138">
        <v>100</v>
      </c>
      <c r="M98" s="155"/>
      <c r="N98" s="160" t="s">
        <v>637</v>
      </c>
      <c r="O98" s="161" t="s">
        <v>545</v>
      </c>
      <c r="P98" s="161">
        <v>10</v>
      </c>
      <c r="Q98" s="162">
        <v>1</v>
      </c>
      <c r="R98" s="160" t="s">
        <v>914</v>
      </c>
      <c r="S98" s="161" t="s">
        <v>905</v>
      </c>
      <c r="T98" s="161">
        <v>10</v>
      </c>
      <c r="U98" s="162">
        <v>1</v>
      </c>
      <c r="V98" s="160" t="s">
        <v>6364</v>
      </c>
      <c r="W98" s="161" t="s">
        <v>6368</v>
      </c>
      <c r="X98" s="161">
        <v>10</v>
      </c>
      <c r="Y98" s="162">
        <v>1</v>
      </c>
      <c r="Z98" s="134"/>
      <c r="AA98" s="160"/>
      <c r="AB98" s="161"/>
      <c r="AC98" s="161"/>
      <c r="AD98" s="161"/>
      <c r="AE98" s="138"/>
    </row>
    <row r="99" spans="3:41" x14ac:dyDescent="0.3">
      <c r="C99" t="s">
        <v>6857</v>
      </c>
      <c r="D99" s="152">
        <v>6</v>
      </c>
      <c r="E99" s="153" t="s">
        <v>4</v>
      </c>
      <c r="F99" s="154" t="s">
        <v>926</v>
      </c>
      <c r="G99" s="153">
        <v>115</v>
      </c>
      <c r="H99" s="153">
        <v>5</v>
      </c>
      <c r="I99" s="153">
        <v>10</v>
      </c>
      <c r="J99" s="153">
        <v>10</v>
      </c>
      <c r="K99" s="153">
        <v>3</v>
      </c>
      <c r="L99" s="154">
        <v>100</v>
      </c>
      <c r="M99" s="155"/>
      <c r="N99" s="156" t="s">
        <v>701</v>
      </c>
      <c r="O99" s="157" t="s">
        <v>299</v>
      </c>
      <c r="P99" s="157">
        <v>10</v>
      </c>
      <c r="Q99" s="158">
        <v>1</v>
      </c>
      <c r="R99" s="156" t="s">
        <v>701</v>
      </c>
      <c r="S99" s="157" t="s">
        <v>926</v>
      </c>
      <c r="T99" s="157">
        <v>10</v>
      </c>
      <c r="U99" s="158">
        <v>1</v>
      </c>
      <c r="V99" s="156" t="s">
        <v>741</v>
      </c>
      <c r="W99" s="157" t="s">
        <v>555</v>
      </c>
      <c r="X99" s="157">
        <v>10</v>
      </c>
      <c r="Y99" s="158">
        <v>1</v>
      </c>
      <c r="Z99" s="134"/>
      <c r="AA99" s="156"/>
      <c r="AB99" s="157"/>
      <c r="AC99" s="157"/>
      <c r="AD99" s="157"/>
      <c r="AE99" s="159"/>
      <c r="AG99" s="160" t="s">
        <v>645</v>
      </c>
      <c r="AH99" s="161">
        <v>5</v>
      </c>
      <c r="AI99" s="161">
        <v>100</v>
      </c>
      <c r="AJ99" s="161">
        <v>10</v>
      </c>
      <c r="AK99" s="138" t="s">
        <v>697</v>
      </c>
      <c r="AM99" s="140"/>
      <c r="AN99" s="140"/>
      <c r="AO99" s="140"/>
    </row>
    <row r="100" spans="3:41" x14ac:dyDescent="0.3">
      <c r="D100" s="156">
        <v>5</v>
      </c>
      <c r="E100" s="157" t="s">
        <v>6</v>
      </c>
      <c r="F100" s="159" t="s">
        <v>171</v>
      </c>
      <c r="G100" s="157">
        <v>100</v>
      </c>
      <c r="H100" s="157">
        <v>5</v>
      </c>
      <c r="I100" s="157">
        <v>10</v>
      </c>
      <c r="J100" s="157">
        <v>0</v>
      </c>
      <c r="K100" s="157">
        <v>0</v>
      </c>
      <c r="L100" s="159">
        <v>100</v>
      </c>
      <c r="M100" s="155"/>
      <c r="N100" s="156" t="s">
        <v>712</v>
      </c>
      <c r="O100" s="157" t="s">
        <v>522</v>
      </c>
      <c r="P100" s="157">
        <v>10</v>
      </c>
      <c r="Q100" s="158">
        <v>1</v>
      </c>
      <c r="R100" s="156" t="s">
        <v>720</v>
      </c>
      <c r="S100" s="157" t="s">
        <v>534</v>
      </c>
      <c r="T100" s="157">
        <v>10</v>
      </c>
      <c r="U100" s="158">
        <v>1</v>
      </c>
      <c r="V100" s="156" t="s">
        <v>742</v>
      </c>
      <c r="W100" s="157" t="s">
        <v>571</v>
      </c>
      <c r="X100" s="157">
        <v>10</v>
      </c>
      <c r="Y100" s="158">
        <v>1</v>
      </c>
      <c r="Z100" s="134"/>
      <c r="AA100" s="156"/>
      <c r="AB100" s="157"/>
      <c r="AC100" s="157"/>
      <c r="AD100" s="157"/>
      <c r="AE100" s="159"/>
      <c r="AM100" s="140">
        <v>1</v>
      </c>
      <c r="AN100" s="140"/>
      <c r="AO100" s="140">
        <v>4</v>
      </c>
    </row>
    <row r="101" spans="3:41" x14ac:dyDescent="0.3">
      <c r="D101" s="156">
        <v>5</v>
      </c>
      <c r="E101" s="157" t="s">
        <v>3</v>
      </c>
      <c r="F101" s="159" t="s">
        <v>197</v>
      </c>
      <c r="G101" s="157">
        <v>110</v>
      </c>
      <c r="H101" s="157">
        <v>5</v>
      </c>
      <c r="I101" s="157">
        <v>10</v>
      </c>
      <c r="J101" s="157">
        <v>10</v>
      </c>
      <c r="K101" s="157">
        <v>2</v>
      </c>
      <c r="L101" s="159">
        <v>100</v>
      </c>
      <c r="M101" s="155"/>
      <c r="N101" s="156" t="s">
        <v>753</v>
      </c>
      <c r="O101" s="157" t="s">
        <v>553</v>
      </c>
      <c r="P101" s="157">
        <v>10</v>
      </c>
      <c r="Q101" s="158">
        <v>1</v>
      </c>
      <c r="R101" s="156" t="s">
        <v>9</v>
      </c>
      <c r="S101" s="157" t="s">
        <v>559</v>
      </c>
      <c r="T101" s="157">
        <v>10</v>
      </c>
      <c r="U101" s="158">
        <v>1</v>
      </c>
      <c r="V101" s="156" t="s">
        <v>732</v>
      </c>
      <c r="W101" s="157" t="s">
        <v>542</v>
      </c>
      <c r="X101" s="157">
        <v>10</v>
      </c>
      <c r="Y101" s="158">
        <v>1</v>
      </c>
      <c r="Z101" s="134"/>
      <c r="AA101" s="156"/>
      <c r="AB101" s="157"/>
      <c r="AC101" s="157"/>
      <c r="AD101" s="157"/>
      <c r="AE101" s="159"/>
      <c r="AM101" s="140">
        <v>2</v>
      </c>
      <c r="AN101" s="140">
        <v>3</v>
      </c>
      <c r="AO101" s="140">
        <v>5</v>
      </c>
    </row>
    <row r="102" spans="3:41" x14ac:dyDescent="0.3">
      <c r="D102" s="156">
        <v>4</v>
      </c>
      <c r="E102" s="157" t="s">
        <v>5</v>
      </c>
      <c r="F102" s="159" t="s">
        <v>927</v>
      </c>
      <c r="G102" s="157">
        <v>115</v>
      </c>
      <c r="H102" s="157">
        <v>5</v>
      </c>
      <c r="I102" s="157">
        <v>10</v>
      </c>
      <c r="J102" s="157">
        <v>10</v>
      </c>
      <c r="K102" s="157">
        <v>3</v>
      </c>
      <c r="L102" s="159">
        <v>100</v>
      </c>
      <c r="M102" s="155"/>
      <c r="N102" s="156" t="s">
        <v>701</v>
      </c>
      <c r="O102" s="157" t="s">
        <v>927</v>
      </c>
      <c r="P102" s="157">
        <v>10</v>
      </c>
      <c r="Q102" s="158">
        <v>1</v>
      </c>
      <c r="R102" s="156" t="s">
        <v>914</v>
      </c>
      <c r="S102" s="157" t="s">
        <v>905</v>
      </c>
      <c r="T102" s="157">
        <v>0</v>
      </c>
      <c r="U102" s="158">
        <v>1</v>
      </c>
      <c r="V102" s="156" t="s">
        <v>6364</v>
      </c>
      <c r="W102" s="157" t="s">
        <v>6368</v>
      </c>
      <c r="X102" s="157">
        <v>10</v>
      </c>
      <c r="Y102" s="158">
        <v>1</v>
      </c>
      <c r="Z102" s="134"/>
      <c r="AA102" s="156"/>
      <c r="AB102" s="157"/>
      <c r="AC102" s="157"/>
      <c r="AD102" s="157"/>
      <c r="AE102" s="159"/>
    </row>
    <row r="103" spans="3:41" x14ac:dyDescent="0.3">
      <c r="D103" s="160">
        <v>4</v>
      </c>
      <c r="E103" s="161" t="s">
        <v>5</v>
      </c>
      <c r="F103" s="138" t="s">
        <v>1604</v>
      </c>
      <c r="G103" s="161">
        <v>100</v>
      </c>
      <c r="H103" s="161">
        <v>5</v>
      </c>
      <c r="I103" s="161">
        <v>10</v>
      </c>
      <c r="J103" s="161">
        <v>0</v>
      </c>
      <c r="K103" s="161">
        <v>0</v>
      </c>
      <c r="L103" s="138">
        <v>100</v>
      </c>
      <c r="M103" s="155"/>
      <c r="N103" s="160" t="s">
        <v>637</v>
      </c>
      <c r="O103" s="161" t="s">
        <v>545</v>
      </c>
      <c r="P103" s="161">
        <v>10</v>
      </c>
      <c r="Q103" s="162">
        <v>1</v>
      </c>
      <c r="R103" s="160" t="s">
        <v>914</v>
      </c>
      <c r="S103" s="161" t="s">
        <v>905</v>
      </c>
      <c r="T103" s="161">
        <v>0</v>
      </c>
      <c r="U103" s="162">
        <v>1</v>
      </c>
      <c r="V103" s="160" t="s">
        <v>6364</v>
      </c>
      <c r="W103" s="161" t="s">
        <v>6368</v>
      </c>
      <c r="X103" s="161">
        <v>10</v>
      </c>
      <c r="Y103" s="162">
        <v>1</v>
      </c>
      <c r="Z103" s="134"/>
      <c r="AA103" s="160"/>
      <c r="AB103" s="161"/>
      <c r="AC103" s="161"/>
      <c r="AD103" s="161"/>
      <c r="AE103" s="138"/>
    </row>
    <row r="104" spans="3:41" x14ac:dyDescent="0.3">
      <c r="C104" t="s">
        <v>6860</v>
      </c>
      <c r="D104" s="152">
        <v>5</v>
      </c>
      <c r="E104" s="153" t="s">
        <v>5</v>
      </c>
      <c r="F104" s="154" t="s">
        <v>4710</v>
      </c>
      <c r="G104" s="153">
        <v>100</v>
      </c>
      <c r="H104" s="153">
        <v>5</v>
      </c>
      <c r="I104" s="153">
        <v>10</v>
      </c>
      <c r="J104" s="153">
        <v>0</v>
      </c>
      <c r="K104" s="153">
        <v>0</v>
      </c>
      <c r="L104" s="154">
        <v>100</v>
      </c>
      <c r="M104" s="155"/>
      <c r="N104" s="156" t="s">
        <v>712</v>
      </c>
      <c r="O104" s="157" t="s">
        <v>522</v>
      </c>
      <c r="P104" s="157">
        <v>10</v>
      </c>
      <c r="Q104" s="158">
        <v>1</v>
      </c>
      <c r="R104" s="156" t="s">
        <v>914</v>
      </c>
      <c r="S104" s="157" t="s">
        <v>909</v>
      </c>
      <c r="T104" s="157">
        <v>10</v>
      </c>
      <c r="U104" s="158">
        <v>1</v>
      </c>
      <c r="V104" s="156" t="s">
        <v>637</v>
      </c>
      <c r="W104" s="157" t="s">
        <v>545</v>
      </c>
      <c r="X104" s="157">
        <v>10</v>
      </c>
      <c r="Y104" s="158">
        <v>1</v>
      </c>
      <c r="Z104" s="134"/>
      <c r="AA104" s="156"/>
      <c r="AB104" s="157"/>
      <c r="AC104" s="157"/>
      <c r="AD104" s="157"/>
      <c r="AE104" s="159"/>
      <c r="AG104" s="160" t="s">
        <v>645</v>
      </c>
      <c r="AH104" s="161">
        <v>5</v>
      </c>
      <c r="AI104" s="161">
        <v>100</v>
      </c>
      <c r="AJ104" s="161">
        <v>10</v>
      </c>
      <c r="AK104" s="138" t="s">
        <v>697</v>
      </c>
      <c r="AM104" s="140">
        <v>4</v>
      </c>
      <c r="AN104" s="140">
        <v>1</v>
      </c>
      <c r="AO104" s="140"/>
    </row>
    <row r="105" spans="3:41" x14ac:dyDescent="0.3">
      <c r="D105" s="156">
        <v>5</v>
      </c>
      <c r="E105" s="157" t="s">
        <v>3</v>
      </c>
      <c r="F105" s="159" t="s">
        <v>197</v>
      </c>
      <c r="G105" s="157">
        <v>100</v>
      </c>
      <c r="H105" s="157">
        <v>5</v>
      </c>
      <c r="I105" s="157">
        <v>10</v>
      </c>
      <c r="J105" s="157">
        <v>0</v>
      </c>
      <c r="K105" s="157">
        <v>0</v>
      </c>
      <c r="L105" s="159">
        <v>100</v>
      </c>
      <c r="M105" s="155"/>
      <c r="N105" s="156" t="s">
        <v>753</v>
      </c>
      <c r="O105" s="157" t="s">
        <v>553</v>
      </c>
      <c r="P105" s="157">
        <v>10</v>
      </c>
      <c r="Q105" s="158">
        <v>1</v>
      </c>
      <c r="R105" s="156" t="s">
        <v>9</v>
      </c>
      <c r="S105" s="157" t="s">
        <v>559</v>
      </c>
      <c r="T105" s="157">
        <v>10</v>
      </c>
      <c r="U105" s="158">
        <v>1</v>
      </c>
      <c r="V105" s="156" t="s">
        <v>732</v>
      </c>
      <c r="W105" s="157" t="s">
        <v>542</v>
      </c>
      <c r="X105" s="157">
        <v>10</v>
      </c>
      <c r="Y105" s="158">
        <v>1</v>
      </c>
      <c r="Z105" s="134"/>
      <c r="AA105" s="156"/>
      <c r="AB105" s="157"/>
      <c r="AC105" s="157"/>
      <c r="AD105" s="157"/>
      <c r="AE105" s="159"/>
      <c r="AM105" s="140"/>
      <c r="AN105" s="140">
        <v>5</v>
      </c>
      <c r="AO105" s="140"/>
    </row>
    <row r="106" spans="3:41" x14ac:dyDescent="0.3">
      <c r="D106" s="156">
        <v>5</v>
      </c>
      <c r="E106" s="157" t="s">
        <v>6</v>
      </c>
      <c r="F106" s="159" t="s">
        <v>171</v>
      </c>
      <c r="G106" s="157">
        <v>100</v>
      </c>
      <c r="H106" s="157">
        <v>5</v>
      </c>
      <c r="I106" s="157">
        <v>10</v>
      </c>
      <c r="J106" s="157">
        <v>0</v>
      </c>
      <c r="K106" s="157">
        <v>0</v>
      </c>
      <c r="L106" s="159">
        <v>100</v>
      </c>
      <c r="M106" s="155"/>
      <c r="N106" s="156" t="s">
        <v>712</v>
      </c>
      <c r="O106" s="157" t="s">
        <v>522</v>
      </c>
      <c r="P106" s="157">
        <v>10</v>
      </c>
      <c r="Q106" s="158">
        <v>1</v>
      </c>
      <c r="R106" s="156" t="s">
        <v>914</v>
      </c>
      <c r="S106" s="157" t="s">
        <v>5667</v>
      </c>
      <c r="T106" s="157">
        <v>10</v>
      </c>
      <c r="U106" s="158">
        <v>1</v>
      </c>
      <c r="V106" s="156" t="s">
        <v>742</v>
      </c>
      <c r="W106" s="157" t="s">
        <v>571</v>
      </c>
      <c r="X106" s="157">
        <v>10</v>
      </c>
      <c r="Y106" s="158">
        <v>1</v>
      </c>
      <c r="Z106" s="134"/>
      <c r="AA106" s="156"/>
      <c r="AB106" s="157"/>
      <c r="AC106" s="157"/>
      <c r="AD106" s="157"/>
      <c r="AE106" s="159"/>
      <c r="AM106" s="140">
        <v>3</v>
      </c>
      <c r="AN106" s="140">
        <v>2</v>
      </c>
      <c r="AO106" s="140"/>
    </row>
    <row r="107" spans="3:41" x14ac:dyDescent="0.3">
      <c r="D107" s="156">
        <v>5</v>
      </c>
      <c r="E107" s="157" t="s">
        <v>6</v>
      </c>
      <c r="F107" s="159" t="s">
        <v>201</v>
      </c>
      <c r="G107" s="157">
        <v>100</v>
      </c>
      <c r="H107" s="157">
        <v>5</v>
      </c>
      <c r="I107" s="157">
        <v>10</v>
      </c>
      <c r="J107" s="157">
        <v>0</v>
      </c>
      <c r="K107" s="157">
        <v>0</v>
      </c>
      <c r="L107" s="159">
        <v>100</v>
      </c>
      <c r="M107" s="155"/>
      <c r="N107" s="156" t="s">
        <v>712</v>
      </c>
      <c r="O107" s="157" t="s">
        <v>522</v>
      </c>
      <c r="P107" s="157">
        <v>10</v>
      </c>
      <c r="Q107" s="158">
        <v>1</v>
      </c>
      <c r="R107" s="156" t="s">
        <v>914</v>
      </c>
      <c r="S107" s="157" t="s">
        <v>5667</v>
      </c>
      <c r="T107" s="157">
        <v>10</v>
      </c>
      <c r="U107" s="158">
        <v>1</v>
      </c>
      <c r="V107" s="156" t="s">
        <v>742</v>
      </c>
      <c r="W107" s="157" t="s">
        <v>571</v>
      </c>
      <c r="X107" s="157">
        <v>10</v>
      </c>
      <c r="Y107" s="158">
        <v>1</v>
      </c>
      <c r="Z107" s="134"/>
      <c r="AA107" s="156"/>
      <c r="AB107" s="157"/>
      <c r="AC107" s="157"/>
      <c r="AD107" s="157"/>
      <c r="AE107" s="159"/>
    </row>
    <row r="108" spans="3:41" x14ac:dyDescent="0.3">
      <c r="D108" s="160">
        <v>5</v>
      </c>
      <c r="E108" s="161" t="s">
        <v>5</v>
      </c>
      <c r="F108" s="138" t="s">
        <v>810</v>
      </c>
      <c r="G108" s="161">
        <v>100</v>
      </c>
      <c r="H108" s="161">
        <v>5</v>
      </c>
      <c r="I108" s="161">
        <v>10</v>
      </c>
      <c r="J108" s="161">
        <v>0</v>
      </c>
      <c r="K108" s="161">
        <v>0</v>
      </c>
      <c r="L108" s="138">
        <v>100</v>
      </c>
      <c r="M108" s="155"/>
      <c r="N108" s="160" t="s">
        <v>6364</v>
      </c>
      <c r="O108" s="161" t="s">
        <v>6368</v>
      </c>
      <c r="P108" s="161">
        <v>10</v>
      </c>
      <c r="Q108" s="162">
        <v>1</v>
      </c>
      <c r="R108" s="160" t="s">
        <v>914</v>
      </c>
      <c r="S108" s="161" t="s">
        <v>905</v>
      </c>
      <c r="T108" s="161">
        <v>10</v>
      </c>
      <c r="U108" s="162">
        <v>1</v>
      </c>
      <c r="V108" s="160" t="s">
        <v>637</v>
      </c>
      <c r="W108" s="161" t="s">
        <v>545</v>
      </c>
      <c r="X108" s="161">
        <v>10</v>
      </c>
      <c r="Y108" s="162">
        <v>1</v>
      </c>
      <c r="Z108" s="134"/>
      <c r="AA108" s="160"/>
      <c r="AB108" s="161"/>
      <c r="AC108" s="161"/>
      <c r="AD108" s="161"/>
      <c r="AE108" s="138"/>
    </row>
    <row r="109" spans="3:41" x14ac:dyDescent="0.3">
      <c r="C109" t="s">
        <v>6861</v>
      </c>
      <c r="D109" s="152">
        <v>5</v>
      </c>
      <c r="E109" s="153" t="s">
        <v>6</v>
      </c>
      <c r="F109" s="154" t="s">
        <v>171</v>
      </c>
      <c r="G109" s="153">
        <v>100</v>
      </c>
      <c r="H109" s="153">
        <v>5</v>
      </c>
      <c r="I109" s="153">
        <v>10</v>
      </c>
      <c r="J109" s="153">
        <v>0</v>
      </c>
      <c r="K109" s="153">
        <v>0</v>
      </c>
      <c r="L109" s="154">
        <v>100</v>
      </c>
      <c r="M109" s="155"/>
      <c r="N109" s="156" t="s">
        <v>712</v>
      </c>
      <c r="O109" s="157" t="s">
        <v>522</v>
      </c>
      <c r="P109" s="157">
        <v>10</v>
      </c>
      <c r="Q109" s="158">
        <v>1</v>
      </c>
      <c r="R109" s="156" t="s">
        <v>914</v>
      </c>
      <c r="S109" s="157" t="s">
        <v>5667</v>
      </c>
      <c r="T109" s="157">
        <v>10</v>
      </c>
      <c r="U109" s="158">
        <v>1</v>
      </c>
      <c r="V109" s="156" t="s">
        <v>742</v>
      </c>
      <c r="W109" s="157" t="s">
        <v>571</v>
      </c>
      <c r="X109" s="157">
        <v>10</v>
      </c>
      <c r="Y109" s="158">
        <v>1</v>
      </c>
      <c r="Z109" s="134"/>
      <c r="AA109" s="156"/>
      <c r="AB109" s="157"/>
      <c r="AC109" s="157"/>
      <c r="AD109" s="157"/>
      <c r="AE109" s="159"/>
      <c r="AG109" s="160" t="s">
        <v>645</v>
      </c>
      <c r="AH109" s="161">
        <v>5</v>
      </c>
      <c r="AI109" s="161">
        <v>100</v>
      </c>
      <c r="AJ109" s="161">
        <v>10</v>
      </c>
      <c r="AK109" s="138" t="s">
        <v>697</v>
      </c>
      <c r="AM109" s="140"/>
      <c r="AN109" s="140"/>
      <c r="AO109" s="140"/>
    </row>
    <row r="110" spans="3:41" x14ac:dyDescent="0.3">
      <c r="D110" s="156">
        <v>5</v>
      </c>
      <c r="E110" s="157" t="s">
        <v>3</v>
      </c>
      <c r="F110" s="159" t="s">
        <v>1665</v>
      </c>
      <c r="G110" s="157">
        <v>100</v>
      </c>
      <c r="H110" s="157">
        <v>5</v>
      </c>
      <c r="I110" s="157">
        <v>10</v>
      </c>
      <c r="J110" s="157">
        <v>0</v>
      </c>
      <c r="K110" s="157">
        <v>0</v>
      </c>
      <c r="L110" s="159">
        <v>100</v>
      </c>
      <c r="M110" s="155"/>
      <c r="N110" s="156" t="s">
        <v>753</v>
      </c>
      <c r="O110" s="157" t="s">
        <v>553</v>
      </c>
      <c r="P110" s="157">
        <v>10</v>
      </c>
      <c r="Q110" s="158">
        <v>1</v>
      </c>
      <c r="R110" s="156" t="s">
        <v>9</v>
      </c>
      <c r="S110" s="157" t="s">
        <v>559</v>
      </c>
      <c r="T110" s="157">
        <v>10</v>
      </c>
      <c r="U110" s="158">
        <v>1</v>
      </c>
      <c r="V110" s="156" t="s">
        <v>732</v>
      </c>
      <c r="W110" s="157" t="s">
        <v>542</v>
      </c>
      <c r="X110" s="157">
        <v>10</v>
      </c>
      <c r="Y110" s="158">
        <v>1</v>
      </c>
      <c r="Z110" s="134"/>
      <c r="AA110" s="156"/>
      <c r="AB110" s="157"/>
      <c r="AC110" s="157"/>
      <c r="AD110" s="157"/>
      <c r="AE110" s="159"/>
      <c r="AM110" s="140">
        <v>5</v>
      </c>
      <c r="AN110" s="140">
        <v>4</v>
      </c>
      <c r="AO110" s="140">
        <v>3</v>
      </c>
    </row>
    <row r="111" spans="3:41" x14ac:dyDescent="0.3">
      <c r="D111" s="156">
        <v>5</v>
      </c>
      <c r="E111" s="157" t="s">
        <v>5</v>
      </c>
      <c r="F111" s="159" t="s">
        <v>5631</v>
      </c>
      <c r="G111" s="157">
        <v>100</v>
      </c>
      <c r="H111" s="157">
        <v>5</v>
      </c>
      <c r="I111" s="157">
        <v>10</v>
      </c>
      <c r="J111" s="157">
        <v>0</v>
      </c>
      <c r="K111" s="157">
        <v>0</v>
      </c>
      <c r="L111" s="159">
        <v>100</v>
      </c>
      <c r="M111" s="155"/>
      <c r="N111" s="156" t="s">
        <v>6364</v>
      </c>
      <c r="O111" s="157" t="s">
        <v>6368</v>
      </c>
      <c r="P111" s="157">
        <v>10</v>
      </c>
      <c r="Q111" s="158">
        <v>1</v>
      </c>
      <c r="R111" s="156" t="s">
        <v>914</v>
      </c>
      <c r="S111" s="157" t="s">
        <v>905</v>
      </c>
      <c r="T111" s="157">
        <v>10</v>
      </c>
      <c r="U111" s="158">
        <v>1</v>
      </c>
      <c r="V111" s="156" t="s">
        <v>637</v>
      </c>
      <c r="W111" s="157" t="s">
        <v>545</v>
      </c>
      <c r="X111" s="157">
        <v>10</v>
      </c>
      <c r="Y111" s="158">
        <v>1</v>
      </c>
      <c r="Z111" s="134"/>
      <c r="AA111" s="156"/>
      <c r="AB111" s="157"/>
      <c r="AC111" s="157"/>
      <c r="AD111" s="157"/>
      <c r="AE111" s="159"/>
      <c r="AM111" s="140">
        <v>1</v>
      </c>
      <c r="AN111" s="140">
        <v>2</v>
      </c>
      <c r="AO111" s="140"/>
    </row>
    <row r="112" spans="3:41" x14ac:dyDescent="0.3">
      <c r="D112" s="156">
        <v>4</v>
      </c>
      <c r="E112" s="157" t="s">
        <v>7</v>
      </c>
      <c r="F112" s="159" t="s">
        <v>6387</v>
      </c>
      <c r="G112" s="157">
        <v>100</v>
      </c>
      <c r="H112" s="157">
        <v>5</v>
      </c>
      <c r="I112" s="157">
        <v>10</v>
      </c>
      <c r="J112" s="157">
        <v>0</v>
      </c>
      <c r="K112" s="157">
        <v>0</v>
      </c>
      <c r="L112" s="159">
        <v>100</v>
      </c>
      <c r="M112" s="155"/>
      <c r="N112" s="156" t="s">
        <v>753</v>
      </c>
      <c r="O112" s="157" t="s">
        <v>553</v>
      </c>
      <c r="P112" s="157">
        <v>10</v>
      </c>
      <c r="Q112" s="158">
        <v>1</v>
      </c>
      <c r="R112" s="156" t="s">
        <v>9</v>
      </c>
      <c r="S112" s="157" t="s">
        <v>559</v>
      </c>
      <c r="T112" s="157">
        <v>10</v>
      </c>
      <c r="U112" s="158">
        <v>1</v>
      </c>
      <c r="V112" s="156" t="s">
        <v>732</v>
      </c>
      <c r="W112" s="157" t="s">
        <v>542</v>
      </c>
      <c r="X112" s="157">
        <v>10</v>
      </c>
      <c r="Y112" s="158">
        <v>1</v>
      </c>
      <c r="Z112" s="134"/>
      <c r="AA112" s="156"/>
      <c r="AB112" s="157"/>
      <c r="AC112" s="157"/>
      <c r="AD112" s="157"/>
      <c r="AE112" s="159"/>
    </row>
    <row r="113" spans="3:41" x14ac:dyDescent="0.3">
      <c r="D113" s="160">
        <v>4</v>
      </c>
      <c r="E113" s="161" t="s">
        <v>7</v>
      </c>
      <c r="F113" s="138" t="s">
        <v>2135</v>
      </c>
      <c r="G113" s="161">
        <v>100</v>
      </c>
      <c r="H113" s="161">
        <v>5</v>
      </c>
      <c r="I113" s="161">
        <v>10</v>
      </c>
      <c r="J113" s="161">
        <v>0</v>
      </c>
      <c r="K113" s="161">
        <v>0</v>
      </c>
      <c r="L113" s="138">
        <v>100</v>
      </c>
      <c r="M113" s="155"/>
      <c r="N113" s="160" t="s">
        <v>753</v>
      </c>
      <c r="O113" s="161" t="s">
        <v>553</v>
      </c>
      <c r="P113" s="161">
        <v>10</v>
      </c>
      <c r="Q113" s="162">
        <v>1</v>
      </c>
      <c r="R113" s="160" t="s">
        <v>9</v>
      </c>
      <c r="S113" s="161" t="s">
        <v>559</v>
      </c>
      <c r="T113" s="161">
        <v>10</v>
      </c>
      <c r="U113" s="162">
        <v>1</v>
      </c>
      <c r="V113" s="160" t="s">
        <v>732</v>
      </c>
      <c r="W113" s="161" t="s">
        <v>542</v>
      </c>
      <c r="X113" s="161">
        <v>10</v>
      </c>
      <c r="Y113" s="162">
        <v>1</v>
      </c>
      <c r="Z113" s="134"/>
      <c r="AA113" s="160"/>
      <c r="AB113" s="161"/>
      <c r="AC113" s="161"/>
      <c r="AD113" s="161"/>
      <c r="AE113" s="138"/>
    </row>
    <row r="114" spans="3:41" x14ac:dyDescent="0.3">
      <c r="C114" t="s">
        <v>6862</v>
      </c>
      <c r="D114" s="152">
        <v>5</v>
      </c>
      <c r="E114" s="153" t="s">
        <v>5</v>
      </c>
      <c r="F114" s="154" t="s">
        <v>810</v>
      </c>
      <c r="G114" s="153">
        <v>100</v>
      </c>
      <c r="H114" s="153">
        <v>5</v>
      </c>
      <c r="I114" s="153">
        <v>10</v>
      </c>
      <c r="J114" s="153">
        <v>0</v>
      </c>
      <c r="K114" s="153">
        <v>0</v>
      </c>
      <c r="L114" s="154">
        <v>100</v>
      </c>
      <c r="M114" s="155"/>
      <c r="N114" s="156" t="s">
        <v>6364</v>
      </c>
      <c r="O114" s="157" t="s">
        <v>6368</v>
      </c>
      <c r="P114" s="157">
        <v>10</v>
      </c>
      <c r="Q114" s="158">
        <v>1</v>
      </c>
      <c r="R114" s="156" t="s">
        <v>914</v>
      </c>
      <c r="S114" s="157" t="s">
        <v>905</v>
      </c>
      <c r="T114" s="157">
        <v>10</v>
      </c>
      <c r="U114" s="158">
        <v>1</v>
      </c>
      <c r="V114" s="156" t="s">
        <v>637</v>
      </c>
      <c r="W114" s="157" t="s">
        <v>545</v>
      </c>
      <c r="X114" s="157">
        <v>10</v>
      </c>
      <c r="Y114" s="158">
        <v>1</v>
      </c>
      <c r="Z114" s="134"/>
      <c r="AA114" s="156"/>
      <c r="AB114" s="157"/>
      <c r="AC114" s="157"/>
      <c r="AD114" s="157"/>
      <c r="AE114" s="159"/>
      <c r="AG114" s="160" t="s">
        <v>660</v>
      </c>
      <c r="AH114" s="161">
        <v>5</v>
      </c>
      <c r="AI114" s="161">
        <v>100</v>
      </c>
      <c r="AJ114" s="161">
        <v>10</v>
      </c>
      <c r="AK114" s="138" t="s">
        <v>697</v>
      </c>
      <c r="AM114" s="140">
        <v>3</v>
      </c>
      <c r="AN114" s="140"/>
      <c r="AO114" s="140"/>
    </row>
    <row r="115" spans="3:41" x14ac:dyDescent="0.3">
      <c r="D115" s="156">
        <v>5</v>
      </c>
      <c r="E115" s="157" t="s">
        <v>5</v>
      </c>
      <c r="F115" s="159" t="s">
        <v>4710</v>
      </c>
      <c r="G115" s="157">
        <v>100</v>
      </c>
      <c r="H115" s="157">
        <v>5</v>
      </c>
      <c r="I115" s="157">
        <v>10</v>
      </c>
      <c r="J115" s="157">
        <v>0</v>
      </c>
      <c r="K115" s="157">
        <v>0</v>
      </c>
      <c r="L115" s="159">
        <v>100</v>
      </c>
      <c r="M115" s="155"/>
      <c r="N115" s="156" t="s">
        <v>712</v>
      </c>
      <c r="O115" s="157" t="s">
        <v>522</v>
      </c>
      <c r="P115" s="157">
        <v>10</v>
      </c>
      <c r="Q115" s="158">
        <v>1</v>
      </c>
      <c r="R115" s="156" t="s">
        <v>914</v>
      </c>
      <c r="S115" s="157" t="s">
        <v>909</v>
      </c>
      <c r="T115" s="157">
        <v>10</v>
      </c>
      <c r="U115" s="158">
        <v>1</v>
      </c>
      <c r="V115" s="156" t="s">
        <v>637</v>
      </c>
      <c r="W115" s="157" t="s">
        <v>545</v>
      </c>
      <c r="X115" s="157">
        <v>10</v>
      </c>
      <c r="Y115" s="158">
        <v>1</v>
      </c>
      <c r="Z115" s="134"/>
      <c r="AA115" s="156"/>
      <c r="AB115" s="157"/>
      <c r="AC115" s="157"/>
      <c r="AD115" s="157"/>
      <c r="AE115" s="159"/>
      <c r="AM115" s="140">
        <v>1</v>
      </c>
      <c r="AN115" s="140">
        <v>4</v>
      </c>
      <c r="AO115" s="140">
        <v>3</v>
      </c>
    </row>
    <row r="116" spans="3:41" x14ac:dyDescent="0.3">
      <c r="D116" s="156">
        <v>4</v>
      </c>
      <c r="E116" s="157" t="s">
        <v>6</v>
      </c>
      <c r="F116" s="159" t="s">
        <v>838</v>
      </c>
      <c r="G116" s="157">
        <v>120</v>
      </c>
      <c r="H116" s="157">
        <v>5</v>
      </c>
      <c r="I116" s="157">
        <v>10</v>
      </c>
      <c r="J116" s="157">
        <v>10</v>
      </c>
      <c r="K116" s="157">
        <v>3</v>
      </c>
      <c r="L116" s="159">
        <v>100</v>
      </c>
      <c r="M116" s="155"/>
      <c r="N116" s="156" t="s">
        <v>712</v>
      </c>
      <c r="O116" s="157" t="s">
        <v>522</v>
      </c>
      <c r="P116" s="157">
        <v>10</v>
      </c>
      <c r="Q116" s="158">
        <v>1</v>
      </c>
      <c r="R116" s="156" t="s">
        <v>914</v>
      </c>
      <c r="S116" s="157" t="s">
        <v>5667</v>
      </c>
      <c r="T116" s="157">
        <v>10</v>
      </c>
      <c r="U116" s="158">
        <v>1</v>
      </c>
      <c r="V116" s="156" t="s">
        <v>742</v>
      </c>
      <c r="W116" s="157" t="s">
        <v>571</v>
      </c>
      <c r="X116" s="157">
        <v>10</v>
      </c>
      <c r="Y116" s="158">
        <v>1</v>
      </c>
      <c r="Z116" s="134"/>
      <c r="AA116" s="156"/>
      <c r="AB116" s="157"/>
      <c r="AC116" s="157"/>
      <c r="AD116" s="157"/>
      <c r="AE116" s="159"/>
      <c r="AM116" s="140">
        <v>2</v>
      </c>
      <c r="AN116" s="140">
        <v>5</v>
      </c>
      <c r="AO116" s="140"/>
    </row>
    <row r="117" spans="3:41" x14ac:dyDescent="0.3">
      <c r="D117" s="156">
        <v>6</v>
      </c>
      <c r="E117" s="157" t="s">
        <v>3</v>
      </c>
      <c r="F117" s="159" t="s">
        <v>262</v>
      </c>
      <c r="G117" s="157">
        <v>110</v>
      </c>
      <c r="H117" s="157">
        <v>5</v>
      </c>
      <c r="I117" s="157">
        <v>10</v>
      </c>
      <c r="J117" s="157">
        <v>10</v>
      </c>
      <c r="K117" s="157">
        <v>2</v>
      </c>
      <c r="L117" s="159">
        <v>100</v>
      </c>
      <c r="M117" s="155"/>
      <c r="N117" s="156" t="s">
        <v>753</v>
      </c>
      <c r="O117" s="157" t="s">
        <v>553</v>
      </c>
      <c r="P117" s="157">
        <v>10</v>
      </c>
      <c r="Q117" s="158">
        <v>1</v>
      </c>
      <c r="R117" s="156" t="s">
        <v>9</v>
      </c>
      <c r="S117" s="157" t="s">
        <v>559</v>
      </c>
      <c r="T117" s="157">
        <v>10</v>
      </c>
      <c r="U117" s="158">
        <v>1</v>
      </c>
      <c r="V117" s="156" t="s">
        <v>732</v>
      </c>
      <c r="W117" s="157" t="s">
        <v>542</v>
      </c>
      <c r="X117" s="157">
        <v>10</v>
      </c>
      <c r="Y117" s="158">
        <v>1</v>
      </c>
      <c r="Z117" s="134"/>
      <c r="AA117" s="156"/>
      <c r="AB117" s="157"/>
      <c r="AC117" s="157"/>
      <c r="AD117" s="157"/>
      <c r="AE117" s="159"/>
    </row>
    <row r="118" spans="3:41" x14ac:dyDescent="0.3">
      <c r="D118" s="160">
        <v>4</v>
      </c>
      <c r="E118" s="161" t="s">
        <v>7</v>
      </c>
      <c r="F118" s="138" t="s">
        <v>2135</v>
      </c>
      <c r="G118" s="161">
        <v>100</v>
      </c>
      <c r="H118" s="161">
        <v>5</v>
      </c>
      <c r="I118" s="161">
        <v>10</v>
      </c>
      <c r="J118" s="161">
        <v>0</v>
      </c>
      <c r="K118" s="161">
        <v>0</v>
      </c>
      <c r="L118" s="138">
        <v>100</v>
      </c>
      <c r="M118" s="155"/>
      <c r="N118" s="160" t="s">
        <v>753</v>
      </c>
      <c r="O118" s="161" t="s">
        <v>553</v>
      </c>
      <c r="P118" s="161">
        <v>10</v>
      </c>
      <c r="Q118" s="162">
        <v>1</v>
      </c>
      <c r="R118" s="160" t="s">
        <v>9</v>
      </c>
      <c r="S118" s="161" t="s">
        <v>559</v>
      </c>
      <c r="T118" s="161">
        <v>10</v>
      </c>
      <c r="U118" s="162">
        <v>1</v>
      </c>
      <c r="V118" s="160" t="s">
        <v>732</v>
      </c>
      <c r="W118" s="161" t="s">
        <v>542</v>
      </c>
      <c r="X118" s="161">
        <v>10</v>
      </c>
      <c r="Y118" s="162">
        <v>1</v>
      </c>
      <c r="Z118" s="134"/>
      <c r="AA118" s="160"/>
      <c r="AB118" s="161"/>
      <c r="AC118" s="161"/>
      <c r="AD118" s="161"/>
      <c r="AE118" s="138"/>
    </row>
    <row r="119" spans="3:41" x14ac:dyDescent="0.3">
      <c r="C119" t="s">
        <v>6858</v>
      </c>
      <c r="D119" s="152">
        <v>5</v>
      </c>
      <c r="E119" s="153" t="s">
        <v>6</v>
      </c>
      <c r="F119" s="154" t="s">
        <v>1393</v>
      </c>
      <c r="G119" s="153">
        <v>100</v>
      </c>
      <c r="H119" s="153">
        <v>5</v>
      </c>
      <c r="I119" s="153">
        <v>10</v>
      </c>
      <c r="J119" s="153">
        <v>0</v>
      </c>
      <c r="K119" s="153">
        <v>0</v>
      </c>
      <c r="L119" s="154">
        <v>100</v>
      </c>
      <c r="M119" s="155"/>
      <c r="N119" s="156" t="s">
        <v>712</v>
      </c>
      <c r="O119" s="157" t="s">
        <v>522</v>
      </c>
      <c r="P119" s="157">
        <v>10</v>
      </c>
      <c r="Q119" s="158">
        <v>1</v>
      </c>
      <c r="R119" s="156" t="s">
        <v>914</v>
      </c>
      <c r="S119" s="157" t="s">
        <v>5667</v>
      </c>
      <c r="T119" s="157">
        <v>10</v>
      </c>
      <c r="U119" s="158">
        <v>1</v>
      </c>
      <c r="V119" s="156" t="s">
        <v>701</v>
      </c>
      <c r="W119" s="157" t="s">
        <v>1393</v>
      </c>
      <c r="X119" s="157">
        <v>10</v>
      </c>
      <c r="Y119" s="158">
        <v>1</v>
      </c>
      <c r="Z119" s="134"/>
      <c r="AA119" s="156"/>
      <c r="AB119" s="157"/>
      <c r="AC119" s="157"/>
      <c r="AD119" s="157"/>
      <c r="AE119" s="159"/>
      <c r="AG119" s="160" t="s">
        <v>645</v>
      </c>
      <c r="AH119" s="161">
        <v>5</v>
      </c>
      <c r="AI119" s="161">
        <v>100</v>
      </c>
      <c r="AJ119" s="161">
        <v>10</v>
      </c>
      <c r="AK119" s="138" t="s">
        <v>697</v>
      </c>
      <c r="AM119" s="140">
        <v>2</v>
      </c>
      <c r="AN119" s="140">
        <v>5</v>
      </c>
      <c r="AO119" s="140"/>
    </row>
    <row r="120" spans="3:41" x14ac:dyDescent="0.3">
      <c r="D120" s="156">
        <v>4</v>
      </c>
      <c r="E120" s="157" t="s">
        <v>6</v>
      </c>
      <c r="F120" s="159" t="s">
        <v>829</v>
      </c>
      <c r="G120" s="157">
        <v>115</v>
      </c>
      <c r="H120" s="157">
        <v>5</v>
      </c>
      <c r="I120" s="157">
        <v>10</v>
      </c>
      <c r="J120" s="157">
        <v>10</v>
      </c>
      <c r="K120" s="157">
        <v>3</v>
      </c>
      <c r="L120" s="159">
        <v>100</v>
      </c>
      <c r="M120" s="155"/>
      <c r="N120" s="156" t="s">
        <v>712</v>
      </c>
      <c r="O120" s="157" t="s">
        <v>522</v>
      </c>
      <c r="P120" s="157">
        <v>10</v>
      </c>
      <c r="Q120" s="158">
        <v>1</v>
      </c>
      <c r="R120" s="156" t="s">
        <v>701</v>
      </c>
      <c r="S120" s="157" t="s">
        <v>829</v>
      </c>
      <c r="T120" s="157">
        <v>10</v>
      </c>
      <c r="U120" s="158">
        <v>1</v>
      </c>
      <c r="V120" s="156" t="s">
        <v>742</v>
      </c>
      <c r="W120" s="157" t="s">
        <v>571</v>
      </c>
      <c r="X120" s="157">
        <v>10</v>
      </c>
      <c r="Y120" s="158">
        <v>1</v>
      </c>
      <c r="Z120" s="134"/>
      <c r="AA120" s="156"/>
      <c r="AB120" s="157"/>
      <c r="AC120" s="157"/>
      <c r="AD120" s="157"/>
      <c r="AE120" s="159"/>
      <c r="AM120" s="140">
        <v>3</v>
      </c>
      <c r="AN120" s="140">
        <v>4</v>
      </c>
      <c r="AO120" s="140"/>
    </row>
    <row r="121" spans="3:41" x14ac:dyDescent="0.3">
      <c r="D121" s="156">
        <v>5</v>
      </c>
      <c r="E121" s="157" t="s">
        <v>3</v>
      </c>
      <c r="F121" s="159" t="s">
        <v>64</v>
      </c>
      <c r="G121" s="157">
        <v>100</v>
      </c>
      <c r="H121" s="157">
        <v>5</v>
      </c>
      <c r="I121" s="157">
        <v>10</v>
      </c>
      <c r="J121" s="157">
        <v>10</v>
      </c>
      <c r="K121" s="157">
        <v>0</v>
      </c>
      <c r="L121" s="159">
        <v>100</v>
      </c>
      <c r="M121" s="155"/>
      <c r="N121" s="156" t="s">
        <v>753</v>
      </c>
      <c r="O121" s="157" t="s">
        <v>553</v>
      </c>
      <c r="P121" s="157">
        <v>10</v>
      </c>
      <c r="Q121" s="158">
        <v>1</v>
      </c>
      <c r="R121" s="156" t="s">
        <v>9</v>
      </c>
      <c r="S121" s="157" t="s">
        <v>559</v>
      </c>
      <c r="T121" s="157">
        <v>10</v>
      </c>
      <c r="U121" s="158">
        <v>1</v>
      </c>
      <c r="V121" s="156" t="s">
        <v>732</v>
      </c>
      <c r="W121" s="157" t="s">
        <v>549</v>
      </c>
      <c r="X121" s="157">
        <v>10</v>
      </c>
      <c r="Y121" s="158">
        <v>1</v>
      </c>
      <c r="Z121" s="134"/>
      <c r="AA121" s="156"/>
      <c r="AB121" s="157"/>
      <c r="AC121" s="157"/>
      <c r="AD121" s="157"/>
      <c r="AE121" s="159"/>
      <c r="AM121" s="140">
        <v>1</v>
      </c>
      <c r="AN121" s="140"/>
      <c r="AO121" s="140"/>
    </row>
    <row r="122" spans="3:41" x14ac:dyDescent="0.3">
      <c r="D122" s="156">
        <v>6</v>
      </c>
      <c r="E122" s="157" t="s">
        <v>3</v>
      </c>
      <c r="F122" s="159" t="s">
        <v>262</v>
      </c>
      <c r="G122" s="157">
        <v>110</v>
      </c>
      <c r="H122" s="157">
        <v>5</v>
      </c>
      <c r="I122" s="157">
        <v>10</v>
      </c>
      <c r="J122" s="157">
        <v>10</v>
      </c>
      <c r="K122" s="157">
        <v>2</v>
      </c>
      <c r="L122" s="159">
        <v>100</v>
      </c>
      <c r="M122" s="155"/>
      <c r="N122" s="156" t="s">
        <v>753</v>
      </c>
      <c r="O122" s="157" t="s">
        <v>553</v>
      </c>
      <c r="P122" s="157">
        <v>10</v>
      </c>
      <c r="Q122" s="158">
        <v>1</v>
      </c>
      <c r="R122" s="156" t="s">
        <v>9</v>
      </c>
      <c r="S122" s="157" t="s">
        <v>559</v>
      </c>
      <c r="T122" s="157">
        <v>10</v>
      </c>
      <c r="U122" s="158">
        <v>1</v>
      </c>
      <c r="V122" s="156" t="s">
        <v>732</v>
      </c>
      <c r="W122" s="157" t="s">
        <v>542</v>
      </c>
      <c r="X122" s="157">
        <v>10</v>
      </c>
      <c r="Y122" s="158">
        <v>1</v>
      </c>
      <c r="Z122" s="134"/>
      <c r="AA122" s="156"/>
      <c r="AB122" s="157"/>
      <c r="AC122" s="157"/>
      <c r="AD122" s="157"/>
      <c r="AE122" s="159"/>
    </row>
    <row r="123" spans="3:41" x14ac:dyDescent="0.3">
      <c r="D123" s="160">
        <v>6</v>
      </c>
      <c r="E123" s="161" t="s">
        <v>3</v>
      </c>
      <c r="F123" s="138" t="s">
        <v>834</v>
      </c>
      <c r="G123" s="161">
        <v>115</v>
      </c>
      <c r="H123" s="161">
        <v>5</v>
      </c>
      <c r="I123" s="161">
        <v>10</v>
      </c>
      <c r="J123" s="161">
        <v>10</v>
      </c>
      <c r="K123" s="161">
        <v>3</v>
      </c>
      <c r="L123" s="138">
        <v>100</v>
      </c>
      <c r="M123" s="155"/>
      <c r="N123" s="160" t="s">
        <v>753</v>
      </c>
      <c r="O123" s="161" t="s">
        <v>553</v>
      </c>
      <c r="P123" s="161">
        <v>10</v>
      </c>
      <c r="Q123" s="162">
        <v>1</v>
      </c>
      <c r="R123" s="160" t="s">
        <v>9</v>
      </c>
      <c r="S123" s="161" t="s">
        <v>559</v>
      </c>
      <c r="T123" s="161">
        <v>10</v>
      </c>
      <c r="U123" s="162">
        <v>1</v>
      </c>
      <c r="V123" s="160" t="s">
        <v>701</v>
      </c>
      <c r="W123" s="161" t="s">
        <v>834</v>
      </c>
      <c r="X123" s="161">
        <v>10</v>
      </c>
      <c r="Y123" s="162">
        <v>1</v>
      </c>
      <c r="Z123" s="134"/>
      <c r="AA123" s="160"/>
      <c r="AB123" s="161"/>
      <c r="AC123" s="161"/>
      <c r="AD123" s="161"/>
      <c r="AE123" s="138"/>
    </row>
    <row r="124" spans="3:41" x14ac:dyDescent="0.3">
      <c r="C124" t="s">
        <v>6375</v>
      </c>
      <c r="D124" s="152">
        <v>4</v>
      </c>
      <c r="E124" s="153" t="s">
        <v>3</v>
      </c>
      <c r="F124" s="154" t="s">
        <v>5682</v>
      </c>
      <c r="G124" s="153">
        <v>100</v>
      </c>
      <c r="H124" s="153">
        <v>5</v>
      </c>
      <c r="I124" s="153">
        <v>10</v>
      </c>
      <c r="J124" s="153">
        <v>0</v>
      </c>
      <c r="K124" s="153">
        <v>0</v>
      </c>
      <c r="L124" s="154">
        <v>100</v>
      </c>
      <c r="M124" s="155"/>
      <c r="N124" s="156" t="s">
        <v>753</v>
      </c>
      <c r="O124" s="157" t="s">
        <v>553</v>
      </c>
      <c r="P124" s="157">
        <v>10</v>
      </c>
      <c r="Q124" s="158">
        <v>1</v>
      </c>
      <c r="R124" s="156" t="s">
        <v>914</v>
      </c>
      <c r="S124" s="157" t="s">
        <v>913</v>
      </c>
      <c r="T124" s="157">
        <v>10</v>
      </c>
      <c r="U124" s="158">
        <v>1</v>
      </c>
      <c r="V124" s="156" t="s">
        <v>732</v>
      </c>
      <c r="W124" s="157" t="s">
        <v>542</v>
      </c>
      <c r="X124" s="157">
        <v>10</v>
      </c>
      <c r="Y124" s="158">
        <v>1</v>
      </c>
      <c r="Z124" s="134"/>
      <c r="AA124" s="156"/>
      <c r="AB124" s="157"/>
      <c r="AC124" s="157"/>
      <c r="AD124" s="157"/>
      <c r="AE124" s="159"/>
      <c r="AG124" s="160" t="s">
        <v>645</v>
      </c>
      <c r="AH124" s="161">
        <v>5</v>
      </c>
      <c r="AI124" s="161">
        <v>100</v>
      </c>
      <c r="AJ124" s="161">
        <v>10</v>
      </c>
      <c r="AK124" s="138" t="s">
        <v>697</v>
      </c>
      <c r="AM124" s="140"/>
      <c r="AN124" s="140">
        <v>2</v>
      </c>
      <c r="AO124" s="140"/>
    </row>
    <row r="125" spans="3:41" x14ac:dyDescent="0.3">
      <c r="D125" s="156">
        <v>4</v>
      </c>
      <c r="E125" s="157" t="s">
        <v>3</v>
      </c>
      <c r="F125" s="159" t="s">
        <v>5491</v>
      </c>
      <c r="G125" s="157">
        <v>100</v>
      </c>
      <c r="H125" s="157">
        <v>5</v>
      </c>
      <c r="I125" s="157">
        <v>10</v>
      </c>
      <c r="J125" s="157">
        <v>0</v>
      </c>
      <c r="K125" s="157">
        <v>0</v>
      </c>
      <c r="L125" s="159">
        <v>100</v>
      </c>
      <c r="M125" s="155"/>
      <c r="N125" s="156" t="s">
        <v>753</v>
      </c>
      <c r="O125" s="157" t="s">
        <v>553</v>
      </c>
      <c r="P125" s="157">
        <v>10</v>
      </c>
      <c r="Q125" s="158">
        <v>1</v>
      </c>
      <c r="R125" s="156" t="s">
        <v>914</v>
      </c>
      <c r="S125" s="157" t="s">
        <v>913</v>
      </c>
      <c r="T125" s="157">
        <v>10</v>
      </c>
      <c r="U125" s="158">
        <v>1</v>
      </c>
      <c r="V125" s="156" t="s">
        <v>732</v>
      </c>
      <c r="W125" s="157" t="s">
        <v>542</v>
      </c>
      <c r="X125" s="157">
        <v>10</v>
      </c>
      <c r="Y125" s="158">
        <v>1</v>
      </c>
      <c r="Z125" s="134"/>
      <c r="AA125" s="156"/>
      <c r="AB125" s="157"/>
      <c r="AC125" s="157"/>
      <c r="AD125" s="157"/>
      <c r="AE125" s="159"/>
      <c r="AM125" s="140">
        <v>3</v>
      </c>
      <c r="AN125" s="140">
        <v>5</v>
      </c>
      <c r="AO125" s="140"/>
    </row>
    <row r="126" spans="3:41" x14ac:dyDescent="0.3">
      <c r="D126" s="156">
        <v>5</v>
      </c>
      <c r="E126" s="157" t="s">
        <v>6</v>
      </c>
      <c r="F126" s="159" t="s">
        <v>1393</v>
      </c>
      <c r="G126" s="157">
        <v>100</v>
      </c>
      <c r="H126" s="157">
        <v>5</v>
      </c>
      <c r="I126" s="157">
        <v>10</v>
      </c>
      <c r="J126" s="157">
        <v>0</v>
      </c>
      <c r="K126" s="157">
        <v>0</v>
      </c>
      <c r="L126" s="159">
        <v>100</v>
      </c>
      <c r="M126" s="155"/>
      <c r="N126" s="156" t="s">
        <v>712</v>
      </c>
      <c r="O126" s="157" t="s">
        <v>522</v>
      </c>
      <c r="P126" s="157">
        <v>10</v>
      </c>
      <c r="Q126" s="158">
        <v>1</v>
      </c>
      <c r="R126" s="156" t="s">
        <v>914</v>
      </c>
      <c r="S126" s="157" t="s">
        <v>5667</v>
      </c>
      <c r="T126" s="157">
        <v>10</v>
      </c>
      <c r="U126" s="158">
        <v>1</v>
      </c>
      <c r="V126" s="156" t="s">
        <v>701</v>
      </c>
      <c r="W126" s="157" t="s">
        <v>1393</v>
      </c>
      <c r="X126" s="157">
        <v>10</v>
      </c>
      <c r="Y126" s="158">
        <v>1</v>
      </c>
      <c r="Z126" s="134"/>
      <c r="AA126" s="156"/>
      <c r="AB126" s="157"/>
      <c r="AC126" s="157"/>
      <c r="AD126" s="157"/>
      <c r="AE126" s="159"/>
      <c r="AM126" s="140">
        <v>4</v>
      </c>
      <c r="AN126" s="140">
        <v>1</v>
      </c>
      <c r="AO126" s="140"/>
    </row>
    <row r="127" spans="3:41" x14ac:dyDescent="0.3">
      <c r="D127" s="156">
        <v>5</v>
      </c>
      <c r="E127" s="157" t="s">
        <v>4</v>
      </c>
      <c r="F127" s="159" t="s">
        <v>1714</v>
      </c>
      <c r="G127" s="157">
        <v>100</v>
      </c>
      <c r="H127" s="157">
        <v>5</v>
      </c>
      <c r="I127" s="157">
        <v>10</v>
      </c>
      <c r="J127" s="157">
        <v>0</v>
      </c>
      <c r="K127" s="157">
        <v>0</v>
      </c>
      <c r="L127" s="159">
        <v>100</v>
      </c>
      <c r="M127" s="155"/>
      <c r="N127" s="156" t="s">
        <v>712</v>
      </c>
      <c r="O127" s="157" t="s">
        <v>522</v>
      </c>
      <c r="P127" s="157">
        <v>10</v>
      </c>
      <c r="Q127" s="158">
        <v>1</v>
      </c>
      <c r="R127" s="156" t="s">
        <v>914</v>
      </c>
      <c r="S127" s="157" t="s">
        <v>5667</v>
      </c>
      <c r="T127" s="157">
        <v>10</v>
      </c>
      <c r="U127" s="158">
        <v>1</v>
      </c>
      <c r="V127" s="156" t="s">
        <v>741</v>
      </c>
      <c r="W127" s="157" t="s">
        <v>555</v>
      </c>
      <c r="X127" s="157">
        <v>10</v>
      </c>
      <c r="Y127" s="158">
        <v>1</v>
      </c>
      <c r="Z127" s="134"/>
      <c r="AA127" s="156"/>
      <c r="AB127" s="157"/>
      <c r="AC127" s="157"/>
      <c r="AD127" s="157"/>
      <c r="AE127" s="159"/>
    </row>
    <row r="128" spans="3:41" x14ac:dyDescent="0.3">
      <c r="D128" s="160">
        <v>6</v>
      </c>
      <c r="E128" s="161" t="s">
        <v>7</v>
      </c>
      <c r="F128" s="138" t="s">
        <v>825</v>
      </c>
      <c r="G128" s="161">
        <v>115</v>
      </c>
      <c r="H128" s="161">
        <v>5</v>
      </c>
      <c r="I128" s="161">
        <v>10</v>
      </c>
      <c r="J128" s="161">
        <v>10</v>
      </c>
      <c r="K128" s="161">
        <v>3</v>
      </c>
      <c r="L128" s="138">
        <v>100</v>
      </c>
      <c r="M128" s="155"/>
      <c r="N128" s="160" t="s">
        <v>753</v>
      </c>
      <c r="O128" s="161" t="s">
        <v>553</v>
      </c>
      <c r="P128" s="161">
        <v>10</v>
      </c>
      <c r="Q128" s="162">
        <v>1</v>
      </c>
      <c r="R128" s="160" t="s">
        <v>9</v>
      </c>
      <c r="S128" s="161" t="s">
        <v>559</v>
      </c>
      <c r="T128" s="161">
        <v>10</v>
      </c>
      <c r="U128" s="162">
        <v>1</v>
      </c>
      <c r="V128" s="160" t="s">
        <v>701</v>
      </c>
      <c r="W128" s="161" t="s">
        <v>825</v>
      </c>
      <c r="X128" s="161">
        <v>10</v>
      </c>
      <c r="Y128" s="162">
        <v>1</v>
      </c>
      <c r="Z128" s="134"/>
      <c r="AA128" s="160"/>
      <c r="AB128" s="161"/>
      <c r="AC128" s="161"/>
      <c r="AD128" s="161"/>
      <c r="AE128" s="138"/>
    </row>
    <row r="129" spans="3:41" x14ac:dyDescent="0.3">
      <c r="C129" t="s">
        <v>6376</v>
      </c>
      <c r="D129" s="152">
        <v>5</v>
      </c>
      <c r="E129" s="153" t="s">
        <v>2</v>
      </c>
      <c r="F129" s="154" t="s">
        <v>1754</v>
      </c>
      <c r="G129" s="153">
        <v>115</v>
      </c>
      <c r="H129" s="153">
        <v>5</v>
      </c>
      <c r="I129" s="153">
        <v>10</v>
      </c>
      <c r="J129" s="153">
        <v>10</v>
      </c>
      <c r="K129" s="153">
        <v>3</v>
      </c>
      <c r="L129" s="154">
        <v>100</v>
      </c>
      <c r="M129" s="155"/>
      <c r="N129" s="156" t="s">
        <v>701</v>
      </c>
      <c r="O129" s="157" t="s">
        <v>1754</v>
      </c>
      <c r="P129" s="157">
        <v>10</v>
      </c>
      <c r="Q129" s="158">
        <v>1</v>
      </c>
      <c r="R129" s="156" t="s">
        <v>727</v>
      </c>
      <c r="S129" s="157" t="s">
        <v>538</v>
      </c>
      <c r="T129" s="157">
        <v>10</v>
      </c>
      <c r="U129" s="158">
        <v>1</v>
      </c>
      <c r="V129" s="156" t="s">
        <v>914</v>
      </c>
      <c r="W129" s="157" t="s">
        <v>906</v>
      </c>
      <c r="X129" s="157">
        <v>10</v>
      </c>
      <c r="Y129" s="158">
        <v>1</v>
      </c>
      <c r="Z129" s="134"/>
      <c r="AA129" s="156"/>
      <c r="AB129" s="157"/>
      <c r="AC129" s="157"/>
      <c r="AD129" s="157"/>
      <c r="AE129" s="159"/>
      <c r="AG129" s="160" t="s">
        <v>1717</v>
      </c>
      <c r="AH129" s="161">
        <v>5</v>
      </c>
      <c r="AI129" s="161">
        <v>100</v>
      </c>
      <c r="AJ129" s="161">
        <v>10</v>
      </c>
      <c r="AK129" s="138" t="s">
        <v>697</v>
      </c>
      <c r="AM129" s="140">
        <v>2</v>
      </c>
      <c r="AN129" s="140"/>
      <c r="AO129" s="140"/>
    </row>
    <row r="130" spans="3:41" x14ac:dyDescent="0.3">
      <c r="D130" s="156">
        <v>6</v>
      </c>
      <c r="E130" s="157" t="s">
        <v>2</v>
      </c>
      <c r="F130" s="159" t="s">
        <v>5744</v>
      </c>
      <c r="G130" s="157">
        <v>115</v>
      </c>
      <c r="H130" s="157">
        <v>5</v>
      </c>
      <c r="I130" s="157">
        <v>10</v>
      </c>
      <c r="J130" s="157">
        <v>10</v>
      </c>
      <c r="K130" s="157">
        <v>3</v>
      </c>
      <c r="L130" s="159">
        <v>100</v>
      </c>
      <c r="M130" s="155"/>
      <c r="N130" s="156" t="s">
        <v>712</v>
      </c>
      <c r="O130" s="157" t="s">
        <v>522</v>
      </c>
      <c r="P130" s="157">
        <v>10</v>
      </c>
      <c r="Q130" s="158">
        <v>1</v>
      </c>
      <c r="R130" s="156" t="s">
        <v>727</v>
      </c>
      <c r="S130" s="157" t="s">
        <v>538</v>
      </c>
      <c r="T130" s="157">
        <v>10</v>
      </c>
      <c r="U130" s="158">
        <v>1</v>
      </c>
      <c r="V130" s="156" t="s">
        <v>701</v>
      </c>
      <c r="W130" s="157" t="s">
        <v>5744</v>
      </c>
      <c r="X130" s="157">
        <v>10</v>
      </c>
      <c r="Y130" s="158">
        <v>1</v>
      </c>
      <c r="Z130" s="134"/>
      <c r="AA130" s="156"/>
      <c r="AB130" s="157"/>
      <c r="AC130" s="157"/>
      <c r="AD130" s="157"/>
      <c r="AE130" s="159"/>
      <c r="AM130" s="140">
        <v>1</v>
      </c>
      <c r="AN130" s="140">
        <v>4</v>
      </c>
      <c r="AO130" s="140"/>
    </row>
    <row r="131" spans="3:41" x14ac:dyDescent="0.3">
      <c r="D131" s="156">
        <v>5</v>
      </c>
      <c r="E131" s="157" t="s">
        <v>2</v>
      </c>
      <c r="F131" s="159" t="s">
        <v>5706</v>
      </c>
      <c r="G131" s="157">
        <v>100</v>
      </c>
      <c r="H131" s="157">
        <v>5</v>
      </c>
      <c r="I131" s="157">
        <v>10</v>
      </c>
      <c r="J131" s="157">
        <v>0</v>
      </c>
      <c r="K131" s="157">
        <v>0</v>
      </c>
      <c r="L131" s="159">
        <v>100</v>
      </c>
      <c r="M131" s="155"/>
      <c r="N131" s="156" t="s">
        <v>712</v>
      </c>
      <c r="O131" s="157" t="s">
        <v>522</v>
      </c>
      <c r="P131" s="157">
        <v>10</v>
      </c>
      <c r="Q131" s="158">
        <v>1</v>
      </c>
      <c r="R131" s="156" t="s">
        <v>727</v>
      </c>
      <c r="S131" s="157" t="s">
        <v>538</v>
      </c>
      <c r="T131" s="157">
        <v>10</v>
      </c>
      <c r="U131" s="158">
        <v>1</v>
      </c>
      <c r="V131" s="156" t="s">
        <v>914</v>
      </c>
      <c r="W131" s="157" t="s">
        <v>906</v>
      </c>
      <c r="X131" s="157">
        <v>10</v>
      </c>
      <c r="Y131" s="158">
        <v>1</v>
      </c>
      <c r="Z131" s="134"/>
      <c r="AA131" s="156"/>
      <c r="AB131" s="157"/>
      <c r="AC131" s="157"/>
      <c r="AD131" s="157"/>
      <c r="AE131" s="159"/>
      <c r="AM131" s="140">
        <v>3</v>
      </c>
      <c r="AN131" s="140">
        <v>5</v>
      </c>
      <c r="AO131" s="140"/>
    </row>
    <row r="132" spans="3:41" x14ac:dyDescent="0.3">
      <c r="D132" s="156">
        <v>6</v>
      </c>
      <c r="E132" s="157" t="s">
        <v>7</v>
      </c>
      <c r="F132" s="159" t="s">
        <v>6374</v>
      </c>
      <c r="G132" s="157">
        <v>115</v>
      </c>
      <c r="H132" s="157">
        <v>5</v>
      </c>
      <c r="I132" s="157">
        <v>10</v>
      </c>
      <c r="J132" s="157">
        <v>10</v>
      </c>
      <c r="K132" s="157">
        <v>3</v>
      </c>
      <c r="L132" s="159">
        <v>100</v>
      </c>
      <c r="M132" s="155"/>
      <c r="N132" s="156" t="s">
        <v>753</v>
      </c>
      <c r="O132" s="157" t="s">
        <v>553</v>
      </c>
      <c r="P132" s="157">
        <v>10</v>
      </c>
      <c r="Q132" s="158">
        <v>1</v>
      </c>
      <c r="R132" s="156" t="s">
        <v>9</v>
      </c>
      <c r="S132" s="157" t="s">
        <v>559</v>
      </c>
      <c r="T132" s="157">
        <v>10</v>
      </c>
      <c r="U132" s="158">
        <v>1</v>
      </c>
      <c r="V132" s="156" t="s">
        <v>701</v>
      </c>
      <c r="W132" s="157" t="s">
        <v>1748</v>
      </c>
      <c r="X132" s="157">
        <v>10</v>
      </c>
      <c r="Y132" s="158">
        <v>1</v>
      </c>
      <c r="Z132" s="134"/>
      <c r="AA132" s="156"/>
      <c r="AB132" s="157"/>
      <c r="AC132" s="157"/>
      <c r="AD132" s="157"/>
      <c r="AE132" s="159"/>
    </row>
    <row r="133" spans="3:41" x14ac:dyDescent="0.3">
      <c r="D133" s="160">
        <v>5</v>
      </c>
      <c r="E133" s="161" t="s">
        <v>7</v>
      </c>
      <c r="F133" s="138" t="s">
        <v>1702</v>
      </c>
      <c r="G133" s="161">
        <v>100</v>
      </c>
      <c r="H133" s="161">
        <v>5</v>
      </c>
      <c r="I133" s="161">
        <v>10</v>
      </c>
      <c r="J133" s="161">
        <v>0</v>
      </c>
      <c r="K133" s="161">
        <v>0</v>
      </c>
      <c r="L133" s="138">
        <v>100</v>
      </c>
      <c r="M133" s="155"/>
      <c r="N133" s="160" t="s">
        <v>753</v>
      </c>
      <c r="O133" s="161" t="s">
        <v>553</v>
      </c>
      <c r="P133" s="161">
        <v>10</v>
      </c>
      <c r="Q133" s="162">
        <v>1</v>
      </c>
      <c r="R133" s="160" t="s">
        <v>9</v>
      </c>
      <c r="S133" s="161" t="s">
        <v>559</v>
      </c>
      <c r="T133" s="161">
        <v>10</v>
      </c>
      <c r="U133" s="162">
        <v>1</v>
      </c>
      <c r="V133" s="160" t="s">
        <v>732</v>
      </c>
      <c r="W133" s="161" t="s">
        <v>542</v>
      </c>
      <c r="X133" s="161">
        <v>10</v>
      </c>
      <c r="Y133" s="162">
        <v>1</v>
      </c>
      <c r="Z133" s="134"/>
      <c r="AA133" s="160"/>
      <c r="AB133" s="161"/>
      <c r="AC133" s="161"/>
      <c r="AD133" s="161"/>
      <c r="AE133" s="138"/>
    </row>
    <row r="134" spans="3:41" x14ac:dyDescent="0.3">
      <c r="C134" t="s">
        <v>6859</v>
      </c>
      <c r="D134" s="152">
        <v>6</v>
      </c>
      <c r="E134" s="153" t="s">
        <v>4</v>
      </c>
      <c r="F134" s="154" t="s">
        <v>926</v>
      </c>
      <c r="G134" s="153">
        <v>115</v>
      </c>
      <c r="H134" s="153">
        <v>5</v>
      </c>
      <c r="I134" s="153">
        <v>10</v>
      </c>
      <c r="J134" s="153">
        <v>10</v>
      </c>
      <c r="K134" s="153">
        <v>3</v>
      </c>
      <c r="L134" s="154">
        <v>100</v>
      </c>
      <c r="M134" s="155"/>
      <c r="N134" s="156" t="s">
        <v>701</v>
      </c>
      <c r="O134" s="157" t="s">
        <v>299</v>
      </c>
      <c r="P134" s="157">
        <v>10</v>
      </c>
      <c r="Q134" s="158">
        <v>1</v>
      </c>
      <c r="R134" s="156" t="s">
        <v>701</v>
      </c>
      <c r="S134" s="157" t="s">
        <v>926</v>
      </c>
      <c r="T134" s="157">
        <v>10</v>
      </c>
      <c r="U134" s="158">
        <v>1</v>
      </c>
      <c r="V134" s="156" t="s">
        <v>741</v>
      </c>
      <c r="W134" s="157" t="s">
        <v>555</v>
      </c>
      <c r="X134" s="157">
        <v>10</v>
      </c>
      <c r="Y134" s="158">
        <v>1</v>
      </c>
      <c r="Z134" s="134"/>
      <c r="AA134" s="156"/>
      <c r="AB134" s="157"/>
      <c r="AC134" s="157"/>
      <c r="AD134" s="157"/>
      <c r="AE134" s="159"/>
      <c r="AG134" s="160" t="s">
        <v>645</v>
      </c>
      <c r="AH134" s="161">
        <v>5</v>
      </c>
      <c r="AI134" s="161">
        <v>100</v>
      </c>
      <c r="AJ134" s="161">
        <v>10</v>
      </c>
      <c r="AK134" s="138" t="s">
        <v>697</v>
      </c>
      <c r="AM134" s="140"/>
      <c r="AN134" s="140"/>
      <c r="AO134" s="140"/>
    </row>
    <row r="135" spans="3:41" x14ac:dyDescent="0.3">
      <c r="D135" s="156">
        <v>5</v>
      </c>
      <c r="E135" s="157" t="s">
        <v>6</v>
      </c>
      <c r="F135" s="159" t="s">
        <v>171</v>
      </c>
      <c r="G135" s="157">
        <v>100</v>
      </c>
      <c r="H135" s="157">
        <v>5</v>
      </c>
      <c r="I135" s="157">
        <v>10</v>
      </c>
      <c r="J135" s="157">
        <v>0</v>
      </c>
      <c r="K135" s="157">
        <v>0</v>
      </c>
      <c r="L135" s="159">
        <v>100</v>
      </c>
      <c r="M135" s="155"/>
      <c r="N135" s="156" t="s">
        <v>712</v>
      </c>
      <c r="O135" s="157" t="s">
        <v>522</v>
      </c>
      <c r="P135" s="157">
        <v>10</v>
      </c>
      <c r="Q135" s="158">
        <v>1</v>
      </c>
      <c r="R135" s="156" t="s">
        <v>720</v>
      </c>
      <c r="S135" s="157" t="s">
        <v>534</v>
      </c>
      <c r="T135" s="157">
        <v>10</v>
      </c>
      <c r="U135" s="158">
        <v>1</v>
      </c>
      <c r="V135" s="156" t="s">
        <v>742</v>
      </c>
      <c r="W135" s="157" t="s">
        <v>571</v>
      </c>
      <c r="X135" s="157">
        <v>10</v>
      </c>
      <c r="Y135" s="158">
        <v>1</v>
      </c>
      <c r="Z135" s="134"/>
      <c r="AA135" s="156"/>
      <c r="AB135" s="157"/>
      <c r="AC135" s="157"/>
      <c r="AD135" s="157"/>
      <c r="AE135" s="159"/>
      <c r="AM135" s="140">
        <v>1</v>
      </c>
      <c r="AN135" s="140"/>
      <c r="AO135" s="140">
        <v>4</v>
      </c>
    </row>
    <row r="136" spans="3:41" x14ac:dyDescent="0.3">
      <c r="D136" s="156">
        <v>5</v>
      </c>
      <c r="E136" s="157" t="s">
        <v>3</v>
      </c>
      <c r="F136" s="159" t="s">
        <v>197</v>
      </c>
      <c r="G136" s="157">
        <v>110</v>
      </c>
      <c r="H136" s="157">
        <v>5</v>
      </c>
      <c r="I136" s="157">
        <v>10</v>
      </c>
      <c r="J136" s="157">
        <v>10</v>
      </c>
      <c r="K136" s="157">
        <v>2</v>
      </c>
      <c r="L136" s="159">
        <v>100</v>
      </c>
      <c r="M136" s="155"/>
      <c r="N136" s="156" t="s">
        <v>753</v>
      </c>
      <c r="O136" s="157" t="s">
        <v>553</v>
      </c>
      <c r="P136" s="157">
        <v>10</v>
      </c>
      <c r="Q136" s="158">
        <v>1</v>
      </c>
      <c r="R136" s="156" t="s">
        <v>9</v>
      </c>
      <c r="S136" s="157" t="s">
        <v>559</v>
      </c>
      <c r="T136" s="157">
        <v>10</v>
      </c>
      <c r="U136" s="158">
        <v>1</v>
      </c>
      <c r="V136" s="156" t="s">
        <v>732</v>
      </c>
      <c r="W136" s="157" t="s">
        <v>542</v>
      </c>
      <c r="X136" s="157">
        <v>10</v>
      </c>
      <c r="Y136" s="158">
        <v>1</v>
      </c>
      <c r="Z136" s="134"/>
      <c r="AA136" s="156"/>
      <c r="AB136" s="157"/>
      <c r="AC136" s="157"/>
      <c r="AD136" s="157"/>
      <c r="AE136" s="159"/>
      <c r="AM136" s="140">
        <v>2</v>
      </c>
      <c r="AN136" s="140">
        <v>3</v>
      </c>
      <c r="AO136" s="140">
        <v>5</v>
      </c>
    </row>
    <row r="137" spans="3:41" x14ac:dyDescent="0.3">
      <c r="D137" s="156">
        <v>4</v>
      </c>
      <c r="E137" s="157" t="s">
        <v>5</v>
      </c>
      <c r="F137" s="159" t="s">
        <v>927</v>
      </c>
      <c r="G137" s="157">
        <v>115</v>
      </c>
      <c r="H137" s="157">
        <v>5</v>
      </c>
      <c r="I137" s="157">
        <v>10</v>
      </c>
      <c r="J137" s="157">
        <v>10</v>
      </c>
      <c r="K137" s="157">
        <v>3</v>
      </c>
      <c r="L137" s="159">
        <v>100</v>
      </c>
      <c r="M137" s="155"/>
      <c r="N137" s="156" t="s">
        <v>701</v>
      </c>
      <c r="O137" s="157" t="s">
        <v>927</v>
      </c>
      <c r="P137" s="157">
        <v>10</v>
      </c>
      <c r="Q137" s="158">
        <v>1</v>
      </c>
      <c r="R137" s="156" t="s">
        <v>914</v>
      </c>
      <c r="S137" s="157" t="s">
        <v>905</v>
      </c>
      <c r="T137" s="157">
        <v>0</v>
      </c>
      <c r="U137" s="158">
        <v>1</v>
      </c>
      <c r="V137" s="156" t="s">
        <v>6364</v>
      </c>
      <c r="W137" s="157" t="s">
        <v>6368</v>
      </c>
      <c r="X137" s="157">
        <v>10</v>
      </c>
      <c r="Y137" s="158">
        <v>1</v>
      </c>
      <c r="Z137" s="134"/>
      <c r="AA137" s="156"/>
      <c r="AB137" s="157"/>
      <c r="AC137" s="157"/>
      <c r="AD137" s="157"/>
      <c r="AE137" s="159"/>
    </row>
    <row r="138" spans="3:41" x14ac:dyDescent="0.3">
      <c r="D138" s="160">
        <v>4</v>
      </c>
      <c r="E138" s="161" t="s">
        <v>5</v>
      </c>
      <c r="F138" s="138" t="s">
        <v>1604</v>
      </c>
      <c r="G138" s="161">
        <v>100</v>
      </c>
      <c r="H138" s="161">
        <v>5</v>
      </c>
      <c r="I138" s="161">
        <v>10</v>
      </c>
      <c r="J138" s="161">
        <v>0</v>
      </c>
      <c r="K138" s="161">
        <v>0</v>
      </c>
      <c r="L138" s="138">
        <v>100</v>
      </c>
      <c r="M138" s="155"/>
      <c r="N138" s="160" t="s">
        <v>637</v>
      </c>
      <c r="O138" s="161" t="s">
        <v>545</v>
      </c>
      <c r="P138" s="161">
        <v>10</v>
      </c>
      <c r="Q138" s="162">
        <v>1</v>
      </c>
      <c r="R138" s="160" t="s">
        <v>914</v>
      </c>
      <c r="S138" s="161" t="s">
        <v>905</v>
      </c>
      <c r="T138" s="161">
        <v>0</v>
      </c>
      <c r="U138" s="162">
        <v>1</v>
      </c>
      <c r="V138" s="160" t="s">
        <v>6364</v>
      </c>
      <c r="W138" s="161" t="s">
        <v>6368</v>
      </c>
      <c r="X138" s="161">
        <v>10</v>
      </c>
      <c r="Y138" s="162">
        <v>1</v>
      </c>
      <c r="Z138" s="134"/>
      <c r="AA138" s="160"/>
      <c r="AB138" s="161"/>
      <c r="AC138" s="161"/>
      <c r="AD138" s="161"/>
      <c r="AE138" s="138"/>
    </row>
    <row r="139" spans="3:41" x14ac:dyDescent="0.3">
      <c r="C139" t="s">
        <v>6377</v>
      </c>
      <c r="D139" s="152">
        <v>5</v>
      </c>
      <c r="E139" s="153" t="s">
        <v>3</v>
      </c>
      <c r="F139" s="154" t="s">
        <v>1686</v>
      </c>
      <c r="G139" s="153">
        <v>100</v>
      </c>
      <c r="H139" s="153">
        <v>5</v>
      </c>
      <c r="I139" s="153">
        <v>10</v>
      </c>
      <c r="J139" s="153">
        <v>0</v>
      </c>
      <c r="K139" s="153">
        <v>0</v>
      </c>
      <c r="L139" s="154">
        <v>100</v>
      </c>
      <c r="M139" s="155"/>
      <c r="N139" s="156" t="s">
        <v>914</v>
      </c>
      <c r="O139" s="157" t="s">
        <v>923</v>
      </c>
      <c r="P139" s="157">
        <v>10</v>
      </c>
      <c r="Q139" s="158">
        <v>1</v>
      </c>
      <c r="R139" s="156" t="s">
        <v>9</v>
      </c>
      <c r="S139" s="157" t="s">
        <v>559</v>
      </c>
      <c r="T139" s="157">
        <v>10</v>
      </c>
      <c r="U139" s="158">
        <v>1</v>
      </c>
      <c r="V139" s="156" t="s">
        <v>732</v>
      </c>
      <c r="W139" s="157" t="s">
        <v>549</v>
      </c>
      <c r="X139" s="157">
        <v>10</v>
      </c>
      <c r="Y139" s="158">
        <v>1</v>
      </c>
      <c r="Z139" s="134"/>
      <c r="AA139" s="156"/>
      <c r="AB139" s="157"/>
      <c r="AC139" s="157"/>
      <c r="AD139" s="157"/>
      <c r="AE139" s="159"/>
      <c r="AG139" s="160" t="s">
        <v>645</v>
      </c>
      <c r="AH139" s="161">
        <v>5</v>
      </c>
      <c r="AI139" s="161">
        <v>100</v>
      </c>
      <c r="AJ139" s="161">
        <v>10</v>
      </c>
      <c r="AK139" s="138" t="s">
        <v>697</v>
      </c>
      <c r="AM139" s="140">
        <v>1</v>
      </c>
      <c r="AN139" s="140">
        <v>3</v>
      </c>
      <c r="AO139" s="140"/>
    </row>
    <row r="140" spans="3:41" x14ac:dyDescent="0.3">
      <c r="D140" s="156">
        <v>5</v>
      </c>
      <c r="E140" s="157" t="s">
        <v>3</v>
      </c>
      <c r="F140" s="159" t="s">
        <v>266</v>
      </c>
      <c r="G140" s="157">
        <v>110</v>
      </c>
      <c r="H140" s="157">
        <v>5</v>
      </c>
      <c r="I140" s="157">
        <v>10</v>
      </c>
      <c r="J140" s="157">
        <v>10</v>
      </c>
      <c r="K140" s="157">
        <v>2</v>
      </c>
      <c r="L140" s="159">
        <v>100</v>
      </c>
      <c r="M140" s="155"/>
      <c r="N140" s="156" t="s">
        <v>753</v>
      </c>
      <c r="O140" s="157" t="s">
        <v>553</v>
      </c>
      <c r="P140" s="157">
        <v>10</v>
      </c>
      <c r="Q140" s="158">
        <v>1</v>
      </c>
      <c r="R140" s="156" t="s">
        <v>9</v>
      </c>
      <c r="S140" s="157" t="s">
        <v>559</v>
      </c>
      <c r="T140" s="157">
        <v>10</v>
      </c>
      <c r="U140" s="158">
        <v>1</v>
      </c>
      <c r="V140" s="156" t="s">
        <v>732</v>
      </c>
      <c r="W140" s="157" t="s">
        <v>542</v>
      </c>
      <c r="X140" s="157">
        <v>10</v>
      </c>
      <c r="Y140" s="158">
        <v>1</v>
      </c>
      <c r="Z140" s="134"/>
      <c r="AA140" s="156"/>
      <c r="AB140" s="157"/>
      <c r="AC140" s="157"/>
      <c r="AD140" s="157"/>
      <c r="AE140" s="159"/>
      <c r="AM140" s="140">
        <v>2</v>
      </c>
      <c r="AN140" s="140">
        <v>4</v>
      </c>
      <c r="AO140" s="140"/>
    </row>
    <row r="141" spans="3:41" x14ac:dyDescent="0.3">
      <c r="D141" s="156">
        <v>6</v>
      </c>
      <c r="E141" s="157" t="s">
        <v>3</v>
      </c>
      <c r="F141" s="159" t="s">
        <v>834</v>
      </c>
      <c r="G141" s="157">
        <v>115</v>
      </c>
      <c r="H141" s="157">
        <v>5</v>
      </c>
      <c r="I141" s="157">
        <v>10</v>
      </c>
      <c r="J141" s="157">
        <v>10</v>
      </c>
      <c r="K141" s="157">
        <v>3</v>
      </c>
      <c r="L141" s="159">
        <v>100</v>
      </c>
      <c r="M141" s="155"/>
      <c r="N141" s="156" t="s">
        <v>753</v>
      </c>
      <c r="O141" s="157" t="s">
        <v>553</v>
      </c>
      <c r="P141" s="157">
        <v>10</v>
      </c>
      <c r="Q141" s="158">
        <v>1</v>
      </c>
      <c r="R141" s="156" t="s">
        <v>9</v>
      </c>
      <c r="S141" s="157" t="s">
        <v>559</v>
      </c>
      <c r="T141" s="157">
        <v>10</v>
      </c>
      <c r="U141" s="158">
        <v>1</v>
      </c>
      <c r="V141" s="156" t="s">
        <v>701</v>
      </c>
      <c r="W141" s="157" t="s">
        <v>834</v>
      </c>
      <c r="X141" s="157">
        <v>10</v>
      </c>
      <c r="Y141" s="158">
        <v>1</v>
      </c>
      <c r="Z141" s="134"/>
      <c r="AA141" s="156"/>
      <c r="AB141" s="157"/>
      <c r="AC141" s="157"/>
      <c r="AD141" s="157"/>
      <c r="AE141" s="159"/>
      <c r="AM141" s="140">
        <v>5</v>
      </c>
      <c r="AN141" s="140"/>
      <c r="AO141" s="140"/>
    </row>
    <row r="142" spans="3:41" x14ac:dyDescent="0.3">
      <c r="D142" s="156">
        <v>4</v>
      </c>
      <c r="E142" s="157" t="s">
        <v>5</v>
      </c>
      <c r="F142" s="159" t="s">
        <v>715</v>
      </c>
      <c r="G142" s="157">
        <v>110</v>
      </c>
      <c r="H142" s="157">
        <v>5</v>
      </c>
      <c r="I142" s="157">
        <v>10</v>
      </c>
      <c r="J142" s="157">
        <v>10</v>
      </c>
      <c r="K142" s="157">
        <v>2</v>
      </c>
      <c r="L142" s="159">
        <v>100</v>
      </c>
      <c r="M142" s="155"/>
      <c r="N142" s="156" t="s">
        <v>6364</v>
      </c>
      <c r="O142" s="157" t="s">
        <v>6368</v>
      </c>
      <c r="P142" s="157">
        <v>10</v>
      </c>
      <c r="Q142" s="158">
        <v>1</v>
      </c>
      <c r="R142" s="156" t="s">
        <v>914</v>
      </c>
      <c r="S142" s="157" t="s">
        <v>905</v>
      </c>
      <c r="T142" s="157">
        <v>10</v>
      </c>
      <c r="U142" s="158">
        <v>1</v>
      </c>
      <c r="V142" s="156" t="s">
        <v>637</v>
      </c>
      <c r="W142" s="157" t="s">
        <v>545</v>
      </c>
      <c r="X142" s="157">
        <v>10</v>
      </c>
      <c r="Y142" s="158">
        <v>1</v>
      </c>
      <c r="Z142" s="134"/>
      <c r="AA142" s="156"/>
      <c r="AB142" s="157"/>
      <c r="AC142" s="157"/>
      <c r="AD142" s="157"/>
      <c r="AE142" s="159"/>
    </row>
    <row r="143" spans="3:41" x14ac:dyDescent="0.3">
      <c r="D143" s="160">
        <v>5</v>
      </c>
      <c r="E143" s="161" t="s">
        <v>6</v>
      </c>
      <c r="F143" s="138" t="s">
        <v>171</v>
      </c>
      <c r="G143" s="161">
        <v>100</v>
      </c>
      <c r="H143" s="161">
        <v>5</v>
      </c>
      <c r="I143" s="161">
        <v>10</v>
      </c>
      <c r="J143" s="161">
        <v>0</v>
      </c>
      <c r="K143" s="161">
        <v>0</v>
      </c>
      <c r="L143" s="138">
        <v>100</v>
      </c>
      <c r="M143" s="155"/>
      <c r="N143" s="160" t="s">
        <v>712</v>
      </c>
      <c r="O143" s="161" t="s">
        <v>522</v>
      </c>
      <c r="P143" s="161">
        <v>10</v>
      </c>
      <c r="Q143" s="162">
        <v>1</v>
      </c>
      <c r="R143" s="160" t="s">
        <v>720</v>
      </c>
      <c r="S143" s="161" t="s">
        <v>534</v>
      </c>
      <c r="T143" s="161">
        <v>10</v>
      </c>
      <c r="U143" s="162">
        <v>1</v>
      </c>
      <c r="V143" s="160" t="s">
        <v>742</v>
      </c>
      <c r="W143" s="161" t="s">
        <v>571</v>
      </c>
      <c r="X143" s="161">
        <v>10</v>
      </c>
      <c r="Y143" s="162">
        <v>1</v>
      </c>
      <c r="Z143" s="134"/>
      <c r="AA143" s="160"/>
      <c r="AB143" s="161"/>
      <c r="AC143" s="161"/>
      <c r="AD143" s="161"/>
      <c r="AE143" s="138"/>
    </row>
    <row r="144" spans="3:41" x14ac:dyDescent="0.3">
      <c r="C144" t="s">
        <v>6444</v>
      </c>
      <c r="D144" s="152">
        <v>5</v>
      </c>
      <c r="E144" s="153" t="s">
        <v>4</v>
      </c>
      <c r="F144" s="154" t="s">
        <v>212</v>
      </c>
      <c r="G144" s="153">
        <v>100</v>
      </c>
      <c r="H144" s="153">
        <v>5</v>
      </c>
      <c r="I144" s="153">
        <v>10</v>
      </c>
      <c r="J144" s="153">
        <v>0</v>
      </c>
      <c r="K144" s="153">
        <v>0</v>
      </c>
      <c r="L144" s="154">
        <v>100</v>
      </c>
      <c r="M144" s="155"/>
      <c r="N144" s="156" t="s">
        <v>712</v>
      </c>
      <c r="O144" s="157" t="s">
        <v>522</v>
      </c>
      <c r="P144" s="157">
        <v>10</v>
      </c>
      <c r="Q144" s="158">
        <v>1</v>
      </c>
      <c r="R144" s="156" t="s">
        <v>914</v>
      </c>
      <c r="S144" s="157" t="s">
        <v>911</v>
      </c>
      <c r="T144" s="157">
        <v>10</v>
      </c>
      <c r="U144" s="158">
        <v>1</v>
      </c>
      <c r="V144" s="156" t="s">
        <v>741</v>
      </c>
      <c r="W144" s="157" t="s">
        <v>555</v>
      </c>
      <c r="X144" s="157">
        <v>10</v>
      </c>
      <c r="Y144" s="158">
        <v>1</v>
      </c>
      <c r="Z144" s="134"/>
      <c r="AA144" s="156"/>
      <c r="AB144" s="157"/>
      <c r="AC144" s="157"/>
      <c r="AD144" s="157"/>
      <c r="AE144" s="159"/>
      <c r="AG144" s="160" t="s">
        <v>637</v>
      </c>
      <c r="AH144" s="161">
        <v>5</v>
      </c>
      <c r="AI144" s="161">
        <v>100</v>
      </c>
      <c r="AJ144" s="161">
        <v>10</v>
      </c>
      <c r="AK144" s="138" t="s">
        <v>697</v>
      </c>
      <c r="AM144" s="140">
        <v>2</v>
      </c>
      <c r="AN144" s="140"/>
      <c r="AO144" s="140"/>
    </row>
    <row r="145" spans="3:41" x14ac:dyDescent="0.3">
      <c r="D145" s="156">
        <v>5</v>
      </c>
      <c r="E145" s="157" t="s">
        <v>4</v>
      </c>
      <c r="F145" s="159" t="s">
        <v>1677</v>
      </c>
      <c r="G145" s="157">
        <v>100</v>
      </c>
      <c r="H145" s="157">
        <v>5</v>
      </c>
      <c r="I145" s="157">
        <v>10</v>
      </c>
      <c r="J145" s="157">
        <v>0</v>
      </c>
      <c r="K145" s="157">
        <v>0</v>
      </c>
      <c r="L145" s="159">
        <v>100</v>
      </c>
      <c r="M145" s="155"/>
      <c r="N145" s="156" t="s">
        <v>712</v>
      </c>
      <c r="O145" s="157" t="s">
        <v>522</v>
      </c>
      <c r="P145" s="157">
        <v>10</v>
      </c>
      <c r="Q145" s="158">
        <v>1</v>
      </c>
      <c r="R145" s="156" t="s">
        <v>914</v>
      </c>
      <c r="S145" s="157" t="s">
        <v>911</v>
      </c>
      <c r="T145" s="157">
        <v>10</v>
      </c>
      <c r="U145" s="158">
        <v>1</v>
      </c>
      <c r="V145" s="156" t="s">
        <v>741</v>
      </c>
      <c r="W145" s="157" t="s">
        <v>555</v>
      </c>
      <c r="X145" s="157">
        <v>10</v>
      </c>
      <c r="Y145" s="158">
        <v>1</v>
      </c>
      <c r="Z145" s="134"/>
      <c r="AA145" s="156"/>
      <c r="AB145" s="157"/>
      <c r="AC145" s="157"/>
      <c r="AD145" s="157"/>
      <c r="AE145" s="159"/>
      <c r="AM145" s="140">
        <v>1</v>
      </c>
      <c r="AN145" s="140"/>
      <c r="AO145" s="140">
        <v>4</v>
      </c>
    </row>
    <row r="146" spans="3:41" x14ac:dyDescent="0.3">
      <c r="D146" s="156">
        <v>5</v>
      </c>
      <c r="E146" s="157" t="s">
        <v>4</v>
      </c>
      <c r="F146" s="159" t="s">
        <v>240</v>
      </c>
      <c r="G146" s="157">
        <v>100</v>
      </c>
      <c r="H146" s="157">
        <v>5</v>
      </c>
      <c r="I146" s="157">
        <v>10</v>
      </c>
      <c r="J146" s="157">
        <v>0</v>
      </c>
      <c r="K146" s="157">
        <v>0</v>
      </c>
      <c r="L146" s="159">
        <v>100</v>
      </c>
      <c r="M146" s="155"/>
      <c r="N146" s="156" t="s">
        <v>712</v>
      </c>
      <c r="O146" s="157" t="s">
        <v>522</v>
      </c>
      <c r="P146" s="157">
        <v>10</v>
      </c>
      <c r="Q146" s="158">
        <v>1</v>
      </c>
      <c r="R146" s="156" t="s">
        <v>914</v>
      </c>
      <c r="S146" s="157" t="s">
        <v>911</v>
      </c>
      <c r="T146" s="157">
        <v>10</v>
      </c>
      <c r="U146" s="158">
        <v>1</v>
      </c>
      <c r="V146" s="156" t="s">
        <v>741</v>
      </c>
      <c r="W146" s="157" t="s">
        <v>555</v>
      </c>
      <c r="X146" s="157">
        <v>10</v>
      </c>
      <c r="Y146" s="158">
        <v>1</v>
      </c>
      <c r="Z146" s="134"/>
      <c r="AA146" s="156"/>
      <c r="AB146" s="157"/>
      <c r="AC146" s="157"/>
      <c r="AD146" s="157"/>
      <c r="AE146" s="159"/>
      <c r="AM146" s="140">
        <v>3</v>
      </c>
      <c r="AN146" s="140">
        <v>5</v>
      </c>
      <c r="AO146" s="140"/>
    </row>
    <row r="147" spans="3:41" x14ac:dyDescent="0.3">
      <c r="D147" s="156">
        <v>5</v>
      </c>
      <c r="E147" s="157" t="s">
        <v>5</v>
      </c>
      <c r="F147" s="159" t="s">
        <v>810</v>
      </c>
      <c r="G147" s="157">
        <v>100</v>
      </c>
      <c r="H147" s="157">
        <v>5</v>
      </c>
      <c r="I147" s="157">
        <v>10</v>
      </c>
      <c r="J147" s="157">
        <v>0</v>
      </c>
      <c r="K147" s="157">
        <v>0</v>
      </c>
      <c r="L147" s="159">
        <v>100</v>
      </c>
      <c r="M147" s="155"/>
      <c r="N147" s="156" t="s">
        <v>6364</v>
      </c>
      <c r="O147" s="157" t="s">
        <v>6368</v>
      </c>
      <c r="P147" s="157">
        <v>10</v>
      </c>
      <c r="Q147" s="158">
        <v>1</v>
      </c>
      <c r="R147" s="156" t="s">
        <v>914</v>
      </c>
      <c r="S147" s="157" t="s">
        <v>905</v>
      </c>
      <c r="T147" s="157">
        <v>10</v>
      </c>
      <c r="U147" s="158">
        <v>1</v>
      </c>
      <c r="V147" s="156" t="s">
        <v>637</v>
      </c>
      <c r="W147" s="157" t="s">
        <v>545</v>
      </c>
      <c r="X147" s="157">
        <v>10</v>
      </c>
      <c r="Y147" s="158">
        <v>1</v>
      </c>
      <c r="Z147" s="134"/>
      <c r="AA147" s="156"/>
      <c r="AB147" s="157"/>
      <c r="AC147" s="157"/>
      <c r="AD147" s="157"/>
      <c r="AE147" s="159"/>
    </row>
    <row r="148" spans="3:41" x14ac:dyDescent="0.3">
      <c r="D148" s="160">
        <v>5</v>
      </c>
      <c r="E148" s="161" t="s">
        <v>3</v>
      </c>
      <c r="F148" s="138" t="s">
        <v>197</v>
      </c>
      <c r="G148" s="161">
        <v>100</v>
      </c>
      <c r="H148" s="161">
        <v>5</v>
      </c>
      <c r="I148" s="161">
        <v>10</v>
      </c>
      <c r="J148" s="161">
        <v>0</v>
      </c>
      <c r="K148" s="161">
        <v>0</v>
      </c>
      <c r="L148" s="138">
        <v>100</v>
      </c>
      <c r="M148" s="155"/>
      <c r="N148" s="160" t="s">
        <v>753</v>
      </c>
      <c r="O148" s="161" t="s">
        <v>553</v>
      </c>
      <c r="P148" s="161">
        <v>10</v>
      </c>
      <c r="Q148" s="162">
        <v>1</v>
      </c>
      <c r="R148" s="160" t="s">
        <v>9</v>
      </c>
      <c r="S148" s="161" t="s">
        <v>559</v>
      </c>
      <c r="T148" s="161">
        <v>10</v>
      </c>
      <c r="U148" s="162">
        <v>1</v>
      </c>
      <c r="V148" s="160" t="s">
        <v>732</v>
      </c>
      <c r="W148" s="161" t="s">
        <v>542</v>
      </c>
      <c r="X148" s="161">
        <v>10</v>
      </c>
      <c r="Y148" s="162">
        <v>1</v>
      </c>
      <c r="Z148" s="134"/>
      <c r="AA148" s="160"/>
      <c r="AB148" s="161"/>
      <c r="AC148" s="161"/>
      <c r="AD148" s="161"/>
      <c r="AE148" s="138"/>
    </row>
    <row r="149" spans="3:41" x14ac:dyDescent="0.3">
      <c r="C149" t="s">
        <v>6513</v>
      </c>
      <c r="D149" s="152">
        <v>5</v>
      </c>
      <c r="E149" s="153" t="s">
        <v>5</v>
      </c>
      <c r="F149" s="154" t="s">
        <v>810</v>
      </c>
      <c r="G149" s="153">
        <v>100</v>
      </c>
      <c r="H149" s="153">
        <v>5</v>
      </c>
      <c r="I149" s="153">
        <v>10</v>
      </c>
      <c r="J149" s="153">
        <v>0</v>
      </c>
      <c r="K149" s="153">
        <v>0</v>
      </c>
      <c r="L149" s="154">
        <v>100</v>
      </c>
      <c r="M149" s="155"/>
      <c r="N149" s="156" t="s">
        <v>6364</v>
      </c>
      <c r="O149" s="157" t="s">
        <v>6368</v>
      </c>
      <c r="P149" s="157">
        <v>10</v>
      </c>
      <c r="Q149" s="158">
        <v>1</v>
      </c>
      <c r="R149" s="156" t="s">
        <v>914</v>
      </c>
      <c r="S149" s="157" t="s">
        <v>905</v>
      </c>
      <c r="T149" s="157">
        <v>10</v>
      </c>
      <c r="U149" s="158">
        <v>1</v>
      </c>
      <c r="V149" s="156" t="s">
        <v>637</v>
      </c>
      <c r="W149" s="157" t="s">
        <v>545</v>
      </c>
      <c r="X149" s="157">
        <v>10</v>
      </c>
      <c r="Y149" s="158">
        <v>1</v>
      </c>
      <c r="Z149" s="134"/>
      <c r="AA149" s="156"/>
      <c r="AB149" s="157"/>
      <c r="AC149" s="157"/>
      <c r="AD149" s="157"/>
      <c r="AE149" s="159"/>
      <c r="AG149" s="160" t="s">
        <v>655</v>
      </c>
      <c r="AH149" s="161">
        <v>5</v>
      </c>
      <c r="AI149" s="161">
        <v>100</v>
      </c>
      <c r="AJ149" s="161">
        <v>10</v>
      </c>
      <c r="AK149" s="138" t="s">
        <v>697</v>
      </c>
      <c r="AM149" s="140">
        <v>3</v>
      </c>
      <c r="AN149" s="140"/>
      <c r="AO149" s="140"/>
    </row>
    <row r="150" spans="3:41" x14ac:dyDescent="0.3">
      <c r="D150" s="156">
        <v>5</v>
      </c>
      <c r="E150" s="157" t="s">
        <v>4</v>
      </c>
      <c r="F150" s="159" t="s">
        <v>212</v>
      </c>
      <c r="G150" s="157">
        <v>100</v>
      </c>
      <c r="H150" s="157">
        <v>5</v>
      </c>
      <c r="I150" s="157">
        <v>10</v>
      </c>
      <c r="J150" s="157">
        <v>0</v>
      </c>
      <c r="K150" s="157">
        <v>0</v>
      </c>
      <c r="L150" s="159">
        <v>100</v>
      </c>
      <c r="M150" s="155"/>
      <c r="N150" s="156" t="s">
        <v>712</v>
      </c>
      <c r="O150" s="157" t="s">
        <v>522</v>
      </c>
      <c r="P150" s="157">
        <v>10</v>
      </c>
      <c r="Q150" s="158">
        <v>1</v>
      </c>
      <c r="R150" s="156" t="s">
        <v>914</v>
      </c>
      <c r="S150" s="157" t="s">
        <v>911</v>
      </c>
      <c r="T150" s="157">
        <v>10</v>
      </c>
      <c r="U150" s="158">
        <v>1</v>
      </c>
      <c r="V150" s="156" t="s">
        <v>741</v>
      </c>
      <c r="W150" s="157" t="s">
        <v>555</v>
      </c>
      <c r="X150" s="157">
        <v>10</v>
      </c>
      <c r="Y150" s="158">
        <v>1</v>
      </c>
      <c r="Z150" s="134"/>
      <c r="AA150" s="156"/>
      <c r="AB150" s="157"/>
      <c r="AC150" s="157"/>
      <c r="AD150" s="157"/>
      <c r="AE150" s="159"/>
      <c r="AM150" s="140">
        <v>2</v>
      </c>
      <c r="AN150" s="140"/>
      <c r="AO150" s="140">
        <v>1</v>
      </c>
    </row>
    <row r="151" spans="3:41" x14ac:dyDescent="0.3">
      <c r="D151" s="156">
        <v>5</v>
      </c>
      <c r="E151" s="157" t="s">
        <v>4</v>
      </c>
      <c r="F151" s="159" t="s">
        <v>1677</v>
      </c>
      <c r="G151" s="157">
        <v>100</v>
      </c>
      <c r="H151" s="157">
        <v>5</v>
      </c>
      <c r="I151" s="157">
        <v>10</v>
      </c>
      <c r="J151" s="157">
        <v>0</v>
      </c>
      <c r="K151" s="157">
        <v>0</v>
      </c>
      <c r="L151" s="159">
        <v>100</v>
      </c>
      <c r="M151" s="155"/>
      <c r="N151" s="156" t="s">
        <v>712</v>
      </c>
      <c r="O151" s="157" t="s">
        <v>522</v>
      </c>
      <c r="P151" s="157">
        <v>10</v>
      </c>
      <c r="Q151" s="158">
        <v>1</v>
      </c>
      <c r="R151" s="156" t="s">
        <v>914</v>
      </c>
      <c r="S151" s="157" t="s">
        <v>911</v>
      </c>
      <c r="T151" s="157">
        <v>10</v>
      </c>
      <c r="U151" s="158">
        <v>1</v>
      </c>
      <c r="V151" s="156" t="s">
        <v>741</v>
      </c>
      <c r="W151" s="157" t="s">
        <v>555</v>
      </c>
      <c r="X151" s="157">
        <v>10</v>
      </c>
      <c r="Y151" s="158">
        <v>1</v>
      </c>
      <c r="Z151" s="134"/>
      <c r="AA151" s="156"/>
      <c r="AB151" s="157"/>
      <c r="AC151" s="157"/>
      <c r="AD151" s="157"/>
      <c r="AE151" s="159"/>
      <c r="AM151" s="140">
        <v>4</v>
      </c>
      <c r="AN151" s="140">
        <v>5</v>
      </c>
      <c r="AO151" s="140"/>
    </row>
    <row r="152" spans="3:41" x14ac:dyDescent="0.3">
      <c r="D152" s="156">
        <v>5</v>
      </c>
      <c r="E152" s="157" t="s">
        <v>4</v>
      </c>
      <c r="F152" s="159" t="s">
        <v>240</v>
      </c>
      <c r="G152" s="157">
        <v>100</v>
      </c>
      <c r="H152" s="157">
        <v>5</v>
      </c>
      <c r="I152" s="157">
        <v>10</v>
      </c>
      <c r="J152" s="157">
        <v>0</v>
      </c>
      <c r="K152" s="157">
        <v>0</v>
      </c>
      <c r="L152" s="159">
        <v>100</v>
      </c>
      <c r="M152" s="155"/>
      <c r="N152" s="156" t="s">
        <v>712</v>
      </c>
      <c r="O152" s="157" t="s">
        <v>522</v>
      </c>
      <c r="P152" s="157">
        <v>10</v>
      </c>
      <c r="Q152" s="158">
        <v>1</v>
      </c>
      <c r="R152" s="156" t="s">
        <v>914</v>
      </c>
      <c r="S152" s="157" t="s">
        <v>911</v>
      </c>
      <c r="T152" s="157">
        <v>10</v>
      </c>
      <c r="U152" s="158">
        <v>1</v>
      </c>
      <c r="V152" s="156" t="s">
        <v>741</v>
      </c>
      <c r="W152" s="157" t="s">
        <v>555</v>
      </c>
      <c r="X152" s="157">
        <v>10</v>
      </c>
      <c r="Y152" s="158">
        <v>1</v>
      </c>
      <c r="Z152" s="134"/>
      <c r="AA152" s="156"/>
      <c r="AB152" s="157"/>
      <c r="AC152" s="157"/>
      <c r="AD152" s="157"/>
      <c r="AE152" s="159"/>
    </row>
    <row r="153" spans="3:41" x14ac:dyDescent="0.3">
      <c r="D153" s="160">
        <v>5</v>
      </c>
      <c r="E153" s="161" t="s">
        <v>3</v>
      </c>
      <c r="F153" s="138" t="s">
        <v>197</v>
      </c>
      <c r="G153" s="161">
        <v>100</v>
      </c>
      <c r="H153" s="161">
        <v>5</v>
      </c>
      <c r="I153" s="161">
        <v>10</v>
      </c>
      <c r="J153" s="161">
        <v>0</v>
      </c>
      <c r="K153" s="161">
        <v>0</v>
      </c>
      <c r="L153" s="138">
        <v>100</v>
      </c>
      <c r="M153" s="155"/>
      <c r="N153" s="160" t="s">
        <v>753</v>
      </c>
      <c r="O153" s="161" t="s">
        <v>553</v>
      </c>
      <c r="P153" s="161">
        <v>10</v>
      </c>
      <c r="Q153" s="162">
        <v>1</v>
      </c>
      <c r="R153" s="160" t="s">
        <v>9</v>
      </c>
      <c r="S153" s="161" t="s">
        <v>559</v>
      </c>
      <c r="T153" s="161">
        <v>10</v>
      </c>
      <c r="U153" s="162">
        <v>1</v>
      </c>
      <c r="V153" s="160" t="s">
        <v>732</v>
      </c>
      <c r="W153" s="161" t="s">
        <v>542</v>
      </c>
      <c r="X153" s="161">
        <v>10</v>
      </c>
      <c r="Y153" s="162">
        <v>1</v>
      </c>
      <c r="Z153" s="134"/>
      <c r="AA153" s="160"/>
      <c r="AB153" s="161"/>
      <c r="AC153" s="161"/>
      <c r="AD153" s="161"/>
      <c r="AE153" s="138"/>
    </row>
    <row r="154" spans="3:41" x14ac:dyDescent="0.3">
      <c r="C154" t="s">
        <v>6602</v>
      </c>
      <c r="D154" s="152">
        <v>5</v>
      </c>
      <c r="E154" s="153" t="s">
        <v>2</v>
      </c>
      <c r="F154" s="154" t="s">
        <v>255</v>
      </c>
      <c r="G154" s="153">
        <v>115</v>
      </c>
      <c r="H154" s="153">
        <v>5</v>
      </c>
      <c r="I154" s="153">
        <v>10</v>
      </c>
      <c r="J154" s="153">
        <v>10</v>
      </c>
      <c r="K154" s="153">
        <v>3</v>
      </c>
      <c r="L154" s="154">
        <v>100</v>
      </c>
      <c r="M154" s="155"/>
      <c r="N154" s="156" t="s">
        <v>712</v>
      </c>
      <c r="O154" s="157" t="s">
        <v>522</v>
      </c>
      <c r="P154" s="157">
        <v>10</v>
      </c>
      <c r="Q154" s="158">
        <v>1</v>
      </c>
      <c r="R154" s="156" t="s">
        <v>727</v>
      </c>
      <c r="S154" s="157" t="s">
        <v>538</v>
      </c>
      <c r="T154" s="157">
        <v>10</v>
      </c>
      <c r="U154" s="158">
        <v>1</v>
      </c>
      <c r="V154" s="156" t="s">
        <v>701</v>
      </c>
      <c r="W154" s="157" t="s">
        <v>255</v>
      </c>
      <c r="X154" s="157">
        <v>10</v>
      </c>
      <c r="Y154" s="158">
        <v>1</v>
      </c>
      <c r="Z154" s="134"/>
      <c r="AA154" s="156"/>
      <c r="AB154" s="157"/>
      <c r="AC154" s="157"/>
      <c r="AD154" s="157"/>
      <c r="AE154" s="159"/>
      <c r="AG154" s="160" t="s">
        <v>640</v>
      </c>
      <c r="AH154" s="161">
        <v>5</v>
      </c>
      <c r="AI154" s="161">
        <v>100</v>
      </c>
      <c r="AJ154" s="161">
        <v>10</v>
      </c>
      <c r="AK154" s="138" t="s">
        <v>697</v>
      </c>
      <c r="AM154" s="140"/>
      <c r="AN154" s="140"/>
      <c r="AO154" s="140"/>
    </row>
    <row r="155" spans="3:41" x14ac:dyDescent="0.3">
      <c r="D155" s="156">
        <v>5</v>
      </c>
      <c r="E155" s="157" t="s">
        <v>3</v>
      </c>
      <c r="F155" s="159" t="s">
        <v>814</v>
      </c>
      <c r="G155" s="157">
        <v>100</v>
      </c>
      <c r="H155" s="157">
        <v>5</v>
      </c>
      <c r="I155" s="157">
        <v>10</v>
      </c>
      <c r="J155" s="157">
        <v>0</v>
      </c>
      <c r="K155" s="157">
        <v>0</v>
      </c>
      <c r="L155" s="159">
        <v>100</v>
      </c>
      <c r="M155" s="155"/>
      <c r="N155" s="156" t="s">
        <v>753</v>
      </c>
      <c r="O155" s="157" t="s">
        <v>553</v>
      </c>
      <c r="P155" s="157">
        <v>10</v>
      </c>
      <c r="Q155" s="158">
        <v>1</v>
      </c>
      <c r="R155" s="156" t="s">
        <v>9</v>
      </c>
      <c r="S155" s="157" t="s">
        <v>559</v>
      </c>
      <c r="T155" s="157">
        <v>10</v>
      </c>
      <c r="U155" s="158">
        <v>1</v>
      </c>
      <c r="V155" s="156" t="s">
        <v>732</v>
      </c>
      <c r="W155" s="157" t="s">
        <v>542</v>
      </c>
      <c r="X155" s="157">
        <v>10</v>
      </c>
      <c r="Y155" s="158">
        <v>1</v>
      </c>
      <c r="Z155" s="134"/>
      <c r="AA155" s="156"/>
      <c r="AB155" s="157"/>
      <c r="AC155" s="157"/>
      <c r="AD155" s="157"/>
      <c r="AE155" s="159"/>
      <c r="AM155" s="140">
        <v>3</v>
      </c>
      <c r="AN155" s="140">
        <v>5</v>
      </c>
      <c r="AO155" s="140"/>
    </row>
    <row r="156" spans="3:41" x14ac:dyDescent="0.3">
      <c r="D156" s="156">
        <v>6</v>
      </c>
      <c r="E156" s="157" t="s">
        <v>3</v>
      </c>
      <c r="F156" s="159" t="s">
        <v>262</v>
      </c>
      <c r="G156" s="157">
        <v>110</v>
      </c>
      <c r="H156" s="157">
        <v>5</v>
      </c>
      <c r="I156" s="157">
        <v>10</v>
      </c>
      <c r="J156" s="157">
        <v>10</v>
      </c>
      <c r="K156" s="157">
        <v>2</v>
      </c>
      <c r="L156" s="159">
        <v>100</v>
      </c>
      <c r="M156" s="155"/>
      <c r="N156" s="156" t="s">
        <v>753</v>
      </c>
      <c r="O156" s="157" t="s">
        <v>553</v>
      </c>
      <c r="P156" s="157">
        <v>10</v>
      </c>
      <c r="Q156" s="158">
        <v>1</v>
      </c>
      <c r="R156" s="156" t="s">
        <v>9</v>
      </c>
      <c r="S156" s="157" t="s">
        <v>559</v>
      </c>
      <c r="T156" s="157">
        <v>10</v>
      </c>
      <c r="U156" s="158">
        <v>1</v>
      </c>
      <c r="V156" s="156" t="s">
        <v>732</v>
      </c>
      <c r="W156" s="157" t="s">
        <v>542</v>
      </c>
      <c r="X156" s="157">
        <v>10</v>
      </c>
      <c r="Y156" s="158">
        <v>1</v>
      </c>
      <c r="Z156" s="134"/>
      <c r="AA156" s="156"/>
      <c r="AB156" s="157"/>
      <c r="AC156" s="157"/>
      <c r="AD156" s="157"/>
      <c r="AE156" s="159"/>
      <c r="AM156" s="140">
        <v>4</v>
      </c>
      <c r="AN156" s="140">
        <v>1</v>
      </c>
      <c r="AO156" s="140">
        <v>2</v>
      </c>
    </row>
    <row r="157" spans="3:41" x14ac:dyDescent="0.3">
      <c r="D157" s="156">
        <v>5</v>
      </c>
      <c r="E157" s="157" t="s">
        <v>3</v>
      </c>
      <c r="F157" s="159" t="s">
        <v>792</v>
      </c>
      <c r="G157" s="157">
        <v>100</v>
      </c>
      <c r="H157" s="157">
        <v>5</v>
      </c>
      <c r="I157" s="157">
        <v>10</v>
      </c>
      <c r="J157" s="157">
        <v>0</v>
      </c>
      <c r="K157" s="157">
        <v>0</v>
      </c>
      <c r="L157" s="159">
        <v>100</v>
      </c>
      <c r="M157" s="155"/>
      <c r="N157" s="156" t="s">
        <v>753</v>
      </c>
      <c r="O157" s="157" t="s">
        <v>553</v>
      </c>
      <c r="P157" s="157">
        <v>10</v>
      </c>
      <c r="Q157" s="158">
        <v>1</v>
      </c>
      <c r="R157" s="156" t="s">
        <v>9</v>
      </c>
      <c r="S157" s="157" t="s">
        <v>559</v>
      </c>
      <c r="T157" s="157">
        <v>10</v>
      </c>
      <c r="U157" s="158">
        <v>1</v>
      </c>
      <c r="V157" s="156" t="s">
        <v>732</v>
      </c>
      <c r="W157" s="157" t="s">
        <v>542</v>
      </c>
      <c r="X157" s="157">
        <v>10</v>
      </c>
      <c r="Y157" s="158">
        <v>1</v>
      </c>
      <c r="Z157" s="134"/>
      <c r="AA157" s="156"/>
      <c r="AB157" s="157"/>
      <c r="AC157" s="157"/>
      <c r="AD157" s="157"/>
      <c r="AE157" s="159"/>
    </row>
    <row r="158" spans="3:41" x14ac:dyDescent="0.3">
      <c r="D158" s="160">
        <v>5</v>
      </c>
      <c r="E158" s="161" t="s">
        <v>3</v>
      </c>
      <c r="F158" s="138" t="s">
        <v>739</v>
      </c>
      <c r="G158" s="161">
        <v>110</v>
      </c>
      <c r="H158" s="161">
        <v>5</v>
      </c>
      <c r="I158" s="161">
        <v>10</v>
      </c>
      <c r="J158" s="161">
        <v>10</v>
      </c>
      <c r="K158" s="161">
        <v>2</v>
      </c>
      <c r="L158" s="138">
        <v>100</v>
      </c>
      <c r="M158" s="155"/>
      <c r="N158" s="160" t="s">
        <v>701</v>
      </c>
      <c r="O158" s="161" t="s">
        <v>67</v>
      </c>
      <c r="P158" s="161">
        <v>10</v>
      </c>
      <c r="Q158" s="162">
        <v>1</v>
      </c>
      <c r="R158" s="160" t="s">
        <v>9</v>
      </c>
      <c r="S158" s="161" t="s">
        <v>559</v>
      </c>
      <c r="T158" s="161">
        <v>10</v>
      </c>
      <c r="U158" s="162">
        <v>1</v>
      </c>
      <c r="V158" s="160" t="s">
        <v>732</v>
      </c>
      <c r="W158" s="161" t="s">
        <v>542</v>
      </c>
      <c r="X158" s="161">
        <v>10</v>
      </c>
      <c r="Y158" s="162">
        <v>1</v>
      </c>
      <c r="Z158" s="134"/>
      <c r="AA158" s="160"/>
      <c r="AB158" s="161"/>
      <c r="AC158" s="161"/>
      <c r="AD158" s="161"/>
      <c r="AE158" s="138"/>
    </row>
  </sheetData>
  <sortState xmlns:xlrd2="http://schemas.microsoft.com/office/spreadsheetml/2017/richdata2" ref="A34:A184">
    <sortCondition ref="A34"/>
  </sortState>
  <dataValidations count="2">
    <dataValidation type="list" allowBlank="1" showInputMessage="1" showErrorMessage="1" sqref="AJ39 AJ44 AJ49 AJ54 AJ59 AJ64 AJ69 AJ144 AJ129 AJ139 AJ134 AJ94 AJ99 AJ119 AJ124 AJ104 AJ109 AJ114" xr:uid="{277BBFE5-6D5E-4D2E-AAD6-2898E709E2AF}">
      <formula1>"1,2,3,4,5,6,7,8,9,10"</formula1>
    </dataValidation>
    <dataValidation type="list" allowBlank="1" showInputMessage="1" showErrorMessage="1" sqref="AJ149 AJ74 AJ84 AJ89 AJ154 AJ79" xr:uid="{A5A85E1A-5441-4189-81E8-3AC78F0B5E3D}">
      <formula1>"0,1,2,3,4,5,6,7,8,9,10"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372E740-9B65-43F0-B35F-EF07EB2CF4C6}">
          <x14:formula1>
            <xm:f>'Talent Data'!$A$2:$A$100</xm:f>
          </x14:formula1>
          <xm:sqref>AK144 AK44 AK49 AK54 AK59 AK64 AK69 AK149 AK154 AK74 AK84 AK94 AK99 AK119 AK124 AK129 AK134 AK139 AK39 AK89 AK79 AK104 AK109 AK114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DB2D5-D549-4CBA-BC5F-743EA234DDAB}">
  <sheetPr codeName="Sheet27"/>
  <dimension ref="A2:U75"/>
  <sheetViews>
    <sheetView zoomScaleNormal="100" workbookViewId="0">
      <pane xSplit="2" topLeftCell="C1" activePane="topRight" state="frozen"/>
      <selection pane="topRight"/>
    </sheetView>
  </sheetViews>
  <sheetFormatPr defaultRowHeight="14.4" x14ac:dyDescent="0.3"/>
  <cols>
    <col min="1" max="1" width="13.88671875" bestFit="1" customWidth="1"/>
    <col min="3" max="3" width="18.109375" bestFit="1" customWidth="1"/>
  </cols>
  <sheetData>
    <row r="2" spans="1:21" x14ac:dyDescent="0.3">
      <c r="D2" s="147" t="s">
        <v>5669</v>
      </c>
      <c r="E2" s="145"/>
      <c r="F2" s="145"/>
      <c r="G2" s="145"/>
      <c r="H2" s="145"/>
      <c r="I2" s="145"/>
      <c r="J2" s="147" t="s">
        <v>768</v>
      </c>
      <c r="K2" s="145"/>
      <c r="L2" s="145"/>
      <c r="M2" s="146"/>
      <c r="N2" s="147" t="s">
        <v>1031</v>
      </c>
      <c r="O2" s="146"/>
    </row>
    <row r="3" spans="1:21" x14ac:dyDescent="0.3">
      <c r="A3" s="10" t="s">
        <v>959</v>
      </c>
      <c r="D3" s="151" t="s">
        <v>8</v>
      </c>
      <c r="E3" s="149" t="s">
        <v>18</v>
      </c>
      <c r="F3" s="149" t="s">
        <v>1764</v>
      </c>
      <c r="G3" s="149" t="s">
        <v>6868</v>
      </c>
      <c r="H3" s="149" t="s">
        <v>1034</v>
      </c>
      <c r="I3" s="149" t="s">
        <v>60</v>
      </c>
      <c r="J3" s="151">
        <v>1</v>
      </c>
      <c r="K3" s="149">
        <v>2</v>
      </c>
      <c r="L3" s="149">
        <v>3</v>
      </c>
      <c r="M3" s="150">
        <v>4</v>
      </c>
      <c r="N3" s="151">
        <v>1</v>
      </c>
      <c r="O3" s="150">
        <v>2</v>
      </c>
      <c r="Q3" s="167" t="s">
        <v>1105</v>
      </c>
    </row>
    <row r="4" spans="1:21" x14ac:dyDescent="0.3">
      <c r="A4" t="s">
        <v>5670</v>
      </c>
      <c r="C4" t="s">
        <v>5670</v>
      </c>
      <c r="D4" s="152" t="s">
        <v>980</v>
      </c>
      <c r="E4" s="153">
        <v>100</v>
      </c>
      <c r="F4" s="153">
        <v>5</v>
      </c>
      <c r="G4" s="153">
        <v>0</v>
      </c>
      <c r="H4" s="153"/>
      <c r="I4" s="154">
        <v>100</v>
      </c>
      <c r="J4" s="157">
        <v>10</v>
      </c>
      <c r="K4" s="157">
        <v>10</v>
      </c>
      <c r="L4" s="157">
        <v>5</v>
      </c>
      <c r="M4" s="159">
        <v>5</v>
      </c>
      <c r="N4" s="156" t="s">
        <v>6847</v>
      </c>
      <c r="O4" s="159" t="s">
        <v>6848</v>
      </c>
      <c r="Q4" s="168"/>
      <c r="S4" s="140">
        <v>3</v>
      </c>
      <c r="T4" s="140"/>
      <c r="U4" s="140"/>
    </row>
    <row r="5" spans="1:21" x14ac:dyDescent="0.3">
      <c r="A5" t="s">
        <v>6871</v>
      </c>
      <c r="D5" s="156" t="s">
        <v>1002</v>
      </c>
      <c r="E5" s="157">
        <v>100</v>
      </c>
      <c r="F5" s="157">
        <v>5</v>
      </c>
      <c r="G5" s="157">
        <v>4</v>
      </c>
      <c r="H5" s="157" t="s">
        <v>1033</v>
      </c>
      <c r="I5" s="159">
        <v>100</v>
      </c>
      <c r="J5" s="157">
        <v>5</v>
      </c>
      <c r="K5" s="157">
        <v>5</v>
      </c>
      <c r="L5" s="157"/>
      <c r="M5" s="159"/>
      <c r="N5" s="156"/>
      <c r="O5" s="159"/>
      <c r="Q5" s="168"/>
      <c r="S5" s="140">
        <v>4</v>
      </c>
      <c r="T5" s="140">
        <v>1</v>
      </c>
      <c r="U5" s="140"/>
    </row>
    <row r="6" spans="1:21" x14ac:dyDescent="0.3">
      <c r="A6" t="s">
        <v>6331</v>
      </c>
      <c r="D6" s="156" t="s">
        <v>1015</v>
      </c>
      <c r="E6" s="157">
        <v>100</v>
      </c>
      <c r="F6" s="157">
        <v>5</v>
      </c>
      <c r="G6" s="157">
        <v>4</v>
      </c>
      <c r="H6" s="157" t="s">
        <v>1033</v>
      </c>
      <c r="I6" s="159">
        <v>100</v>
      </c>
      <c r="J6" s="157">
        <v>5</v>
      </c>
      <c r="K6" s="157"/>
      <c r="L6" s="157"/>
      <c r="M6" s="159"/>
      <c r="N6" s="156"/>
      <c r="O6" s="159"/>
      <c r="Q6" s="168"/>
      <c r="S6" s="140">
        <v>5</v>
      </c>
      <c r="T6" s="140">
        <v>2</v>
      </c>
      <c r="U6" s="140"/>
    </row>
    <row r="7" spans="1:21" x14ac:dyDescent="0.3">
      <c r="A7" t="s">
        <v>6332</v>
      </c>
      <c r="D7" s="156" t="s">
        <v>1015</v>
      </c>
      <c r="E7" s="157">
        <v>100</v>
      </c>
      <c r="F7" s="157">
        <v>5</v>
      </c>
      <c r="G7" s="157">
        <v>4</v>
      </c>
      <c r="H7" s="157" t="s">
        <v>1033</v>
      </c>
      <c r="I7" s="159">
        <v>100</v>
      </c>
      <c r="J7" s="157">
        <v>5</v>
      </c>
      <c r="K7" s="157"/>
      <c r="L7" s="157"/>
      <c r="M7" s="159"/>
      <c r="N7" s="156"/>
      <c r="O7" s="159"/>
      <c r="Q7" s="168"/>
    </row>
    <row r="8" spans="1:21" x14ac:dyDescent="0.3">
      <c r="A8" t="s">
        <v>6333</v>
      </c>
      <c r="D8" s="156" t="s">
        <v>1013</v>
      </c>
      <c r="E8" s="157">
        <v>100</v>
      </c>
      <c r="F8" s="157">
        <v>5</v>
      </c>
      <c r="G8" s="157">
        <v>4</v>
      </c>
      <c r="H8" s="157" t="s">
        <v>1033</v>
      </c>
      <c r="I8" s="159">
        <v>100</v>
      </c>
      <c r="J8" s="157">
        <v>5</v>
      </c>
      <c r="K8" s="157"/>
      <c r="L8" s="157"/>
      <c r="M8" s="159"/>
      <c r="N8" s="156"/>
      <c r="O8" s="159"/>
      <c r="Q8" s="168"/>
    </row>
    <row r="9" spans="1:21" x14ac:dyDescent="0.3">
      <c r="A9" t="s">
        <v>6363</v>
      </c>
      <c r="D9" s="156"/>
      <c r="E9" s="157"/>
      <c r="F9" s="157"/>
      <c r="G9" s="157"/>
      <c r="H9" s="157"/>
      <c r="I9" s="159"/>
      <c r="J9" s="157"/>
      <c r="K9" s="157"/>
      <c r="L9" s="157"/>
      <c r="M9" s="159"/>
      <c r="N9" s="156"/>
      <c r="O9" s="159"/>
      <c r="Q9" s="168"/>
    </row>
    <row r="10" spans="1:21" x14ac:dyDescent="0.3">
      <c r="A10" t="s">
        <v>6362</v>
      </c>
      <c r="D10" s="156"/>
      <c r="E10" s="157"/>
      <c r="F10" s="157"/>
      <c r="G10" s="157"/>
      <c r="H10" s="157"/>
      <c r="I10" s="159"/>
      <c r="J10" s="157"/>
      <c r="K10" s="157"/>
      <c r="L10" s="157"/>
      <c r="M10" s="159"/>
      <c r="N10" s="156"/>
      <c r="O10" s="159"/>
      <c r="Q10" s="168"/>
    </row>
    <row r="11" spans="1:21" x14ac:dyDescent="0.3">
      <c r="A11" t="s">
        <v>6872</v>
      </c>
      <c r="D11" s="156"/>
      <c r="E11" s="157"/>
      <c r="F11" s="157"/>
      <c r="G11" s="157"/>
      <c r="H11" s="157"/>
      <c r="I11" s="159"/>
      <c r="J11" s="157"/>
      <c r="K11" s="157"/>
      <c r="L11" s="157"/>
      <c r="M11" s="159"/>
      <c r="N11" s="156"/>
      <c r="O11" s="159"/>
      <c r="Q11" s="168"/>
    </row>
    <row r="12" spans="1:21" x14ac:dyDescent="0.3">
      <c r="D12" s="160"/>
      <c r="E12" s="161"/>
      <c r="F12" s="161"/>
      <c r="G12" s="161"/>
      <c r="H12" s="161"/>
      <c r="I12" s="138"/>
      <c r="J12" s="161"/>
      <c r="K12" s="161"/>
      <c r="L12" s="161"/>
      <c r="M12" s="138"/>
      <c r="N12" s="160"/>
      <c r="O12" s="138"/>
      <c r="Q12" s="169"/>
    </row>
    <row r="13" spans="1:21" x14ac:dyDescent="0.3">
      <c r="C13" t="s">
        <v>6871</v>
      </c>
      <c r="D13" s="152" t="s">
        <v>980</v>
      </c>
      <c r="E13" s="153">
        <v>100</v>
      </c>
      <c r="F13" s="153">
        <v>5</v>
      </c>
      <c r="G13" s="153">
        <v>0</v>
      </c>
      <c r="H13" s="153"/>
      <c r="I13" s="154">
        <v>100</v>
      </c>
      <c r="J13" s="157">
        <v>10</v>
      </c>
      <c r="K13" s="157">
        <v>10</v>
      </c>
      <c r="L13" s="157">
        <v>5</v>
      </c>
      <c r="M13" s="159">
        <v>5</v>
      </c>
      <c r="N13" s="156" t="s">
        <v>6847</v>
      </c>
      <c r="O13" s="159" t="s">
        <v>6848</v>
      </c>
      <c r="Q13" s="168"/>
      <c r="S13" s="140">
        <v>2</v>
      </c>
      <c r="T13" s="140"/>
      <c r="U13" s="140"/>
    </row>
    <row r="14" spans="1:21" x14ac:dyDescent="0.3">
      <c r="D14" s="156" t="s">
        <v>1015</v>
      </c>
      <c r="E14" s="157">
        <v>100</v>
      </c>
      <c r="F14" s="157">
        <v>5</v>
      </c>
      <c r="G14" s="157">
        <v>4</v>
      </c>
      <c r="H14" s="157" t="s">
        <v>1033</v>
      </c>
      <c r="I14" s="159">
        <v>100</v>
      </c>
      <c r="J14" s="157">
        <v>5</v>
      </c>
      <c r="K14" s="157"/>
      <c r="L14" s="157"/>
      <c r="M14" s="159"/>
      <c r="N14" s="156"/>
      <c r="O14" s="159"/>
      <c r="Q14" s="168"/>
      <c r="S14" s="140">
        <v>3</v>
      </c>
      <c r="T14" s="140">
        <v>1</v>
      </c>
      <c r="U14" s="140"/>
    </row>
    <row r="15" spans="1:21" x14ac:dyDescent="0.3">
      <c r="D15" s="156" t="s">
        <v>1015</v>
      </c>
      <c r="E15" s="157">
        <v>100</v>
      </c>
      <c r="F15" s="157">
        <v>5</v>
      </c>
      <c r="G15" s="157">
        <v>4</v>
      </c>
      <c r="H15" s="157" t="s">
        <v>1033</v>
      </c>
      <c r="I15" s="159">
        <v>100</v>
      </c>
      <c r="J15" s="157">
        <v>5</v>
      </c>
      <c r="K15" s="157"/>
      <c r="L15" s="157"/>
      <c r="M15" s="159"/>
      <c r="N15" s="156"/>
      <c r="O15" s="159"/>
      <c r="Q15" s="168"/>
      <c r="S15" s="140">
        <v>4</v>
      </c>
      <c r="T15" s="140"/>
      <c r="U15" s="140"/>
    </row>
    <row r="16" spans="1:21" x14ac:dyDescent="0.3">
      <c r="D16" s="156" t="s">
        <v>992</v>
      </c>
      <c r="E16" s="157">
        <v>100</v>
      </c>
      <c r="F16" s="157">
        <v>5</v>
      </c>
      <c r="G16" s="157">
        <v>4</v>
      </c>
      <c r="H16" s="157" t="s">
        <v>1033</v>
      </c>
      <c r="I16" s="159">
        <v>100</v>
      </c>
      <c r="J16" s="157">
        <v>5</v>
      </c>
      <c r="K16" s="157">
        <v>5</v>
      </c>
      <c r="L16" s="157"/>
      <c r="M16" s="159"/>
      <c r="N16" s="156"/>
      <c r="O16" s="159"/>
      <c r="Q16" s="168"/>
    </row>
    <row r="17" spans="3:21" x14ac:dyDescent="0.3">
      <c r="D17" s="156" t="s">
        <v>1009</v>
      </c>
      <c r="E17" s="157">
        <v>100</v>
      </c>
      <c r="F17" s="157">
        <v>5</v>
      </c>
      <c r="G17" s="157">
        <v>4</v>
      </c>
      <c r="H17" s="157" t="s">
        <v>1033</v>
      </c>
      <c r="I17" s="159">
        <v>100</v>
      </c>
      <c r="J17" s="157"/>
      <c r="K17" s="157"/>
      <c r="L17" s="157"/>
      <c r="M17" s="159"/>
      <c r="N17" s="156"/>
      <c r="O17" s="159"/>
      <c r="Q17" s="168"/>
    </row>
    <row r="18" spans="3:21" x14ac:dyDescent="0.3">
      <c r="D18" s="156"/>
      <c r="E18" s="157"/>
      <c r="F18" s="157"/>
      <c r="G18" s="157"/>
      <c r="H18" s="157"/>
      <c r="I18" s="159"/>
      <c r="J18" s="157"/>
      <c r="K18" s="157"/>
      <c r="L18" s="157"/>
      <c r="M18" s="159"/>
      <c r="N18" s="156"/>
      <c r="O18" s="159"/>
      <c r="Q18" s="168"/>
    </row>
    <row r="19" spans="3:21" x14ac:dyDescent="0.3">
      <c r="D19" s="156"/>
      <c r="E19" s="157"/>
      <c r="F19" s="157"/>
      <c r="G19" s="157"/>
      <c r="H19" s="157"/>
      <c r="I19" s="159"/>
      <c r="J19" s="157"/>
      <c r="K19" s="157"/>
      <c r="L19" s="157"/>
      <c r="M19" s="159"/>
      <c r="N19" s="156"/>
      <c r="O19" s="159"/>
      <c r="Q19" s="168"/>
    </row>
    <row r="20" spans="3:21" x14ac:dyDescent="0.3">
      <c r="D20" s="156"/>
      <c r="E20" s="157"/>
      <c r="F20" s="157"/>
      <c r="G20" s="157"/>
      <c r="H20" s="157"/>
      <c r="I20" s="159"/>
      <c r="J20" s="157"/>
      <c r="K20" s="157"/>
      <c r="L20" s="157"/>
      <c r="M20" s="159"/>
      <c r="N20" s="156"/>
      <c r="O20" s="159"/>
      <c r="Q20" s="168"/>
    </row>
    <row r="21" spans="3:21" x14ac:dyDescent="0.3">
      <c r="D21" s="160"/>
      <c r="E21" s="161"/>
      <c r="F21" s="161"/>
      <c r="G21" s="161"/>
      <c r="H21" s="161"/>
      <c r="I21" s="138"/>
      <c r="J21" s="161"/>
      <c r="K21" s="161"/>
      <c r="L21" s="161"/>
      <c r="M21" s="138"/>
      <c r="N21" s="160"/>
      <c r="O21" s="138"/>
      <c r="Q21" s="169"/>
    </row>
    <row r="22" spans="3:21" x14ac:dyDescent="0.3">
      <c r="C22" t="s">
        <v>6331</v>
      </c>
      <c r="D22" s="152" t="s">
        <v>971</v>
      </c>
      <c r="E22" s="153">
        <v>100</v>
      </c>
      <c r="F22" s="153">
        <v>5</v>
      </c>
      <c r="G22" s="153">
        <v>0</v>
      </c>
      <c r="H22" s="153"/>
      <c r="I22" s="154">
        <v>100</v>
      </c>
      <c r="J22" s="157">
        <v>10</v>
      </c>
      <c r="K22" s="157">
        <v>10</v>
      </c>
      <c r="L22" s="157">
        <v>5</v>
      </c>
      <c r="M22" s="159">
        <v>5</v>
      </c>
      <c r="N22" s="156" t="s">
        <v>6847</v>
      </c>
      <c r="O22" s="159" t="s">
        <v>6848</v>
      </c>
      <c r="Q22" s="168"/>
      <c r="S22" s="140">
        <v>4</v>
      </c>
      <c r="T22" s="140"/>
      <c r="U22" s="140"/>
    </row>
    <row r="23" spans="3:21" x14ac:dyDescent="0.3">
      <c r="D23" s="156" t="s">
        <v>996</v>
      </c>
      <c r="E23" s="157">
        <v>100</v>
      </c>
      <c r="F23" s="157">
        <v>5</v>
      </c>
      <c r="G23" s="157">
        <v>4</v>
      </c>
      <c r="H23" s="157" t="s">
        <v>1033</v>
      </c>
      <c r="I23" s="159">
        <v>100</v>
      </c>
      <c r="J23" s="157">
        <v>5</v>
      </c>
      <c r="K23" s="157">
        <v>5</v>
      </c>
      <c r="L23" s="157"/>
      <c r="M23" s="159"/>
      <c r="N23" s="156"/>
      <c r="O23" s="159"/>
      <c r="Q23" s="168"/>
      <c r="S23" s="140">
        <v>2</v>
      </c>
      <c r="T23" s="140">
        <v>3</v>
      </c>
      <c r="U23" s="140"/>
    </row>
    <row r="24" spans="3:21" x14ac:dyDescent="0.3">
      <c r="D24" s="156" t="s">
        <v>996</v>
      </c>
      <c r="E24" s="157">
        <v>100</v>
      </c>
      <c r="F24" s="157">
        <v>5</v>
      </c>
      <c r="G24" s="157">
        <v>4</v>
      </c>
      <c r="H24" s="157" t="s">
        <v>1033</v>
      </c>
      <c r="I24" s="159">
        <v>100</v>
      </c>
      <c r="J24" s="157">
        <v>5</v>
      </c>
      <c r="K24" s="157">
        <v>5</v>
      </c>
      <c r="L24" s="157"/>
      <c r="M24" s="159"/>
      <c r="N24" s="156"/>
      <c r="O24" s="159"/>
      <c r="Q24" s="168"/>
      <c r="S24" s="140">
        <v>1</v>
      </c>
      <c r="T24" s="140"/>
      <c r="U24" s="140"/>
    </row>
    <row r="25" spans="3:21" x14ac:dyDescent="0.3">
      <c r="D25" s="156" t="s">
        <v>1008</v>
      </c>
      <c r="E25" s="157">
        <v>100</v>
      </c>
      <c r="F25" s="157">
        <v>5</v>
      </c>
      <c r="G25" s="157">
        <v>4</v>
      </c>
      <c r="H25" s="157" t="s">
        <v>1033</v>
      </c>
      <c r="I25" s="159">
        <v>100</v>
      </c>
      <c r="J25" s="157">
        <v>5</v>
      </c>
      <c r="K25" s="157"/>
      <c r="L25" s="157"/>
      <c r="M25" s="159"/>
      <c r="N25" s="156"/>
      <c r="O25" s="159"/>
      <c r="Q25" s="168"/>
    </row>
    <row r="26" spans="3:21" x14ac:dyDescent="0.3">
      <c r="D26" s="156"/>
      <c r="E26" s="157"/>
      <c r="F26" s="157"/>
      <c r="G26" s="157"/>
      <c r="H26" s="157"/>
      <c r="I26" s="159"/>
      <c r="J26" s="157"/>
      <c r="K26" s="157"/>
      <c r="L26" s="157"/>
      <c r="M26" s="159"/>
      <c r="N26" s="156"/>
      <c r="O26" s="159"/>
      <c r="Q26" s="168"/>
    </row>
    <row r="27" spans="3:21" x14ac:dyDescent="0.3">
      <c r="D27" s="156"/>
      <c r="E27" s="157"/>
      <c r="F27" s="157"/>
      <c r="G27" s="157"/>
      <c r="H27" s="157"/>
      <c r="I27" s="159"/>
      <c r="J27" s="157"/>
      <c r="K27" s="157"/>
      <c r="L27" s="157"/>
      <c r="M27" s="159"/>
      <c r="N27" s="156"/>
      <c r="O27" s="159"/>
      <c r="Q27" s="168"/>
    </row>
    <row r="28" spans="3:21" x14ac:dyDescent="0.3">
      <c r="D28" s="156"/>
      <c r="E28" s="157"/>
      <c r="F28" s="157"/>
      <c r="G28" s="157"/>
      <c r="H28" s="157"/>
      <c r="I28" s="159"/>
      <c r="J28" s="157"/>
      <c r="K28" s="157"/>
      <c r="L28" s="157"/>
      <c r="M28" s="159"/>
      <c r="N28" s="156"/>
      <c r="O28" s="159"/>
      <c r="Q28" s="168"/>
    </row>
    <row r="29" spans="3:21" x14ac:dyDescent="0.3">
      <c r="D29" s="156"/>
      <c r="E29" s="157"/>
      <c r="F29" s="157"/>
      <c r="G29" s="157"/>
      <c r="H29" s="157"/>
      <c r="I29" s="159"/>
      <c r="J29" s="157"/>
      <c r="K29" s="157"/>
      <c r="L29" s="157"/>
      <c r="M29" s="159"/>
      <c r="N29" s="156"/>
      <c r="O29" s="159"/>
      <c r="Q29" s="168"/>
    </row>
    <row r="30" spans="3:21" x14ac:dyDescent="0.3">
      <c r="D30" s="160"/>
      <c r="E30" s="161"/>
      <c r="F30" s="161"/>
      <c r="G30" s="161"/>
      <c r="H30" s="161"/>
      <c r="I30" s="138"/>
      <c r="J30" s="161"/>
      <c r="K30" s="161"/>
      <c r="L30" s="161"/>
      <c r="M30" s="138"/>
      <c r="N30" s="160"/>
      <c r="O30" s="138"/>
      <c r="Q30" s="169"/>
    </row>
    <row r="31" spans="3:21" x14ac:dyDescent="0.3">
      <c r="C31" t="s">
        <v>6332</v>
      </c>
      <c r="D31" s="152" t="s">
        <v>971</v>
      </c>
      <c r="E31" s="153">
        <v>100</v>
      </c>
      <c r="F31" s="153">
        <v>5</v>
      </c>
      <c r="G31" s="153">
        <v>0</v>
      </c>
      <c r="H31" s="153"/>
      <c r="I31" s="154">
        <v>100</v>
      </c>
      <c r="J31" s="157">
        <v>10</v>
      </c>
      <c r="K31" s="157">
        <v>10</v>
      </c>
      <c r="L31" s="157">
        <v>5</v>
      </c>
      <c r="M31" s="159">
        <v>5</v>
      </c>
      <c r="N31" s="156" t="s">
        <v>6847</v>
      </c>
      <c r="O31" s="159" t="s">
        <v>6848</v>
      </c>
      <c r="Q31" s="168"/>
      <c r="S31" s="140">
        <v>3</v>
      </c>
      <c r="T31" s="140">
        <v>1</v>
      </c>
      <c r="U31" s="140"/>
    </row>
    <row r="32" spans="3:21" x14ac:dyDescent="0.3">
      <c r="D32" s="156" t="s">
        <v>996</v>
      </c>
      <c r="E32" s="157">
        <v>100</v>
      </c>
      <c r="F32" s="157">
        <v>5</v>
      </c>
      <c r="G32" s="157">
        <v>4</v>
      </c>
      <c r="H32" s="157" t="s">
        <v>1033</v>
      </c>
      <c r="I32" s="159">
        <v>100</v>
      </c>
      <c r="J32" s="157">
        <v>5</v>
      </c>
      <c r="K32" s="157">
        <v>5</v>
      </c>
      <c r="L32" s="157"/>
      <c r="M32" s="159"/>
      <c r="N32" s="156"/>
      <c r="O32" s="159"/>
      <c r="Q32" s="168"/>
      <c r="S32" s="140">
        <v>5</v>
      </c>
      <c r="T32" s="140">
        <v>2</v>
      </c>
      <c r="U32" s="140"/>
    </row>
    <row r="33" spans="3:21" x14ac:dyDescent="0.3">
      <c r="D33" s="156" t="s">
        <v>992</v>
      </c>
      <c r="E33" s="157">
        <v>100</v>
      </c>
      <c r="F33" s="157">
        <v>5</v>
      </c>
      <c r="G33" s="157">
        <v>4</v>
      </c>
      <c r="H33" s="157" t="s">
        <v>1033</v>
      </c>
      <c r="I33" s="159">
        <v>100</v>
      </c>
      <c r="J33" s="157">
        <v>5</v>
      </c>
      <c r="K33" s="157">
        <v>5</v>
      </c>
      <c r="L33" s="157"/>
      <c r="M33" s="159"/>
      <c r="N33" s="156"/>
      <c r="O33" s="159"/>
      <c r="Q33" s="168"/>
      <c r="S33" s="140">
        <v>4</v>
      </c>
      <c r="T33" s="140"/>
      <c r="U33" s="140"/>
    </row>
    <row r="34" spans="3:21" x14ac:dyDescent="0.3">
      <c r="D34" s="156" t="s">
        <v>992</v>
      </c>
      <c r="E34" s="157">
        <v>100</v>
      </c>
      <c r="F34" s="157">
        <v>5</v>
      </c>
      <c r="G34" s="157">
        <v>4</v>
      </c>
      <c r="H34" s="157" t="s">
        <v>1033</v>
      </c>
      <c r="I34" s="159">
        <v>100</v>
      </c>
      <c r="J34" s="157">
        <v>5</v>
      </c>
      <c r="K34" s="157">
        <v>5</v>
      </c>
      <c r="L34" s="157"/>
      <c r="M34" s="159"/>
      <c r="N34" s="156"/>
      <c r="O34" s="159"/>
      <c r="Q34" s="168"/>
    </row>
    <row r="35" spans="3:21" x14ac:dyDescent="0.3">
      <c r="D35" s="156" t="s">
        <v>1008</v>
      </c>
      <c r="E35" s="157">
        <v>100</v>
      </c>
      <c r="F35" s="157">
        <v>5</v>
      </c>
      <c r="G35" s="157">
        <v>4</v>
      </c>
      <c r="H35" s="157" t="s">
        <v>1033</v>
      </c>
      <c r="I35" s="159">
        <v>100</v>
      </c>
      <c r="J35" s="157">
        <v>5</v>
      </c>
      <c r="K35" s="157"/>
      <c r="L35" s="157"/>
      <c r="M35" s="159"/>
      <c r="N35" s="156"/>
      <c r="O35" s="159"/>
      <c r="Q35" s="168"/>
    </row>
    <row r="36" spans="3:21" x14ac:dyDescent="0.3">
      <c r="D36" s="156"/>
      <c r="E36" s="157"/>
      <c r="F36" s="157"/>
      <c r="G36" s="157"/>
      <c r="H36" s="157"/>
      <c r="I36" s="159"/>
      <c r="J36" s="157"/>
      <c r="K36" s="157"/>
      <c r="L36" s="157"/>
      <c r="M36" s="159"/>
      <c r="N36" s="156"/>
      <c r="O36" s="159"/>
      <c r="Q36" s="168"/>
    </row>
    <row r="37" spans="3:21" x14ac:dyDescent="0.3">
      <c r="D37" s="156"/>
      <c r="E37" s="157"/>
      <c r="F37" s="157"/>
      <c r="G37" s="157"/>
      <c r="H37" s="157"/>
      <c r="I37" s="159"/>
      <c r="J37" s="157"/>
      <c r="K37" s="157"/>
      <c r="L37" s="157"/>
      <c r="M37" s="159"/>
      <c r="N37" s="156"/>
      <c r="O37" s="159"/>
      <c r="Q37" s="168"/>
    </row>
    <row r="38" spans="3:21" x14ac:dyDescent="0.3">
      <c r="D38" s="156"/>
      <c r="E38" s="157"/>
      <c r="F38" s="157"/>
      <c r="G38" s="157"/>
      <c r="H38" s="157"/>
      <c r="I38" s="159"/>
      <c r="J38" s="157"/>
      <c r="K38" s="157"/>
      <c r="L38" s="157"/>
      <c r="M38" s="159"/>
      <c r="N38" s="156"/>
      <c r="O38" s="159"/>
      <c r="Q38" s="168"/>
    </row>
    <row r="39" spans="3:21" x14ac:dyDescent="0.3">
      <c r="D39" s="160"/>
      <c r="E39" s="161"/>
      <c r="F39" s="161"/>
      <c r="G39" s="161"/>
      <c r="H39" s="161"/>
      <c r="I39" s="138"/>
      <c r="J39" s="161"/>
      <c r="K39" s="161"/>
      <c r="L39" s="161"/>
      <c r="M39" s="138"/>
      <c r="N39" s="160"/>
      <c r="O39" s="138"/>
      <c r="Q39" s="169"/>
    </row>
    <row r="40" spans="3:21" x14ac:dyDescent="0.3">
      <c r="C40" t="s">
        <v>6333</v>
      </c>
      <c r="D40" s="152" t="s">
        <v>977</v>
      </c>
      <c r="E40" s="153">
        <v>100</v>
      </c>
      <c r="F40" s="153">
        <v>5</v>
      </c>
      <c r="G40" s="153">
        <v>0</v>
      </c>
      <c r="H40" s="153"/>
      <c r="I40" s="154">
        <v>100</v>
      </c>
      <c r="J40" s="157">
        <v>10</v>
      </c>
      <c r="K40" s="157">
        <v>10</v>
      </c>
      <c r="L40" s="157">
        <v>5</v>
      </c>
      <c r="M40" s="159">
        <v>5</v>
      </c>
      <c r="N40" s="156" t="s">
        <v>6847</v>
      </c>
      <c r="O40" s="159" t="s">
        <v>6848</v>
      </c>
      <c r="Q40" s="168"/>
      <c r="S40" s="140">
        <v>2</v>
      </c>
      <c r="T40" s="140">
        <v>4</v>
      </c>
      <c r="U40" s="140">
        <v>7</v>
      </c>
    </row>
    <row r="41" spans="3:21" x14ac:dyDescent="0.3">
      <c r="D41" s="156" t="s">
        <v>1000</v>
      </c>
      <c r="E41" s="157">
        <v>100</v>
      </c>
      <c r="F41" s="157">
        <v>5</v>
      </c>
      <c r="G41" s="157">
        <v>4</v>
      </c>
      <c r="H41" s="157" t="s">
        <v>1033</v>
      </c>
      <c r="I41" s="159">
        <v>100</v>
      </c>
      <c r="J41" s="157">
        <v>5</v>
      </c>
      <c r="K41" s="157">
        <v>5</v>
      </c>
      <c r="L41" s="157"/>
      <c r="M41" s="159"/>
      <c r="N41" s="156"/>
      <c r="O41" s="159"/>
      <c r="Q41" s="168"/>
      <c r="S41" s="140">
        <v>1</v>
      </c>
      <c r="T41" s="140">
        <v>5</v>
      </c>
      <c r="U41" s="140">
        <v>8</v>
      </c>
    </row>
    <row r="42" spans="3:21" x14ac:dyDescent="0.3">
      <c r="D42" s="156" t="s">
        <v>1000</v>
      </c>
      <c r="E42" s="157">
        <v>100</v>
      </c>
      <c r="F42" s="157">
        <v>5</v>
      </c>
      <c r="G42" s="157">
        <v>4</v>
      </c>
      <c r="H42" s="157" t="s">
        <v>1033</v>
      </c>
      <c r="I42" s="159">
        <v>100</v>
      </c>
      <c r="J42" s="157">
        <v>5</v>
      </c>
      <c r="K42" s="157">
        <v>5</v>
      </c>
      <c r="L42" s="157"/>
      <c r="M42" s="159"/>
      <c r="N42" s="156"/>
      <c r="O42" s="159"/>
      <c r="Q42" s="168"/>
      <c r="S42" s="140">
        <v>3</v>
      </c>
      <c r="T42" s="140">
        <v>6</v>
      </c>
      <c r="U42" s="140">
        <v>9</v>
      </c>
    </row>
    <row r="43" spans="3:21" x14ac:dyDescent="0.3">
      <c r="D43" s="156" t="s">
        <v>994</v>
      </c>
      <c r="E43" s="157">
        <v>100</v>
      </c>
      <c r="F43" s="157">
        <v>5</v>
      </c>
      <c r="G43" s="157">
        <v>4</v>
      </c>
      <c r="H43" s="157" t="s">
        <v>1033</v>
      </c>
      <c r="I43" s="159">
        <v>100</v>
      </c>
      <c r="J43" s="157">
        <v>5</v>
      </c>
      <c r="K43" s="157">
        <v>5</v>
      </c>
      <c r="L43" s="157"/>
      <c r="M43" s="159"/>
      <c r="N43" s="156"/>
      <c r="O43" s="159"/>
      <c r="Q43" s="168"/>
    </row>
    <row r="44" spans="3:21" x14ac:dyDescent="0.3">
      <c r="D44" s="156" t="s">
        <v>994</v>
      </c>
      <c r="E44" s="157">
        <v>100</v>
      </c>
      <c r="F44" s="157">
        <v>5</v>
      </c>
      <c r="G44" s="157">
        <v>4</v>
      </c>
      <c r="H44" s="157" t="s">
        <v>1033</v>
      </c>
      <c r="I44" s="159">
        <v>100</v>
      </c>
      <c r="J44" s="157">
        <v>5</v>
      </c>
      <c r="K44" s="157">
        <v>5</v>
      </c>
      <c r="L44" s="157"/>
      <c r="M44" s="159"/>
      <c r="N44" s="156"/>
      <c r="O44" s="159"/>
      <c r="Q44" s="168"/>
    </row>
    <row r="45" spans="3:21" x14ac:dyDescent="0.3">
      <c r="D45" s="156" t="s">
        <v>994</v>
      </c>
      <c r="E45" s="157">
        <v>100</v>
      </c>
      <c r="F45" s="157">
        <v>5</v>
      </c>
      <c r="G45" s="157">
        <v>4</v>
      </c>
      <c r="H45" s="157" t="s">
        <v>1033</v>
      </c>
      <c r="I45" s="159">
        <v>100</v>
      </c>
      <c r="J45" s="157">
        <v>5</v>
      </c>
      <c r="K45" s="157">
        <v>5</v>
      </c>
      <c r="L45" s="157"/>
      <c r="M45" s="159"/>
      <c r="N45" s="156"/>
      <c r="O45" s="159"/>
      <c r="Q45" s="168"/>
    </row>
    <row r="46" spans="3:21" x14ac:dyDescent="0.3">
      <c r="D46" s="156" t="s">
        <v>994</v>
      </c>
      <c r="E46" s="157">
        <v>100</v>
      </c>
      <c r="F46" s="157">
        <v>5</v>
      </c>
      <c r="G46" s="157">
        <v>4</v>
      </c>
      <c r="H46" s="157" t="s">
        <v>1033</v>
      </c>
      <c r="I46" s="159">
        <v>100</v>
      </c>
      <c r="J46" s="157">
        <v>5</v>
      </c>
      <c r="K46" s="157">
        <v>5</v>
      </c>
      <c r="L46" s="157"/>
      <c r="M46" s="159"/>
      <c r="N46" s="156"/>
      <c r="O46" s="159"/>
      <c r="Q46" s="168"/>
    </row>
    <row r="47" spans="3:21" x14ac:dyDescent="0.3">
      <c r="D47" s="156" t="s">
        <v>994</v>
      </c>
      <c r="E47" s="157">
        <v>100</v>
      </c>
      <c r="F47" s="157">
        <v>5</v>
      </c>
      <c r="G47" s="157">
        <v>4</v>
      </c>
      <c r="H47" s="157" t="s">
        <v>1033</v>
      </c>
      <c r="I47" s="159">
        <v>100</v>
      </c>
      <c r="J47" s="157">
        <v>5</v>
      </c>
      <c r="K47" s="157">
        <v>5</v>
      </c>
      <c r="L47" s="157"/>
      <c r="M47" s="159"/>
      <c r="N47" s="156"/>
      <c r="O47" s="159"/>
      <c r="Q47" s="168"/>
    </row>
    <row r="48" spans="3:21" x14ac:dyDescent="0.3">
      <c r="D48" s="160" t="s">
        <v>994</v>
      </c>
      <c r="E48" s="161">
        <v>100</v>
      </c>
      <c r="F48" s="161">
        <v>5</v>
      </c>
      <c r="G48" s="161">
        <v>4</v>
      </c>
      <c r="H48" s="161" t="s">
        <v>1033</v>
      </c>
      <c r="I48" s="138">
        <v>100</v>
      </c>
      <c r="J48" s="161">
        <v>5</v>
      </c>
      <c r="K48" s="161">
        <v>5</v>
      </c>
      <c r="L48" s="161"/>
      <c r="M48" s="138"/>
      <c r="N48" s="160"/>
      <c r="O48" s="138"/>
      <c r="Q48" s="169"/>
    </row>
    <row r="49" spans="3:21" x14ac:dyDescent="0.3">
      <c r="C49" t="s">
        <v>6363</v>
      </c>
      <c r="D49" s="152" t="s">
        <v>976</v>
      </c>
      <c r="E49" s="153">
        <v>90</v>
      </c>
      <c r="F49" s="153">
        <v>5</v>
      </c>
      <c r="G49" s="153">
        <v>0</v>
      </c>
      <c r="H49" s="153"/>
      <c r="I49" s="154">
        <v>100</v>
      </c>
      <c r="J49" s="157">
        <v>10</v>
      </c>
      <c r="K49" s="157">
        <v>10</v>
      </c>
      <c r="L49" s="157">
        <v>5</v>
      </c>
      <c r="M49" s="159">
        <v>5</v>
      </c>
      <c r="N49" s="156" t="s">
        <v>6847</v>
      </c>
      <c r="O49" s="159" t="s">
        <v>6848</v>
      </c>
      <c r="Q49" s="168"/>
      <c r="S49" s="140">
        <v>5</v>
      </c>
      <c r="T49" s="140">
        <v>2</v>
      </c>
      <c r="U49" s="140"/>
    </row>
    <row r="50" spans="3:21" x14ac:dyDescent="0.3">
      <c r="D50" s="156" t="s">
        <v>996</v>
      </c>
      <c r="E50" s="157">
        <v>90</v>
      </c>
      <c r="F50" s="157">
        <v>5</v>
      </c>
      <c r="G50" s="157">
        <v>4</v>
      </c>
      <c r="H50" s="157" t="s">
        <v>1049</v>
      </c>
      <c r="I50" s="159">
        <v>100</v>
      </c>
      <c r="J50" s="157">
        <v>5</v>
      </c>
      <c r="K50" s="157">
        <v>5</v>
      </c>
      <c r="L50" s="157"/>
      <c r="M50" s="159"/>
      <c r="N50" s="156"/>
      <c r="O50" s="159"/>
      <c r="Q50" s="168"/>
      <c r="S50" s="140">
        <v>1</v>
      </c>
      <c r="T50" s="140">
        <v>4</v>
      </c>
      <c r="U50" s="140"/>
    </row>
    <row r="51" spans="3:21" x14ac:dyDescent="0.3">
      <c r="D51" s="156" t="s">
        <v>992</v>
      </c>
      <c r="E51" s="157">
        <v>90</v>
      </c>
      <c r="F51" s="157">
        <v>5</v>
      </c>
      <c r="G51" s="157">
        <v>4</v>
      </c>
      <c r="H51" s="157" t="s">
        <v>1049</v>
      </c>
      <c r="I51" s="159">
        <v>100</v>
      </c>
      <c r="J51" s="157">
        <v>5</v>
      </c>
      <c r="K51" s="157">
        <v>5</v>
      </c>
      <c r="L51" s="157"/>
      <c r="M51" s="159"/>
      <c r="N51" s="156"/>
      <c r="O51" s="159"/>
      <c r="Q51" s="168"/>
      <c r="S51" s="140">
        <v>3</v>
      </c>
      <c r="T51" s="140"/>
      <c r="U51" s="140"/>
    </row>
    <row r="52" spans="3:21" x14ac:dyDescent="0.3">
      <c r="D52" s="156" t="s">
        <v>998</v>
      </c>
      <c r="E52" s="157">
        <v>90</v>
      </c>
      <c r="F52" s="157">
        <v>5</v>
      </c>
      <c r="G52" s="157">
        <v>4</v>
      </c>
      <c r="H52" s="157" t="s">
        <v>1049</v>
      </c>
      <c r="I52" s="159">
        <v>100</v>
      </c>
      <c r="J52" s="157">
        <v>5</v>
      </c>
      <c r="K52" s="157">
        <v>5</v>
      </c>
      <c r="L52" s="157"/>
      <c r="M52" s="159"/>
      <c r="N52" s="156"/>
      <c r="O52" s="159"/>
      <c r="Q52" s="168"/>
    </row>
    <row r="53" spans="3:21" x14ac:dyDescent="0.3">
      <c r="D53" s="156" t="s">
        <v>1008</v>
      </c>
      <c r="E53" s="157">
        <v>90</v>
      </c>
      <c r="F53" s="157">
        <v>5</v>
      </c>
      <c r="G53" s="157">
        <v>4</v>
      </c>
      <c r="H53" s="157" t="s">
        <v>1033</v>
      </c>
      <c r="I53" s="159">
        <v>100</v>
      </c>
      <c r="J53" s="157">
        <v>5</v>
      </c>
      <c r="K53" s="157"/>
      <c r="L53" s="157"/>
      <c r="M53" s="159"/>
      <c r="N53" s="156"/>
      <c r="O53" s="159"/>
      <c r="Q53" s="168"/>
    </row>
    <row r="54" spans="3:21" x14ac:dyDescent="0.3">
      <c r="D54" s="156"/>
      <c r="E54" s="157"/>
      <c r="F54" s="157"/>
      <c r="G54" s="157"/>
      <c r="H54" s="157"/>
      <c r="I54" s="159"/>
      <c r="J54" s="157"/>
      <c r="K54" s="157"/>
      <c r="L54" s="157"/>
      <c r="M54" s="159"/>
      <c r="N54" s="156"/>
      <c r="O54" s="159"/>
      <c r="Q54" s="168"/>
    </row>
    <row r="55" spans="3:21" x14ac:dyDescent="0.3">
      <c r="D55" s="156"/>
      <c r="E55" s="157"/>
      <c r="F55" s="157"/>
      <c r="G55" s="157"/>
      <c r="H55" s="157"/>
      <c r="I55" s="159"/>
      <c r="J55" s="157"/>
      <c r="K55" s="157"/>
      <c r="L55" s="157"/>
      <c r="M55" s="159"/>
      <c r="N55" s="156"/>
      <c r="O55" s="159"/>
      <c r="Q55" s="168"/>
    </row>
    <row r="56" spans="3:21" x14ac:dyDescent="0.3">
      <c r="D56" s="156"/>
      <c r="E56" s="157"/>
      <c r="F56" s="157"/>
      <c r="G56" s="157"/>
      <c r="H56" s="157"/>
      <c r="I56" s="159"/>
      <c r="J56" s="157"/>
      <c r="K56" s="157"/>
      <c r="L56" s="157"/>
      <c r="M56" s="159"/>
      <c r="N56" s="156"/>
      <c r="O56" s="159"/>
      <c r="Q56" s="168"/>
    </row>
    <row r="57" spans="3:21" x14ac:dyDescent="0.3">
      <c r="D57" s="160"/>
      <c r="E57" s="161"/>
      <c r="F57" s="161"/>
      <c r="G57" s="161"/>
      <c r="H57" s="161"/>
      <c r="I57" s="138"/>
      <c r="J57" s="161"/>
      <c r="K57" s="161"/>
      <c r="L57" s="161"/>
      <c r="M57" s="138"/>
      <c r="N57" s="160"/>
      <c r="O57" s="138"/>
      <c r="Q57" s="169"/>
    </row>
    <row r="58" spans="3:21" x14ac:dyDescent="0.3">
      <c r="C58" t="s">
        <v>6362</v>
      </c>
      <c r="D58" s="152" t="s">
        <v>980</v>
      </c>
      <c r="E58" s="153">
        <v>90</v>
      </c>
      <c r="F58" s="153">
        <v>5</v>
      </c>
      <c r="G58" s="153">
        <v>0</v>
      </c>
      <c r="H58" s="153"/>
      <c r="I58" s="154">
        <v>100</v>
      </c>
      <c r="J58" s="157">
        <v>10</v>
      </c>
      <c r="K58" s="157">
        <v>10</v>
      </c>
      <c r="L58" s="157">
        <v>5</v>
      </c>
      <c r="M58" s="159">
        <v>5</v>
      </c>
      <c r="N58" s="156" t="s">
        <v>6847</v>
      </c>
      <c r="O58" s="159" t="s">
        <v>6848</v>
      </c>
      <c r="Q58" s="168"/>
      <c r="S58" s="140">
        <v>3</v>
      </c>
      <c r="T58" s="140">
        <v>2</v>
      </c>
      <c r="U58" s="140"/>
    </row>
    <row r="59" spans="3:21" x14ac:dyDescent="0.3">
      <c r="D59" s="156" t="s">
        <v>996</v>
      </c>
      <c r="E59" s="157">
        <v>90</v>
      </c>
      <c r="F59" s="157">
        <v>5</v>
      </c>
      <c r="G59" s="157">
        <v>4</v>
      </c>
      <c r="H59" s="157" t="s">
        <v>1049</v>
      </c>
      <c r="I59" s="159">
        <v>100</v>
      </c>
      <c r="J59" s="157">
        <v>5</v>
      </c>
      <c r="K59" s="157">
        <v>5</v>
      </c>
      <c r="L59" s="157"/>
      <c r="M59" s="159"/>
      <c r="N59" s="156"/>
      <c r="O59" s="159"/>
      <c r="Q59" s="168"/>
      <c r="S59" s="140">
        <v>4</v>
      </c>
      <c r="T59" s="140">
        <v>1</v>
      </c>
      <c r="U59" s="140"/>
    </row>
    <row r="60" spans="3:21" x14ac:dyDescent="0.3">
      <c r="D60" s="156" t="s">
        <v>992</v>
      </c>
      <c r="E60" s="157">
        <v>90</v>
      </c>
      <c r="F60" s="157">
        <v>5</v>
      </c>
      <c r="G60" s="157">
        <v>4</v>
      </c>
      <c r="H60" s="157" t="s">
        <v>1049</v>
      </c>
      <c r="I60" s="159">
        <v>100</v>
      </c>
      <c r="J60" s="157">
        <v>5</v>
      </c>
      <c r="K60" s="157">
        <v>5</v>
      </c>
      <c r="L60" s="157"/>
      <c r="M60" s="159"/>
      <c r="N60" s="156"/>
      <c r="O60" s="159"/>
      <c r="Q60" s="168"/>
      <c r="S60" s="140">
        <v>5</v>
      </c>
      <c r="T60" s="140"/>
      <c r="U60" s="140"/>
    </row>
    <row r="61" spans="3:21" x14ac:dyDescent="0.3">
      <c r="D61" s="156" t="s">
        <v>992</v>
      </c>
      <c r="E61" s="157">
        <v>90</v>
      </c>
      <c r="F61" s="157">
        <v>5</v>
      </c>
      <c r="G61" s="157">
        <v>4</v>
      </c>
      <c r="H61" s="157" t="s">
        <v>1049</v>
      </c>
      <c r="I61" s="159">
        <v>100</v>
      </c>
      <c r="J61" s="157">
        <v>5</v>
      </c>
      <c r="K61" s="157">
        <v>5</v>
      </c>
      <c r="L61" s="157"/>
      <c r="M61" s="159"/>
      <c r="N61" s="156"/>
      <c r="O61" s="159"/>
      <c r="Q61" s="168"/>
    </row>
    <row r="62" spans="3:21" x14ac:dyDescent="0.3">
      <c r="D62" s="156" t="s">
        <v>1013</v>
      </c>
      <c r="E62" s="157">
        <v>90</v>
      </c>
      <c r="F62" s="157">
        <v>5</v>
      </c>
      <c r="G62" s="157">
        <v>4</v>
      </c>
      <c r="H62" s="157" t="s">
        <v>1033</v>
      </c>
      <c r="I62" s="159">
        <v>100</v>
      </c>
      <c r="J62" s="157">
        <v>5</v>
      </c>
      <c r="K62" s="157"/>
      <c r="L62" s="157"/>
      <c r="M62" s="159"/>
      <c r="N62" s="156"/>
      <c r="O62" s="159"/>
      <c r="Q62" s="168"/>
    </row>
    <row r="63" spans="3:21" x14ac:dyDescent="0.3">
      <c r="D63" s="156"/>
      <c r="E63" s="157"/>
      <c r="F63" s="157"/>
      <c r="G63" s="157"/>
      <c r="H63" s="157"/>
      <c r="I63" s="159"/>
      <c r="J63" s="157"/>
      <c r="K63" s="157"/>
      <c r="L63" s="157"/>
      <c r="M63" s="159"/>
      <c r="N63" s="156"/>
      <c r="O63" s="159"/>
      <c r="Q63" s="168"/>
    </row>
    <row r="64" spans="3:21" x14ac:dyDescent="0.3">
      <c r="D64" s="156"/>
      <c r="E64" s="157"/>
      <c r="F64" s="157"/>
      <c r="G64" s="157"/>
      <c r="H64" s="157"/>
      <c r="I64" s="159"/>
      <c r="J64" s="157"/>
      <c r="K64" s="157"/>
      <c r="L64" s="157"/>
      <c r="M64" s="159"/>
      <c r="N64" s="156"/>
      <c r="O64" s="159"/>
      <c r="Q64" s="168"/>
    </row>
    <row r="65" spans="3:21" x14ac:dyDescent="0.3">
      <c r="D65" s="156"/>
      <c r="E65" s="157"/>
      <c r="F65" s="157"/>
      <c r="G65" s="157"/>
      <c r="H65" s="157"/>
      <c r="I65" s="159"/>
      <c r="J65" s="157"/>
      <c r="K65" s="157"/>
      <c r="L65" s="157"/>
      <c r="M65" s="159"/>
      <c r="N65" s="156"/>
      <c r="O65" s="159"/>
      <c r="Q65" s="168"/>
    </row>
    <row r="66" spans="3:21" x14ac:dyDescent="0.3">
      <c r="D66" s="160"/>
      <c r="E66" s="161"/>
      <c r="F66" s="161"/>
      <c r="G66" s="161"/>
      <c r="H66" s="161"/>
      <c r="I66" s="138"/>
      <c r="J66" s="161"/>
      <c r="K66" s="161"/>
      <c r="L66" s="161"/>
      <c r="M66" s="138"/>
      <c r="N66" s="160"/>
      <c r="O66" s="138"/>
      <c r="Q66" s="169"/>
    </row>
    <row r="67" spans="3:21" x14ac:dyDescent="0.3">
      <c r="C67" t="s">
        <v>6872</v>
      </c>
      <c r="D67" s="152" t="s">
        <v>1695</v>
      </c>
      <c r="E67" s="153">
        <v>100</v>
      </c>
      <c r="F67" s="153">
        <v>5</v>
      </c>
      <c r="G67" s="153">
        <v>0</v>
      </c>
      <c r="H67" s="153"/>
      <c r="I67" s="154">
        <v>100</v>
      </c>
      <c r="J67" s="157">
        <v>10</v>
      </c>
      <c r="K67" s="157">
        <v>10</v>
      </c>
      <c r="L67" s="157">
        <v>5</v>
      </c>
      <c r="M67" s="159">
        <v>5</v>
      </c>
      <c r="N67" s="156" t="s">
        <v>6852</v>
      </c>
      <c r="O67" s="159" t="s">
        <v>1080</v>
      </c>
      <c r="Q67" s="168"/>
      <c r="S67" s="140">
        <v>3</v>
      </c>
      <c r="T67" s="140"/>
      <c r="U67" s="140"/>
    </row>
    <row r="68" spans="3:21" x14ac:dyDescent="0.3">
      <c r="D68" s="156" t="s">
        <v>1015</v>
      </c>
      <c r="E68" s="157">
        <v>100</v>
      </c>
      <c r="F68" s="157">
        <v>5</v>
      </c>
      <c r="G68" s="157">
        <v>4</v>
      </c>
      <c r="H68" s="157" t="s">
        <v>1033</v>
      </c>
      <c r="I68" s="159">
        <v>100</v>
      </c>
      <c r="J68" s="157">
        <v>5</v>
      </c>
      <c r="K68" s="157"/>
      <c r="L68" s="157"/>
      <c r="M68" s="159"/>
      <c r="N68" s="156"/>
      <c r="O68" s="159"/>
      <c r="Q68" s="168"/>
      <c r="S68" s="140">
        <v>4</v>
      </c>
      <c r="T68" s="140"/>
      <c r="U68" s="140">
        <v>5</v>
      </c>
    </row>
    <row r="69" spans="3:21" x14ac:dyDescent="0.3">
      <c r="D69" s="156" t="s">
        <v>992</v>
      </c>
      <c r="E69" s="157">
        <v>100</v>
      </c>
      <c r="F69" s="157">
        <v>5</v>
      </c>
      <c r="G69" s="157">
        <v>4</v>
      </c>
      <c r="H69" s="157" t="s">
        <v>1033</v>
      </c>
      <c r="I69" s="159">
        <v>100</v>
      </c>
      <c r="J69" s="157">
        <v>5</v>
      </c>
      <c r="K69" s="157">
        <v>5</v>
      </c>
      <c r="L69" s="157"/>
      <c r="M69" s="159"/>
      <c r="N69" s="156"/>
      <c r="O69" s="159"/>
      <c r="Q69" s="168"/>
      <c r="S69" s="140">
        <v>2</v>
      </c>
      <c r="T69" s="140">
        <v>1</v>
      </c>
      <c r="U69" s="140"/>
    </row>
    <row r="70" spans="3:21" x14ac:dyDescent="0.3">
      <c r="D70" s="156" t="s">
        <v>992</v>
      </c>
      <c r="E70" s="157">
        <v>100</v>
      </c>
      <c r="F70" s="157">
        <v>5</v>
      </c>
      <c r="G70" s="157">
        <v>4</v>
      </c>
      <c r="H70" s="157" t="s">
        <v>1033</v>
      </c>
      <c r="I70" s="159">
        <v>100</v>
      </c>
      <c r="J70" s="157">
        <v>5</v>
      </c>
      <c r="K70" s="157">
        <v>5</v>
      </c>
      <c r="L70" s="157"/>
      <c r="M70" s="159"/>
      <c r="N70" s="156"/>
      <c r="O70" s="159"/>
      <c r="Q70" s="168"/>
    </row>
    <row r="71" spans="3:21" x14ac:dyDescent="0.3">
      <c r="D71" s="156" t="s">
        <v>1004</v>
      </c>
      <c r="E71" s="157">
        <v>100</v>
      </c>
      <c r="F71" s="157">
        <v>5</v>
      </c>
      <c r="G71" s="157">
        <v>4</v>
      </c>
      <c r="H71" s="157" t="s">
        <v>1033</v>
      </c>
      <c r="I71" s="159">
        <v>100</v>
      </c>
      <c r="J71" s="157">
        <v>5</v>
      </c>
      <c r="K71" s="157">
        <v>5</v>
      </c>
      <c r="L71" s="157"/>
      <c r="M71" s="159"/>
      <c r="N71" s="156"/>
      <c r="O71" s="159"/>
      <c r="Q71" s="168"/>
    </row>
    <row r="72" spans="3:21" x14ac:dyDescent="0.3">
      <c r="D72" s="156"/>
      <c r="E72" s="157"/>
      <c r="F72" s="157"/>
      <c r="G72" s="157"/>
      <c r="H72" s="157"/>
      <c r="I72" s="159"/>
      <c r="J72" s="157"/>
      <c r="K72" s="157"/>
      <c r="L72" s="157"/>
      <c r="M72" s="159"/>
      <c r="N72" s="156"/>
      <c r="O72" s="159"/>
      <c r="Q72" s="168"/>
    </row>
    <row r="73" spans="3:21" x14ac:dyDescent="0.3">
      <c r="D73" s="156"/>
      <c r="E73" s="157"/>
      <c r="F73" s="157"/>
      <c r="G73" s="157"/>
      <c r="H73" s="157"/>
      <c r="I73" s="159"/>
      <c r="J73" s="157"/>
      <c r="K73" s="157"/>
      <c r="L73" s="157"/>
      <c r="M73" s="159"/>
      <c r="N73" s="156"/>
      <c r="O73" s="159"/>
      <c r="Q73" s="168"/>
    </row>
    <row r="74" spans="3:21" x14ac:dyDescent="0.3">
      <c r="D74" s="156"/>
      <c r="E74" s="157"/>
      <c r="F74" s="157"/>
      <c r="G74" s="157"/>
      <c r="H74" s="157"/>
      <c r="I74" s="159"/>
      <c r="J74" s="157"/>
      <c r="K74" s="157"/>
      <c r="L74" s="157"/>
      <c r="M74" s="159"/>
      <c r="N74" s="156"/>
      <c r="O74" s="159"/>
      <c r="Q74" s="168"/>
    </row>
    <row r="75" spans="3:21" x14ac:dyDescent="0.3">
      <c r="D75" s="160"/>
      <c r="E75" s="161"/>
      <c r="F75" s="161"/>
      <c r="G75" s="161"/>
      <c r="H75" s="161"/>
      <c r="I75" s="138"/>
      <c r="J75" s="161"/>
      <c r="K75" s="161"/>
      <c r="L75" s="161"/>
      <c r="M75" s="138"/>
      <c r="N75" s="160"/>
      <c r="O75" s="138"/>
      <c r="Q75" s="169"/>
    </row>
  </sheetData>
  <dataValidations count="4">
    <dataValidation type="custom" allowBlank="1" showInputMessage="1" showErrorMessage="1" sqref="T22:U24" xr:uid="{3088CE9D-B1B2-4E4E-B7CF-0DA8607FA813}">
      <formula1>AND(T22&gt;=1,T22&lt;=9,T22=INT(T22),COUNTIF($S$14:$U$16,T22)&lt;=1)</formula1>
    </dataValidation>
    <dataValidation type="custom" allowBlank="1" showInputMessage="1" showErrorMessage="1" sqref="T31:U33" xr:uid="{FA4A61A6-06BA-4D9A-A53A-1F3D75A71E26}">
      <formula1>AND(T31&gt;=1,T31&lt;=9,T31=INT(T31),COUNTIF($S$23:$U$25,T31)&lt;=1)</formula1>
    </dataValidation>
    <dataValidation type="custom" allowBlank="1" showInputMessage="1" showErrorMessage="1" sqref="T40:U42" xr:uid="{80348E63-FCE2-45C3-A9E9-3AC7762BA3DA}">
      <formula1>AND(T40&gt;=1,T40&lt;=9,T40=INT(T40),COUNTIF($S$32:$U$34,T40)&lt;=1)</formula1>
    </dataValidation>
    <dataValidation type="custom" allowBlank="1" showInputMessage="1" showErrorMessage="1" sqref="T49:U51 T58:U60 T67:U69" xr:uid="{14D8E98E-178F-4590-88E7-1F2CAAC40CAE}">
      <formula1>AND(T49&gt;=1,T49&lt;=9,T49=INT(T49),COUNTIF($S$41:$U$43,T49)&lt;=1)</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B9BCE-A83B-413F-8083-0C62E52589A8}">
  <sheetPr codeName="Sheet2"/>
  <dimension ref="A1:AG24"/>
  <sheetViews>
    <sheetView workbookViewId="0">
      <selection activeCell="B2" sqref="B2:B24"/>
    </sheetView>
  </sheetViews>
  <sheetFormatPr defaultRowHeight="14.4" x14ac:dyDescent="0.3"/>
  <sheetData>
    <row r="1" spans="1:33" x14ac:dyDescent="0.3">
      <c r="A1" s="85" t="s">
        <v>25</v>
      </c>
      <c r="B1" s="85" t="s">
        <v>26</v>
      </c>
      <c r="C1" s="85" t="s">
        <v>27</v>
      </c>
      <c r="D1" s="85" t="s">
        <v>28</v>
      </c>
      <c r="E1" s="85" t="s">
        <v>29</v>
      </c>
      <c r="F1" s="85" t="s">
        <v>30</v>
      </c>
      <c r="G1" s="85" t="s">
        <v>31</v>
      </c>
      <c r="H1" s="85" t="s">
        <v>32</v>
      </c>
      <c r="I1" s="85" t="s">
        <v>33</v>
      </c>
      <c r="J1" s="85" t="s">
        <v>34</v>
      </c>
      <c r="K1" s="85" t="s">
        <v>35</v>
      </c>
      <c r="L1" s="85" t="s">
        <v>36</v>
      </c>
      <c r="M1" s="85" t="s">
        <v>37</v>
      </c>
      <c r="N1" s="85" t="s">
        <v>38</v>
      </c>
      <c r="O1" s="85" t="s">
        <v>39</v>
      </c>
      <c r="P1" s="85" t="s">
        <v>40</v>
      </c>
      <c r="Q1" s="85" t="s">
        <v>41</v>
      </c>
      <c r="R1" s="85" t="s">
        <v>42</v>
      </c>
      <c r="S1" s="85" t="s">
        <v>43</v>
      </c>
      <c r="T1" s="85" t="s">
        <v>44</v>
      </c>
      <c r="U1" s="85" t="s">
        <v>45</v>
      </c>
      <c r="V1" s="85" t="s">
        <v>46</v>
      </c>
      <c r="W1" s="85" t="s">
        <v>47</v>
      </c>
      <c r="X1" s="85" t="s">
        <v>48</v>
      </c>
      <c r="Y1" s="85" t="s">
        <v>49</v>
      </c>
      <c r="Z1" s="85" t="s">
        <v>50</v>
      </c>
      <c r="AA1" s="85" t="s">
        <v>51</v>
      </c>
      <c r="AB1" s="85" t="s">
        <v>52</v>
      </c>
      <c r="AC1" s="85" t="s">
        <v>53</v>
      </c>
      <c r="AD1" s="85" t="s">
        <v>54</v>
      </c>
      <c r="AE1" s="85" t="s">
        <v>55</v>
      </c>
      <c r="AF1" s="85" t="s">
        <v>56</v>
      </c>
      <c r="AG1" s="85" t="s">
        <v>57</v>
      </c>
    </row>
    <row r="2" spans="1:33" x14ac:dyDescent="0.3">
      <c r="A2" s="224">
        <f>IF(Main!$B21="","",Main!A21)</f>
        <v>1</v>
      </c>
      <c r="B2" s="224">
        <v>1234567</v>
      </c>
      <c r="C2" s="224">
        <f>INDEX('Doll Data'!$A:$A,MATCH(Main!D21,'Doll Data'!$C:$C,0))</f>
        <v>20055</v>
      </c>
      <c r="D2" s="224">
        <f>VLOOKUP(E2,'Exp Tables'!$A$3:$C$122,3,FALSE)</f>
        <v>10083300</v>
      </c>
      <c r="E2" s="224">
        <f>Main!E21</f>
        <v>115</v>
      </c>
      <c r="F2" s="224">
        <f>IF(EchType="SF",2,1)</f>
        <v>1</v>
      </c>
      <c r="G2" s="224">
        <f>Main!I21</f>
        <v>3</v>
      </c>
      <c r="H2" s="224">
        <f>Main!A21</f>
        <v>1</v>
      </c>
      <c r="I2" s="224">
        <f t="array" ref="I2">SUMPRODUCT((Main!$H$28:$J$30=H2)*'Misc Inputs'!$B$3:$D$5)</f>
        <v>12</v>
      </c>
      <c r="J2" s="224">
        <f>'G&amp;K Stat Calc'!CY3*Main!$F21</f>
        <v>565</v>
      </c>
      <c r="K2" s="224">
        <v>5</v>
      </c>
      <c r="L2" s="224">
        <v>10</v>
      </c>
      <c r="M2" s="225">
        <f>'G&amp;K Stat Calc'!DR3</f>
        <v>32</v>
      </c>
      <c r="N2" s="225">
        <f>'G&amp;K Stat Calc'!DT3</f>
        <v>43</v>
      </c>
      <c r="O2" s="225">
        <f>'G&amp;K Stat Calc'!DU3</f>
        <v>43</v>
      </c>
      <c r="P2" s="225">
        <f>'G&amp;K Stat Calc'!DS3</f>
        <v>26</v>
      </c>
      <c r="Q2" s="224">
        <f>Main!G21</f>
        <v>10</v>
      </c>
      <c r="R2" s="224">
        <f>Main!H21</f>
        <v>10</v>
      </c>
      <c r="S2" s="224">
        <v>0</v>
      </c>
      <c r="T2" s="224">
        <v>1</v>
      </c>
      <c r="U2" s="224">
        <f>Main!F21</f>
        <v>5</v>
      </c>
      <c r="V2" s="224">
        <v>1</v>
      </c>
      <c r="W2" s="224">
        <f>V2+5</f>
        <v>6</v>
      </c>
      <c r="X2" s="224">
        <f>W2+5</f>
        <v>11</v>
      </c>
      <c r="Y2" s="224">
        <v>0</v>
      </c>
      <c r="Z2" s="224">
        <f>Main!J21*10000</f>
        <v>1000000</v>
      </c>
      <c r="AA2" s="224">
        <f>IF(AND(Main!I21=0,Main!J21&lt;=100),1000000,IF(AND(Main!I21=0,Main!J21&gt;=100),1500000,2000000))</f>
        <v>2000000</v>
      </c>
      <c r="AB2" s="224">
        <f>AA2</f>
        <v>2000000</v>
      </c>
      <c r="AC2" s="224">
        <f>IF(Main!J21&gt;100,1,0)</f>
        <v>0</v>
      </c>
      <c r="AD2" s="224">
        <v>0</v>
      </c>
      <c r="AE2" s="224">
        <v>0</v>
      </c>
      <c r="AF2" s="224">
        <v>0</v>
      </c>
      <c r="AG2" s="224">
        <v>0</v>
      </c>
    </row>
    <row r="3" spans="1:33" x14ac:dyDescent="0.3">
      <c r="A3" s="226">
        <f>IF(Main!$B22="","",Main!A22)</f>
        <v>2</v>
      </c>
      <c r="B3" s="226">
        <v>1234567</v>
      </c>
      <c r="C3" s="226">
        <f>INDEX('Doll Data'!$A:$A,MATCH(Main!D22,'Doll Data'!$C:$C,0))</f>
        <v>331</v>
      </c>
      <c r="D3" s="226">
        <f>VLOOKUP(E3,'Exp Tables'!$A$3:$C$122,3,FALSE)</f>
        <v>3263300</v>
      </c>
      <c r="E3" s="226">
        <f>Main!E22</f>
        <v>100</v>
      </c>
      <c r="F3" s="226">
        <f>IF(EchType="SF",2,1)</f>
        <v>1</v>
      </c>
      <c r="G3" s="226">
        <f>Main!I22</f>
        <v>0</v>
      </c>
      <c r="H3" s="226">
        <f>Main!A22</f>
        <v>2</v>
      </c>
      <c r="I3" s="226">
        <f t="array" ref="I3">SUMPRODUCT((Main!$H$28:$J$30=H3)*'Misc Inputs'!$B$3:$D$5)</f>
        <v>17</v>
      </c>
      <c r="J3" s="226">
        <f>'G&amp;K Stat Calc'!CY4*Main!$F22</f>
        <v>330</v>
      </c>
      <c r="K3" s="226">
        <v>5</v>
      </c>
      <c r="L3" s="226">
        <v>10</v>
      </c>
      <c r="M3" s="227">
        <f>'G&amp;K Stat Calc'!DR4</f>
        <v>10</v>
      </c>
      <c r="N3" s="227">
        <f>'G&amp;K Stat Calc'!DT4</f>
        <v>52</v>
      </c>
      <c r="O3" s="227">
        <f>'G&amp;K Stat Calc'!DU4</f>
        <v>113</v>
      </c>
      <c r="P3" s="227">
        <f>'G&amp;K Stat Calc'!DS4</f>
        <v>20</v>
      </c>
      <c r="Q3" s="226">
        <f>Main!G22</f>
        <v>10</v>
      </c>
      <c r="R3" s="226">
        <f>Main!H22</f>
        <v>0</v>
      </c>
      <c r="S3" s="226">
        <v>0</v>
      </c>
      <c r="T3" s="226">
        <v>1</v>
      </c>
      <c r="U3" s="226">
        <f>Main!F22</f>
        <v>5</v>
      </c>
      <c r="V3" s="226">
        <f>V2+1</f>
        <v>2</v>
      </c>
      <c r="W3" s="226">
        <f t="shared" ref="W3:X6" si="0">W2+1</f>
        <v>7</v>
      </c>
      <c r="X3" s="226">
        <f t="shared" si="0"/>
        <v>12</v>
      </c>
      <c r="Y3" s="226">
        <v>0</v>
      </c>
      <c r="Z3" s="226">
        <f>Main!J22*10000</f>
        <v>1000000</v>
      </c>
      <c r="AA3" s="226">
        <f>IF(AND(Main!I22=0,Main!J22&lt;=100),1000000,IF(AND(Main!I22=0,Main!J22&gt;=100),1500000,2000000))</f>
        <v>1000000</v>
      </c>
      <c r="AB3" s="226">
        <f>AA3</f>
        <v>1000000</v>
      </c>
      <c r="AC3" s="226">
        <f>IF(Main!J22&gt;100,1,0)</f>
        <v>0</v>
      </c>
      <c r="AD3" s="226">
        <v>0</v>
      </c>
      <c r="AE3" s="226">
        <v>0</v>
      </c>
      <c r="AF3" s="226">
        <v>0</v>
      </c>
      <c r="AG3" s="226">
        <v>0</v>
      </c>
    </row>
    <row r="4" spans="1:33" x14ac:dyDescent="0.3">
      <c r="A4" s="226">
        <f>IF(Main!$B23="","",Main!A23)</f>
        <v>3</v>
      </c>
      <c r="B4" s="226">
        <v>1234567</v>
      </c>
      <c r="C4" s="226">
        <f>INDEX('Doll Data'!$A:$A,MATCH(Main!D23,'Doll Data'!$C:$C,0))</f>
        <v>20097</v>
      </c>
      <c r="D4" s="226">
        <f>VLOOKUP(E4,'Exp Tables'!$A$3:$C$122,3,FALSE)</f>
        <v>5263300</v>
      </c>
      <c r="E4" s="226">
        <f>Main!E23</f>
        <v>110</v>
      </c>
      <c r="F4" s="226">
        <f>IF(EchType="SF",2,1)</f>
        <v>1</v>
      </c>
      <c r="G4" s="226">
        <f>Main!I23</f>
        <v>2</v>
      </c>
      <c r="H4" s="226">
        <f>Main!A23</f>
        <v>3</v>
      </c>
      <c r="I4" s="226">
        <f t="array" ref="I4">SUMPRODUCT((Main!$H$28:$J$30=H4)*'Misc Inputs'!$B$3:$D$5)</f>
        <v>8</v>
      </c>
      <c r="J4" s="226">
        <f>'G&amp;K Stat Calc'!CY5*Main!$F23</f>
        <v>395</v>
      </c>
      <c r="K4" s="226">
        <v>5</v>
      </c>
      <c r="L4" s="226">
        <v>10</v>
      </c>
      <c r="M4" s="227">
        <f>'G&amp;K Stat Calc'!DR5</f>
        <v>20</v>
      </c>
      <c r="N4" s="227">
        <f>'G&amp;K Stat Calc'!DT5</f>
        <v>49</v>
      </c>
      <c r="O4" s="227">
        <f>'G&amp;K Stat Calc'!DU5</f>
        <v>65</v>
      </c>
      <c r="P4" s="227">
        <f>'G&amp;K Stat Calc'!DS5</f>
        <v>23</v>
      </c>
      <c r="Q4" s="226">
        <f>Main!G23</f>
        <v>10</v>
      </c>
      <c r="R4" s="226">
        <f>Main!H23</f>
        <v>10</v>
      </c>
      <c r="S4" s="226">
        <v>0</v>
      </c>
      <c r="T4" s="226">
        <v>1</v>
      </c>
      <c r="U4" s="226">
        <f>Main!F23</f>
        <v>5</v>
      </c>
      <c r="V4" s="226">
        <f>V3+1</f>
        <v>3</v>
      </c>
      <c r="W4" s="226">
        <f t="shared" si="0"/>
        <v>8</v>
      </c>
      <c r="X4" s="226">
        <f t="shared" si="0"/>
        <v>13</v>
      </c>
      <c r="Y4" s="226">
        <v>0</v>
      </c>
      <c r="Z4" s="226">
        <f>Main!J23*10000</f>
        <v>1000000</v>
      </c>
      <c r="AA4" s="226">
        <f>IF(AND(Main!I23=0,Main!J23&lt;=100),1000000,IF(AND(Main!I23=0,Main!J23&gt;=100),1500000,2000000))</f>
        <v>2000000</v>
      </c>
      <c r="AB4" s="226">
        <f>AA4</f>
        <v>2000000</v>
      </c>
      <c r="AC4" s="226">
        <f>IF(Main!J23&gt;100,1,0)</f>
        <v>0</v>
      </c>
      <c r="AD4" s="226">
        <v>0</v>
      </c>
      <c r="AE4" s="226">
        <v>0</v>
      </c>
      <c r="AF4" s="226">
        <v>0</v>
      </c>
      <c r="AG4" s="226">
        <v>0</v>
      </c>
    </row>
    <row r="5" spans="1:33" x14ac:dyDescent="0.3">
      <c r="A5" s="226">
        <f>IF(Main!$B24="","",Main!A24)</f>
        <v>4</v>
      </c>
      <c r="B5" s="226">
        <v>1234567</v>
      </c>
      <c r="C5" s="226">
        <f>INDEX('Doll Data'!$A:$A,MATCH(Main!D24,'Doll Data'!$C:$C,0))</f>
        <v>294</v>
      </c>
      <c r="D5" s="226">
        <f>VLOOKUP(E5,'Exp Tables'!$A$3:$C$122,3,FALSE)</f>
        <v>3263300</v>
      </c>
      <c r="E5" s="226">
        <f>Main!E24</f>
        <v>100</v>
      </c>
      <c r="F5" s="226">
        <f>IF(EchType="SF",2,1)</f>
        <v>1</v>
      </c>
      <c r="G5" s="226">
        <f>Main!I24</f>
        <v>0</v>
      </c>
      <c r="H5" s="226">
        <f>Main!A24</f>
        <v>4</v>
      </c>
      <c r="I5" s="226">
        <f t="array" ref="I5">SUMPRODUCT((Main!$H$28:$J$30=H5)*'Misc Inputs'!$B$3:$D$5)</f>
        <v>7</v>
      </c>
      <c r="J5" s="226">
        <f>'G&amp;K Stat Calc'!CY6*Main!$F24</f>
        <v>430</v>
      </c>
      <c r="K5" s="226">
        <v>5</v>
      </c>
      <c r="L5" s="226">
        <v>10</v>
      </c>
      <c r="M5" s="227">
        <f>'G&amp;K Stat Calc'!DR6</f>
        <v>19</v>
      </c>
      <c r="N5" s="227">
        <f>'G&amp;K Stat Calc'!DT6</f>
        <v>58</v>
      </c>
      <c r="O5" s="227">
        <f>'G&amp;K Stat Calc'!DU6</f>
        <v>72</v>
      </c>
      <c r="P5" s="227">
        <f>'G&amp;K Stat Calc'!DS6</f>
        <v>20</v>
      </c>
      <c r="Q5" s="226">
        <f>Main!G24</f>
        <v>10</v>
      </c>
      <c r="R5" s="226">
        <f>Main!H24</f>
        <v>0</v>
      </c>
      <c r="S5" s="226">
        <v>0</v>
      </c>
      <c r="T5" s="226">
        <v>1</v>
      </c>
      <c r="U5" s="226">
        <f>Main!F24</f>
        <v>5</v>
      </c>
      <c r="V5" s="226">
        <f>V4+1</f>
        <v>4</v>
      </c>
      <c r="W5" s="226">
        <f t="shared" si="0"/>
        <v>9</v>
      </c>
      <c r="X5" s="226">
        <f t="shared" si="0"/>
        <v>14</v>
      </c>
      <c r="Y5" s="226">
        <v>0</v>
      </c>
      <c r="Z5" s="226">
        <f>Main!J24*10000</f>
        <v>1000000</v>
      </c>
      <c r="AA5" s="226">
        <f>IF(AND(Main!I24=0,Main!J24&lt;=100),1000000,IF(AND(Main!I24=0,Main!J24&gt;=100),1500000,2000000))</f>
        <v>1000000</v>
      </c>
      <c r="AB5" s="226">
        <f>AA5</f>
        <v>1000000</v>
      </c>
      <c r="AC5" s="226">
        <f>IF(Main!J24&gt;100,1,0)</f>
        <v>0</v>
      </c>
      <c r="AD5" s="226">
        <v>0</v>
      </c>
      <c r="AE5" s="226">
        <v>0</v>
      </c>
      <c r="AF5" s="226">
        <v>0</v>
      </c>
      <c r="AG5" s="226">
        <v>0</v>
      </c>
    </row>
    <row r="6" spans="1:33" x14ac:dyDescent="0.3">
      <c r="A6" s="228">
        <f>IF(Main!$B25="","",Main!A25)</f>
        <v>5</v>
      </c>
      <c r="B6" s="228">
        <v>1234567</v>
      </c>
      <c r="C6" s="228">
        <f>INDEX('Doll Data'!$A:$A,MATCH(Main!D25,'Doll Data'!$C:$C,0))</f>
        <v>323</v>
      </c>
      <c r="D6" s="228">
        <f>VLOOKUP(E6,'Exp Tables'!$A$3:$C$122,3,FALSE)</f>
        <v>3263300</v>
      </c>
      <c r="E6" s="228">
        <f>Main!E25</f>
        <v>100</v>
      </c>
      <c r="F6" s="228">
        <f>IF(EchType="SF",2,1)</f>
        <v>1</v>
      </c>
      <c r="G6" s="228">
        <f>Main!I25</f>
        <v>0</v>
      </c>
      <c r="H6" s="228">
        <f>Main!A25</f>
        <v>5</v>
      </c>
      <c r="I6" s="228">
        <f t="array" ref="I6">SUMPRODUCT((Main!$H$28:$J$30=H6)*'Misc Inputs'!$B$3:$D$5)</f>
        <v>13</v>
      </c>
      <c r="J6" s="228">
        <f>'G&amp;K Stat Calc'!CY7*Main!$F25</f>
        <v>1375</v>
      </c>
      <c r="K6" s="228">
        <v>5</v>
      </c>
      <c r="L6" s="228">
        <v>10</v>
      </c>
      <c r="M6" s="229">
        <f>'G&amp;K Stat Calc'!DR7</f>
        <v>14</v>
      </c>
      <c r="N6" s="229">
        <f>'G&amp;K Stat Calc'!DT7</f>
        <v>12</v>
      </c>
      <c r="O6" s="229">
        <f>'G&amp;K Stat Calc'!DU7</f>
        <v>9</v>
      </c>
      <c r="P6" s="229">
        <f>'G&amp;K Stat Calc'!DS7</f>
        <v>8</v>
      </c>
      <c r="Q6" s="228">
        <f>Main!G25</f>
        <v>10</v>
      </c>
      <c r="R6" s="228">
        <f>Main!H25</f>
        <v>0</v>
      </c>
      <c r="S6" s="228">
        <v>0</v>
      </c>
      <c r="T6" s="228">
        <v>1</v>
      </c>
      <c r="U6" s="228">
        <f>Main!F25</f>
        <v>5</v>
      </c>
      <c r="V6" s="228">
        <f>V5+1</f>
        <v>5</v>
      </c>
      <c r="W6" s="228">
        <f t="shared" si="0"/>
        <v>10</v>
      </c>
      <c r="X6" s="228">
        <f t="shared" si="0"/>
        <v>15</v>
      </c>
      <c r="Y6" s="228">
        <v>0</v>
      </c>
      <c r="Z6" s="228">
        <f>Main!J25*10000</f>
        <v>1000000</v>
      </c>
      <c r="AA6" s="228">
        <f>IF(AND(Main!I25=0,Main!J25&lt;=100),1000000,IF(AND(Main!I25=0,Main!J25&gt;=100),1500000,2000000))</f>
        <v>1000000</v>
      </c>
      <c r="AB6" s="228">
        <f>AA6</f>
        <v>1000000</v>
      </c>
      <c r="AC6" s="228">
        <f>IF(Main!J25&gt;100,1,0)</f>
        <v>0</v>
      </c>
      <c r="AD6" s="228">
        <v>0</v>
      </c>
      <c r="AE6" s="228">
        <v>0</v>
      </c>
      <c r="AF6" s="228">
        <v>0</v>
      </c>
      <c r="AG6" s="228">
        <v>0</v>
      </c>
    </row>
    <row r="7" spans="1:33" x14ac:dyDescent="0.3">
      <c r="A7" s="230" t="str">
        <f>IF(Main!$B35="","",Main!A35)</f>
        <v/>
      </c>
      <c r="B7" s="230">
        <v>1234567</v>
      </c>
      <c r="C7" s="230" t="e">
        <f>INDEX('Doll Data'!$A:$A,MATCH(Main!D35,'Doll Data'!$C:$C,0))</f>
        <v>#N/A</v>
      </c>
      <c r="D7" s="230" t="e">
        <f>VLOOKUP(E7,'Exp Tables'!$A$3:$C$122,3,FALSE)</f>
        <v>#N/A</v>
      </c>
      <c r="E7" s="230">
        <f>Main!E35</f>
        <v>0</v>
      </c>
      <c r="F7" s="230">
        <v>0</v>
      </c>
      <c r="G7" s="230">
        <f>Main!I35</f>
        <v>0</v>
      </c>
      <c r="H7" s="230">
        <v>0</v>
      </c>
      <c r="I7" s="230">
        <v>0</v>
      </c>
      <c r="J7" s="230" t="e">
        <f>'G&amp;K Stat Calc'!CY8*Main!$F35</f>
        <v>#N/A</v>
      </c>
      <c r="K7" s="230">
        <v>5</v>
      </c>
      <c r="L7" s="230">
        <v>10</v>
      </c>
      <c r="M7" s="231" t="e">
        <f>'G&amp;K Stat Calc'!DR8</f>
        <v>#N/A</v>
      </c>
      <c r="N7" s="231" t="e">
        <f>'G&amp;K Stat Calc'!DT8</f>
        <v>#N/A</v>
      </c>
      <c r="O7" s="231" t="e">
        <f>'G&amp;K Stat Calc'!DU8</f>
        <v>#N/A</v>
      </c>
      <c r="P7" s="231" t="e">
        <f>'G&amp;K Stat Calc'!DS8</f>
        <v>#N/A</v>
      </c>
      <c r="Q7" s="230">
        <f>Main!G35</f>
        <v>0</v>
      </c>
      <c r="R7" s="230">
        <f>Main!H35</f>
        <v>0</v>
      </c>
      <c r="S7" s="230">
        <v>0</v>
      </c>
      <c r="T7" s="230">
        <v>1</v>
      </c>
      <c r="U7" s="230">
        <f>Main!F35</f>
        <v>0</v>
      </c>
      <c r="V7" s="230">
        <v>16</v>
      </c>
      <c r="W7" s="230">
        <v>31</v>
      </c>
      <c r="X7" s="230">
        <v>46</v>
      </c>
      <c r="Y7" s="230">
        <v>0</v>
      </c>
      <c r="Z7" s="230">
        <f>Main!J35*10000</f>
        <v>0</v>
      </c>
      <c r="AA7" s="230">
        <f>IF(AND(Main!I35=0,Main!J35&lt;=100),1000000,IF(AND(Main!I35=0,Main!J35&gt;=100),1500000,2000000))</f>
        <v>1000000</v>
      </c>
      <c r="AB7" s="230">
        <f t="shared" ref="AB7:AB21" si="1">AA7</f>
        <v>1000000</v>
      </c>
      <c r="AC7" s="230">
        <f>IF(Main!J35&gt;100,1,0)</f>
        <v>0</v>
      </c>
      <c r="AD7" s="230">
        <v>0</v>
      </c>
      <c r="AE7" s="230">
        <v>0</v>
      </c>
      <c r="AF7" s="230">
        <v>0</v>
      </c>
      <c r="AG7" s="230">
        <v>0</v>
      </c>
    </row>
    <row r="8" spans="1:33" x14ac:dyDescent="0.3">
      <c r="A8" s="230" t="str">
        <f>IF(Main!$B36="","",Main!A36)</f>
        <v/>
      </c>
      <c r="B8" s="230">
        <v>1234567</v>
      </c>
      <c r="C8" s="230" t="e">
        <f>INDEX('Doll Data'!$A:$A,MATCH(Main!D36,'Doll Data'!$C:$C,0))</f>
        <v>#N/A</v>
      </c>
      <c r="D8" s="230" t="e">
        <f>VLOOKUP(E8,'Exp Tables'!$A$3:$C$122,3,FALSE)</f>
        <v>#N/A</v>
      </c>
      <c r="E8" s="230">
        <f>Main!E36</f>
        <v>0</v>
      </c>
      <c r="F8" s="230">
        <v>0</v>
      </c>
      <c r="G8" s="230">
        <f>Main!I36</f>
        <v>0</v>
      </c>
      <c r="H8" s="230">
        <v>0</v>
      </c>
      <c r="I8" s="230">
        <v>0</v>
      </c>
      <c r="J8" s="230" t="e">
        <f>'G&amp;K Stat Calc'!CY9*Main!$F36</f>
        <v>#N/A</v>
      </c>
      <c r="K8" s="230">
        <v>5</v>
      </c>
      <c r="L8" s="230">
        <v>10</v>
      </c>
      <c r="M8" s="230" t="e">
        <f>'G&amp;K Stat Calc'!DR9</f>
        <v>#N/A</v>
      </c>
      <c r="N8" s="230" t="e">
        <f>'G&amp;K Stat Calc'!DT9</f>
        <v>#N/A</v>
      </c>
      <c r="O8" s="230" t="e">
        <f>'G&amp;K Stat Calc'!DU9</f>
        <v>#N/A</v>
      </c>
      <c r="P8" s="230" t="e">
        <f>'G&amp;K Stat Calc'!DS9</f>
        <v>#N/A</v>
      </c>
      <c r="Q8" s="230">
        <f>Main!G36</f>
        <v>0</v>
      </c>
      <c r="R8" s="230">
        <f>Main!H36</f>
        <v>0</v>
      </c>
      <c r="S8" s="230">
        <v>0</v>
      </c>
      <c r="T8" s="230">
        <v>1</v>
      </c>
      <c r="U8" s="230">
        <f>Main!F36</f>
        <v>0</v>
      </c>
      <c r="V8" s="230">
        <f>V7+1</f>
        <v>17</v>
      </c>
      <c r="W8" s="230">
        <f t="shared" ref="W8:X21" si="2">W7+1</f>
        <v>32</v>
      </c>
      <c r="X8" s="230">
        <f t="shared" si="2"/>
        <v>47</v>
      </c>
      <c r="Y8" s="230">
        <v>0</v>
      </c>
      <c r="Z8" s="230">
        <f>Main!J36*10000</f>
        <v>0</v>
      </c>
      <c r="AA8" s="230">
        <f>IF(AND(Main!I36=0,Main!J36&lt;=100),1000000,IF(AND(Main!I36=0,Main!J36&gt;=100),1500000,2000000))</f>
        <v>1000000</v>
      </c>
      <c r="AB8" s="230">
        <f t="shared" si="1"/>
        <v>1000000</v>
      </c>
      <c r="AC8" s="230">
        <f>IF(Main!J36&gt;100,1,0)</f>
        <v>0</v>
      </c>
      <c r="AD8" s="230">
        <v>0</v>
      </c>
      <c r="AE8" s="230">
        <v>0</v>
      </c>
      <c r="AF8" s="230">
        <v>0</v>
      </c>
      <c r="AG8" s="230">
        <v>0</v>
      </c>
    </row>
    <row r="9" spans="1:33" x14ac:dyDescent="0.3">
      <c r="A9" s="230" t="str">
        <f>IF(Main!$B37="","",Main!A37)</f>
        <v/>
      </c>
      <c r="B9" s="230">
        <v>1234567</v>
      </c>
      <c r="C9" s="230" t="e">
        <f>INDEX('Doll Data'!$A:$A,MATCH(Main!D37,'Doll Data'!$C:$C,0))</f>
        <v>#N/A</v>
      </c>
      <c r="D9" s="230" t="e">
        <f>VLOOKUP(E9,'Exp Tables'!$A$3:$C$122,3,FALSE)</f>
        <v>#N/A</v>
      </c>
      <c r="E9" s="230">
        <f>Main!E37</f>
        <v>0</v>
      </c>
      <c r="F9" s="230">
        <v>0</v>
      </c>
      <c r="G9" s="230">
        <f>Main!I37</f>
        <v>0</v>
      </c>
      <c r="H9" s="230">
        <v>0</v>
      </c>
      <c r="I9" s="230">
        <v>0</v>
      </c>
      <c r="J9" s="230" t="e">
        <f>'G&amp;K Stat Calc'!CY10*Main!$F37</f>
        <v>#N/A</v>
      </c>
      <c r="K9" s="230">
        <v>5</v>
      </c>
      <c r="L9" s="230">
        <v>10</v>
      </c>
      <c r="M9" s="230" t="e">
        <f>'G&amp;K Stat Calc'!DR10</f>
        <v>#N/A</v>
      </c>
      <c r="N9" s="230" t="e">
        <f>'G&amp;K Stat Calc'!DT10</f>
        <v>#N/A</v>
      </c>
      <c r="O9" s="230" t="e">
        <f>'G&amp;K Stat Calc'!DU10</f>
        <v>#N/A</v>
      </c>
      <c r="P9" s="230" t="e">
        <f>'G&amp;K Stat Calc'!DS10</f>
        <v>#N/A</v>
      </c>
      <c r="Q9" s="230">
        <f>Main!G37</f>
        <v>0</v>
      </c>
      <c r="R9" s="230">
        <f>Main!H37</f>
        <v>0</v>
      </c>
      <c r="S9" s="230">
        <v>0</v>
      </c>
      <c r="T9" s="230">
        <v>1</v>
      </c>
      <c r="U9" s="230">
        <f>Main!F37</f>
        <v>0</v>
      </c>
      <c r="V9" s="230">
        <f t="shared" ref="V9:V21" si="3">V8+1</f>
        <v>18</v>
      </c>
      <c r="W9" s="230">
        <f t="shared" si="2"/>
        <v>33</v>
      </c>
      <c r="X9" s="230">
        <f t="shared" si="2"/>
        <v>48</v>
      </c>
      <c r="Y9" s="230">
        <v>0</v>
      </c>
      <c r="Z9" s="230">
        <f>Main!J37*10000</f>
        <v>0</v>
      </c>
      <c r="AA9" s="230">
        <f>IF(AND(Main!I37=0,Main!J37&lt;=100),1000000,IF(AND(Main!I37=0,Main!J37&gt;=100),1500000,2000000))</f>
        <v>1000000</v>
      </c>
      <c r="AB9" s="230">
        <f t="shared" si="1"/>
        <v>1000000</v>
      </c>
      <c r="AC9" s="230">
        <f>IF(Main!J37&gt;100,1,0)</f>
        <v>0</v>
      </c>
      <c r="AD9" s="230">
        <v>0</v>
      </c>
      <c r="AE9" s="230">
        <v>0</v>
      </c>
      <c r="AF9" s="230">
        <v>0</v>
      </c>
      <c r="AG9" s="230">
        <v>0</v>
      </c>
    </row>
    <row r="10" spans="1:33" x14ac:dyDescent="0.3">
      <c r="A10" s="230" t="str">
        <f>IF(Main!$B38="","",Main!A38)</f>
        <v/>
      </c>
      <c r="B10" s="230">
        <v>1234567</v>
      </c>
      <c r="C10" s="230" t="e">
        <f>INDEX('Doll Data'!$A:$A,MATCH(Main!D38,'Doll Data'!$C:$C,0))</f>
        <v>#N/A</v>
      </c>
      <c r="D10" s="230" t="e">
        <f>VLOOKUP(E10,'Exp Tables'!$A$3:$C$122,3,FALSE)</f>
        <v>#N/A</v>
      </c>
      <c r="E10" s="230">
        <f>Main!E38</f>
        <v>0</v>
      </c>
      <c r="F10" s="230">
        <v>0</v>
      </c>
      <c r="G10" s="230">
        <f>Main!I38</f>
        <v>0</v>
      </c>
      <c r="H10" s="230">
        <v>0</v>
      </c>
      <c r="I10" s="230">
        <v>0</v>
      </c>
      <c r="J10" s="230" t="e">
        <f>'G&amp;K Stat Calc'!CY11*Main!$F38</f>
        <v>#N/A</v>
      </c>
      <c r="K10" s="230">
        <v>5</v>
      </c>
      <c r="L10" s="230">
        <v>10</v>
      </c>
      <c r="M10" s="230" t="e">
        <f>'G&amp;K Stat Calc'!DR11</f>
        <v>#N/A</v>
      </c>
      <c r="N10" s="230" t="e">
        <f>'G&amp;K Stat Calc'!DT11</f>
        <v>#N/A</v>
      </c>
      <c r="O10" s="230" t="e">
        <f>'G&amp;K Stat Calc'!DU11</f>
        <v>#N/A</v>
      </c>
      <c r="P10" s="230" t="e">
        <f>'G&amp;K Stat Calc'!DS11</f>
        <v>#N/A</v>
      </c>
      <c r="Q10" s="230">
        <f>Main!G38</f>
        <v>0</v>
      </c>
      <c r="R10" s="230">
        <f>Main!H38</f>
        <v>0</v>
      </c>
      <c r="S10" s="230">
        <v>0</v>
      </c>
      <c r="T10" s="230">
        <v>1</v>
      </c>
      <c r="U10" s="230">
        <f>Main!F38</f>
        <v>0</v>
      </c>
      <c r="V10" s="230">
        <f t="shared" si="3"/>
        <v>19</v>
      </c>
      <c r="W10" s="230">
        <f t="shared" si="2"/>
        <v>34</v>
      </c>
      <c r="X10" s="230">
        <f t="shared" si="2"/>
        <v>49</v>
      </c>
      <c r="Y10" s="230">
        <v>0</v>
      </c>
      <c r="Z10" s="230">
        <f>Main!J38*10000</f>
        <v>0</v>
      </c>
      <c r="AA10" s="230">
        <f>IF(AND(Main!I38=0,Main!J38&lt;=100),1000000,IF(AND(Main!I38=0,Main!J38&gt;=100),1500000,2000000))</f>
        <v>1000000</v>
      </c>
      <c r="AB10" s="230">
        <f t="shared" si="1"/>
        <v>1000000</v>
      </c>
      <c r="AC10" s="230">
        <f>IF(Main!J38&gt;100,1,0)</f>
        <v>0</v>
      </c>
      <c r="AD10" s="230">
        <v>0</v>
      </c>
      <c r="AE10" s="230">
        <v>0</v>
      </c>
      <c r="AF10" s="230">
        <v>0</v>
      </c>
      <c r="AG10" s="230">
        <v>0</v>
      </c>
    </row>
    <row r="11" spans="1:33" x14ac:dyDescent="0.3">
      <c r="A11" s="230" t="str">
        <f>IF(Main!$B39="","",Main!A39)</f>
        <v/>
      </c>
      <c r="B11" s="230">
        <v>1234567</v>
      </c>
      <c r="C11" s="230" t="e">
        <f>INDEX('Doll Data'!$A:$A,MATCH(Main!D39,'Doll Data'!$C:$C,0))</f>
        <v>#N/A</v>
      </c>
      <c r="D11" s="230" t="e">
        <f>VLOOKUP(E11,'Exp Tables'!$A$3:$C$122,3,FALSE)</f>
        <v>#N/A</v>
      </c>
      <c r="E11" s="230">
        <f>Main!E39</f>
        <v>0</v>
      </c>
      <c r="F11" s="230">
        <v>0</v>
      </c>
      <c r="G11" s="230">
        <f>Main!I39</f>
        <v>0</v>
      </c>
      <c r="H11" s="230">
        <v>0</v>
      </c>
      <c r="I11" s="230">
        <v>0</v>
      </c>
      <c r="J11" s="230" t="e">
        <f>'G&amp;K Stat Calc'!CY12*Main!$F39</f>
        <v>#N/A</v>
      </c>
      <c r="K11" s="230">
        <v>5</v>
      </c>
      <c r="L11" s="230">
        <v>10</v>
      </c>
      <c r="M11" s="230" t="e">
        <f>'G&amp;K Stat Calc'!DR12</f>
        <v>#N/A</v>
      </c>
      <c r="N11" s="230" t="e">
        <f>'G&amp;K Stat Calc'!DT12</f>
        <v>#N/A</v>
      </c>
      <c r="O11" s="230" t="e">
        <f>'G&amp;K Stat Calc'!DU12</f>
        <v>#N/A</v>
      </c>
      <c r="P11" s="230" t="e">
        <f>'G&amp;K Stat Calc'!DS12</f>
        <v>#N/A</v>
      </c>
      <c r="Q11" s="230">
        <f>Main!G39</f>
        <v>0</v>
      </c>
      <c r="R11" s="230">
        <f>Main!H39</f>
        <v>0</v>
      </c>
      <c r="S11" s="230">
        <v>0</v>
      </c>
      <c r="T11" s="230">
        <v>1</v>
      </c>
      <c r="U11" s="230">
        <f>Main!F39</f>
        <v>0</v>
      </c>
      <c r="V11" s="230">
        <f t="shared" si="3"/>
        <v>20</v>
      </c>
      <c r="W11" s="230">
        <f t="shared" si="2"/>
        <v>35</v>
      </c>
      <c r="X11" s="230">
        <f t="shared" si="2"/>
        <v>50</v>
      </c>
      <c r="Y11" s="230">
        <v>0</v>
      </c>
      <c r="Z11" s="230">
        <f>Main!J39*10000</f>
        <v>0</v>
      </c>
      <c r="AA11" s="230">
        <f>IF(AND(Main!I39=0,Main!J39&lt;=100),1000000,IF(AND(Main!I39=0,Main!J39&gt;=100),1500000,2000000))</f>
        <v>1000000</v>
      </c>
      <c r="AB11" s="230">
        <f t="shared" si="1"/>
        <v>1000000</v>
      </c>
      <c r="AC11" s="230">
        <f>IF(Main!J39&gt;100,1,0)</f>
        <v>0</v>
      </c>
      <c r="AD11" s="230">
        <v>0</v>
      </c>
      <c r="AE11" s="230">
        <v>0</v>
      </c>
      <c r="AF11" s="230">
        <v>0</v>
      </c>
      <c r="AG11" s="230">
        <v>0</v>
      </c>
    </row>
    <row r="12" spans="1:33" x14ac:dyDescent="0.3">
      <c r="A12" s="230" t="str">
        <f>IF(Main!$B40="","",Main!A40)</f>
        <v/>
      </c>
      <c r="B12" s="230">
        <v>1234567</v>
      </c>
      <c r="C12" s="230" t="e">
        <f>INDEX('Doll Data'!$A:$A,MATCH(Main!D40,'Doll Data'!$C:$C,0))</f>
        <v>#N/A</v>
      </c>
      <c r="D12" s="230" t="e">
        <f>VLOOKUP(E12,'Exp Tables'!$A$3:$C$122,3,FALSE)</f>
        <v>#N/A</v>
      </c>
      <c r="E12" s="230">
        <f>Main!E40</f>
        <v>0</v>
      </c>
      <c r="F12" s="230">
        <v>0</v>
      </c>
      <c r="G12" s="230">
        <f>Main!I40</f>
        <v>0</v>
      </c>
      <c r="H12" s="230">
        <v>0</v>
      </c>
      <c r="I12" s="230">
        <v>0</v>
      </c>
      <c r="J12" s="230" t="e">
        <f>'G&amp;K Stat Calc'!CY13*Main!$F40</f>
        <v>#N/A</v>
      </c>
      <c r="K12" s="230">
        <v>5</v>
      </c>
      <c r="L12" s="230">
        <v>10</v>
      </c>
      <c r="M12" s="230" t="e">
        <f>'G&amp;K Stat Calc'!DR13</f>
        <v>#N/A</v>
      </c>
      <c r="N12" s="230" t="e">
        <f>'G&amp;K Stat Calc'!DT13</f>
        <v>#N/A</v>
      </c>
      <c r="O12" s="230" t="e">
        <f>'G&amp;K Stat Calc'!DU13</f>
        <v>#N/A</v>
      </c>
      <c r="P12" s="230" t="e">
        <f>'G&amp;K Stat Calc'!DS13</f>
        <v>#N/A</v>
      </c>
      <c r="Q12" s="230">
        <f>Main!G40</f>
        <v>0</v>
      </c>
      <c r="R12" s="230">
        <f>Main!H40</f>
        <v>0</v>
      </c>
      <c r="S12" s="230">
        <v>0</v>
      </c>
      <c r="T12" s="230">
        <v>1</v>
      </c>
      <c r="U12" s="230">
        <f>Main!F40</f>
        <v>0</v>
      </c>
      <c r="V12" s="230">
        <f t="shared" si="3"/>
        <v>21</v>
      </c>
      <c r="W12" s="230">
        <f t="shared" si="2"/>
        <v>36</v>
      </c>
      <c r="X12" s="230">
        <f t="shared" si="2"/>
        <v>51</v>
      </c>
      <c r="Y12" s="230">
        <v>0</v>
      </c>
      <c r="Z12" s="230">
        <f>Main!J40*10000</f>
        <v>0</v>
      </c>
      <c r="AA12" s="230">
        <f>IF(AND(Main!I40=0,Main!J40&lt;=100),1000000,IF(AND(Main!I40=0,Main!J40&gt;=100),1500000,2000000))</f>
        <v>1000000</v>
      </c>
      <c r="AB12" s="230">
        <f t="shared" si="1"/>
        <v>1000000</v>
      </c>
      <c r="AC12" s="230">
        <f>IF(Main!J40&gt;100,1,0)</f>
        <v>0</v>
      </c>
      <c r="AD12" s="230">
        <v>0</v>
      </c>
      <c r="AE12" s="230">
        <v>0</v>
      </c>
      <c r="AF12" s="230">
        <v>0</v>
      </c>
      <c r="AG12" s="230">
        <v>0</v>
      </c>
    </row>
    <row r="13" spans="1:33" x14ac:dyDescent="0.3">
      <c r="A13" s="230" t="str">
        <f>IF(Main!$B41="","",Main!A41)</f>
        <v/>
      </c>
      <c r="B13" s="230">
        <v>1234567</v>
      </c>
      <c r="C13" s="230" t="e">
        <f>INDEX('Doll Data'!$A:$A,MATCH(Main!D41,'Doll Data'!$C:$C,0))</f>
        <v>#N/A</v>
      </c>
      <c r="D13" s="230" t="e">
        <f>VLOOKUP(E13,'Exp Tables'!$A$3:$C$122,3,FALSE)</f>
        <v>#N/A</v>
      </c>
      <c r="E13" s="230">
        <f>Main!E41</f>
        <v>0</v>
      </c>
      <c r="F13" s="230">
        <v>0</v>
      </c>
      <c r="G13" s="230">
        <f>Main!I41</f>
        <v>0</v>
      </c>
      <c r="H13" s="230">
        <v>0</v>
      </c>
      <c r="I13" s="230">
        <v>0</v>
      </c>
      <c r="J13" s="230" t="e">
        <f>'G&amp;K Stat Calc'!CY14*Main!$F41</f>
        <v>#N/A</v>
      </c>
      <c r="K13" s="230">
        <v>5</v>
      </c>
      <c r="L13" s="230">
        <v>10</v>
      </c>
      <c r="M13" s="230" t="e">
        <f>'G&amp;K Stat Calc'!DR14</f>
        <v>#N/A</v>
      </c>
      <c r="N13" s="230" t="e">
        <f>'G&amp;K Stat Calc'!DT14</f>
        <v>#N/A</v>
      </c>
      <c r="O13" s="230" t="e">
        <f>'G&amp;K Stat Calc'!DU14</f>
        <v>#N/A</v>
      </c>
      <c r="P13" s="230" t="e">
        <f>'G&amp;K Stat Calc'!DS14</f>
        <v>#N/A</v>
      </c>
      <c r="Q13" s="230">
        <f>Main!G41</f>
        <v>0</v>
      </c>
      <c r="R13" s="230">
        <f>Main!H41</f>
        <v>0</v>
      </c>
      <c r="S13" s="230">
        <v>0</v>
      </c>
      <c r="T13" s="230">
        <v>1</v>
      </c>
      <c r="U13" s="230">
        <f>Main!F41</f>
        <v>0</v>
      </c>
      <c r="V13" s="230">
        <f t="shared" si="3"/>
        <v>22</v>
      </c>
      <c r="W13" s="230">
        <f t="shared" si="2"/>
        <v>37</v>
      </c>
      <c r="X13" s="230">
        <f t="shared" si="2"/>
        <v>52</v>
      </c>
      <c r="Y13" s="230">
        <v>0</v>
      </c>
      <c r="Z13" s="230">
        <f>Main!J41*10000</f>
        <v>0</v>
      </c>
      <c r="AA13" s="230">
        <f>IF(AND(Main!I41=0,Main!J41&lt;=100),1000000,IF(AND(Main!I41=0,Main!J41&gt;=100),1500000,2000000))</f>
        <v>1000000</v>
      </c>
      <c r="AB13" s="230">
        <f t="shared" si="1"/>
        <v>1000000</v>
      </c>
      <c r="AC13" s="230">
        <f>IF(Main!J41&gt;100,1,0)</f>
        <v>0</v>
      </c>
      <c r="AD13" s="230">
        <v>0</v>
      </c>
      <c r="AE13" s="230">
        <v>0</v>
      </c>
      <c r="AF13" s="230">
        <v>0</v>
      </c>
      <c r="AG13" s="230">
        <v>0</v>
      </c>
    </row>
    <row r="14" spans="1:33" x14ac:dyDescent="0.3">
      <c r="A14" s="230" t="str">
        <f>IF(Main!$B42="","",Main!A42)</f>
        <v/>
      </c>
      <c r="B14" s="230">
        <v>1234567</v>
      </c>
      <c r="C14" s="230" t="e">
        <f>INDEX('Doll Data'!$A:$A,MATCH(Main!D42,'Doll Data'!$C:$C,0))</f>
        <v>#N/A</v>
      </c>
      <c r="D14" s="230" t="e">
        <f>VLOOKUP(E14,'Exp Tables'!$A$3:$C$122,3,FALSE)</f>
        <v>#N/A</v>
      </c>
      <c r="E14" s="230">
        <f>Main!E42</f>
        <v>0</v>
      </c>
      <c r="F14" s="230">
        <v>0</v>
      </c>
      <c r="G14" s="230">
        <f>Main!I42</f>
        <v>0</v>
      </c>
      <c r="H14" s="230">
        <v>0</v>
      </c>
      <c r="I14" s="230">
        <v>0</v>
      </c>
      <c r="J14" s="230" t="e">
        <f>'G&amp;K Stat Calc'!CY15*Main!$F42</f>
        <v>#N/A</v>
      </c>
      <c r="K14" s="230">
        <v>5</v>
      </c>
      <c r="L14" s="230">
        <v>10</v>
      </c>
      <c r="M14" s="230" t="e">
        <f>'G&amp;K Stat Calc'!DR15</f>
        <v>#N/A</v>
      </c>
      <c r="N14" s="230" t="e">
        <f>'G&amp;K Stat Calc'!DT15</f>
        <v>#N/A</v>
      </c>
      <c r="O14" s="230" t="e">
        <f>'G&amp;K Stat Calc'!DU15</f>
        <v>#N/A</v>
      </c>
      <c r="P14" s="230" t="e">
        <f>'G&amp;K Stat Calc'!DS15</f>
        <v>#N/A</v>
      </c>
      <c r="Q14" s="230">
        <f>Main!G42</f>
        <v>0</v>
      </c>
      <c r="R14" s="230">
        <f>Main!H42</f>
        <v>0</v>
      </c>
      <c r="S14" s="230">
        <v>0</v>
      </c>
      <c r="T14" s="230">
        <v>1</v>
      </c>
      <c r="U14" s="230">
        <f>Main!F42</f>
        <v>0</v>
      </c>
      <c r="V14" s="230">
        <f t="shared" si="3"/>
        <v>23</v>
      </c>
      <c r="W14" s="230">
        <f t="shared" si="2"/>
        <v>38</v>
      </c>
      <c r="X14" s="230">
        <f t="shared" si="2"/>
        <v>53</v>
      </c>
      <c r="Y14" s="230">
        <v>0</v>
      </c>
      <c r="Z14" s="230">
        <f>Main!J42*10000</f>
        <v>0</v>
      </c>
      <c r="AA14" s="230">
        <f>IF(AND(Main!I42=0,Main!J42&lt;=100),1000000,IF(AND(Main!I42=0,Main!J42&gt;=100),1500000,2000000))</f>
        <v>1000000</v>
      </c>
      <c r="AB14" s="230">
        <f t="shared" si="1"/>
        <v>1000000</v>
      </c>
      <c r="AC14" s="230">
        <f>IF(Main!J42&gt;100,1,0)</f>
        <v>0</v>
      </c>
      <c r="AD14" s="230">
        <v>0</v>
      </c>
      <c r="AE14" s="230">
        <v>0</v>
      </c>
      <c r="AF14" s="230">
        <v>0</v>
      </c>
      <c r="AG14" s="230">
        <v>0</v>
      </c>
    </row>
    <row r="15" spans="1:33" x14ac:dyDescent="0.3">
      <c r="A15" s="230" t="str">
        <f>IF(Main!$B43="","",Main!A43)</f>
        <v/>
      </c>
      <c r="B15" s="230">
        <v>1234567</v>
      </c>
      <c r="C15" s="230" t="e">
        <f>INDEX('Doll Data'!$A:$A,MATCH(Main!D43,'Doll Data'!$C:$C,0))</f>
        <v>#N/A</v>
      </c>
      <c r="D15" s="230" t="e">
        <f>VLOOKUP(E15,'Exp Tables'!$A$3:$C$122,3,FALSE)</f>
        <v>#N/A</v>
      </c>
      <c r="E15" s="230">
        <f>Main!E43</f>
        <v>0</v>
      </c>
      <c r="F15" s="230">
        <v>0</v>
      </c>
      <c r="G15" s="230">
        <f>Main!I43</f>
        <v>0</v>
      </c>
      <c r="H15" s="230">
        <v>0</v>
      </c>
      <c r="I15" s="230">
        <v>0</v>
      </c>
      <c r="J15" s="230" t="e">
        <f>'G&amp;K Stat Calc'!CY16*Main!$F43</f>
        <v>#N/A</v>
      </c>
      <c r="K15" s="230">
        <v>5</v>
      </c>
      <c r="L15" s="230">
        <v>10</v>
      </c>
      <c r="M15" s="230" t="e">
        <f>'G&amp;K Stat Calc'!DR16</f>
        <v>#N/A</v>
      </c>
      <c r="N15" s="230" t="e">
        <f>'G&amp;K Stat Calc'!DT16</f>
        <v>#N/A</v>
      </c>
      <c r="O15" s="230" t="e">
        <f>'G&amp;K Stat Calc'!DU16</f>
        <v>#N/A</v>
      </c>
      <c r="P15" s="230" t="e">
        <f>'G&amp;K Stat Calc'!DS16</f>
        <v>#N/A</v>
      </c>
      <c r="Q15" s="230">
        <f>Main!G43</f>
        <v>0</v>
      </c>
      <c r="R15" s="230">
        <f>Main!H43</f>
        <v>0</v>
      </c>
      <c r="S15" s="230">
        <v>0</v>
      </c>
      <c r="T15" s="230">
        <v>1</v>
      </c>
      <c r="U15" s="230">
        <f>Main!F43</f>
        <v>0</v>
      </c>
      <c r="V15" s="230">
        <f t="shared" si="3"/>
        <v>24</v>
      </c>
      <c r="W15" s="230">
        <f t="shared" si="2"/>
        <v>39</v>
      </c>
      <c r="X15" s="230">
        <f t="shared" si="2"/>
        <v>54</v>
      </c>
      <c r="Y15" s="230">
        <v>0</v>
      </c>
      <c r="Z15" s="230">
        <f>Main!J43*10000</f>
        <v>0</v>
      </c>
      <c r="AA15" s="230">
        <f>IF(AND(Main!I43=0,Main!J43&lt;=100),1000000,IF(AND(Main!I43=0,Main!J43&gt;=100),1500000,2000000))</f>
        <v>1000000</v>
      </c>
      <c r="AB15" s="230">
        <f t="shared" si="1"/>
        <v>1000000</v>
      </c>
      <c r="AC15" s="230">
        <f>IF(Main!J43&gt;100,1,0)</f>
        <v>0</v>
      </c>
      <c r="AD15" s="230">
        <v>0</v>
      </c>
      <c r="AE15" s="230">
        <v>0</v>
      </c>
      <c r="AF15" s="230">
        <v>0</v>
      </c>
      <c r="AG15" s="230">
        <v>0</v>
      </c>
    </row>
    <row r="16" spans="1:33" x14ac:dyDescent="0.3">
      <c r="A16" s="230" t="str">
        <f>IF(Main!$B44="","",Main!A44)</f>
        <v/>
      </c>
      <c r="B16" s="230">
        <v>1234567</v>
      </c>
      <c r="C16" s="230" t="e">
        <f>INDEX('Doll Data'!$A:$A,MATCH(Main!D44,'Doll Data'!$C:$C,0))</f>
        <v>#N/A</v>
      </c>
      <c r="D16" s="230" t="e">
        <f>VLOOKUP(E16,'Exp Tables'!$A$3:$C$122,3,FALSE)</f>
        <v>#N/A</v>
      </c>
      <c r="E16" s="230">
        <f>Main!E44</f>
        <v>0</v>
      </c>
      <c r="F16" s="230">
        <v>0</v>
      </c>
      <c r="G16" s="230">
        <f>Main!I44</f>
        <v>0</v>
      </c>
      <c r="H16" s="230">
        <v>0</v>
      </c>
      <c r="I16" s="230">
        <v>0</v>
      </c>
      <c r="J16" s="230" t="e">
        <f>'G&amp;K Stat Calc'!CY17*Main!$F44</f>
        <v>#N/A</v>
      </c>
      <c r="K16" s="230">
        <v>5</v>
      </c>
      <c r="L16" s="230">
        <v>10</v>
      </c>
      <c r="M16" s="230" t="e">
        <f>'G&amp;K Stat Calc'!DR17</f>
        <v>#N/A</v>
      </c>
      <c r="N16" s="230" t="e">
        <f>'G&amp;K Stat Calc'!DT17</f>
        <v>#N/A</v>
      </c>
      <c r="O16" s="230" t="e">
        <f>'G&amp;K Stat Calc'!DU17</f>
        <v>#N/A</v>
      </c>
      <c r="P16" s="230" t="e">
        <f>'G&amp;K Stat Calc'!DS17</f>
        <v>#N/A</v>
      </c>
      <c r="Q16" s="230">
        <f>Main!G44</f>
        <v>0</v>
      </c>
      <c r="R16" s="230">
        <f>Main!H44</f>
        <v>0</v>
      </c>
      <c r="S16" s="230">
        <v>0</v>
      </c>
      <c r="T16" s="230">
        <v>1</v>
      </c>
      <c r="U16" s="230">
        <f>Main!F44</f>
        <v>0</v>
      </c>
      <c r="V16" s="230">
        <f t="shared" si="3"/>
        <v>25</v>
      </c>
      <c r="W16" s="230">
        <f t="shared" si="2"/>
        <v>40</v>
      </c>
      <c r="X16" s="230">
        <f t="shared" si="2"/>
        <v>55</v>
      </c>
      <c r="Y16" s="230">
        <v>0</v>
      </c>
      <c r="Z16" s="230">
        <f>Main!J44*10000</f>
        <v>0</v>
      </c>
      <c r="AA16" s="230">
        <f>IF(AND(Main!I44=0,Main!J44&lt;=100),1000000,IF(AND(Main!I44=0,Main!J44&gt;=100),1500000,2000000))</f>
        <v>1000000</v>
      </c>
      <c r="AB16" s="230">
        <f t="shared" si="1"/>
        <v>1000000</v>
      </c>
      <c r="AC16" s="230">
        <f>IF(Main!J44&gt;100,1,0)</f>
        <v>0</v>
      </c>
      <c r="AD16" s="230">
        <v>0</v>
      </c>
      <c r="AE16" s="230">
        <v>0</v>
      </c>
      <c r="AF16" s="230">
        <v>0</v>
      </c>
      <c r="AG16" s="230">
        <v>0</v>
      </c>
    </row>
    <row r="17" spans="1:33" x14ac:dyDescent="0.3">
      <c r="A17" s="230" t="str">
        <f>IF(Main!$B45="","",Main!A45)</f>
        <v/>
      </c>
      <c r="B17" s="230">
        <v>1234567</v>
      </c>
      <c r="C17" s="230" t="e">
        <f>INDEX('Doll Data'!$A:$A,MATCH(Main!D45,'Doll Data'!$C:$C,0))</f>
        <v>#N/A</v>
      </c>
      <c r="D17" s="230" t="e">
        <f>VLOOKUP(E17,'Exp Tables'!$A$3:$C$122,3,FALSE)</f>
        <v>#N/A</v>
      </c>
      <c r="E17" s="230">
        <f>Main!E45</f>
        <v>0</v>
      </c>
      <c r="F17" s="230">
        <v>0</v>
      </c>
      <c r="G17" s="230">
        <f>Main!I45</f>
        <v>0</v>
      </c>
      <c r="H17" s="230">
        <v>0</v>
      </c>
      <c r="I17" s="230">
        <v>0</v>
      </c>
      <c r="J17" s="230" t="e">
        <f>'G&amp;K Stat Calc'!CY18*Main!$F45</f>
        <v>#N/A</v>
      </c>
      <c r="K17" s="230">
        <v>5</v>
      </c>
      <c r="L17" s="230">
        <v>10</v>
      </c>
      <c r="M17" s="230" t="e">
        <f>'G&amp;K Stat Calc'!DR18</f>
        <v>#N/A</v>
      </c>
      <c r="N17" s="230" t="e">
        <f>'G&amp;K Stat Calc'!DT18</f>
        <v>#N/A</v>
      </c>
      <c r="O17" s="230" t="e">
        <f>'G&amp;K Stat Calc'!DU18</f>
        <v>#N/A</v>
      </c>
      <c r="P17" s="230" t="e">
        <f>'G&amp;K Stat Calc'!DS18</f>
        <v>#N/A</v>
      </c>
      <c r="Q17" s="230">
        <f>Main!G45</f>
        <v>0</v>
      </c>
      <c r="R17" s="230">
        <f>Main!H45</f>
        <v>0</v>
      </c>
      <c r="S17" s="230">
        <v>0</v>
      </c>
      <c r="T17" s="230">
        <v>1</v>
      </c>
      <c r="U17" s="230">
        <f>Main!F45</f>
        <v>0</v>
      </c>
      <c r="V17" s="230">
        <f t="shared" si="3"/>
        <v>26</v>
      </c>
      <c r="W17" s="230">
        <f t="shared" si="2"/>
        <v>41</v>
      </c>
      <c r="X17" s="230">
        <f t="shared" si="2"/>
        <v>56</v>
      </c>
      <c r="Y17" s="230">
        <v>0</v>
      </c>
      <c r="Z17" s="230">
        <f>Main!J45*10000</f>
        <v>0</v>
      </c>
      <c r="AA17" s="230">
        <f>IF(AND(Main!I45=0,Main!J45&lt;=100),1000000,IF(AND(Main!I45=0,Main!J45&gt;=100),1500000,2000000))</f>
        <v>1000000</v>
      </c>
      <c r="AB17" s="230">
        <f t="shared" si="1"/>
        <v>1000000</v>
      </c>
      <c r="AC17" s="230">
        <f>IF(Main!J45&gt;100,1,0)</f>
        <v>0</v>
      </c>
      <c r="AD17" s="230">
        <v>0</v>
      </c>
      <c r="AE17" s="230">
        <v>0</v>
      </c>
      <c r="AF17" s="230">
        <v>0</v>
      </c>
      <c r="AG17" s="230">
        <v>0</v>
      </c>
    </row>
    <row r="18" spans="1:33" x14ac:dyDescent="0.3">
      <c r="A18" s="230" t="str">
        <f>IF(Main!$B46="","",Main!A46)</f>
        <v/>
      </c>
      <c r="B18" s="230">
        <v>1234567</v>
      </c>
      <c r="C18" s="230" t="e">
        <f>INDEX('Doll Data'!$A:$A,MATCH(Main!D46,'Doll Data'!$C:$C,0))</f>
        <v>#N/A</v>
      </c>
      <c r="D18" s="230" t="e">
        <f>VLOOKUP(E18,'Exp Tables'!$A$3:$C$122,3,FALSE)</f>
        <v>#N/A</v>
      </c>
      <c r="E18" s="230">
        <f>Main!E46</f>
        <v>0</v>
      </c>
      <c r="F18" s="230">
        <v>0</v>
      </c>
      <c r="G18" s="230">
        <f>Main!I46</f>
        <v>0</v>
      </c>
      <c r="H18" s="230">
        <v>0</v>
      </c>
      <c r="I18" s="230">
        <v>0</v>
      </c>
      <c r="J18" s="230" t="e">
        <f>'G&amp;K Stat Calc'!CY19*Main!$F46</f>
        <v>#N/A</v>
      </c>
      <c r="K18" s="230">
        <v>5</v>
      </c>
      <c r="L18" s="230">
        <v>10</v>
      </c>
      <c r="M18" s="230" t="e">
        <f>'G&amp;K Stat Calc'!DR19</f>
        <v>#N/A</v>
      </c>
      <c r="N18" s="230" t="e">
        <f>'G&amp;K Stat Calc'!DT19</f>
        <v>#N/A</v>
      </c>
      <c r="O18" s="230" t="e">
        <f>'G&amp;K Stat Calc'!DU19</f>
        <v>#N/A</v>
      </c>
      <c r="P18" s="230" t="e">
        <f>'G&amp;K Stat Calc'!DS19</f>
        <v>#N/A</v>
      </c>
      <c r="Q18" s="230">
        <f>Main!G46</f>
        <v>0</v>
      </c>
      <c r="R18" s="230">
        <f>Main!H46</f>
        <v>0</v>
      </c>
      <c r="S18" s="230">
        <v>0</v>
      </c>
      <c r="T18" s="230">
        <v>1</v>
      </c>
      <c r="U18" s="230">
        <f>Main!F46</f>
        <v>0</v>
      </c>
      <c r="V18" s="230">
        <f t="shared" si="3"/>
        <v>27</v>
      </c>
      <c r="W18" s="230">
        <f t="shared" si="2"/>
        <v>42</v>
      </c>
      <c r="X18" s="230">
        <f t="shared" si="2"/>
        <v>57</v>
      </c>
      <c r="Y18" s="230">
        <v>0</v>
      </c>
      <c r="Z18" s="230">
        <f>Main!J46*10000</f>
        <v>0</v>
      </c>
      <c r="AA18" s="230">
        <f>IF(AND(Main!I46=0,Main!J46&lt;=100),1000000,IF(AND(Main!I46=0,Main!J46&gt;=100),1500000,2000000))</f>
        <v>1000000</v>
      </c>
      <c r="AB18" s="230">
        <f t="shared" si="1"/>
        <v>1000000</v>
      </c>
      <c r="AC18" s="230">
        <f>IF(Main!J46&gt;100,1,0)</f>
        <v>0</v>
      </c>
      <c r="AD18" s="230">
        <v>0</v>
      </c>
      <c r="AE18" s="230">
        <v>0</v>
      </c>
      <c r="AF18" s="230">
        <v>0</v>
      </c>
      <c r="AG18" s="230">
        <v>0</v>
      </c>
    </row>
    <row r="19" spans="1:33" x14ac:dyDescent="0.3">
      <c r="A19" s="230" t="str">
        <f>IF(Main!$B47="","",Main!A47)</f>
        <v/>
      </c>
      <c r="B19" s="230">
        <v>1234567</v>
      </c>
      <c r="C19" s="230" t="e">
        <f>INDEX('Doll Data'!$A:$A,MATCH(Main!D47,'Doll Data'!$C:$C,0))</f>
        <v>#N/A</v>
      </c>
      <c r="D19" s="230" t="e">
        <f>VLOOKUP(E19,'Exp Tables'!$A$3:$C$122,3,FALSE)</f>
        <v>#N/A</v>
      </c>
      <c r="E19" s="230">
        <f>Main!E47</f>
        <v>0</v>
      </c>
      <c r="F19" s="230">
        <v>0</v>
      </c>
      <c r="G19" s="230">
        <f>Main!I47</f>
        <v>0</v>
      </c>
      <c r="H19" s="230">
        <v>0</v>
      </c>
      <c r="I19" s="230">
        <v>0</v>
      </c>
      <c r="J19" s="230" t="e">
        <f>'G&amp;K Stat Calc'!CY20*Main!$F47</f>
        <v>#N/A</v>
      </c>
      <c r="K19" s="230">
        <v>5</v>
      </c>
      <c r="L19" s="230">
        <v>10</v>
      </c>
      <c r="M19" s="230" t="e">
        <f>'G&amp;K Stat Calc'!DR20</f>
        <v>#N/A</v>
      </c>
      <c r="N19" s="230" t="e">
        <f>'G&amp;K Stat Calc'!DT20</f>
        <v>#N/A</v>
      </c>
      <c r="O19" s="230" t="e">
        <f>'G&amp;K Stat Calc'!DU20</f>
        <v>#N/A</v>
      </c>
      <c r="P19" s="230" t="e">
        <f>'G&amp;K Stat Calc'!DS20</f>
        <v>#N/A</v>
      </c>
      <c r="Q19" s="230">
        <f>Main!G47</f>
        <v>0</v>
      </c>
      <c r="R19" s="230">
        <f>Main!H47</f>
        <v>0</v>
      </c>
      <c r="S19" s="230">
        <v>0</v>
      </c>
      <c r="T19" s="230">
        <v>1</v>
      </c>
      <c r="U19" s="230">
        <f>Main!F47</f>
        <v>0</v>
      </c>
      <c r="V19" s="230">
        <f t="shared" si="3"/>
        <v>28</v>
      </c>
      <c r="W19" s="230">
        <f t="shared" si="2"/>
        <v>43</v>
      </c>
      <c r="X19" s="230">
        <f t="shared" si="2"/>
        <v>58</v>
      </c>
      <c r="Y19" s="230">
        <v>0</v>
      </c>
      <c r="Z19" s="230">
        <f>Main!J47*10000</f>
        <v>0</v>
      </c>
      <c r="AA19" s="230">
        <f>IF(AND(Main!I47=0,Main!J47&lt;=100),1000000,IF(AND(Main!I47=0,Main!J47&gt;=100),1500000,2000000))</f>
        <v>1000000</v>
      </c>
      <c r="AB19" s="230">
        <f t="shared" si="1"/>
        <v>1000000</v>
      </c>
      <c r="AC19" s="230">
        <f>IF(Main!J47&gt;100,1,0)</f>
        <v>0</v>
      </c>
      <c r="AD19" s="230">
        <v>0</v>
      </c>
      <c r="AE19" s="230">
        <v>0</v>
      </c>
      <c r="AF19" s="230">
        <v>0</v>
      </c>
      <c r="AG19" s="230">
        <v>0</v>
      </c>
    </row>
    <row r="20" spans="1:33" x14ac:dyDescent="0.3">
      <c r="A20" s="230" t="str">
        <f>IF(Main!$B48="","",Main!A48)</f>
        <v/>
      </c>
      <c r="B20" s="230">
        <v>1234567</v>
      </c>
      <c r="C20" s="230" t="e">
        <f>INDEX('Doll Data'!$A:$A,MATCH(Main!D48,'Doll Data'!$C:$C,0))</f>
        <v>#N/A</v>
      </c>
      <c r="D20" s="230" t="e">
        <f>VLOOKUP(E20,'Exp Tables'!$A$3:$C$122,3,FALSE)</f>
        <v>#N/A</v>
      </c>
      <c r="E20" s="230">
        <f>Main!E48</f>
        <v>0</v>
      </c>
      <c r="F20" s="230">
        <v>0</v>
      </c>
      <c r="G20" s="230">
        <f>Main!I48</f>
        <v>0</v>
      </c>
      <c r="H20" s="230">
        <v>0</v>
      </c>
      <c r="I20" s="230">
        <v>0</v>
      </c>
      <c r="J20" s="230" t="e">
        <f>'G&amp;K Stat Calc'!CY21*Main!$F48</f>
        <v>#N/A</v>
      </c>
      <c r="K20" s="230">
        <v>5</v>
      </c>
      <c r="L20" s="230">
        <v>10</v>
      </c>
      <c r="M20" s="230" t="e">
        <f>'G&amp;K Stat Calc'!DR21</f>
        <v>#N/A</v>
      </c>
      <c r="N20" s="230" t="e">
        <f>'G&amp;K Stat Calc'!DT21</f>
        <v>#N/A</v>
      </c>
      <c r="O20" s="230" t="e">
        <f>'G&amp;K Stat Calc'!DU21</f>
        <v>#N/A</v>
      </c>
      <c r="P20" s="230" t="e">
        <f>'G&amp;K Stat Calc'!DS21</f>
        <v>#N/A</v>
      </c>
      <c r="Q20" s="230">
        <f>Main!G48</f>
        <v>0</v>
      </c>
      <c r="R20" s="230">
        <f>Main!H48</f>
        <v>0</v>
      </c>
      <c r="S20" s="230">
        <v>0</v>
      </c>
      <c r="T20" s="230">
        <v>1</v>
      </c>
      <c r="U20" s="230">
        <f>Main!F48</f>
        <v>0</v>
      </c>
      <c r="V20" s="230">
        <f t="shared" si="3"/>
        <v>29</v>
      </c>
      <c r="W20" s="230">
        <f t="shared" si="2"/>
        <v>44</v>
      </c>
      <c r="X20" s="230">
        <f t="shared" si="2"/>
        <v>59</v>
      </c>
      <c r="Y20" s="230">
        <v>0</v>
      </c>
      <c r="Z20" s="230">
        <f>Main!J48*10000</f>
        <v>0</v>
      </c>
      <c r="AA20" s="230">
        <f>IF(AND(Main!I48=0,Main!J48&lt;=100),1000000,IF(AND(Main!I48=0,Main!J48&gt;=100),1500000,2000000))</f>
        <v>1000000</v>
      </c>
      <c r="AB20" s="230">
        <f t="shared" si="1"/>
        <v>1000000</v>
      </c>
      <c r="AC20" s="230">
        <f>IF(Main!J48&gt;100,1,0)</f>
        <v>0</v>
      </c>
      <c r="AD20" s="230">
        <v>0</v>
      </c>
      <c r="AE20" s="230">
        <v>0</v>
      </c>
      <c r="AF20" s="230">
        <v>0</v>
      </c>
      <c r="AG20" s="230">
        <v>0</v>
      </c>
    </row>
    <row r="21" spans="1:33" x14ac:dyDescent="0.3">
      <c r="A21" s="234" t="str">
        <f>IF(Main!$B49="","",Main!A49)</f>
        <v/>
      </c>
      <c r="B21" s="234">
        <v>1234567</v>
      </c>
      <c r="C21" s="234" t="e">
        <f>INDEX('Doll Data'!$A:$A,MATCH(Main!D49,'Doll Data'!$C:$C,0))</f>
        <v>#N/A</v>
      </c>
      <c r="D21" s="234" t="e">
        <f>VLOOKUP(E21,'Exp Tables'!$A$3:$C$122,3,FALSE)</f>
        <v>#N/A</v>
      </c>
      <c r="E21" s="234">
        <f>Main!E49</f>
        <v>0</v>
      </c>
      <c r="F21" s="234">
        <v>0</v>
      </c>
      <c r="G21" s="234">
        <f>Main!I49</f>
        <v>0</v>
      </c>
      <c r="H21" s="234">
        <v>0</v>
      </c>
      <c r="I21" s="234">
        <v>0</v>
      </c>
      <c r="J21" s="234" t="e">
        <f>'G&amp;K Stat Calc'!CY22*Main!$F49</f>
        <v>#N/A</v>
      </c>
      <c r="K21" s="234">
        <v>5</v>
      </c>
      <c r="L21" s="234">
        <v>10</v>
      </c>
      <c r="M21" s="234" t="e">
        <f>'G&amp;K Stat Calc'!DR22</f>
        <v>#N/A</v>
      </c>
      <c r="N21" s="234" t="e">
        <f>'G&amp;K Stat Calc'!DT22</f>
        <v>#N/A</v>
      </c>
      <c r="O21" s="234" t="e">
        <f>'G&amp;K Stat Calc'!DU22</f>
        <v>#N/A</v>
      </c>
      <c r="P21" s="234" t="e">
        <f>'G&amp;K Stat Calc'!DS22</f>
        <v>#N/A</v>
      </c>
      <c r="Q21" s="234">
        <f>Main!G49</f>
        <v>0</v>
      </c>
      <c r="R21" s="234">
        <f>Main!H49</f>
        <v>0</v>
      </c>
      <c r="S21" s="234">
        <v>0</v>
      </c>
      <c r="T21" s="234">
        <v>1</v>
      </c>
      <c r="U21" s="234">
        <f>Main!F49</f>
        <v>0</v>
      </c>
      <c r="V21" s="234">
        <f t="shared" si="3"/>
        <v>30</v>
      </c>
      <c r="W21" s="234">
        <f t="shared" si="2"/>
        <v>45</v>
      </c>
      <c r="X21" s="234">
        <f t="shared" si="2"/>
        <v>60</v>
      </c>
      <c r="Y21" s="234">
        <v>0</v>
      </c>
      <c r="Z21" s="234">
        <f>Main!J49*10000</f>
        <v>0</v>
      </c>
      <c r="AA21" s="234">
        <f>IF(AND(Main!I49=0,Main!J49&lt;=100),1000000,IF(AND(Main!I49=0,Main!J49&gt;=100),1500000,2000000))</f>
        <v>1000000</v>
      </c>
      <c r="AB21" s="234">
        <f t="shared" si="1"/>
        <v>1000000</v>
      </c>
      <c r="AC21" s="234">
        <f>IF(Main!J49&gt;100,1,0)</f>
        <v>0</v>
      </c>
      <c r="AD21" s="234">
        <v>0</v>
      </c>
      <c r="AE21" s="234">
        <v>0</v>
      </c>
      <c r="AF21" s="234">
        <v>0</v>
      </c>
      <c r="AG21" s="234">
        <v>0</v>
      </c>
    </row>
    <row r="22" spans="1:33" x14ac:dyDescent="0.3">
      <c r="A22" s="243">
        <f>IF(Main!$D75="","",21)</f>
        <v>21</v>
      </c>
      <c r="B22" s="243">
        <v>1234567</v>
      </c>
      <c r="C22" s="243">
        <f>INDEX('Doll Data'!$A:$A,MATCH("ST AR15Mod",'Doll Data'!$C:$C,0))</f>
        <v>20057</v>
      </c>
      <c r="D22" s="243">
        <f>VLOOKUP(E22,'Exp Tables'!$A$3:$C$122,3,FALSE)</f>
        <v>3263300</v>
      </c>
      <c r="E22" s="243">
        <f>Main!D75</f>
        <v>100</v>
      </c>
      <c r="F22" s="243">
        <v>0</v>
      </c>
      <c r="G22" s="243">
        <v>0</v>
      </c>
      <c r="H22" s="243">
        <v>0</v>
      </c>
      <c r="I22" s="243">
        <v>0</v>
      </c>
      <c r="J22" s="243">
        <v>1</v>
      </c>
      <c r="K22" s="243">
        <v>5</v>
      </c>
      <c r="L22" s="243">
        <v>10</v>
      </c>
      <c r="M22" s="243">
        <v>0</v>
      </c>
      <c r="N22" s="243">
        <v>0</v>
      </c>
      <c r="O22" s="243">
        <v>0</v>
      </c>
      <c r="P22" s="243">
        <v>0</v>
      </c>
      <c r="Q22" s="243">
        <v>1</v>
      </c>
      <c r="R22" s="243">
        <v>0</v>
      </c>
      <c r="S22" s="243">
        <v>0</v>
      </c>
      <c r="T22" s="243">
        <v>1</v>
      </c>
      <c r="U22" s="243">
        <f>Main!E75</f>
        <v>5</v>
      </c>
      <c r="V22" s="243">
        <v>0</v>
      </c>
      <c r="W22" s="243">
        <v>0</v>
      </c>
      <c r="X22" s="243">
        <v>0</v>
      </c>
      <c r="Y22" s="243">
        <v>0</v>
      </c>
      <c r="Z22" s="243">
        <v>1000000</v>
      </c>
      <c r="AA22" s="243">
        <v>1000000</v>
      </c>
      <c r="AB22" s="243">
        <v>1000000</v>
      </c>
      <c r="AC22" s="243">
        <f>IF(Main!J50&gt;100,1,0)</f>
        <v>0</v>
      </c>
      <c r="AD22" s="243">
        <v>4508</v>
      </c>
      <c r="AE22" s="243">
        <v>0</v>
      </c>
      <c r="AF22" s="243">
        <v>0</v>
      </c>
      <c r="AG22" s="243">
        <v>0</v>
      </c>
    </row>
    <row r="23" spans="1:33" x14ac:dyDescent="0.3">
      <c r="A23" s="251">
        <f>IF(Main!$D76="","",22)</f>
        <v>22</v>
      </c>
      <c r="B23" s="251">
        <v>1234567</v>
      </c>
      <c r="C23" s="251">
        <f>INDEX('Doll Data'!$A:$A,MATCH("ST AR15Mod",'Doll Data'!$C:$C,0))</f>
        <v>20057</v>
      </c>
      <c r="D23" s="251">
        <f>VLOOKUP(E23,'Exp Tables'!$A$3:$C$122,3,FALSE)</f>
        <v>3263300</v>
      </c>
      <c r="E23" s="251">
        <f>Main!D76</f>
        <v>100</v>
      </c>
      <c r="F23" s="251">
        <v>0</v>
      </c>
      <c r="G23" s="251">
        <v>0</v>
      </c>
      <c r="H23" s="251">
        <v>0</v>
      </c>
      <c r="I23" s="251">
        <v>0</v>
      </c>
      <c r="J23" s="251">
        <v>1</v>
      </c>
      <c r="K23" s="251">
        <v>5</v>
      </c>
      <c r="L23" s="251">
        <v>10</v>
      </c>
      <c r="M23" s="251">
        <v>0</v>
      </c>
      <c r="N23" s="251">
        <v>0</v>
      </c>
      <c r="O23" s="251">
        <v>0</v>
      </c>
      <c r="P23" s="251">
        <v>0</v>
      </c>
      <c r="Q23" s="251">
        <v>1</v>
      </c>
      <c r="R23" s="251">
        <v>0</v>
      </c>
      <c r="S23" s="251">
        <v>0</v>
      </c>
      <c r="T23" s="251">
        <v>1</v>
      </c>
      <c r="U23" s="251">
        <f>Main!E76</f>
        <v>5</v>
      </c>
      <c r="V23" s="251">
        <v>0</v>
      </c>
      <c r="W23" s="251">
        <v>0</v>
      </c>
      <c r="X23" s="251">
        <v>0</v>
      </c>
      <c r="Y23" s="251">
        <v>0</v>
      </c>
      <c r="Z23" s="251">
        <v>1000000</v>
      </c>
      <c r="AA23" s="251">
        <v>1000000</v>
      </c>
      <c r="AB23" s="251">
        <v>1000000</v>
      </c>
      <c r="AC23" s="251">
        <f>IF(Main!J51&gt;100,1,0)</f>
        <v>0</v>
      </c>
      <c r="AD23" s="251">
        <v>30001</v>
      </c>
      <c r="AE23" s="251">
        <v>0</v>
      </c>
      <c r="AF23" s="251">
        <v>0</v>
      </c>
      <c r="AG23" s="251">
        <v>0</v>
      </c>
    </row>
    <row r="24" spans="1:33" x14ac:dyDescent="0.3">
      <c r="A24" s="244">
        <f>IF(OR(Main!J75&lt;&gt;"Doll",Main!K75="",Main!L75=""),"",23)</f>
        <v>23</v>
      </c>
      <c r="B24" s="244">
        <v>1234567</v>
      </c>
      <c r="C24" s="244">
        <f>INDEX('Doll Data'!$A:$A,MATCH("ST AR15Mod",'Doll Data'!$C:$C,0))</f>
        <v>20057</v>
      </c>
      <c r="D24" s="244">
        <f>VLOOKUP(E24,'Exp Tables'!$A$3:$C$122,3,FALSE)</f>
        <v>3263300</v>
      </c>
      <c r="E24" s="244">
        <f>Main!K75</f>
        <v>100</v>
      </c>
      <c r="F24" s="244">
        <v>0</v>
      </c>
      <c r="G24" s="244">
        <v>0</v>
      </c>
      <c r="H24" s="244">
        <v>0</v>
      </c>
      <c r="I24" s="244">
        <v>0</v>
      </c>
      <c r="J24" s="244">
        <v>1</v>
      </c>
      <c r="K24" s="244">
        <v>5</v>
      </c>
      <c r="L24" s="244">
        <v>10</v>
      </c>
      <c r="M24" s="244">
        <v>0</v>
      </c>
      <c r="N24" s="244">
        <v>0</v>
      </c>
      <c r="O24" s="244">
        <v>0</v>
      </c>
      <c r="P24" s="244">
        <v>0</v>
      </c>
      <c r="Q24" s="244">
        <v>1</v>
      </c>
      <c r="R24" s="244">
        <v>0</v>
      </c>
      <c r="S24" s="244">
        <v>0</v>
      </c>
      <c r="T24" s="244">
        <v>1</v>
      </c>
      <c r="U24" s="244">
        <f>Main!L75</f>
        <v>5</v>
      </c>
      <c r="V24" s="244">
        <v>0</v>
      </c>
      <c r="W24" s="244">
        <v>0</v>
      </c>
      <c r="X24" s="244">
        <v>0</v>
      </c>
      <c r="Y24" s="244">
        <v>0</v>
      </c>
      <c r="Z24" s="244">
        <v>1000000</v>
      </c>
      <c r="AA24" s="244">
        <v>1000000</v>
      </c>
      <c r="AB24" s="244">
        <v>1000000</v>
      </c>
      <c r="AC24" s="244">
        <f>IF(Main!J52&gt;100,1,0)</f>
        <v>0</v>
      </c>
      <c r="AD24" s="244">
        <v>552</v>
      </c>
      <c r="AE24" s="244">
        <v>0</v>
      </c>
      <c r="AF24" s="244">
        <v>0</v>
      </c>
      <c r="AG24" s="244">
        <v>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18ECF-2D68-44D5-B0DD-A4ED4FEA29A1}">
  <sheetPr codeName="Sheet3"/>
  <dimension ref="A1:AG61"/>
  <sheetViews>
    <sheetView workbookViewId="0">
      <selection activeCell="B2" sqref="B2"/>
    </sheetView>
  </sheetViews>
  <sheetFormatPr defaultRowHeight="14.4" x14ac:dyDescent="0.3"/>
  <sheetData>
    <row r="1" spans="1:33" x14ac:dyDescent="0.3">
      <c r="A1" s="85" t="s">
        <v>25</v>
      </c>
      <c r="B1" s="85" t="s">
        <v>26</v>
      </c>
      <c r="C1" s="85" t="s">
        <v>573</v>
      </c>
      <c r="D1" s="85" t="s">
        <v>574</v>
      </c>
      <c r="E1" s="85" t="s">
        <v>575</v>
      </c>
      <c r="F1" s="85" t="s">
        <v>576</v>
      </c>
      <c r="G1" s="85" t="s">
        <v>37</v>
      </c>
      <c r="H1" s="85" t="s">
        <v>38</v>
      </c>
      <c r="I1" s="85" t="s">
        <v>39</v>
      </c>
      <c r="J1" s="85" t="s">
        <v>312</v>
      </c>
      <c r="K1" s="85" t="s">
        <v>40</v>
      </c>
      <c r="L1" s="85" t="s">
        <v>313</v>
      </c>
      <c r="M1" s="85" t="s">
        <v>314</v>
      </c>
      <c r="N1" s="85" t="s">
        <v>221</v>
      </c>
      <c r="O1" s="85" t="s">
        <v>277</v>
      </c>
      <c r="P1" s="85" t="s">
        <v>315</v>
      </c>
      <c r="Q1" s="85" t="s">
        <v>316</v>
      </c>
      <c r="R1" s="85" t="s">
        <v>317</v>
      </c>
      <c r="S1" s="85" t="s">
        <v>318</v>
      </c>
      <c r="T1" s="85" t="s">
        <v>319</v>
      </c>
      <c r="U1" s="85" t="s">
        <v>577</v>
      </c>
      <c r="V1" s="85" t="s">
        <v>44</v>
      </c>
      <c r="W1" s="85" t="s">
        <v>578</v>
      </c>
      <c r="X1" s="1"/>
      <c r="Y1" s="1"/>
      <c r="Z1" s="1"/>
      <c r="AA1" s="1"/>
      <c r="AB1" s="1"/>
      <c r="AC1" s="1"/>
      <c r="AD1" s="1"/>
      <c r="AE1" s="1"/>
      <c r="AF1" s="1"/>
      <c r="AG1" s="1"/>
    </row>
    <row r="2" spans="1:33" x14ac:dyDescent="0.3">
      <c r="A2" s="226">
        <f>IF(Main!M21="","",ROW()-1)</f>
        <v>1</v>
      </c>
      <c r="B2" s="226">
        <v>1234567</v>
      </c>
      <c r="C2" s="226">
        <f>Doll!C2</f>
        <v>20055</v>
      </c>
      <c r="D2" s="226">
        <f>INDEX('Equip Data'!$A:$A,MATCH(Main!M21,'Equip Data'!$AG:$AG,0))</f>
        <v>4</v>
      </c>
      <c r="E2" s="226">
        <f>INDEX('Exp Tables'!$R$3:$V$13,MATCH(F2,'Exp Tables'!$Q$3:$Q$13,0),MATCH(INDEX('Equip Data'!$D:$D,MATCH(Main!M21,'Equip Data'!$AG:$AG,0)),'Exp Tables'!$R$2:$V$2,0))</f>
        <v>10000</v>
      </c>
      <c r="F2" s="226">
        <f>Main!N21</f>
        <v>10</v>
      </c>
      <c r="G2" s="226">
        <f>IF(INDEX('Equip Data'!G:G,MATCH($D2,'Equip Data'!$A:$A,0))="",0,Main!$O21*10000)</f>
        <v>0</v>
      </c>
      <c r="H2" s="226">
        <f>IF(INDEX('Equip Data'!H:H,MATCH($D2,'Equip Data'!$A:$A,0))="",0,Main!$O21*10000)</f>
        <v>0</v>
      </c>
      <c r="I2" s="226">
        <f>IF(INDEX('Equip Data'!I:I,MATCH($D2,'Equip Data'!$A:$A,0))="",0,Main!$O21*10000)</f>
        <v>0</v>
      </c>
      <c r="J2" s="226">
        <f>IF(INDEX('Equip Data'!J:J,MATCH($D2,'Equip Data'!$A:$A,0))="",0,Main!$O21*10000)</f>
        <v>0</v>
      </c>
      <c r="K2" s="226">
        <f>IF(INDEX('Equip Data'!K:K,MATCH($D2,'Equip Data'!$A:$A,0))="",0,Main!$O21*10000)</f>
        <v>0</v>
      </c>
      <c r="L2" s="226">
        <f>IF(INDEX('Equip Data'!L:L,MATCH($D2,'Equip Data'!$A:$A,0))="",0,Main!$O21*10000)</f>
        <v>0</v>
      </c>
      <c r="M2" s="226">
        <f>IF(INDEX('Equip Data'!M:M,MATCH($D2,'Equip Data'!$A:$A,0))="",0,Main!$O21*10000)</f>
        <v>10000</v>
      </c>
      <c r="N2" s="226">
        <f>IF(INDEX('Equip Data'!N:N,MATCH($D2,'Equip Data'!$A:$A,0))="",0,Main!$O21*10000)</f>
        <v>0</v>
      </c>
      <c r="O2" s="226">
        <f>IF(INDEX('Equip Data'!O:O,MATCH($D2,'Equip Data'!$A:$A,0))="",0,Main!$O21*10000)</f>
        <v>0</v>
      </c>
      <c r="P2" s="226">
        <f>IF(INDEX('Equip Data'!P:P,MATCH($D2,'Equip Data'!$A:$A,0))="",0,Main!$O21*10000)</f>
        <v>0</v>
      </c>
      <c r="Q2" s="226">
        <f>IF(INDEX('Equip Data'!Q:Q,MATCH($D2,'Equip Data'!$A:$A,0))="",0,Main!$O21*10000)</f>
        <v>0</v>
      </c>
      <c r="R2" s="226">
        <f>IF(INDEX('Equip Data'!R:R,MATCH($D2,'Equip Data'!$A:$A,0))="",0,Main!$O21*10000)</f>
        <v>0</v>
      </c>
      <c r="S2" s="226">
        <f>IF(INDEX('Equip Data'!S:S,MATCH($D2,'Equip Data'!$A:$A,0))="",0,Main!$O21*10000)</f>
        <v>0</v>
      </c>
      <c r="T2" s="226">
        <f>IF(INDEX('Equip Data'!T:T,MATCH($D2,'Equip Data'!$A:$A,0))="",0,10000)</f>
        <v>0</v>
      </c>
      <c r="U2" s="226">
        <v>0</v>
      </c>
      <c r="V2" s="226">
        <v>1</v>
      </c>
      <c r="W2" s="226">
        <v>0</v>
      </c>
      <c r="X2" s="1"/>
      <c r="Y2" s="1"/>
      <c r="Z2" s="1"/>
      <c r="AA2" s="1"/>
      <c r="AB2" s="1"/>
      <c r="AC2" s="1"/>
      <c r="AD2" s="1"/>
      <c r="AE2" s="1"/>
      <c r="AF2" s="1"/>
      <c r="AG2" s="1"/>
    </row>
    <row r="3" spans="1:33" x14ac:dyDescent="0.3">
      <c r="A3" s="226">
        <f>IF(Main!M22="","",ROW()-1)</f>
        <v>2</v>
      </c>
      <c r="B3" s="226">
        <v>1234567</v>
      </c>
      <c r="C3" s="226">
        <f>Doll!C3</f>
        <v>331</v>
      </c>
      <c r="D3" s="226">
        <f>INDEX('Equip Data'!$A:$A,MATCH(Main!M22,'Equip Data'!$AG:$AG,0))</f>
        <v>66</v>
      </c>
      <c r="E3" s="226">
        <f>INDEX('Exp Tables'!$R$3:$V$13,MATCH(F3,'Exp Tables'!$Q$3:$Q$13,0),MATCH(INDEX('Equip Data'!$D:$D,MATCH(Main!M22,'Equip Data'!$AG:$AG,0)),'Exp Tables'!$R$2:$V$2,0))</f>
        <v>10000</v>
      </c>
      <c r="F3" s="226">
        <f>Main!N22</f>
        <v>10</v>
      </c>
      <c r="G3" s="226">
        <f>IF(INDEX('Equip Data'!G:G,MATCH($D3,'Equip Data'!$A:$A,0))="",0,Main!$O22*10000)</f>
        <v>0</v>
      </c>
      <c r="H3" s="226">
        <f>IF(INDEX('Equip Data'!H:H,MATCH($D3,'Equip Data'!$A:$A,0))="",0,Main!$O22*10000)</f>
        <v>0</v>
      </c>
      <c r="I3" s="226">
        <f>IF(INDEX('Equip Data'!I:I,MATCH($D3,'Equip Data'!$A:$A,0))="",0,Main!$O22*10000)</f>
        <v>10000</v>
      </c>
      <c r="J3" s="226">
        <f>IF(INDEX('Equip Data'!J:J,MATCH($D3,'Equip Data'!$A:$A,0))="",0,Main!$O22*10000)</f>
        <v>0</v>
      </c>
      <c r="K3" s="226">
        <f>IF(INDEX('Equip Data'!K:K,MATCH($D3,'Equip Data'!$A:$A,0))="",0,Main!$O22*10000)</f>
        <v>0</v>
      </c>
      <c r="L3" s="226">
        <f>IF(INDEX('Equip Data'!L:L,MATCH($D3,'Equip Data'!$A:$A,0))="",0,Main!$O22*10000)</f>
        <v>0</v>
      </c>
      <c r="M3" s="226">
        <f>IF(INDEX('Equip Data'!M:M,MATCH($D3,'Equip Data'!$A:$A,0))="",0,Main!$O22*10000)</f>
        <v>10000</v>
      </c>
      <c r="N3" s="226">
        <f>IF(INDEX('Equip Data'!N:N,MATCH($D3,'Equip Data'!$A:$A,0))="",0,Main!$O22*10000)</f>
        <v>0</v>
      </c>
      <c r="O3" s="226">
        <f>IF(INDEX('Equip Data'!O:O,MATCH($D3,'Equip Data'!$A:$A,0))="",0,Main!$O22*10000)</f>
        <v>0</v>
      </c>
      <c r="P3" s="226">
        <f>IF(INDEX('Equip Data'!P:P,MATCH($D3,'Equip Data'!$A:$A,0))="",0,Main!$O22*10000)</f>
        <v>0</v>
      </c>
      <c r="Q3" s="226">
        <f>IF(INDEX('Equip Data'!Q:Q,MATCH($D3,'Equip Data'!$A:$A,0))="",0,Main!$O22*10000)</f>
        <v>0</v>
      </c>
      <c r="R3" s="226">
        <f>IF(INDEX('Equip Data'!R:R,MATCH($D3,'Equip Data'!$A:$A,0))="",0,Main!$O22*10000)</f>
        <v>0</v>
      </c>
      <c r="S3" s="226">
        <f>IF(INDEX('Equip Data'!S:S,MATCH($D3,'Equip Data'!$A:$A,0))="",0,Main!$O22*10000)</f>
        <v>0</v>
      </c>
      <c r="T3" s="226">
        <f>IF(INDEX('Equip Data'!T:T,MATCH($D3,'Equip Data'!$A:$A,0))="",0,10000)</f>
        <v>0</v>
      </c>
      <c r="U3" s="226">
        <v>0</v>
      </c>
      <c r="V3" s="226">
        <v>1</v>
      </c>
      <c r="W3" s="226">
        <v>0</v>
      </c>
      <c r="X3" s="1"/>
      <c r="Y3" s="1"/>
      <c r="Z3" s="1"/>
      <c r="AA3" s="1"/>
      <c r="AB3" s="1"/>
      <c r="AC3" s="1"/>
      <c r="AD3" s="1"/>
      <c r="AE3" s="1"/>
      <c r="AF3" s="1"/>
      <c r="AG3" s="1"/>
    </row>
    <row r="4" spans="1:33" x14ac:dyDescent="0.3">
      <c r="A4" s="226">
        <f>IF(Main!M23="","",ROW()-1)</f>
        <v>3</v>
      </c>
      <c r="B4" s="226">
        <v>1234567</v>
      </c>
      <c r="C4" s="226">
        <f>Doll!C4</f>
        <v>20097</v>
      </c>
      <c r="D4" s="226">
        <f>INDEX('Equip Data'!$A:$A,MATCH(Main!M23,'Equip Data'!$AG:$AG,0))</f>
        <v>66</v>
      </c>
      <c r="E4" s="226">
        <f>INDEX('Exp Tables'!$R$3:$V$13,MATCH(F4,'Exp Tables'!$Q$3:$Q$13,0),MATCH(INDEX('Equip Data'!$D:$D,MATCH(Main!M23,'Equip Data'!$AG:$AG,0)),'Exp Tables'!$R$2:$V$2,0))</f>
        <v>10000</v>
      </c>
      <c r="F4" s="226">
        <f>Main!N23</f>
        <v>10</v>
      </c>
      <c r="G4" s="226">
        <f>IF(INDEX('Equip Data'!G:G,MATCH($D4,'Equip Data'!$A:$A,0))="",0,Main!$O23*10000)</f>
        <v>0</v>
      </c>
      <c r="H4" s="226">
        <f>IF(INDEX('Equip Data'!H:H,MATCH($D4,'Equip Data'!$A:$A,0))="",0,Main!$O23*10000)</f>
        <v>0</v>
      </c>
      <c r="I4" s="226">
        <f>IF(INDEX('Equip Data'!I:I,MATCH($D4,'Equip Data'!$A:$A,0))="",0,Main!$O23*10000)</f>
        <v>10000</v>
      </c>
      <c r="J4" s="226">
        <f>IF(INDEX('Equip Data'!J:J,MATCH($D4,'Equip Data'!$A:$A,0))="",0,Main!$O23*10000)</f>
        <v>0</v>
      </c>
      <c r="K4" s="226">
        <f>IF(INDEX('Equip Data'!K:K,MATCH($D4,'Equip Data'!$A:$A,0))="",0,Main!$O23*10000)</f>
        <v>0</v>
      </c>
      <c r="L4" s="226">
        <f>IF(INDEX('Equip Data'!L:L,MATCH($D4,'Equip Data'!$A:$A,0))="",0,Main!$O23*10000)</f>
        <v>0</v>
      </c>
      <c r="M4" s="226">
        <f>IF(INDEX('Equip Data'!M:M,MATCH($D4,'Equip Data'!$A:$A,0))="",0,Main!$O23*10000)</f>
        <v>10000</v>
      </c>
      <c r="N4" s="226">
        <f>IF(INDEX('Equip Data'!N:N,MATCH($D4,'Equip Data'!$A:$A,0))="",0,Main!$O23*10000)</f>
        <v>0</v>
      </c>
      <c r="O4" s="226">
        <f>IF(INDEX('Equip Data'!O:O,MATCH($D4,'Equip Data'!$A:$A,0))="",0,Main!$O23*10000)</f>
        <v>0</v>
      </c>
      <c r="P4" s="226">
        <f>IF(INDEX('Equip Data'!P:P,MATCH($D4,'Equip Data'!$A:$A,0))="",0,Main!$O23*10000)</f>
        <v>0</v>
      </c>
      <c r="Q4" s="226">
        <f>IF(INDEX('Equip Data'!Q:Q,MATCH($D4,'Equip Data'!$A:$A,0))="",0,Main!$O23*10000)</f>
        <v>0</v>
      </c>
      <c r="R4" s="226">
        <f>IF(INDEX('Equip Data'!R:R,MATCH($D4,'Equip Data'!$A:$A,0))="",0,Main!$O23*10000)</f>
        <v>0</v>
      </c>
      <c r="S4" s="226">
        <f>IF(INDEX('Equip Data'!S:S,MATCH($D4,'Equip Data'!$A:$A,0))="",0,Main!$O23*10000)</f>
        <v>0</v>
      </c>
      <c r="T4" s="226">
        <f>IF(INDEX('Equip Data'!T:T,MATCH($D4,'Equip Data'!$A:$A,0))="",0,10000)</f>
        <v>0</v>
      </c>
      <c r="U4" s="226">
        <v>0</v>
      </c>
      <c r="V4" s="226">
        <v>1</v>
      </c>
      <c r="W4" s="226">
        <v>0</v>
      </c>
      <c r="X4" s="1"/>
      <c r="Y4" s="1"/>
      <c r="Z4" s="1"/>
      <c r="AA4" s="1"/>
      <c r="AB4" s="1"/>
      <c r="AC4" s="1"/>
      <c r="AD4" s="1"/>
      <c r="AE4" s="1"/>
      <c r="AF4" s="1"/>
      <c r="AG4" s="1"/>
    </row>
    <row r="5" spans="1:33" x14ac:dyDescent="0.3">
      <c r="A5" s="226">
        <f>IF(Main!M24="","",ROW()-1)</f>
        <v>4</v>
      </c>
      <c r="B5" s="226">
        <v>1234567</v>
      </c>
      <c r="C5" s="226">
        <f>Doll!C5</f>
        <v>294</v>
      </c>
      <c r="D5" s="226">
        <f>INDEX('Equip Data'!$A:$A,MATCH(Main!M24,'Equip Data'!$AG:$AG,0))</f>
        <v>66</v>
      </c>
      <c r="E5" s="226">
        <f>INDEX('Exp Tables'!$R$3:$V$13,MATCH(F5,'Exp Tables'!$Q$3:$Q$13,0),MATCH(INDEX('Equip Data'!$D:$D,MATCH(Main!M24,'Equip Data'!$AG:$AG,0)),'Exp Tables'!$R$2:$V$2,0))</f>
        <v>10000</v>
      </c>
      <c r="F5" s="226">
        <f>Main!N24</f>
        <v>10</v>
      </c>
      <c r="G5" s="226">
        <f>IF(INDEX('Equip Data'!G:G,MATCH($D5,'Equip Data'!$A:$A,0))="",0,Main!$O24*10000)</f>
        <v>0</v>
      </c>
      <c r="H5" s="226">
        <f>IF(INDEX('Equip Data'!H:H,MATCH($D5,'Equip Data'!$A:$A,0))="",0,Main!$O24*10000)</f>
        <v>0</v>
      </c>
      <c r="I5" s="226">
        <f>IF(INDEX('Equip Data'!I:I,MATCH($D5,'Equip Data'!$A:$A,0))="",0,Main!$O24*10000)</f>
        <v>10000</v>
      </c>
      <c r="J5" s="226">
        <f>IF(INDEX('Equip Data'!J:J,MATCH($D5,'Equip Data'!$A:$A,0))="",0,Main!$O24*10000)</f>
        <v>0</v>
      </c>
      <c r="K5" s="226">
        <f>IF(INDEX('Equip Data'!K:K,MATCH($D5,'Equip Data'!$A:$A,0))="",0,Main!$O24*10000)</f>
        <v>0</v>
      </c>
      <c r="L5" s="226">
        <f>IF(INDEX('Equip Data'!L:L,MATCH($D5,'Equip Data'!$A:$A,0))="",0,Main!$O24*10000)</f>
        <v>0</v>
      </c>
      <c r="M5" s="226">
        <f>IF(INDEX('Equip Data'!M:M,MATCH($D5,'Equip Data'!$A:$A,0))="",0,Main!$O24*10000)</f>
        <v>10000</v>
      </c>
      <c r="N5" s="226">
        <f>IF(INDEX('Equip Data'!N:N,MATCH($D5,'Equip Data'!$A:$A,0))="",0,Main!$O24*10000)</f>
        <v>0</v>
      </c>
      <c r="O5" s="226">
        <f>IF(INDEX('Equip Data'!O:O,MATCH($D5,'Equip Data'!$A:$A,0))="",0,Main!$O24*10000)</f>
        <v>0</v>
      </c>
      <c r="P5" s="226">
        <f>IF(INDEX('Equip Data'!P:P,MATCH($D5,'Equip Data'!$A:$A,0))="",0,Main!$O24*10000)</f>
        <v>0</v>
      </c>
      <c r="Q5" s="226">
        <f>IF(INDEX('Equip Data'!Q:Q,MATCH($D5,'Equip Data'!$A:$A,0))="",0,Main!$O24*10000)</f>
        <v>0</v>
      </c>
      <c r="R5" s="226">
        <f>IF(INDEX('Equip Data'!R:R,MATCH($D5,'Equip Data'!$A:$A,0))="",0,Main!$O24*10000)</f>
        <v>0</v>
      </c>
      <c r="S5" s="226">
        <f>IF(INDEX('Equip Data'!S:S,MATCH($D5,'Equip Data'!$A:$A,0))="",0,Main!$O24*10000)</f>
        <v>0</v>
      </c>
      <c r="T5" s="226">
        <f>IF(INDEX('Equip Data'!T:T,MATCH($D5,'Equip Data'!$A:$A,0))="",0,10000)</f>
        <v>0</v>
      </c>
      <c r="U5" s="226">
        <v>0</v>
      </c>
      <c r="V5" s="226">
        <v>1</v>
      </c>
      <c r="W5" s="226">
        <v>0</v>
      </c>
      <c r="X5" s="1"/>
      <c r="Y5" s="1"/>
      <c r="Z5" s="1"/>
      <c r="AA5" s="1"/>
      <c r="AB5" s="1"/>
      <c r="AC5" s="1"/>
      <c r="AD5" s="1"/>
      <c r="AE5" s="1"/>
      <c r="AF5" s="1"/>
      <c r="AG5" s="1"/>
    </row>
    <row r="6" spans="1:33" x14ac:dyDescent="0.3">
      <c r="A6" s="228">
        <f>IF(Main!M25="","",ROW()-1)</f>
        <v>5</v>
      </c>
      <c r="B6" s="228">
        <v>1234567</v>
      </c>
      <c r="C6" s="228">
        <f>Doll!C6</f>
        <v>323</v>
      </c>
      <c r="D6" s="228">
        <f>INDEX('Equip Data'!$A:$A,MATCH(Main!M25,'Equip Data'!$AG:$AG,0))</f>
        <v>44</v>
      </c>
      <c r="E6" s="228">
        <f>INDEX('Exp Tables'!$R$3:$V$13,MATCH(F6,'Exp Tables'!$Q$3:$Q$13,0),MATCH(INDEX('Equip Data'!$D:$D,MATCH(Main!M25,'Equip Data'!$AG:$AG,0)),'Exp Tables'!$R$2:$V$2,0))</f>
        <v>10000</v>
      </c>
      <c r="F6" s="228">
        <f>Main!N25</f>
        <v>10</v>
      </c>
      <c r="G6" s="228">
        <f>IF(INDEX('Equip Data'!G:G,MATCH($D6,'Equip Data'!$A:$A,0))="",0,Main!$O25*10000)</f>
        <v>0</v>
      </c>
      <c r="H6" s="228">
        <f>IF(INDEX('Equip Data'!H:H,MATCH($D6,'Equip Data'!$A:$A,0))="",0,Main!$O25*10000)</f>
        <v>0</v>
      </c>
      <c r="I6" s="228">
        <f>IF(INDEX('Equip Data'!I:I,MATCH($D6,'Equip Data'!$A:$A,0))="",0,Main!$O25*10000)</f>
        <v>10000</v>
      </c>
      <c r="J6" s="228">
        <f>IF(INDEX('Equip Data'!J:J,MATCH($D6,'Equip Data'!$A:$A,0))="",0,Main!$O25*10000)</f>
        <v>0</v>
      </c>
      <c r="K6" s="228">
        <f>IF(INDEX('Equip Data'!K:K,MATCH($D6,'Equip Data'!$A:$A,0))="",0,Main!$O25*10000)</f>
        <v>0</v>
      </c>
      <c r="L6" s="228">
        <f>IF(INDEX('Equip Data'!L:L,MATCH($D6,'Equip Data'!$A:$A,0))="",0,Main!$O25*10000)</f>
        <v>0</v>
      </c>
      <c r="M6" s="228">
        <f>IF(INDEX('Equip Data'!M:M,MATCH($D6,'Equip Data'!$A:$A,0))="",0,Main!$O25*10000)</f>
        <v>0</v>
      </c>
      <c r="N6" s="228">
        <f>IF(INDEX('Equip Data'!N:N,MATCH($D6,'Equip Data'!$A:$A,0))="",0,Main!$O25*10000)</f>
        <v>0</v>
      </c>
      <c r="O6" s="228">
        <f>IF(INDEX('Equip Data'!O:O,MATCH($D6,'Equip Data'!$A:$A,0))="",0,Main!$O25*10000)</f>
        <v>10000</v>
      </c>
      <c r="P6" s="228">
        <f>IF(INDEX('Equip Data'!P:P,MATCH($D6,'Equip Data'!$A:$A,0))="",0,Main!$O25*10000)</f>
        <v>0</v>
      </c>
      <c r="Q6" s="228">
        <f>IF(INDEX('Equip Data'!Q:Q,MATCH($D6,'Equip Data'!$A:$A,0))="",0,Main!$O25*10000)</f>
        <v>0</v>
      </c>
      <c r="R6" s="228">
        <f>IF(INDEX('Equip Data'!R:R,MATCH($D6,'Equip Data'!$A:$A,0))="",0,Main!$O25*10000)</f>
        <v>0</v>
      </c>
      <c r="S6" s="228">
        <f>IF(INDEX('Equip Data'!S:S,MATCH($D6,'Equip Data'!$A:$A,0))="",0,Main!$O25*10000)</f>
        <v>0</v>
      </c>
      <c r="T6" s="228">
        <f>IF(INDEX('Equip Data'!T:T,MATCH($D6,'Equip Data'!$A:$A,0))="",0,10000)</f>
        <v>0</v>
      </c>
      <c r="U6" s="228">
        <v>0</v>
      </c>
      <c r="V6" s="228">
        <v>1</v>
      </c>
      <c r="W6" s="228">
        <v>0</v>
      </c>
      <c r="X6" s="1"/>
      <c r="Y6" s="1"/>
      <c r="Z6" s="1"/>
      <c r="AA6" s="1"/>
      <c r="AB6" s="1"/>
      <c r="AC6" s="1"/>
      <c r="AD6" s="1"/>
      <c r="AE6" s="1"/>
      <c r="AF6" s="1"/>
      <c r="AG6" s="1"/>
    </row>
    <row r="7" spans="1:33" x14ac:dyDescent="0.3">
      <c r="A7" s="226">
        <f>IF(Main!Q21="","",ROW()-1)</f>
        <v>6</v>
      </c>
      <c r="B7" s="226">
        <v>1234567</v>
      </c>
      <c r="C7" s="236">
        <f>C2</f>
        <v>20055</v>
      </c>
      <c r="D7" s="226">
        <f>INDEX('Equip Data'!$A:$A,MATCH(Main!Q21,'Equip Data'!$AG:$AG,0))</f>
        <v>32</v>
      </c>
      <c r="E7" s="226">
        <f>INDEX('Exp Tables'!$R$3:$V$13,MATCH(F7,'Exp Tables'!$Q$3:$Q$13,0),MATCH(INDEX('Equip Data'!$D:$D,MATCH(Main!Q21,'Equip Data'!$AG:$AG,0)),'Exp Tables'!$R$2:$V$2,0))</f>
        <v>10000</v>
      </c>
      <c r="F7" s="226">
        <f>Main!R21</f>
        <v>10</v>
      </c>
      <c r="G7" s="226">
        <f>IF(INDEX('Equip Data'!G:G,MATCH($D7,'Equip Data'!$A:$A,0))="",0,Main!$S21*10000)</f>
        <v>10000</v>
      </c>
      <c r="H7" s="226">
        <f>IF(INDEX('Equip Data'!H:H,MATCH($D7,'Equip Data'!$A:$A,0))="",0,Main!$S21*10000)</f>
        <v>0</v>
      </c>
      <c r="I7" s="226">
        <f>IF(INDEX('Equip Data'!I:I,MATCH($D7,'Equip Data'!$A:$A,0))="",0,Main!$S21*10000)</f>
        <v>0</v>
      </c>
      <c r="J7" s="226">
        <f>IF(INDEX('Equip Data'!J:J,MATCH($D7,'Equip Data'!$A:$A,0))="",0,Main!$S21*10000)</f>
        <v>0</v>
      </c>
      <c r="K7" s="226">
        <f>IF(INDEX('Equip Data'!K:K,MATCH($D7,'Equip Data'!$A:$A,0))="",0,Main!$S21*10000)</f>
        <v>0</v>
      </c>
      <c r="L7" s="226">
        <f>IF(INDEX('Equip Data'!L:L,MATCH($D7,'Equip Data'!$A:$A,0))="",0,Main!$S21*10000)</f>
        <v>0</v>
      </c>
      <c r="M7" s="226">
        <f>IF(INDEX('Equip Data'!M:M,MATCH($D7,'Equip Data'!$A:$A,0))="",0,Main!$S21*10000)</f>
        <v>0</v>
      </c>
      <c r="N7" s="226">
        <f>IF(INDEX('Equip Data'!N:N,MATCH($D7,'Equip Data'!$A:$A,0))="",0,Main!$S21*10000)</f>
        <v>0</v>
      </c>
      <c r="O7" s="226">
        <f>IF(INDEX('Equip Data'!O:O,MATCH($D7,'Equip Data'!$A:$A,0))="",0,Main!$S21*10000)</f>
        <v>0</v>
      </c>
      <c r="P7" s="226">
        <f>IF(INDEX('Equip Data'!P:P,MATCH($D7,'Equip Data'!$A:$A,0))="",0,Main!$S21*10000)</f>
        <v>0</v>
      </c>
      <c r="Q7" s="226">
        <f>IF(INDEX('Equip Data'!Q:Q,MATCH($D7,'Equip Data'!$A:$A,0))="",0,Main!$S21*10000)</f>
        <v>0</v>
      </c>
      <c r="R7" s="226">
        <f>IF(INDEX('Equip Data'!R:R,MATCH($D7,'Equip Data'!$A:$A,0))="",0,Main!$S21*10000)</f>
        <v>0</v>
      </c>
      <c r="S7" s="226">
        <f>IF(INDEX('Equip Data'!S:S,MATCH($D7,'Equip Data'!$A:$A,0))="",0,Main!$S21*10000)</f>
        <v>0</v>
      </c>
      <c r="T7" s="226">
        <f>IF(INDEX('Equip Data'!T:T,MATCH($D7,'Equip Data'!$A:$A,0))="",0,10000)</f>
        <v>0</v>
      </c>
      <c r="U7" s="226">
        <v>0</v>
      </c>
      <c r="V7" s="226">
        <v>1</v>
      </c>
      <c r="W7" s="226">
        <v>0</v>
      </c>
    </row>
    <row r="8" spans="1:33" x14ac:dyDescent="0.3">
      <c r="A8" s="226">
        <f>IF(Main!Q22="","",ROW()-1)</f>
        <v>7</v>
      </c>
      <c r="B8" s="226">
        <v>1234567</v>
      </c>
      <c r="C8" s="236">
        <f>C3</f>
        <v>331</v>
      </c>
      <c r="D8" s="226">
        <f>INDEX('Equip Data'!$A:$A,MATCH(Main!Q22,'Equip Data'!$AG:$AG,0))</f>
        <v>72</v>
      </c>
      <c r="E8" s="226">
        <f>INDEX('Exp Tables'!$R$3:$V$13,MATCH(F8,'Exp Tables'!$Q$3:$Q$13,0),MATCH(INDEX('Equip Data'!$D:$D,MATCH(Main!Q22,'Equip Data'!$AG:$AG,0)),'Exp Tables'!$R$2:$V$2,0))</f>
        <v>10000</v>
      </c>
      <c r="F8" s="226">
        <f>Main!R22</f>
        <v>10</v>
      </c>
      <c r="G8" s="226">
        <f>IF(INDEX('Equip Data'!G:G,MATCH($D8,'Equip Data'!$A:$A,0))="",0,Main!$S22*10000)</f>
        <v>10000</v>
      </c>
      <c r="H8" s="226">
        <f>IF(INDEX('Equip Data'!H:H,MATCH($D8,'Equip Data'!$A:$A,0))="",0,Main!$S22*10000)</f>
        <v>0</v>
      </c>
      <c r="I8" s="226">
        <f>IF(INDEX('Equip Data'!I:I,MATCH($D8,'Equip Data'!$A:$A,0))="",0,Main!$S22*10000)</f>
        <v>0</v>
      </c>
      <c r="J8" s="226">
        <f>IF(INDEX('Equip Data'!J:J,MATCH($D8,'Equip Data'!$A:$A,0))="",0,Main!$S22*10000)</f>
        <v>0</v>
      </c>
      <c r="K8" s="226">
        <f>IF(INDEX('Equip Data'!K:K,MATCH($D8,'Equip Data'!$A:$A,0))="",0,Main!$S22*10000)</f>
        <v>0</v>
      </c>
      <c r="L8" s="226">
        <f>IF(INDEX('Equip Data'!L:L,MATCH($D8,'Equip Data'!$A:$A,0))="",0,Main!$S22*10000)</f>
        <v>0</v>
      </c>
      <c r="M8" s="226">
        <f>IF(INDEX('Equip Data'!M:M,MATCH($D8,'Equip Data'!$A:$A,0))="",0,Main!$S22*10000)</f>
        <v>0</v>
      </c>
      <c r="N8" s="226">
        <f>IF(INDEX('Equip Data'!N:N,MATCH($D8,'Equip Data'!$A:$A,0))="",0,Main!$S22*10000)</f>
        <v>10000</v>
      </c>
      <c r="O8" s="226">
        <f>IF(INDEX('Equip Data'!O:O,MATCH($D8,'Equip Data'!$A:$A,0))="",0,Main!$S22*10000)</f>
        <v>0</v>
      </c>
      <c r="P8" s="226">
        <f>IF(INDEX('Equip Data'!P:P,MATCH($D8,'Equip Data'!$A:$A,0))="",0,Main!$S22*10000)</f>
        <v>0</v>
      </c>
      <c r="Q8" s="226">
        <f>IF(INDEX('Equip Data'!Q:Q,MATCH($D8,'Equip Data'!$A:$A,0))="",0,Main!$S22*10000)</f>
        <v>0</v>
      </c>
      <c r="R8" s="226">
        <f>IF(INDEX('Equip Data'!R:R,MATCH($D8,'Equip Data'!$A:$A,0))="",0,Main!$S22*10000)</f>
        <v>0</v>
      </c>
      <c r="S8" s="226">
        <f>IF(INDEX('Equip Data'!S:S,MATCH($D8,'Equip Data'!$A:$A,0))="",0,Main!$S22*10000)</f>
        <v>0</v>
      </c>
      <c r="T8" s="226">
        <f>IF(INDEX('Equip Data'!T:T,MATCH($D8,'Equip Data'!$A:$A,0))="",0,10000)</f>
        <v>0</v>
      </c>
      <c r="U8" s="226">
        <v>0</v>
      </c>
      <c r="V8" s="226">
        <v>1</v>
      </c>
      <c r="W8" s="226">
        <v>0</v>
      </c>
    </row>
    <row r="9" spans="1:33" x14ac:dyDescent="0.3">
      <c r="A9" s="226">
        <f>IF(Main!Q23="","",ROW()-1)</f>
        <v>8</v>
      </c>
      <c r="B9" s="226">
        <v>1234567</v>
      </c>
      <c r="C9" s="236">
        <f>C4</f>
        <v>20097</v>
      </c>
      <c r="D9" s="226">
        <f>INDEX('Equip Data'!$A:$A,MATCH(Main!Q23,'Equip Data'!$AG:$AG,0))</f>
        <v>72</v>
      </c>
      <c r="E9" s="226">
        <f>INDEX('Exp Tables'!$R$3:$V$13,MATCH(F9,'Exp Tables'!$Q$3:$Q$13,0),MATCH(INDEX('Equip Data'!$D:$D,MATCH(Main!Q23,'Equip Data'!$AG:$AG,0)),'Exp Tables'!$R$2:$V$2,0))</f>
        <v>10000</v>
      </c>
      <c r="F9" s="226">
        <f>Main!R23</f>
        <v>10</v>
      </c>
      <c r="G9" s="226">
        <f>IF(INDEX('Equip Data'!G:G,MATCH($D9,'Equip Data'!$A:$A,0))="",0,Main!$S23*10000)</f>
        <v>10000</v>
      </c>
      <c r="H9" s="226">
        <f>IF(INDEX('Equip Data'!H:H,MATCH($D9,'Equip Data'!$A:$A,0))="",0,Main!$S23*10000)</f>
        <v>0</v>
      </c>
      <c r="I9" s="226">
        <f>IF(INDEX('Equip Data'!I:I,MATCH($D9,'Equip Data'!$A:$A,0))="",0,Main!$S23*10000)</f>
        <v>0</v>
      </c>
      <c r="J9" s="226">
        <f>IF(INDEX('Equip Data'!J:J,MATCH($D9,'Equip Data'!$A:$A,0))="",0,Main!$S23*10000)</f>
        <v>0</v>
      </c>
      <c r="K9" s="226">
        <f>IF(INDEX('Equip Data'!K:K,MATCH($D9,'Equip Data'!$A:$A,0))="",0,Main!$S23*10000)</f>
        <v>0</v>
      </c>
      <c r="L9" s="226">
        <f>IF(INDEX('Equip Data'!L:L,MATCH($D9,'Equip Data'!$A:$A,0))="",0,Main!$S23*10000)</f>
        <v>0</v>
      </c>
      <c r="M9" s="226">
        <f>IF(INDEX('Equip Data'!M:M,MATCH($D9,'Equip Data'!$A:$A,0))="",0,Main!$S23*10000)</f>
        <v>0</v>
      </c>
      <c r="N9" s="226">
        <f>IF(INDEX('Equip Data'!N:N,MATCH($D9,'Equip Data'!$A:$A,0))="",0,Main!$S23*10000)</f>
        <v>10000</v>
      </c>
      <c r="O9" s="226">
        <f>IF(INDEX('Equip Data'!O:O,MATCH($D9,'Equip Data'!$A:$A,0))="",0,Main!$S23*10000)</f>
        <v>0</v>
      </c>
      <c r="P9" s="226">
        <f>IF(INDEX('Equip Data'!P:P,MATCH($D9,'Equip Data'!$A:$A,0))="",0,Main!$S23*10000)</f>
        <v>0</v>
      </c>
      <c r="Q9" s="226">
        <f>IF(INDEX('Equip Data'!Q:Q,MATCH($D9,'Equip Data'!$A:$A,0))="",0,Main!$S23*10000)</f>
        <v>0</v>
      </c>
      <c r="R9" s="226">
        <f>IF(INDEX('Equip Data'!R:R,MATCH($D9,'Equip Data'!$A:$A,0))="",0,Main!$S23*10000)</f>
        <v>0</v>
      </c>
      <c r="S9" s="226">
        <f>IF(INDEX('Equip Data'!S:S,MATCH($D9,'Equip Data'!$A:$A,0))="",0,Main!$S23*10000)</f>
        <v>0</v>
      </c>
      <c r="T9" s="226">
        <f>IF(INDEX('Equip Data'!T:T,MATCH($D9,'Equip Data'!$A:$A,0))="",0,10000)</f>
        <v>0</v>
      </c>
      <c r="U9" s="226">
        <v>0</v>
      </c>
      <c r="V9" s="226">
        <v>1</v>
      </c>
      <c r="W9" s="226">
        <v>0</v>
      </c>
    </row>
    <row r="10" spans="1:33" x14ac:dyDescent="0.3">
      <c r="A10" s="226">
        <f>IF(Main!Q24="","",ROW()-1)</f>
        <v>9</v>
      </c>
      <c r="B10" s="226">
        <v>1234567</v>
      </c>
      <c r="C10" s="236">
        <f>C5</f>
        <v>294</v>
      </c>
      <c r="D10" s="226">
        <f>INDEX('Equip Data'!$A:$A,MATCH(Main!Q24,'Equip Data'!$AG:$AG,0))</f>
        <v>72</v>
      </c>
      <c r="E10" s="226">
        <f>INDEX('Exp Tables'!$R$3:$V$13,MATCH(F10,'Exp Tables'!$Q$3:$Q$13,0),MATCH(INDEX('Equip Data'!$D:$D,MATCH(Main!Q24,'Equip Data'!$AG:$AG,0)),'Exp Tables'!$R$2:$V$2,0))</f>
        <v>10000</v>
      </c>
      <c r="F10" s="226">
        <f>Main!R24</f>
        <v>10</v>
      </c>
      <c r="G10" s="226">
        <f>IF(INDEX('Equip Data'!G:G,MATCH($D10,'Equip Data'!$A:$A,0))="",0,Main!$S24*10000)</f>
        <v>10000</v>
      </c>
      <c r="H10" s="226">
        <f>IF(INDEX('Equip Data'!H:H,MATCH($D10,'Equip Data'!$A:$A,0))="",0,Main!$S24*10000)</f>
        <v>0</v>
      </c>
      <c r="I10" s="226">
        <f>IF(INDEX('Equip Data'!I:I,MATCH($D10,'Equip Data'!$A:$A,0))="",0,Main!$S24*10000)</f>
        <v>0</v>
      </c>
      <c r="J10" s="226">
        <f>IF(INDEX('Equip Data'!J:J,MATCH($D10,'Equip Data'!$A:$A,0))="",0,Main!$S24*10000)</f>
        <v>0</v>
      </c>
      <c r="K10" s="226">
        <f>IF(INDEX('Equip Data'!K:K,MATCH($D10,'Equip Data'!$A:$A,0))="",0,Main!$S24*10000)</f>
        <v>0</v>
      </c>
      <c r="L10" s="226">
        <f>IF(INDEX('Equip Data'!L:L,MATCH($D10,'Equip Data'!$A:$A,0))="",0,Main!$S24*10000)</f>
        <v>0</v>
      </c>
      <c r="M10" s="226">
        <f>IF(INDEX('Equip Data'!M:M,MATCH($D10,'Equip Data'!$A:$A,0))="",0,Main!$S24*10000)</f>
        <v>0</v>
      </c>
      <c r="N10" s="226">
        <f>IF(INDEX('Equip Data'!N:N,MATCH($D10,'Equip Data'!$A:$A,0))="",0,Main!$S24*10000)</f>
        <v>10000</v>
      </c>
      <c r="O10" s="226">
        <f>IF(INDEX('Equip Data'!O:O,MATCH($D10,'Equip Data'!$A:$A,0))="",0,Main!$S24*10000)</f>
        <v>0</v>
      </c>
      <c r="P10" s="226">
        <f>IF(INDEX('Equip Data'!P:P,MATCH($D10,'Equip Data'!$A:$A,0))="",0,Main!$S24*10000)</f>
        <v>0</v>
      </c>
      <c r="Q10" s="226">
        <f>IF(INDEX('Equip Data'!Q:Q,MATCH($D10,'Equip Data'!$A:$A,0))="",0,Main!$S24*10000)</f>
        <v>0</v>
      </c>
      <c r="R10" s="226">
        <f>IF(INDEX('Equip Data'!R:R,MATCH($D10,'Equip Data'!$A:$A,0))="",0,Main!$S24*10000)</f>
        <v>0</v>
      </c>
      <c r="S10" s="226">
        <f>IF(INDEX('Equip Data'!S:S,MATCH($D10,'Equip Data'!$A:$A,0))="",0,Main!$S24*10000)</f>
        <v>0</v>
      </c>
      <c r="T10" s="226">
        <f>IF(INDEX('Equip Data'!T:T,MATCH($D10,'Equip Data'!$A:$A,0))="",0,10000)</f>
        <v>0</v>
      </c>
      <c r="U10" s="226">
        <v>0</v>
      </c>
      <c r="V10" s="226">
        <v>1</v>
      </c>
      <c r="W10" s="226">
        <v>0</v>
      </c>
    </row>
    <row r="11" spans="1:33" x14ac:dyDescent="0.3">
      <c r="A11" s="228">
        <f>IF(Main!Q25="","",ROW()-1)</f>
        <v>10</v>
      </c>
      <c r="B11" s="228">
        <v>1234567</v>
      </c>
      <c r="C11" s="237">
        <f>C6</f>
        <v>323</v>
      </c>
      <c r="D11" s="228">
        <f>INDEX('Equip Data'!$A:$A,MATCH(Main!Q25,'Equip Data'!$AG:$AG,0))</f>
        <v>235</v>
      </c>
      <c r="E11" s="228">
        <f>INDEX('Exp Tables'!$R$3:$V$13,MATCH(F11,'Exp Tables'!$Q$3:$Q$13,0),MATCH(INDEX('Equip Data'!$D:$D,MATCH(Main!Q25,'Equip Data'!$AG:$AG,0)),'Exp Tables'!$R$2:$V$2,0))</f>
        <v>10000</v>
      </c>
      <c r="F11" s="228">
        <f>Main!R25</f>
        <v>10</v>
      </c>
      <c r="G11" s="228">
        <f>IF(INDEX('Equip Data'!G:G,MATCH($D11,'Equip Data'!$A:$A,0))="",0,Main!$S25*10000)</f>
        <v>0</v>
      </c>
      <c r="H11" s="228">
        <f>IF(INDEX('Equip Data'!H:H,MATCH($D11,'Equip Data'!$A:$A,0))="",0,Main!$S25*10000)</f>
        <v>10000</v>
      </c>
      <c r="I11" s="228">
        <f>IF(INDEX('Equip Data'!I:I,MATCH($D11,'Equip Data'!$A:$A,0))="",0,Main!$S25*10000)</f>
        <v>0</v>
      </c>
      <c r="J11" s="228">
        <f>IF(INDEX('Equip Data'!J:J,MATCH($D11,'Equip Data'!$A:$A,0))="",0,Main!$S25*10000)</f>
        <v>0</v>
      </c>
      <c r="K11" s="228">
        <f>IF(INDEX('Equip Data'!K:K,MATCH($D11,'Equip Data'!$A:$A,0))="",0,Main!$S25*10000)</f>
        <v>0</v>
      </c>
      <c r="L11" s="228">
        <f>IF(INDEX('Equip Data'!L:L,MATCH($D11,'Equip Data'!$A:$A,0))="",0,Main!$S25*10000)</f>
        <v>0</v>
      </c>
      <c r="M11" s="228">
        <f>IF(INDEX('Equip Data'!M:M,MATCH($D11,'Equip Data'!$A:$A,0))="",0,Main!$S25*10000)</f>
        <v>0</v>
      </c>
      <c r="N11" s="228">
        <f>IF(INDEX('Equip Data'!N:N,MATCH($D11,'Equip Data'!$A:$A,0))="",0,Main!$S25*10000)</f>
        <v>0</v>
      </c>
      <c r="O11" s="228">
        <f>IF(INDEX('Equip Data'!O:O,MATCH($D11,'Equip Data'!$A:$A,0))="",0,Main!$S25*10000)</f>
        <v>0</v>
      </c>
      <c r="P11" s="228">
        <f>IF(INDEX('Equip Data'!P:P,MATCH($D11,'Equip Data'!$A:$A,0))="",0,Main!$S25*10000)</f>
        <v>0</v>
      </c>
      <c r="Q11" s="228">
        <f>IF(INDEX('Equip Data'!Q:Q,MATCH($D11,'Equip Data'!$A:$A,0))="",0,Main!$S25*10000)</f>
        <v>0</v>
      </c>
      <c r="R11" s="228">
        <f>IF(INDEX('Equip Data'!R:R,MATCH($D11,'Equip Data'!$A:$A,0))="",0,Main!$S25*10000)</f>
        <v>0</v>
      </c>
      <c r="S11" s="228">
        <f>IF(INDEX('Equip Data'!S:S,MATCH($D11,'Equip Data'!$A:$A,0))="",0,Main!$S25*10000)</f>
        <v>0</v>
      </c>
      <c r="T11" s="228">
        <f>IF(INDEX('Equip Data'!T:T,MATCH($D11,'Equip Data'!$A:$A,0))="",0,10000)</f>
        <v>0</v>
      </c>
      <c r="U11" s="228">
        <v>0</v>
      </c>
      <c r="V11" s="228">
        <v>1</v>
      </c>
      <c r="W11" s="228">
        <v>0</v>
      </c>
    </row>
    <row r="12" spans="1:33" x14ac:dyDescent="0.3">
      <c r="A12" s="226">
        <f>IF(Main!U21="","",ROW()-1)</f>
        <v>11</v>
      </c>
      <c r="B12" s="226">
        <v>1234567</v>
      </c>
      <c r="C12" s="236">
        <f t="shared" ref="C12:C16" si="0">C7</f>
        <v>20055</v>
      </c>
      <c r="D12" s="226">
        <f>INDEX('Equip Data'!$A:$A,MATCH(Main!U21,'Equip Data'!$AG:$AG,0))</f>
        <v>99</v>
      </c>
      <c r="E12" s="226">
        <f>INDEX('Exp Tables'!$R$3:$V$13,MATCH(F12,'Exp Tables'!$Q$3:$Q$13,0),MATCH(INDEX('Equip Data'!$D:$D,MATCH(Main!U21,'Equip Data'!$AG:$AG,0)),'Exp Tables'!$R$2:$V$2,0))</f>
        <v>10000</v>
      </c>
      <c r="F12" s="226">
        <f>Main!V21</f>
        <v>10</v>
      </c>
      <c r="G12" s="226">
        <f>IF(INDEX('Equip Data'!G:G,MATCH($D12,'Equip Data'!$A:$A,0))="",0,Main!$W21*10000)</f>
        <v>10000</v>
      </c>
      <c r="H12" s="226">
        <f>IF(INDEX('Equip Data'!H:H,MATCH($D12,'Equip Data'!$A:$A,0))="",0,Main!$W21*10000)</f>
        <v>0</v>
      </c>
      <c r="I12" s="226">
        <f>IF(INDEX('Equip Data'!I:I,MATCH($D12,'Equip Data'!$A:$A,0))="",0,Main!$W21*10000)</f>
        <v>0</v>
      </c>
      <c r="J12" s="226">
        <f>IF(INDEX('Equip Data'!J:J,MATCH($D12,'Equip Data'!$A:$A,0))="",0,Main!$W21*10000)</f>
        <v>0</v>
      </c>
      <c r="K12" s="226">
        <f>IF(INDEX('Equip Data'!K:K,MATCH($D12,'Equip Data'!$A:$A,0))="",0,Main!$W21*10000)</f>
        <v>10000</v>
      </c>
      <c r="L12" s="226">
        <f>IF(INDEX('Equip Data'!L:L,MATCH($D12,'Equip Data'!$A:$A,0))="",0,Main!$W21*10000)</f>
        <v>0</v>
      </c>
      <c r="M12" s="226">
        <f>IF(INDEX('Equip Data'!M:M,MATCH($D12,'Equip Data'!$A:$A,0))="",0,Main!$W21*10000)</f>
        <v>0</v>
      </c>
      <c r="N12" s="226">
        <f>IF(INDEX('Equip Data'!N:N,MATCH($D12,'Equip Data'!$A:$A,0))="",0,Main!$W21*10000)</f>
        <v>0</v>
      </c>
      <c r="O12" s="226">
        <f>IF(INDEX('Equip Data'!O:O,MATCH($D12,'Equip Data'!$A:$A,0))="",0,Main!$W21*10000)</f>
        <v>10000</v>
      </c>
      <c r="P12" s="226">
        <f>IF(INDEX('Equip Data'!P:P,MATCH($D12,'Equip Data'!$A:$A,0))="",0,Main!$W21*10000)</f>
        <v>0</v>
      </c>
      <c r="Q12" s="226">
        <f>IF(INDEX('Equip Data'!Q:Q,MATCH($D12,'Equip Data'!$A:$A,0))="",0,Main!$W21*10000)</f>
        <v>0</v>
      </c>
      <c r="R12" s="226">
        <f>IF(INDEX('Equip Data'!R:R,MATCH($D12,'Equip Data'!$A:$A,0))="",0,Main!$W21*10000)</f>
        <v>0</v>
      </c>
      <c r="S12" s="226">
        <f>IF(INDEX('Equip Data'!S:S,MATCH($D12,'Equip Data'!$A:$A,0))="",0,Main!$W21*10000)</f>
        <v>0</v>
      </c>
      <c r="T12" s="226">
        <f>IF(INDEX('Equip Data'!T:T,MATCH($D12,'Equip Data'!$A:$A,0))="",0,10000)</f>
        <v>0</v>
      </c>
      <c r="U12" s="226">
        <v>0</v>
      </c>
      <c r="V12" s="226">
        <v>1</v>
      </c>
      <c r="W12" s="226">
        <v>0</v>
      </c>
    </row>
    <row r="13" spans="1:33" x14ac:dyDescent="0.3">
      <c r="A13" s="226">
        <f>IF(Main!U22="","",ROW()-1)</f>
        <v>12</v>
      </c>
      <c r="B13" s="226">
        <v>1234567</v>
      </c>
      <c r="C13" s="236">
        <f t="shared" si="0"/>
        <v>331</v>
      </c>
      <c r="D13" s="226">
        <f>INDEX('Equip Data'!$A:$A,MATCH(Main!U22,'Equip Data'!$AG:$AG,0))</f>
        <v>40</v>
      </c>
      <c r="E13" s="226">
        <f>INDEX('Exp Tables'!$R$3:$V$13,MATCH(F13,'Exp Tables'!$Q$3:$Q$13,0),MATCH(INDEX('Equip Data'!$D:$D,MATCH(Main!U22,'Equip Data'!$AG:$AG,0)),'Exp Tables'!$R$2:$V$2,0))</f>
        <v>10000</v>
      </c>
      <c r="F13" s="226">
        <f>Main!V22</f>
        <v>10</v>
      </c>
      <c r="G13" s="226">
        <f>IF(INDEX('Equip Data'!G:G,MATCH($D13,'Equip Data'!$A:$A,0))="",0,Main!$W22*10000)</f>
        <v>10000</v>
      </c>
      <c r="H13" s="226">
        <f>IF(INDEX('Equip Data'!H:H,MATCH($D13,'Equip Data'!$A:$A,0))="",0,Main!$W22*10000)</f>
        <v>0</v>
      </c>
      <c r="I13" s="226">
        <f>IF(INDEX('Equip Data'!I:I,MATCH($D13,'Equip Data'!$A:$A,0))="",0,Main!$W22*10000)</f>
        <v>10000</v>
      </c>
      <c r="J13" s="226">
        <f>IF(INDEX('Equip Data'!J:J,MATCH($D13,'Equip Data'!$A:$A,0))="",0,Main!$W22*10000)</f>
        <v>0</v>
      </c>
      <c r="K13" s="226">
        <f>IF(INDEX('Equip Data'!K:K,MATCH($D13,'Equip Data'!$A:$A,0))="",0,Main!$W22*10000)</f>
        <v>0</v>
      </c>
      <c r="L13" s="226">
        <f>IF(INDEX('Equip Data'!L:L,MATCH($D13,'Equip Data'!$A:$A,0))="",0,Main!$W22*10000)</f>
        <v>0</v>
      </c>
      <c r="M13" s="226">
        <f>IF(INDEX('Equip Data'!M:M,MATCH($D13,'Equip Data'!$A:$A,0))="",0,Main!$W22*10000)</f>
        <v>0</v>
      </c>
      <c r="N13" s="226">
        <f>IF(INDEX('Equip Data'!N:N,MATCH($D13,'Equip Data'!$A:$A,0))="",0,Main!$W22*10000)</f>
        <v>0</v>
      </c>
      <c r="O13" s="226">
        <f>IF(INDEX('Equip Data'!O:O,MATCH($D13,'Equip Data'!$A:$A,0))="",0,Main!$W22*10000)</f>
        <v>0</v>
      </c>
      <c r="P13" s="226">
        <f>IF(INDEX('Equip Data'!P:P,MATCH($D13,'Equip Data'!$A:$A,0))="",0,Main!$W22*10000)</f>
        <v>0</v>
      </c>
      <c r="Q13" s="226">
        <f>IF(INDEX('Equip Data'!Q:Q,MATCH($D13,'Equip Data'!$A:$A,0))="",0,Main!$W22*10000)</f>
        <v>0</v>
      </c>
      <c r="R13" s="226">
        <f>IF(INDEX('Equip Data'!R:R,MATCH($D13,'Equip Data'!$A:$A,0))="",0,Main!$W22*10000)</f>
        <v>0</v>
      </c>
      <c r="S13" s="226">
        <f>IF(INDEX('Equip Data'!S:S,MATCH($D13,'Equip Data'!$A:$A,0))="",0,Main!$W22*10000)</f>
        <v>0</v>
      </c>
      <c r="T13" s="226">
        <f>IF(INDEX('Equip Data'!T:T,MATCH($D13,'Equip Data'!$A:$A,0))="",0,10000)</f>
        <v>0</v>
      </c>
      <c r="U13" s="226">
        <v>0</v>
      </c>
      <c r="V13" s="226">
        <v>1</v>
      </c>
      <c r="W13" s="226">
        <v>0</v>
      </c>
    </row>
    <row r="14" spans="1:33" x14ac:dyDescent="0.3">
      <c r="A14" s="226">
        <f>IF(Main!U23="","",ROW()-1)</f>
        <v>13</v>
      </c>
      <c r="B14" s="226">
        <v>1234567</v>
      </c>
      <c r="C14" s="236">
        <f t="shared" si="0"/>
        <v>20097</v>
      </c>
      <c r="D14" s="226">
        <f>INDEX('Equip Data'!$A:$A,MATCH(Main!U23,'Equip Data'!$AG:$AG,0))</f>
        <v>40</v>
      </c>
      <c r="E14" s="226">
        <f>INDEX('Exp Tables'!$R$3:$V$13,MATCH(F14,'Exp Tables'!$Q$3:$Q$13,0),MATCH(INDEX('Equip Data'!$D:$D,MATCH(Main!U23,'Equip Data'!$AG:$AG,0)),'Exp Tables'!$R$2:$V$2,0))</f>
        <v>10000</v>
      </c>
      <c r="F14" s="226">
        <f>Main!V23</f>
        <v>10</v>
      </c>
      <c r="G14" s="226">
        <f>IF(INDEX('Equip Data'!G:G,MATCH($D14,'Equip Data'!$A:$A,0))="",0,Main!$W23*10000)</f>
        <v>10000</v>
      </c>
      <c r="H14" s="226">
        <f>IF(INDEX('Equip Data'!H:H,MATCH($D14,'Equip Data'!$A:$A,0))="",0,Main!$W23*10000)</f>
        <v>0</v>
      </c>
      <c r="I14" s="226">
        <f>IF(INDEX('Equip Data'!I:I,MATCH($D14,'Equip Data'!$A:$A,0))="",0,Main!$W23*10000)</f>
        <v>10000</v>
      </c>
      <c r="J14" s="226">
        <f>IF(INDEX('Equip Data'!J:J,MATCH($D14,'Equip Data'!$A:$A,0))="",0,Main!$W23*10000)</f>
        <v>0</v>
      </c>
      <c r="K14" s="226">
        <f>IF(INDEX('Equip Data'!K:K,MATCH($D14,'Equip Data'!$A:$A,0))="",0,Main!$W23*10000)</f>
        <v>0</v>
      </c>
      <c r="L14" s="226">
        <f>IF(INDEX('Equip Data'!L:L,MATCH($D14,'Equip Data'!$A:$A,0))="",0,Main!$W23*10000)</f>
        <v>0</v>
      </c>
      <c r="M14" s="226">
        <f>IF(INDEX('Equip Data'!M:M,MATCH($D14,'Equip Data'!$A:$A,0))="",0,Main!$W23*10000)</f>
        <v>0</v>
      </c>
      <c r="N14" s="226">
        <f>IF(INDEX('Equip Data'!N:N,MATCH($D14,'Equip Data'!$A:$A,0))="",0,Main!$W23*10000)</f>
        <v>0</v>
      </c>
      <c r="O14" s="226">
        <f>IF(INDEX('Equip Data'!O:O,MATCH($D14,'Equip Data'!$A:$A,0))="",0,Main!$W23*10000)</f>
        <v>0</v>
      </c>
      <c r="P14" s="226">
        <f>IF(INDEX('Equip Data'!P:P,MATCH($D14,'Equip Data'!$A:$A,0))="",0,Main!$W23*10000)</f>
        <v>0</v>
      </c>
      <c r="Q14" s="226">
        <f>IF(INDEX('Equip Data'!Q:Q,MATCH($D14,'Equip Data'!$A:$A,0))="",0,Main!$W23*10000)</f>
        <v>0</v>
      </c>
      <c r="R14" s="226">
        <f>IF(INDEX('Equip Data'!R:R,MATCH($D14,'Equip Data'!$A:$A,0))="",0,Main!$W23*10000)</f>
        <v>0</v>
      </c>
      <c r="S14" s="226">
        <f>IF(INDEX('Equip Data'!S:S,MATCH($D14,'Equip Data'!$A:$A,0))="",0,Main!$W23*10000)</f>
        <v>0</v>
      </c>
      <c r="T14" s="226">
        <f>IF(INDEX('Equip Data'!T:T,MATCH($D14,'Equip Data'!$A:$A,0))="",0,10000)</f>
        <v>0</v>
      </c>
      <c r="U14" s="226">
        <v>0</v>
      </c>
      <c r="V14" s="226">
        <v>1</v>
      </c>
      <c r="W14" s="226">
        <v>0</v>
      </c>
    </row>
    <row r="15" spans="1:33" x14ac:dyDescent="0.3">
      <c r="A15" s="226">
        <f>IF(Main!U24="","",ROW()-1)</f>
        <v>14</v>
      </c>
      <c r="B15" s="226">
        <v>1234567</v>
      </c>
      <c r="C15" s="236">
        <f t="shared" si="0"/>
        <v>294</v>
      </c>
      <c r="D15" s="226">
        <f>INDEX('Equip Data'!$A:$A,MATCH(Main!U24,'Equip Data'!$AG:$AG,0))</f>
        <v>40</v>
      </c>
      <c r="E15" s="226">
        <f>INDEX('Exp Tables'!$R$3:$V$13,MATCH(F15,'Exp Tables'!$Q$3:$Q$13,0),MATCH(INDEX('Equip Data'!$D:$D,MATCH(Main!U24,'Equip Data'!$AG:$AG,0)),'Exp Tables'!$R$2:$V$2,0))</f>
        <v>10000</v>
      </c>
      <c r="F15" s="226">
        <f>Main!V24</f>
        <v>10</v>
      </c>
      <c r="G15" s="226">
        <f>IF(INDEX('Equip Data'!G:G,MATCH($D15,'Equip Data'!$A:$A,0))="",0,Main!$W24*10000)</f>
        <v>10000</v>
      </c>
      <c r="H15" s="226">
        <f>IF(INDEX('Equip Data'!H:H,MATCH($D15,'Equip Data'!$A:$A,0))="",0,Main!$W24*10000)</f>
        <v>0</v>
      </c>
      <c r="I15" s="226">
        <f>IF(INDEX('Equip Data'!I:I,MATCH($D15,'Equip Data'!$A:$A,0))="",0,Main!$W24*10000)</f>
        <v>10000</v>
      </c>
      <c r="J15" s="226">
        <f>IF(INDEX('Equip Data'!J:J,MATCH($D15,'Equip Data'!$A:$A,0))="",0,Main!$W24*10000)</f>
        <v>0</v>
      </c>
      <c r="K15" s="226">
        <f>IF(INDEX('Equip Data'!K:K,MATCH($D15,'Equip Data'!$A:$A,0))="",0,Main!$W24*10000)</f>
        <v>0</v>
      </c>
      <c r="L15" s="226">
        <f>IF(INDEX('Equip Data'!L:L,MATCH($D15,'Equip Data'!$A:$A,0))="",0,Main!$W24*10000)</f>
        <v>0</v>
      </c>
      <c r="M15" s="226">
        <f>IF(INDEX('Equip Data'!M:M,MATCH($D15,'Equip Data'!$A:$A,0))="",0,Main!$W24*10000)</f>
        <v>0</v>
      </c>
      <c r="N15" s="226">
        <f>IF(INDEX('Equip Data'!N:N,MATCH($D15,'Equip Data'!$A:$A,0))="",0,Main!$W24*10000)</f>
        <v>0</v>
      </c>
      <c r="O15" s="226">
        <f>IF(INDEX('Equip Data'!O:O,MATCH($D15,'Equip Data'!$A:$A,0))="",0,Main!$W24*10000)</f>
        <v>0</v>
      </c>
      <c r="P15" s="226">
        <f>IF(INDEX('Equip Data'!P:P,MATCH($D15,'Equip Data'!$A:$A,0))="",0,Main!$W24*10000)</f>
        <v>0</v>
      </c>
      <c r="Q15" s="226">
        <f>IF(INDEX('Equip Data'!Q:Q,MATCH($D15,'Equip Data'!$A:$A,0))="",0,Main!$W24*10000)</f>
        <v>0</v>
      </c>
      <c r="R15" s="226">
        <f>IF(INDEX('Equip Data'!R:R,MATCH($D15,'Equip Data'!$A:$A,0))="",0,Main!$W24*10000)</f>
        <v>0</v>
      </c>
      <c r="S15" s="226">
        <f>IF(INDEX('Equip Data'!S:S,MATCH($D15,'Equip Data'!$A:$A,0))="",0,Main!$W24*10000)</f>
        <v>0</v>
      </c>
      <c r="T15" s="226">
        <f>IF(INDEX('Equip Data'!T:T,MATCH($D15,'Equip Data'!$A:$A,0))="",0,10000)</f>
        <v>0</v>
      </c>
      <c r="U15" s="226">
        <v>0</v>
      </c>
      <c r="V15" s="226">
        <v>1</v>
      </c>
      <c r="W15" s="226">
        <v>0</v>
      </c>
    </row>
    <row r="16" spans="1:33" x14ac:dyDescent="0.3">
      <c r="A16" s="228">
        <f>IF(Main!U25="","",ROW()-1)</f>
        <v>15</v>
      </c>
      <c r="B16" s="228">
        <v>1234567</v>
      </c>
      <c r="C16" s="237">
        <f t="shared" si="0"/>
        <v>323</v>
      </c>
      <c r="D16" s="228">
        <f>INDEX('Equip Data'!$A:$A,MATCH(Main!U25,'Equip Data'!$AG:$AG,0))</f>
        <v>12</v>
      </c>
      <c r="E16" s="228">
        <f>INDEX('Exp Tables'!$R$3:$V$13,MATCH(F16,'Exp Tables'!$Q$3:$Q$13,0),MATCH(INDEX('Equip Data'!$D:$D,MATCH(Main!U25,'Equip Data'!$AG:$AG,0)),'Exp Tables'!$R$2:$V$2,0))</f>
        <v>10000</v>
      </c>
      <c r="F16" s="228">
        <f>Main!V25</f>
        <v>10</v>
      </c>
      <c r="G16" s="228">
        <f>IF(INDEX('Equip Data'!G:G,MATCH($D16,'Equip Data'!$A:$A,0))="",0,Main!$W25*10000)</f>
        <v>0</v>
      </c>
      <c r="H16" s="228">
        <f>IF(INDEX('Equip Data'!H:H,MATCH($D16,'Equip Data'!$A:$A,0))="",0,Main!$W25*10000)</f>
        <v>10000</v>
      </c>
      <c r="I16" s="228">
        <f>IF(INDEX('Equip Data'!I:I,MATCH($D16,'Equip Data'!$A:$A,0))="",0,Main!$W25*10000)</f>
        <v>0</v>
      </c>
      <c r="J16" s="228">
        <f>IF(INDEX('Equip Data'!J:J,MATCH($D16,'Equip Data'!$A:$A,0))="",0,Main!$W25*10000)</f>
        <v>0</v>
      </c>
      <c r="K16" s="228">
        <f>IF(INDEX('Equip Data'!K:K,MATCH($D16,'Equip Data'!$A:$A,0))="",0,Main!$W25*10000)</f>
        <v>10000</v>
      </c>
      <c r="L16" s="228">
        <f>IF(INDEX('Equip Data'!L:L,MATCH($D16,'Equip Data'!$A:$A,0))="",0,Main!$W25*10000)</f>
        <v>0</v>
      </c>
      <c r="M16" s="228">
        <f>IF(INDEX('Equip Data'!M:M,MATCH($D16,'Equip Data'!$A:$A,0))="",0,Main!$W25*10000)</f>
        <v>0</v>
      </c>
      <c r="N16" s="228">
        <f>IF(INDEX('Equip Data'!N:N,MATCH($D16,'Equip Data'!$A:$A,0))="",0,Main!$W25*10000)</f>
        <v>0</v>
      </c>
      <c r="O16" s="228">
        <f>IF(INDEX('Equip Data'!O:O,MATCH($D16,'Equip Data'!$A:$A,0))="",0,Main!$W25*10000)</f>
        <v>0</v>
      </c>
      <c r="P16" s="228">
        <f>IF(INDEX('Equip Data'!P:P,MATCH($D16,'Equip Data'!$A:$A,0))="",0,Main!$W25*10000)</f>
        <v>0</v>
      </c>
      <c r="Q16" s="228">
        <f>IF(INDEX('Equip Data'!Q:Q,MATCH($D16,'Equip Data'!$A:$A,0))="",0,Main!$W25*10000)</f>
        <v>0</v>
      </c>
      <c r="R16" s="228">
        <f>IF(INDEX('Equip Data'!R:R,MATCH($D16,'Equip Data'!$A:$A,0))="",0,Main!$W25*10000)</f>
        <v>0</v>
      </c>
      <c r="S16" s="228">
        <f>IF(INDEX('Equip Data'!S:S,MATCH($D16,'Equip Data'!$A:$A,0))="",0,Main!$W25*10000)</f>
        <v>0</v>
      </c>
      <c r="T16" s="228">
        <f>IF(INDEX('Equip Data'!T:T,MATCH($D16,'Equip Data'!$A:$A,0))="",0,10000)</f>
        <v>0</v>
      </c>
      <c r="U16" s="228">
        <v>0</v>
      </c>
      <c r="V16" s="228">
        <v>1</v>
      </c>
      <c r="W16" s="228">
        <v>0</v>
      </c>
    </row>
    <row r="17" spans="1:23" x14ac:dyDescent="0.3">
      <c r="A17" s="232" t="str">
        <f>IF(Main!M35="","",ROW()-1)</f>
        <v/>
      </c>
      <c r="B17" s="232">
        <v>1234567</v>
      </c>
      <c r="C17" s="232" t="e">
        <f>Doll!C7</f>
        <v>#N/A</v>
      </c>
      <c r="D17" s="232" t="e">
        <f>INDEX('Equip Data'!$A:$A,MATCH(Main!M35,'Equip Data'!$AG:$AG,0))</f>
        <v>#N/A</v>
      </c>
      <c r="E17" s="232" t="e">
        <f>INDEX('Exp Tables'!$R$3:$V$13,MATCH(F17,'Exp Tables'!$Q$3:$Q$13,0),MATCH(INDEX('Equip Data'!$D:$D,MATCH(Main!M35,'Equip Data'!$AG:$AG,0)),'Exp Tables'!$R$2:$V$2,0))</f>
        <v>#N/A</v>
      </c>
      <c r="F17" s="232">
        <f>Main!N35</f>
        <v>0</v>
      </c>
      <c r="G17" s="232" t="e">
        <f>IF(INDEX('Equip Data'!G:G,MATCH($D17,'Equip Data'!$A:$A,0))="",0,Main!$O35*10000)</f>
        <v>#N/A</v>
      </c>
      <c r="H17" s="232" t="e">
        <f>IF(INDEX('Equip Data'!H:H,MATCH($D17,'Equip Data'!$A:$A,0))="",0,Main!$O35*10000)</f>
        <v>#N/A</v>
      </c>
      <c r="I17" s="232" t="e">
        <f>IF(INDEX('Equip Data'!I:I,MATCH($D17,'Equip Data'!$A:$A,0))="",0,Main!$O35*10000)</f>
        <v>#N/A</v>
      </c>
      <c r="J17" s="232" t="e">
        <f>IF(INDEX('Equip Data'!J:J,MATCH($D17,'Equip Data'!$A:$A,0))="",0,Main!$O35*10000)</f>
        <v>#N/A</v>
      </c>
      <c r="K17" s="232" t="e">
        <f>IF(INDEX('Equip Data'!K:K,MATCH($D17,'Equip Data'!$A:$A,0))="",0,Main!$O35*10000)</f>
        <v>#N/A</v>
      </c>
      <c r="L17" s="232" t="e">
        <f>IF(INDEX('Equip Data'!L:L,MATCH($D17,'Equip Data'!$A:$A,0))="",0,Main!$O35*10000)</f>
        <v>#N/A</v>
      </c>
      <c r="M17" s="232" t="e">
        <f>IF(INDEX('Equip Data'!M:M,MATCH($D17,'Equip Data'!$A:$A,0))="",0,Main!$O35*10000)</f>
        <v>#N/A</v>
      </c>
      <c r="N17" s="232" t="e">
        <f>IF(INDEX('Equip Data'!N:N,MATCH($D17,'Equip Data'!$A:$A,0))="",0,Main!$O35*10000)</f>
        <v>#N/A</v>
      </c>
      <c r="O17" s="232" t="e">
        <f>IF(INDEX('Equip Data'!O:O,MATCH($D17,'Equip Data'!$A:$A,0))="",0,Main!$O35*10000)</f>
        <v>#N/A</v>
      </c>
      <c r="P17" s="232" t="e">
        <f>IF(INDEX('Equip Data'!P:P,MATCH($D17,'Equip Data'!$A:$A,0))="",0,Main!$O35*10000)</f>
        <v>#N/A</v>
      </c>
      <c r="Q17" s="232" t="e">
        <f>IF(INDEX('Equip Data'!Q:Q,MATCH($D17,'Equip Data'!$A:$A,0))="",0,Main!$O35*10000)</f>
        <v>#N/A</v>
      </c>
      <c r="R17" s="232" t="e">
        <f>IF(INDEX('Equip Data'!R:R,MATCH($D17,'Equip Data'!$A:$A,0))="",0,Main!$O35*10000)</f>
        <v>#N/A</v>
      </c>
      <c r="S17" s="232" t="e">
        <f>IF(INDEX('Equip Data'!S:S,MATCH($D17,'Equip Data'!$A:$A,0))="",0,Main!$O35*10000)</f>
        <v>#N/A</v>
      </c>
      <c r="T17" s="232" t="e">
        <f>IF(INDEX('Equip Data'!T:T,MATCH($D17,'Equip Data'!$A:$A,0))="",0,10000)</f>
        <v>#N/A</v>
      </c>
      <c r="U17" s="232">
        <v>0</v>
      </c>
      <c r="V17" s="232">
        <v>1</v>
      </c>
      <c r="W17" s="232">
        <v>0</v>
      </c>
    </row>
    <row r="18" spans="1:23" x14ac:dyDescent="0.3">
      <c r="A18" s="230" t="str">
        <f>IF(Main!M36="","",ROW()-1)</f>
        <v/>
      </c>
      <c r="B18" s="230">
        <v>1234567</v>
      </c>
      <c r="C18" s="233" t="e">
        <f>Doll!C8</f>
        <v>#N/A</v>
      </c>
      <c r="D18" s="230" t="e">
        <f>INDEX('Equip Data'!$A:$A,MATCH(Main!M36,'Equip Data'!$AG:$AG,0))</f>
        <v>#N/A</v>
      </c>
      <c r="E18" s="230" t="e">
        <f>INDEX('Exp Tables'!$R$3:$V$13,MATCH(F18,'Exp Tables'!$Q$3:$Q$13,0),MATCH(INDEX('Equip Data'!$D:$D,MATCH(Main!M36,'Equip Data'!$AG:$AG,0)),'Exp Tables'!$R$2:$V$2,0))</f>
        <v>#N/A</v>
      </c>
      <c r="F18" s="230">
        <f>Main!N36</f>
        <v>0</v>
      </c>
      <c r="G18" s="230" t="e">
        <f>IF(INDEX('Equip Data'!G:G,MATCH($D18,'Equip Data'!$A:$A,0))="",0,Main!$O36*10000)</f>
        <v>#N/A</v>
      </c>
      <c r="H18" s="230" t="e">
        <f>IF(INDEX('Equip Data'!H:H,MATCH($D18,'Equip Data'!$A:$A,0))="",0,Main!$O36*10000)</f>
        <v>#N/A</v>
      </c>
      <c r="I18" s="230" t="e">
        <f>IF(INDEX('Equip Data'!I:I,MATCH($D18,'Equip Data'!$A:$A,0))="",0,Main!$O36*10000)</f>
        <v>#N/A</v>
      </c>
      <c r="J18" s="230" t="e">
        <f>IF(INDEX('Equip Data'!J:J,MATCH($D18,'Equip Data'!$A:$A,0))="",0,Main!$O36*10000)</f>
        <v>#N/A</v>
      </c>
      <c r="K18" s="230" t="e">
        <f>IF(INDEX('Equip Data'!K:K,MATCH($D18,'Equip Data'!$A:$A,0))="",0,Main!$O36*10000)</f>
        <v>#N/A</v>
      </c>
      <c r="L18" s="230" t="e">
        <f>IF(INDEX('Equip Data'!L:L,MATCH($D18,'Equip Data'!$A:$A,0))="",0,Main!$O36*10000)</f>
        <v>#N/A</v>
      </c>
      <c r="M18" s="230" t="e">
        <f>IF(INDEX('Equip Data'!M:M,MATCH($D18,'Equip Data'!$A:$A,0))="",0,Main!$O36*10000)</f>
        <v>#N/A</v>
      </c>
      <c r="N18" s="230" t="e">
        <f>IF(INDEX('Equip Data'!N:N,MATCH($D18,'Equip Data'!$A:$A,0))="",0,Main!$O36*10000)</f>
        <v>#N/A</v>
      </c>
      <c r="O18" s="230" t="e">
        <f>IF(INDEX('Equip Data'!O:O,MATCH($D18,'Equip Data'!$A:$A,0))="",0,Main!$O36*10000)</f>
        <v>#N/A</v>
      </c>
      <c r="P18" s="230" t="e">
        <f>IF(INDEX('Equip Data'!P:P,MATCH($D18,'Equip Data'!$A:$A,0))="",0,Main!$O36*10000)</f>
        <v>#N/A</v>
      </c>
      <c r="Q18" s="230" t="e">
        <f>IF(INDEX('Equip Data'!Q:Q,MATCH($D18,'Equip Data'!$A:$A,0))="",0,Main!$O36*10000)</f>
        <v>#N/A</v>
      </c>
      <c r="R18" s="230" t="e">
        <f>IF(INDEX('Equip Data'!R:R,MATCH($D18,'Equip Data'!$A:$A,0))="",0,Main!$O36*10000)</f>
        <v>#N/A</v>
      </c>
      <c r="S18" s="230" t="e">
        <f>IF(INDEX('Equip Data'!S:S,MATCH($D18,'Equip Data'!$A:$A,0))="",0,Main!$O36*10000)</f>
        <v>#N/A</v>
      </c>
      <c r="T18" s="230" t="e">
        <f>IF(INDEX('Equip Data'!T:T,MATCH($D18,'Equip Data'!$A:$A,0))="",0,10000)</f>
        <v>#N/A</v>
      </c>
      <c r="U18" s="230">
        <v>0</v>
      </c>
      <c r="V18" s="230">
        <v>1</v>
      </c>
      <c r="W18" s="230">
        <v>0</v>
      </c>
    </row>
    <row r="19" spans="1:23" x14ac:dyDescent="0.3">
      <c r="A19" s="230" t="str">
        <f>IF(Main!M37="","",ROW()-1)</f>
        <v/>
      </c>
      <c r="B19" s="230">
        <v>1234567</v>
      </c>
      <c r="C19" s="233" t="e">
        <f>Doll!C9</f>
        <v>#N/A</v>
      </c>
      <c r="D19" s="230" t="e">
        <f>INDEX('Equip Data'!$A:$A,MATCH(Main!M37,'Equip Data'!$AG:$AG,0))</f>
        <v>#N/A</v>
      </c>
      <c r="E19" s="230" t="e">
        <f>INDEX('Exp Tables'!$R$3:$V$13,MATCH(F19,'Exp Tables'!$Q$3:$Q$13,0),MATCH(INDEX('Equip Data'!$D:$D,MATCH(Main!M37,'Equip Data'!$AG:$AG,0)),'Exp Tables'!$R$2:$V$2,0))</f>
        <v>#N/A</v>
      </c>
      <c r="F19" s="230">
        <f>Main!N37</f>
        <v>0</v>
      </c>
      <c r="G19" s="230" t="e">
        <f>IF(INDEX('Equip Data'!G:G,MATCH($D19,'Equip Data'!$A:$A,0))="",0,Main!$O37*10000)</f>
        <v>#N/A</v>
      </c>
      <c r="H19" s="230" t="e">
        <f>IF(INDEX('Equip Data'!H:H,MATCH($D19,'Equip Data'!$A:$A,0))="",0,Main!$O37*10000)</f>
        <v>#N/A</v>
      </c>
      <c r="I19" s="230" t="e">
        <f>IF(INDEX('Equip Data'!I:I,MATCH($D19,'Equip Data'!$A:$A,0))="",0,Main!$O37*10000)</f>
        <v>#N/A</v>
      </c>
      <c r="J19" s="230" t="e">
        <f>IF(INDEX('Equip Data'!J:J,MATCH($D19,'Equip Data'!$A:$A,0))="",0,Main!$O37*10000)</f>
        <v>#N/A</v>
      </c>
      <c r="K19" s="230" t="e">
        <f>IF(INDEX('Equip Data'!K:K,MATCH($D19,'Equip Data'!$A:$A,0))="",0,Main!$O37*10000)</f>
        <v>#N/A</v>
      </c>
      <c r="L19" s="230" t="e">
        <f>IF(INDEX('Equip Data'!L:L,MATCH($D19,'Equip Data'!$A:$A,0))="",0,Main!$O37*10000)</f>
        <v>#N/A</v>
      </c>
      <c r="M19" s="230" t="e">
        <f>IF(INDEX('Equip Data'!M:M,MATCH($D19,'Equip Data'!$A:$A,0))="",0,Main!$O37*10000)</f>
        <v>#N/A</v>
      </c>
      <c r="N19" s="230" t="e">
        <f>IF(INDEX('Equip Data'!N:N,MATCH($D19,'Equip Data'!$A:$A,0))="",0,Main!$O37*10000)</f>
        <v>#N/A</v>
      </c>
      <c r="O19" s="230" t="e">
        <f>IF(INDEX('Equip Data'!O:O,MATCH($D19,'Equip Data'!$A:$A,0))="",0,Main!$O37*10000)</f>
        <v>#N/A</v>
      </c>
      <c r="P19" s="230" t="e">
        <f>IF(INDEX('Equip Data'!P:P,MATCH($D19,'Equip Data'!$A:$A,0))="",0,Main!$O37*10000)</f>
        <v>#N/A</v>
      </c>
      <c r="Q19" s="230" t="e">
        <f>IF(INDEX('Equip Data'!Q:Q,MATCH($D19,'Equip Data'!$A:$A,0))="",0,Main!$O37*10000)</f>
        <v>#N/A</v>
      </c>
      <c r="R19" s="230" t="e">
        <f>IF(INDEX('Equip Data'!R:R,MATCH($D19,'Equip Data'!$A:$A,0))="",0,Main!$O37*10000)</f>
        <v>#N/A</v>
      </c>
      <c r="S19" s="230" t="e">
        <f>IF(INDEX('Equip Data'!S:S,MATCH($D19,'Equip Data'!$A:$A,0))="",0,Main!$O37*10000)</f>
        <v>#N/A</v>
      </c>
      <c r="T19" s="230" t="e">
        <f>IF(INDEX('Equip Data'!T:T,MATCH($D19,'Equip Data'!$A:$A,0))="",0,10000)</f>
        <v>#N/A</v>
      </c>
      <c r="U19" s="230">
        <v>0</v>
      </c>
      <c r="V19" s="230">
        <v>1</v>
      </c>
      <c r="W19" s="230">
        <v>0</v>
      </c>
    </row>
    <row r="20" spans="1:23" x14ac:dyDescent="0.3">
      <c r="A20" s="230" t="str">
        <f>IF(Main!M38="","",ROW()-1)</f>
        <v/>
      </c>
      <c r="B20" s="230">
        <v>1234567</v>
      </c>
      <c r="C20" s="233" t="e">
        <f>Doll!C10</f>
        <v>#N/A</v>
      </c>
      <c r="D20" s="230" t="e">
        <f>INDEX('Equip Data'!$A:$A,MATCH(Main!M38,'Equip Data'!$AG:$AG,0))</f>
        <v>#N/A</v>
      </c>
      <c r="E20" s="230" t="e">
        <f>INDEX('Exp Tables'!$R$3:$V$13,MATCH(F20,'Exp Tables'!$Q$3:$Q$13,0),MATCH(INDEX('Equip Data'!$D:$D,MATCH(Main!M38,'Equip Data'!$AG:$AG,0)),'Exp Tables'!$R$2:$V$2,0))</f>
        <v>#N/A</v>
      </c>
      <c r="F20" s="230">
        <f>Main!N38</f>
        <v>0</v>
      </c>
      <c r="G20" s="230" t="e">
        <f>IF(INDEX('Equip Data'!G:G,MATCH($D20,'Equip Data'!$A:$A,0))="",0,Main!$O38*10000)</f>
        <v>#N/A</v>
      </c>
      <c r="H20" s="230" t="e">
        <f>IF(INDEX('Equip Data'!H:H,MATCH($D20,'Equip Data'!$A:$A,0))="",0,Main!$O38*10000)</f>
        <v>#N/A</v>
      </c>
      <c r="I20" s="230" t="e">
        <f>IF(INDEX('Equip Data'!I:I,MATCH($D20,'Equip Data'!$A:$A,0))="",0,Main!$O38*10000)</f>
        <v>#N/A</v>
      </c>
      <c r="J20" s="230" t="e">
        <f>IF(INDEX('Equip Data'!J:J,MATCH($D20,'Equip Data'!$A:$A,0))="",0,Main!$O38*10000)</f>
        <v>#N/A</v>
      </c>
      <c r="K20" s="230" t="e">
        <f>IF(INDEX('Equip Data'!K:K,MATCH($D20,'Equip Data'!$A:$A,0))="",0,Main!$O38*10000)</f>
        <v>#N/A</v>
      </c>
      <c r="L20" s="230" t="e">
        <f>IF(INDEX('Equip Data'!L:L,MATCH($D20,'Equip Data'!$A:$A,0))="",0,Main!$O38*10000)</f>
        <v>#N/A</v>
      </c>
      <c r="M20" s="230" t="e">
        <f>IF(INDEX('Equip Data'!M:M,MATCH($D20,'Equip Data'!$A:$A,0))="",0,Main!$O38*10000)</f>
        <v>#N/A</v>
      </c>
      <c r="N20" s="230" t="e">
        <f>IF(INDEX('Equip Data'!N:N,MATCH($D20,'Equip Data'!$A:$A,0))="",0,Main!$O38*10000)</f>
        <v>#N/A</v>
      </c>
      <c r="O20" s="230" t="e">
        <f>IF(INDEX('Equip Data'!O:O,MATCH($D20,'Equip Data'!$A:$A,0))="",0,Main!$O38*10000)</f>
        <v>#N/A</v>
      </c>
      <c r="P20" s="230" t="e">
        <f>IF(INDEX('Equip Data'!P:P,MATCH($D20,'Equip Data'!$A:$A,0))="",0,Main!$O38*10000)</f>
        <v>#N/A</v>
      </c>
      <c r="Q20" s="230" t="e">
        <f>IF(INDEX('Equip Data'!Q:Q,MATCH($D20,'Equip Data'!$A:$A,0))="",0,Main!$O38*10000)</f>
        <v>#N/A</v>
      </c>
      <c r="R20" s="230" t="e">
        <f>IF(INDEX('Equip Data'!R:R,MATCH($D20,'Equip Data'!$A:$A,0))="",0,Main!$O38*10000)</f>
        <v>#N/A</v>
      </c>
      <c r="S20" s="230" t="e">
        <f>IF(INDEX('Equip Data'!S:S,MATCH($D20,'Equip Data'!$A:$A,0))="",0,Main!$O38*10000)</f>
        <v>#N/A</v>
      </c>
      <c r="T20" s="230" t="e">
        <f>IF(INDEX('Equip Data'!T:T,MATCH($D20,'Equip Data'!$A:$A,0))="",0,10000)</f>
        <v>#N/A</v>
      </c>
      <c r="U20" s="230">
        <v>0</v>
      </c>
      <c r="V20" s="230">
        <v>1</v>
      </c>
      <c r="W20" s="230">
        <v>0</v>
      </c>
    </row>
    <row r="21" spans="1:23" x14ac:dyDescent="0.3">
      <c r="A21" s="230" t="str">
        <f>IF(Main!M39="","",ROW()-1)</f>
        <v/>
      </c>
      <c r="B21" s="230">
        <v>1234567</v>
      </c>
      <c r="C21" s="233" t="e">
        <f>Doll!C11</f>
        <v>#N/A</v>
      </c>
      <c r="D21" s="230" t="e">
        <f>INDEX('Equip Data'!$A:$A,MATCH(Main!M39,'Equip Data'!$AG:$AG,0))</f>
        <v>#N/A</v>
      </c>
      <c r="E21" s="230" t="e">
        <f>INDEX('Exp Tables'!$R$3:$V$13,MATCH(F21,'Exp Tables'!$Q$3:$Q$13,0),MATCH(INDEX('Equip Data'!$D:$D,MATCH(Main!M39,'Equip Data'!$AG:$AG,0)),'Exp Tables'!$R$2:$V$2,0))</f>
        <v>#N/A</v>
      </c>
      <c r="F21" s="230">
        <f>Main!N39</f>
        <v>0</v>
      </c>
      <c r="G21" s="230" t="e">
        <f>IF(INDEX('Equip Data'!G:G,MATCH($D21,'Equip Data'!$A:$A,0))="",0,Main!$O39*10000)</f>
        <v>#N/A</v>
      </c>
      <c r="H21" s="230" t="e">
        <f>IF(INDEX('Equip Data'!H:H,MATCH($D21,'Equip Data'!$A:$A,0))="",0,Main!$O39*10000)</f>
        <v>#N/A</v>
      </c>
      <c r="I21" s="230" t="e">
        <f>IF(INDEX('Equip Data'!I:I,MATCH($D21,'Equip Data'!$A:$A,0))="",0,Main!$O39*10000)</f>
        <v>#N/A</v>
      </c>
      <c r="J21" s="230" t="e">
        <f>IF(INDEX('Equip Data'!J:J,MATCH($D21,'Equip Data'!$A:$A,0))="",0,Main!$O39*10000)</f>
        <v>#N/A</v>
      </c>
      <c r="K21" s="230" t="e">
        <f>IF(INDEX('Equip Data'!K:K,MATCH($D21,'Equip Data'!$A:$A,0))="",0,Main!$O39*10000)</f>
        <v>#N/A</v>
      </c>
      <c r="L21" s="230" t="e">
        <f>IF(INDEX('Equip Data'!L:L,MATCH($D21,'Equip Data'!$A:$A,0))="",0,Main!$O39*10000)</f>
        <v>#N/A</v>
      </c>
      <c r="M21" s="230" t="e">
        <f>IF(INDEX('Equip Data'!M:M,MATCH($D21,'Equip Data'!$A:$A,0))="",0,Main!$O39*10000)</f>
        <v>#N/A</v>
      </c>
      <c r="N21" s="230" t="e">
        <f>IF(INDEX('Equip Data'!N:N,MATCH($D21,'Equip Data'!$A:$A,0))="",0,Main!$O39*10000)</f>
        <v>#N/A</v>
      </c>
      <c r="O21" s="230" t="e">
        <f>IF(INDEX('Equip Data'!O:O,MATCH($D21,'Equip Data'!$A:$A,0))="",0,Main!$O39*10000)</f>
        <v>#N/A</v>
      </c>
      <c r="P21" s="230" t="e">
        <f>IF(INDEX('Equip Data'!P:P,MATCH($D21,'Equip Data'!$A:$A,0))="",0,Main!$O39*10000)</f>
        <v>#N/A</v>
      </c>
      <c r="Q21" s="230" t="e">
        <f>IF(INDEX('Equip Data'!Q:Q,MATCH($D21,'Equip Data'!$A:$A,0))="",0,Main!$O39*10000)</f>
        <v>#N/A</v>
      </c>
      <c r="R21" s="230" t="e">
        <f>IF(INDEX('Equip Data'!R:R,MATCH($D21,'Equip Data'!$A:$A,0))="",0,Main!$O39*10000)</f>
        <v>#N/A</v>
      </c>
      <c r="S21" s="230" t="e">
        <f>IF(INDEX('Equip Data'!S:S,MATCH($D21,'Equip Data'!$A:$A,0))="",0,Main!$O39*10000)</f>
        <v>#N/A</v>
      </c>
      <c r="T21" s="230" t="e">
        <f>IF(INDEX('Equip Data'!T:T,MATCH($D21,'Equip Data'!$A:$A,0))="",0,10000)</f>
        <v>#N/A</v>
      </c>
      <c r="U21" s="230">
        <v>0</v>
      </c>
      <c r="V21" s="230">
        <v>1</v>
      </c>
      <c r="W21" s="230">
        <v>0</v>
      </c>
    </row>
    <row r="22" spans="1:23" x14ac:dyDescent="0.3">
      <c r="A22" s="230" t="str">
        <f>IF(Main!M40="","",ROW()-1)</f>
        <v/>
      </c>
      <c r="B22" s="230">
        <v>1234567</v>
      </c>
      <c r="C22" s="233" t="e">
        <f>Doll!C12</f>
        <v>#N/A</v>
      </c>
      <c r="D22" s="230" t="e">
        <f>INDEX('Equip Data'!$A:$A,MATCH(Main!M40,'Equip Data'!$AG:$AG,0))</f>
        <v>#N/A</v>
      </c>
      <c r="E22" s="230" t="e">
        <f>INDEX('Exp Tables'!$R$3:$V$13,MATCH(F22,'Exp Tables'!$Q$3:$Q$13,0),MATCH(INDEX('Equip Data'!$D:$D,MATCH(Main!M40,'Equip Data'!$AG:$AG,0)),'Exp Tables'!$R$2:$V$2,0))</f>
        <v>#N/A</v>
      </c>
      <c r="F22" s="230">
        <f>Main!N40</f>
        <v>0</v>
      </c>
      <c r="G22" s="230" t="e">
        <f>IF(INDEX('Equip Data'!G:G,MATCH($D22,'Equip Data'!$A:$A,0))="",0,Main!$O40*10000)</f>
        <v>#N/A</v>
      </c>
      <c r="H22" s="230" t="e">
        <f>IF(INDEX('Equip Data'!H:H,MATCH($D22,'Equip Data'!$A:$A,0))="",0,Main!$O40*10000)</f>
        <v>#N/A</v>
      </c>
      <c r="I22" s="230" t="e">
        <f>IF(INDEX('Equip Data'!I:I,MATCH($D22,'Equip Data'!$A:$A,0))="",0,Main!$O40*10000)</f>
        <v>#N/A</v>
      </c>
      <c r="J22" s="230" t="e">
        <f>IF(INDEX('Equip Data'!J:J,MATCH($D22,'Equip Data'!$A:$A,0))="",0,Main!$O40*10000)</f>
        <v>#N/A</v>
      </c>
      <c r="K22" s="230" t="e">
        <f>IF(INDEX('Equip Data'!K:K,MATCH($D22,'Equip Data'!$A:$A,0))="",0,Main!$O40*10000)</f>
        <v>#N/A</v>
      </c>
      <c r="L22" s="230" t="e">
        <f>IF(INDEX('Equip Data'!L:L,MATCH($D22,'Equip Data'!$A:$A,0))="",0,Main!$O40*10000)</f>
        <v>#N/A</v>
      </c>
      <c r="M22" s="230" t="e">
        <f>IF(INDEX('Equip Data'!M:M,MATCH($D22,'Equip Data'!$A:$A,0))="",0,Main!$O40*10000)</f>
        <v>#N/A</v>
      </c>
      <c r="N22" s="230" t="e">
        <f>IF(INDEX('Equip Data'!N:N,MATCH($D22,'Equip Data'!$A:$A,0))="",0,Main!$O40*10000)</f>
        <v>#N/A</v>
      </c>
      <c r="O22" s="230" t="e">
        <f>IF(INDEX('Equip Data'!O:O,MATCH($D22,'Equip Data'!$A:$A,0))="",0,Main!$O40*10000)</f>
        <v>#N/A</v>
      </c>
      <c r="P22" s="230" t="e">
        <f>IF(INDEX('Equip Data'!P:P,MATCH($D22,'Equip Data'!$A:$A,0))="",0,Main!$O40*10000)</f>
        <v>#N/A</v>
      </c>
      <c r="Q22" s="230" t="e">
        <f>IF(INDEX('Equip Data'!Q:Q,MATCH($D22,'Equip Data'!$A:$A,0))="",0,Main!$O40*10000)</f>
        <v>#N/A</v>
      </c>
      <c r="R22" s="230" t="e">
        <f>IF(INDEX('Equip Data'!R:R,MATCH($D22,'Equip Data'!$A:$A,0))="",0,Main!$O40*10000)</f>
        <v>#N/A</v>
      </c>
      <c r="S22" s="230" t="e">
        <f>IF(INDEX('Equip Data'!S:S,MATCH($D22,'Equip Data'!$A:$A,0))="",0,Main!$O40*10000)</f>
        <v>#N/A</v>
      </c>
      <c r="T22" s="230" t="e">
        <f>IF(INDEX('Equip Data'!T:T,MATCH($D22,'Equip Data'!$A:$A,0))="",0,10000)</f>
        <v>#N/A</v>
      </c>
      <c r="U22" s="230">
        <v>0</v>
      </c>
      <c r="V22" s="230">
        <v>1</v>
      </c>
      <c r="W22" s="230">
        <v>0</v>
      </c>
    </row>
    <row r="23" spans="1:23" x14ac:dyDescent="0.3">
      <c r="A23" s="230" t="str">
        <f>IF(Main!M41="","",ROW()-1)</f>
        <v/>
      </c>
      <c r="B23" s="230">
        <v>1234567</v>
      </c>
      <c r="C23" s="233" t="e">
        <f>Doll!C13</f>
        <v>#N/A</v>
      </c>
      <c r="D23" s="230" t="e">
        <f>INDEX('Equip Data'!$A:$A,MATCH(Main!M41,'Equip Data'!$AG:$AG,0))</f>
        <v>#N/A</v>
      </c>
      <c r="E23" s="230" t="e">
        <f>INDEX('Exp Tables'!$R$3:$V$13,MATCH(F23,'Exp Tables'!$Q$3:$Q$13,0),MATCH(INDEX('Equip Data'!$D:$D,MATCH(Main!M41,'Equip Data'!$AG:$AG,0)),'Exp Tables'!$R$2:$V$2,0))</f>
        <v>#N/A</v>
      </c>
      <c r="F23" s="230">
        <f>Main!N41</f>
        <v>0</v>
      </c>
      <c r="G23" s="230" t="e">
        <f>IF(INDEX('Equip Data'!G:G,MATCH($D23,'Equip Data'!$A:$A,0))="",0,Main!$O41*10000)</f>
        <v>#N/A</v>
      </c>
      <c r="H23" s="230" t="e">
        <f>IF(INDEX('Equip Data'!H:H,MATCH($D23,'Equip Data'!$A:$A,0))="",0,Main!$O41*10000)</f>
        <v>#N/A</v>
      </c>
      <c r="I23" s="230" t="e">
        <f>IF(INDEX('Equip Data'!I:I,MATCH($D23,'Equip Data'!$A:$A,0))="",0,Main!$O41*10000)</f>
        <v>#N/A</v>
      </c>
      <c r="J23" s="230" t="e">
        <f>IF(INDEX('Equip Data'!J:J,MATCH($D23,'Equip Data'!$A:$A,0))="",0,Main!$O41*10000)</f>
        <v>#N/A</v>
      </c>
      <c r="K23" s="230" t="e">
        <f>IF(INDEX('Equip Data'!K:K,MATCH($D23,'Equip Data'!$A:$A,0))="",0,Main!$O41*10000)</f>
        <v>#N/A</v>
      </c>
      <c r="L23" s="230" t="e">
        <f>IF(INDEX('Equip Data'!L:L,MATCH($D23,'Equip Data'!$A:$A,0))="",0,Main!$O41*10000)</f>
        <v>#N/A</v>
      </c>
      <c r="M23" s="230" t="e">
        <f>IF(INDEX('Equip Data'!M:M,MATCH($D23,'Equip Data'!$A:$A,0))="",0,Main!$O41*10000)</f>
        <v>#N/A</v>
      </c>
      <c r="N23" s="230" t="e">
        <f>IF(INDEX('Equip Data'!N:N,MATCH($D23,'Equip Data'!$A:$A,0))="",0,Main!$O41*10000)</f>
        <v>#N/A</v>
      </c>
      <c r="O23" s="230" t="e">
        <f>IF(INDEX('Equip Data'!O:O,MATCH($D23,'Equip Data'!$A:$A,0))="",0,Main!$O41*10000)</f>
        <v>#N/A</v>
      </c>
      <c r="P23" s="230" t="e">
        <f>IF(INDEX('Equip Data'!P:P,MATCH($D23,'Equip Data'!$A:$A,0))="",0,Main!$O41*10000)</f>
        <v>#N/A</v>
      </c>
      <c r="Q23" s="230" t="e">
        <f>IF(INDEX('Equip Data'!Q:Q,MATCH($D23,'Equip Data'!$A:$A,0))="",0,Main!$O41*10000)</f>
        <v>#N/A</v>
      </c>
      <c r="R23" s="230" t="e">
        <f>IF(INDEX('Equip Data'!R:R,MATCH($D23,'Equip Data'!$A:$A,0))="",0,Main!$O41*10000)</f>
        <v>#N/A</v>
      </c>
      <c r="S23" s="230" t="e">
        <f>IF(INDEX('Equip Data'!S:S,MATCH($D23,'Equip Data'!$A:$A,0))="",0,Main!$O41*10000)</f>
        <v>#N/A</v>
      </c>
      <c r="T23" s="230" t="e">
        <f>IF(INDEX('Equip Data'!T:T,MATCH($D23,'Equip Data'!$A:$A,0))="",0,10000)</f>
        <v>#N/A</v>
      </c>
      <c r="U23" s="230">
        <v>0</v>
      </c>
      <c r="V23" s="230">
        <v>1</v>
      </c>
      <c r="W23" s="230">
        <v>0</v>
      </c>
    </row>
    <row r="24" spans="1:23" x14ac:dyDescent="0.3">
      <c r="A24" s="230" t="str">
        <f>IF(Main!M42="","",ROW()-1)</f>
        <v/>
      </c>
      <c r="B24" s="230">
        <v>1234567</v>
      </c>
      <c r="C24" s="233" t="e">
        <f>Doll!C14</f>
        <v>#N/A</v>
      </c>
      <c r="D24" s="230" t="e">
        <f>INDEX('Equip Data'!$A:$A,MATCH(Main!M42,'Equip Data'!$AG:$AG,0))</f>
        <v>#N/A</v>
      </c>
      <c r="E24" s="230" t="e">
        <f>INDEX('Exp Tables'!$R$3:$V$13,MATCH(F24,'Exp Tables'!$Q$3:$Q$13,0),MATCH(INDEX('Equip Data'!$D:$D,MATCH(Main!M42,'Equip Data'!$AG:$AG,0)),'Exp Tables'!$R$2:$V$2,0))</f>
        <v>#N/A</v>
      </c>
      <c r="F24" s="230">
        <f>Main!N42</f>
        <v>0</v>
      </c>
      <c r="G24" s="230" t="e">
        <f>IF(INDEX('Equip Data'!G:G,MATCH($D24,'Equip Data'!$A:$A,0))="",0,Main!$O42*10000)</f>
        <v>#N/A</v>
      </c>
      <c r="H24" s="230" t="e">
        <f>IF(INDEX('Equip Data'!H:H,MATCH($D24,'Equip Data'!$A:$A,0))="",0,Main!$O42*10000)</f>
        <v>#N/A</v>
      </c>
      <c r="I24" s="230" t="e">
        <f>IF(INDEX('Equip Data'!I:I,MATCH($D24,'Equip Data'!$A:$A,0))="",0,Main!$O42*10000)</f>
        <v>#N/A</v>
      </c>
      <c r="J24" s="230" t="e">
        <f>IF(INDEX('Equip Data'!J:J,MATCH($D24,'Equip Data'!$A:$A,0))="",0,Main!$O42*10000)</f>
        <v>#N/A</v>
      </c>
      <c r="K24" s="230" t="e">
        <f>IF(INDEX('Equip Data'!K:K,MATCH($D24,'Equip Data'!$A:$A,0))="",0,Main!$O42*10000)</f>
        <v>#N/A</v>
      </c>
      <c r="L24" s="230" t="e">
        <f>IF(INDEX('Equip Data'!L:L,MATCH($D24,'Equip Data'!$A:$A,0))="",0,Main!$O42*10000)</f>
        <v>#N/A</v>
      </c>
      <c r="M24" s="230" t="e">
        <f>IF(INDEX('Equip Data'!M:M,MATCH($D24,'Equip Data'!$A:$A,0))="",0,Main!$O42*10000)</f>
        <v>#N/A</v>
      </c>
      <c r="N24" s="230" t="e">
        <f>IF(INDEX('Equip Data'!N:N,MATCH($D24,'Equip Data'!$A:$A,0))="",0,Main!$O42*10000)</f>
        <v>#N/A</v>
      </c>
      <c r="O24" s="230" t="e">
        <f>IF(INDEX('Equip Data'!O:O,MATCH($D24,'Equip Data'!$A:$A,0))="",0,Main!$O42*10000)</f>
        <v>#N/A</v>
      </c>
      <c r="P24" s="230" t="e">
        <f>IF(INDEX('Equip Data'!P:P,MATCH($D24,'Equip Data'!$A:$A,0))="",0,Main!$O42*10000)</f>
        <v>#N/A</v>
      </c>
      <c r="Q24" s="230" t="e">
        <f>IF(INDEX('Equip Data'!Q:Q,MATCH($D24,'Equip Data'!$A:$A,0))="",0,Main!$O42*10000)</f>
        <v>#N/A</v>
      </c>
      <c r="R24" s="230" t="e">
        <f>IF(INDEX('Equip Data'!R:R,MATCH($D24,'Equip Data'!$A:$A,0))="",0,Main!$O42*10000)</f>
        <v>#N/A</v>
      </c>
      <c r="S24" s="230" t="e">
        <f>IF(INDEX('Equip Data'!S:S,MATCH($D24,'Equip Data'!$A:$A,0))="",0,Main!$O42*10000)</f>
        <v>#N/A</v>
      </c>
      <c r="T24" s="230" t="e">
        <f>IF(INDEX('Equip Data'!T:T,MATCH($D24,'Equip Data'!$A:$A,0))="",0,10000)</f>
        <v>#N/A</v>
      </c>
      <c r="U24" s="230">
        <v>0</v>
      </c>
      <c r="V24" s="230">
        <v>1</v>
      </c>
      <c r="W24" s="230">
        <v>0</v>
      </c>
    </row>
    <row r="25" spans="1:23" x14ac:dyDescent="0.3">
      <c r="A25" s="230" t="str">
        <f>IF(Main!M43="","",ROW()-1)</f>
        <v/>
      </c>
      <c r="B25" s="230">
        <v>1234567</v>
      </c>
      <c r="C25" s="233" t="e">
        <f>Doll!C15</f>
        <v>#N/A</v>
      </c>
      <c r="D25" s="230" t="e">
        <f>INDEX('Equip Data'!$A:$A,MATCH(Main!M43,'Equip Data'!$AG:$AG,0))</f>
        <v>#N/A</v>
      </c>
      <c r="E25" s="230" t="e">
        <f>INDEX('Exp Tables'!$R$3:$V$13,MATCH(F25,'Exp Tables'!$Q$3:$Q$13,0),MATCH(INDEX('Equip Data'!$D:$D,MATCH(Main!M43,'Equip Data'!$AG:$AG,0)),'Exp Tables'!$R$2:$V$2,0))</f>
        <v>#N/A</v>
      </c>
      <c r="F25" s="230">
        <f>Main!N43</f>
        <v>0</v>
      </c>
      <c r="G25" s="230" t="e">
        <f>IF(INDEX('Equip Data'!G:G,MATCH($D25,'Equip Data'!$A:$A,0))="",0,Main!$O43*10000)</f>
        <v>#N/A</v>
      </c>
      <c r="H25" s="230" t="e">
        <f>IF(INDEX('Equip Data'!H:H,MATCH($D25,'Equip Data'!$A:$A,0))="",0,Main!$O43*10000)</f>
        <v>#N/A</v>
      </c>
      <c r="I25" s="230" t="e">
        <f>IF(INDEX('Equip Data'!I:I,MATCH($D25,'Equip Data'!$A:$A,0))="",0,Main!$O43*10000)</f>
        <v>#N/A</v>
      </c>
      <c r="J25" s="230" t="e">
        <f>IF(INDEX('Equip Data'!J:J,MATCH($D25,'Equip Data'!$A:$A,0))="",0,Main!$O43*10000)</f>
        <v>#N/A</v>
      </c>
      <c r="K25" s="230" t="e">
        <f>IF(INDEX('Equip Data'!K:K,MATCH($D25,'Equip Data'!$A:$A,0))="",0,Main!$O43*10000)</f>
        <v>#N/A</v>
      </c>
      <c r="L25" s="230" t="e">
        <f>IF(INDEX('Equip Data'!L:L,MATCH($D25,'Equip Data'!$A:$A,0))="",0,Main!$O43*10000)</f>
        <v>#N/A</v>
      </c>
      <c r="M25" s="230" t="e">
        <f>IF(INDEX('Equip Data'!M:M,MATCH($D25,'Equip Data'!$A:$A,0))="",0,Main!$O43*10000)</f>
        <v>#N/A</v>
      </c>
      <c r="N25" s="230" t="e">
        <f>IF(INDEX('Equip Data'!N:N,MATCH($D25,'Equip Data'!$A:$A,0))="",0,Main!$O43*10000)</f>
        <v>#N/A</v>
      </c>
      <c r="O25" s="230" t="e">
        <f>IF(INDEX('Equip Data'!O:O,MATCH($D25,'Equip Data'!$A:$A,0))="",0,Main!$O43*10000)</f>
        <v>#N/A</v>
      </c>
      <c r="P25" s="230" t="e">
        <f>IF(INDEX('Equip Data'!P:P,MATCH($D25,'Equip Data'!$A:$A,0))="",0,Main!$O43*10000)</f>
        <v>#N/A</v>
      </c>
      <c r="Q25" s="230" t="e">
        <f>IF(INDEX('Equip Data'!Q:Q,MATCH($D25,'Equip Data'!$A:$A,0))="",0,Main!$O43*10000)</f>
        <v>#N/A</v>
      </c>
      <c r="R25" s="230" t="e">
        <f>IF(INDEX('Equip Data'!R:R,MATCH($D25,'Equip Data'!$A:$A,0))="",0,Main!$O43*10000)</f>
        <v>#N/A</v>
      </c>
      <c r="S25" s="230" t="e">
        <f>IF(INDEX('Equip Data'!S:S,MATCH($D25,'Equip Data'!$A:$A,0))="",0,Main!$O43*10000)</f>
        <v>#N/A</v>
      </c>
      <c r="T25" s="230" t="e">
        <f>IF(INDEX('Equip Data'!T:T,MATCH($D25,'Equip Data'!$A:$A,0))="",0,10000)</f>
        <v>#N/A</v>
      </c>
      <c r="U25" s="230">
        <v>0</v>
      </c>
      <c r="V25" s="230">
        <v>1</v>
      </c>
      <c r="W25" s="230">
        <v>0</v>
      </c>
    </row>
    <row r="26" spans="1:23" x14ac:dyDescent="0.3">
      <c r="A26" s="230" t="str">
        <f>IF(Main!M44="","",ROW()-1)</f>
        <v/>
      </c>
      <c r="B26" s="230">
        <v>1234567</v>
      </c>
      <c r="C26" s="233" t="e">
        <f>Doll!C16</f>
        <v>#N/A</v>
      </c>
      <c r="D26" s="230" t="e">
        <f>INDEX('Equip Data'!$A:$A,MATCH(Main!M44,'Equip Data'!$AG:$AG,0))</f>
        <v>#N/A</v>
      </c>
      <c r="E26" s="230" t="e">
        <f>INDEX('Exp Tables'!$R$3:$V$13,MATCH(F26,'Exp Tables'!$Q$3:$Q$13,0),MATCH(INDEX('Equip Data'!$D:$D,MATCH(Main!M44,'Equip Data'!$AG:$AG,0)),'Exp Tables'!$R$2:$V$2,0))</f>
        <v>#N/A</v>
      </c>
      <c r="F26" s="230">
        <f>Main!N44</f>
        <v>0</v>
      </c>
      <c r="G26" s="230" t="e">
        <f>IF(INDEX('Equip Data'!G:G,MATCH($D26,'Equip Data'!$A:$A,0))="",0,Main!$O44*10000)</f>
        <v>#N/A</v>
      </c>
      <c r="H26" s="230" t="e">
        <f>IF(INDEX('Equip Data'!H:H,MATCH($D26,'Equip Data'!$A:$A,0))="",0,Main!$O44*10000)</f>
        <v>#N/A</v>
      </c>
      <c r="I26" s="230" t="e">
        <f>IF(INDEX('Equip Data'!I:I,MATCH($D26,'Equip Data'!$A:$A,0))="",0,Main!$O44*10000)</f>
        <v>#N/A</v>
      </c>
      <c r="J26" s="230" t="e">
        <f>IF(INDEX('Equip Data'!J:J,MATCH($D26,'Equip Data'!$A:$A,0))="",0,Main!$O44*10000)</f>
        <v>#N/A</v>
      </c>
      <c r="K26" s="230" t="e">
        <f>IF(INDEX('Equip Data'!K:K,MATCH($D26,'Equip Data'!$A:$A,0))="",0,Main!$O44*10000)</f>
        <v>#N/A</v>
      </c>
      <c r="L26" s="230" t="e">
        <f>IF(INDEX('Equip Data'!L:L,MATCH($D26,'Equip Data'!$A:$A,0))="",0,Main!$O44*10000)</f>
        <v>#N/A</v>
      </c>
      <c r="M26" s="230" t="e">
        <f>IF(INDEX('Equip Data'!M:M,MATCH($D26,'Equip Data'!$A:$A,0))="",0,Main!$O44*10000)</f>
        <v>#N/A</v>
      </c>
      <c r="N26" s="230" t="e">
        <f>IF(INDEX('Equip Data'!N:N,MATCH($D26,'Equip Data'!$A:$A,0))="",0,Main!$O44*10000)</f>
        <v>#N/A</v>
      </c>
      <c r="O26" s="230" t="e">
        <f>IF(INDEX('Equip Data'!O:O,MATCH($D26,'Equip Data'!$A:$A,0))="",0,Main!$O44*10000)</f>
        <v>#N/A</v>
      </c>
      <c r="P26" s="230" t="e">
        <f>IF(INDEX('Equip Data'!P:P,MATCH($D26,'Equip Data'!$A:$A,0))="",0,Main!$O44*10000)</f>
        <v>#N/A</v>
      </c>
      <c r="Q26" s="230" t="e">
        <f>IF(INDEX('Equip Data'!Q:Q,MATCH($D26,'Equip Data'!$A:$A,0))="",0,Main!$O44*10000)</f>
        <v>#N/A</v>
      </c>
      <c r="R26" s="230" t="e">
        <f>IF(INDEX('Equip Data'!R:R,MATCH($D26,'Equip Data'!$A:$A,0))="",0,Main!$O44*10000)</f>
        <v>#N/A</v>
      </c>
      <c r="S26" s="230" t="e">
        <f>IF(INDEX('Equip Data'!S:S,MATCH($D26,'Equip Data'!$A:$A,0))="",0,Main!$O44*10000)</f>
        <v>#N/A</v>
      </c>
      <c r="T26" s="230" t="e">
        <f>IF(INDEX('Equip Data'!T:T,MATCH($D26,'Equip Data'!$A:$A,0))="",0,10000)</f>
        <v>#N/A</v>
      </c>
      <c r="U26" s="230">
        <v>0</v>
      </c>
      <c r="V26" s="230">
        <v>1</v>
      </c>
      <c r="W26" s="230">
        <v>0</v>
      </c>
    </row>
    <row r="27" spans="1:23" x14ac:dyDescent="0.3">
      <c r="A27" s="230" t="str">
        <f>IF(Main!M45="","",ROW()-1)</f>
        <v/>
      </c>
      <c r="B27" s="230">
        <v>1234567</v>
      </c>
      <c r="C27" s="233" t="e">
        <f>Doll!C17</f>
        <v>#N/A</v>
      </c>
      <c r="D27" s="230" t="e">
        <f>INDEX('Equip Data'!$A:$A,MATCH(Main!M45,'Equip Data'!$AG:$AG,0))</f>
        <v>#N/A</v>
      </c>
      <c r="E27" s="230" t="e">
        <f>INDEX('Exp Tables'!$R$3:$V$13,MATCH(F27,'Exp Tables'!$Q$3:$Q$13,0),MATCH(INDEX('Equip Data'!$D:$D,MATCH(Main!M45,'Equip Data'!$AG:$AG,0)),'Exp Tables'!$R$2:$V$2,0))</f>
        <v>#N/A</v>
      </c>
      <c r="F27" s="230">
        <f>Main!N45</f>
        <v>0</v>
      </c>
      <c r="G27" s="230" t="e">
        <f>IF(INDEX('Equip Data'!G:G,MATCH($D27,'Equip Data'!$A:$A,0))="",0,Main!$O45*10000)</f>
        <v>#N/A</v>
      </c>
      <c r="H27" s="230" t="e">
        <f>IF(INDEX('Equip Data'!H:H,MATCH($D27,'Equip Data'!$A:$A,0))="",0,Main!$O45*10000)</f>
        <v>#N/A</v>
      </c>
      <c r="I27" s="230" t="e">
        <f>IF(INDEX('Equip Data'!I:I,MATCH($D27,'Equip Data'!$A:$A,0))="",0,Main!$O45*10000)</f>
        <v>#N/A</v>
      </c>
      <c r="J27" s="230" t="e">
        <f>IF(INDEX('Equip Data'!J:J,MATCH($D27,'Equip Data'!$A:$A,0))="",0,Main!$O45*10000)</f>
        <v>#N/A</v>
      </c>
      <c r="K27" s="230" t="e">
        <f>IF(INDEX('Equip Data'!K:K,MATCH($D27,'Equip Data'!$A:$A,0))="",0,Main!$O45*10000)</f>
        <v>#N/A</v>
      </c>
      <c r="L27" s="230" t="e">
        <f>IF(INDEX('Equip Data'!L:L,MATCH($D27,'Equip Data'!$A:$A,0))="",0,Main!$O45*10000)</f>
        <v>#N/A</v>
      </c>
      <c r="M27" s="230" t="e">
        <f>IF(INDEX('Equip Data'!M:M,MATCH($D27,'Equip Data'!$A:$A,0))="",0,Main!$O45*10000)</f>
        <v>#N/A</v>
      </c>
      <c r="N27" s="230" t="e">
        <f>IF(INDEX('Equip Data'!N:N,MATCH($D27,'Equip Data'!$A:$A,0))="",0,Main!$O45*10000)</f>
        <v>#N/A</v>
      </c>
      <c r="O27" s="230" t="e">
        <f>IF(INDEX('Equip Data'!O:O,MATCH($D27,'Equip Data'!$A:$A,0))="",0,Main!$O45*10000)</f>
        <v>#N/A</v>
      </c>
      <c r="P27" s="230" t="e">
        <f>IF(INDEX('Equip Data'!P:P,MATCH($D27,'Equip Data'!$A:$A,0))="",0,Main!$O45*10000)</f>
        <v>#N/A</v>
      </c>
      <c r="Q27" s="230" t="e">
        <f>IF(INDEX('Equip Data'!Q:Q,MATCH($D27,'Equip Data'!$A:$A,0))="",0,Main!$O45*10000)</f>
        <v>#N/A</v>
      </c>
      <c r="R27" s="230" t="e">
        <f>IF(INDEX('Equip Data'!R:R,MATCH($D27,'Equip Data'!$A:$A,0))="",0,Main!$O45*10000)</f>
        <v>#N/A</v>
      </c>
      <c r="S27" s="230" t="e">
        <f>IF(INDEX('Equip Data'!S:S,MATCH($D27,'Equip Data'!$A:$A,0))="",0,Main!$O45*10000)</f>
        <v>#N/A</v>
      </c>
      <c r="T27" s="230" t="e">
        <f>IF(INDEX('Equip Data'!T:T,MATCH($D27,'Equip Data'!$A:$A,0))="",0,10000)</f>
        <v>#N/A</v>
      </c>
      <c r="U27" s="230">
        <v>0</v>
      </c>
      <c r="V27" s="230">
        <v>1</v>
      </c>
      <c r="W27" s="230">
        <v>0</v>
      </c>
    </row>
    <row r="28" spans="1:23" x14ac:dyDescent="0.3">
      <c r="A28" s="230" t="str">
        <f>IF(Main!M46="","",ROW()-1)</f>
        <v/>
      </c>
      <c r="B28" s="230">
        <v>1234567</v>
      </c>
      <c r="C28" s="233" t="e">
        <f>Doll!C18</f>
        <v>#N/A</v>
      </c>
      <c r="D28" s="230" t="e">
        <f>INDEX('Equip Data'!$A:$A,MATCH(Main!M46,'Equip Data'!$AG:$AG,0))</f>
        <v>#N/A</v>
      </c>
      <c r="E28" s="230" t="e">
        <f>INDEX('Exp Tables'!$R$3:$V$13,MATCH(F28,'Exp Tables'!$Q$3:$Q$13,0),MATCH(INDEX('Equip Data'!$D:$D,MATCH(Main!M46,'Equip Data'!$AG:$AG,0)),'Exp Tables'!$R$2:$V$2,0))</f>
        <v>#N/A</v>
      </c>
      <c r="F28" s="230">
        <f>Main!N46</f>
        <v>0</v>
      </c>
      <c r="G28" s="230" t="e">
        <f>IF(INDEX('Equip Data'!G:G,MATCH($D28,'Equip Data'!$A:$A,0))="",0,Main!$O46*10000)</f>
        <v>#N/A</v>
      </c>
      <c r="H28" s="230" t="e">
        <f>IF(INDEX('Equip Data'!H:H,MATCH($D28,'Equip Data'!$A:$A,0))="",0,Main!$O46*10000)</f>
        <v>#N/A</v>
      </c>
      <c r="I28" s="230" t="e">
        <f>IF(INDEX('Equip Data'!I:I,MATCH($D28,'Equip Data'!$A:$A,0))="",0,Main!$O46*10000)</f>
        <v>#N/A</v>
      </c>
      <c r="J28" s="230" t="e">
        <f>IF(INDEX('Equip Data'!J:J,MATCH($D28,'Equip Data'!$A:$A,0))="",0,Main!$O46*10000)</f>
        <v>#N/A</v>
      </c>
      <c r="K28" s="230" t="e">
        <f>IF(INDEX('Equip Data'!K:K,MATCH($D28,'Equip Data'!$A:$A,0))="",0,Main!$O46*10000)</f>
        <v>#N/A</v>
      </c>
      <c r="L28" s="230" t="e">
        <f>IF(INDEX('Equip Data'!L:L,MATCH($D28,'Equip Data'!$A:$A,0))="",0,Main!$O46*10000)</f>
        <v>#N/A</v>
      </c>
      <c r="M28" s="230" t="e">
        <f>IF(INDEX('Equip Data'!M:M,MATCH($D28,'Equip Data'!$A:$A,0))="",0,Main!$O46*10000)</f>
        <v>#N/A</v>
      </c>
      <c r="N28" s="230" t="e">
        <f>IF(INDEX('Equip Data'!N:N,MATCH($D28,'Equip Data'!$A:$A,0))="",0,Main!$O46*10000)</f>
        <v>#N/A</v>
      </c>
      <c r="O28" s="230" t="e">
        <f>IF(INDEX('Equip Data'!O:O,MATCH($D28,'Equip Data'!$A:$A,0))="",0,Main!$O46*10000)</f>
        <v>#N/A</v>
      </c>
      <c r="P28" s="230" t="e">
        <f>IF(INDEX('Equip Data'!P:P,MATCH($D28,'Equip Data'!$A:$A,0))="",0,Main!$O46*10000)</f>
        <v>#N/A</v>
      </c>
      <c r="Q28" s="230" t="e">
        <f>IF(INDEX('Equip Data'!Q:Q,MATCH($D28,'Equip Data'!$A:$A,0))="",0,Main!$O46*10000)</f>
        <v>#N/A</v>
      </c>
      <c r="R28" s="230" t="e">
        <f>IF(INDEX('Equip Data'!R:R,MATCH($D28,'Equip Data'!$A:$A,0))="",0,Main!$O46*10000)</f>
        <v>#N/A</v>
      </c>
      <c r="S28" s="230" t="e">
        <f>IF(INDEX('Equip Data'!S:S,MATCH($D28,'Equip Data'!$A:$A,0))="",0,Main!$O46*10000)</f>
        <v>#N/A</v>
      </c>
      <c r="T28" s="230" t="e">
        <f>IF(INDEX('Equip Data'!T:T,MATCH($D28,'Equip Data'!$A:$A,0))="",0,10000)</f>
        <v>#N/A</v>
      </c>
      <c r="U28" s="230">
        <v>0</v>
      </c>
      <c r="V28" s="230">
        <v>1</v>
      </c>
      <c r="W28" s="230">
        <v>0</v>
      </c>
    </row>
    <row r="29" spans="1:23" x14ac:dyDescent="0.3">
      <c r="A29" s="230" t="str">
        <f>IF(Main!M47="","",ROW()-1)</f>
        <v/>
      </c>
      <c r="B29" s="230">
        <v>1234567</v>
      </c>
      <c r="C29" s="233" t="e">
        <f>Doll!C19</f>
        <v>#N/A</v>
      </c>
      <c r="D29" s="230" t="e">
        <f>INDEX('Equip Data'!$A:$A,MATCH(Main!M47,'Equip Data'!$AG:$AG,0))</f>
        <v>#N/A</v>
      </c>
      <c r="E29" s="230" t="e">
        <f>INDEX('Exp Tables'!$R$3:$V$13,MATCH(F29,'Exp Tables'!$Q$3:$Q$13,0),MATCH(INDEX('Equip Data'!$D:$D,MATCH(Main!M47,'Equip Data'!$AG:$AG,0)),'Exp Tables'!$R$2:$V$2,0))</f>
        <v>#N/A</v>
      </c>
      <c r="F29" s="230">
        <f>Main!N47</f>
        <v>0</v>
      </c>
      <c r="G29" s="230" t="e">
        <f>IF(INDEX('Equip Data'!G:G,MATCH($D29,'Equip Data'!$A:$A,0))="",0,Main!$O47*10000)</f>
        <v>#N/A</v>
      </c>
      <c r="H29" s="230" t="e">
        <f>IF(INDEX('Equip Data'!H:H,MATCH($D29,'Equip Data'!$A:$A,0))="",0,Main!$O47*10000)</f>
        <v>#N/A</v>
      </c>
      <c r="I29" s="230" t="e">
        <f>IF(INDEX('Equip Data'!I:I,MATCH($D29,'Equip Data'!$A:$A,0))="",0,Main!$O47*10000)</f>
        <v>#N/A</v>
      </c>
      <c r="J29" s="230" t="e">
        <f>IF(INDEX('Equip Data'!J:J,MATCH($D29,'Equip Data'!$A:$A,0))="",0,Main!$O47*10000)</f>
        <v>#N/A</v>
      </c>
      <c r="K29" s="230" t="e">
        <f>IF(INDEX('Equip Data'!K:K,MATCH($D29,'Equip Data'!$A:$A,0))="",0,Main!$O47*10000)</f>
        <v>#N/A</v>
      </c>
      <c r="L29" s="230" t="e">
        <f>IF(INDEX('Equip Data'!L:L,MATCH($D29,'Equip Data'!$A:$A,0))="",0,Main!$O47*10000)</f>
        <v>#N/A</v>
      </c>
      <c r="M29" s="230" t="e">
        <f>IF(INDEX('Equip Data'!M:M,MATCH($D29,'Equip Data'!$A:$A,0))="",0,Main!$O47*10000)</f>
        <v>#N/A</v>
      </c>
      <c r="N29" s="230" t="e">
        <f>IF(INDEX('Equip Data'!N:N,MATCH($D29,'Equip Data'!$A:$A,0))="",0,Main!$O47*10000)</f>
        <v>#N/A</v>
      </c>
      <c r="O29" s="230" t="e">
        <f>IF(INDEX('Equip Data'!O:O,MATCH($D29,'Equip Data'!$A:$A,0))="",0,Main!$O47*10000)</f>
        <v>#N/A</v>
      </c>
      <c r="P29" s="230" t="e">
        <f>IF(INDEX('Equip Data'!P:P,MATCH($D29,'Equip Data'!$A:$A,0))="",0,Main!$O47*10000)</f>
        <v>#N/A</v>
      </c>
      <c r="Q29" s="230" t="e">
        <f>IF(INDEX('Equip Data'!Q:Q,MATCH($D29,'Equip Data'!$A:$A,0))="",0,Main!$O47*10000)</f>
        <v>#N/A</v>
      </c>
      <c r="R29" s="230" t="e">
        <f>IF(INDEX('Equip Data'!R:R,MATCH($D29,'Equip Data'!$A:$A,0))="",0,Main!$O47*10000)</f>
        <v>#N/A</v>
      </c>
      <c r="S29" s="230" t="e">
        <f>IF(INDEX('Equip Data'!S:S,MATCH($D29,'Equip Data'!$A:$A,0))="",0,Main!$O47*10000)</f>
        <v>#N/A</v>
      </c>
      <c r="T29" s="230" t="e">
        <f>IF(INDEX('Equip Data'!T:T,MATCH($D29,'Equip Data'!$A:$A,0))="",0,10000)</f>
        <v>#N/A</v>
      </c>
      <c r="U29" s="230">
        <v>0</v>
      </c>
      <c r="V29" s="230">
        <v>1</v>
      </c>
      <c r="W29" s="230">
        <v>0</v>
      </c>
    </row>
    <row r="30" spans="1:23" x14ac:dyDescent="0.3">
      <c r="A30" s="230" t="str">
        <f>IF(Main!M48="","",ROW()-1)</f>
        <v/>
      </c>
      <c r="B30" s="230">
        <v>1234567</v>
      </c>
      <c r="C30" s="233" t="e">
        <f>Doll!C20</f>
        <v>#N/A</v>
      </c>
      <c r="D30" s="230" t="e">
        <f>INDEX('Equip Data'!$A:$A,MATCH(Main!M48,'Equip Data'!$AG:$AG,0))</f>
        <v>#N/A</v>
      </c>
      <c r="E30" s="230" t="e">
        <f>INDEX('Exp Tables'!$R$3:$V$13,MATCH(F30,'Exp Tables'!$Q$3:$Q$13,0),MATCH(INDEX('Equip Data'!$D:$D,MATCH(Main!M48,'Equip Data'!$AG:$AG,0)),'Exp Tables'!$R$2:$V$2,0))</f>
        <v>#N/A</v>
      </c>
      <c r="F30" s="230">
        <f>Main!N48</f>
        <v>0</v>
      </c>
      <c r="G30" s="230" t="e">
        <f>IF(INDEX('Equip Data'!G:G,MATCH($D30,'Equip Data'!$A:$A,0))="",0,Main!$O48*10000)</f>
        <v>#N/A</v>
      </c>
      <c r="H30" s="230" t="e">
        <f>IF(INDEX('Equip Data'!H:H,MATCH($D30,'Equip Data'!$A:$A,0))="",0,Main!$O48*10000)</f>
        <v>#N/A</v>
      </c>
      <c r="I30" s="230" t="e">
        <f>IF(INDEX('Equip Data'!I:I,MATCH($D30,'Equip Data'!$A:$A,0))="",0,Main!$O48*10000)</f>
        <v>#N/A</v>
      </c>
      <c r="J30" s="230" t="e">
        <f>IF(INDEX('Equip Data'!J:J,MATCH($D30,'Equip Data'!$A:$A,0))="",0,Main!$O48*10000)</f>
        <v>#N/A</v>
      </c>
      <c r="K30" s="230" t="e">
        <f>IF(INDEX('Equip Data'!K:K,MATCH($D30,'Equip Data'!$A:$A,0))="",0,Main!$O48*10000)</f>
        <v>#N/A</v>
      </c>
      <c r="L30" s="230" t="e">
        <f>IF(INDEX('Equip Data'!L:L,MATCH($D30,'Equip Data'!$A:$A,0))="",0,Main!$O48*10000)</f>
        <v>#N/A</v>
      </c>
      <c r="M30" s="230" t="e">
        <f>IF(INDEX('Equip Data'!M:M,MATCH($D30,'Equip Data'!$A:$A,0))="",0,Main!$O48*10000)</f>
        <v>#N/A</v>
      </c>
      <c r="N30" s="230" t="e">
        <f>IF(INDEX('Equip Data'!N:N,MATCH($D30,'Equip Data'!$A:$A,0))="",0,Main!$O48*10000)</f>
        <v>#N/A</v>
      </c>
      <c r="O30" s="230" t="e">
        <f>IF(INDEX('Equip Data'!O:O,MATCH($D30,'Equip Data'!$A:$A,0))="",0,Main!$O48*10000)</f>
        <v>#N/A</v>
      </c>
      <c r="P30" s="230" t="e">
        <f>IF(INDEX('Equip Data'!P:P,MATCH($D30,'Equip Data'!$A:$A,0))="",0,Main!$O48*10000)</f>
        <v>#N/A</v>
      </c>
      <c r="Q30" s="230" t="e">
        <f>IF(INDEX('Equip Data'!Q:Q,MATCH($D30,'Equip Data'!$A:$A,0))="",0,Main!$O48*10000)</f>
        <v>#N/A</v>
      </c>
      <c r="R30" s="230" t="e">
        <f>IF(INDEX('Equip Data'!R:R,MATCH($D30,'Equip Data'!$A:$A,0))="",0,Main!$O48*10000)</f>
        <v>#N/A</v>
      </c>
      <c r="S30" s="230" t="e">
        <f>IF(INDEX('Equip Data'!S:S,MATCH($D30,'Equip Data'!$A:$A,0))="",0,Main!$O48*10000)</f>
        <v>#N/A</v>
      </c>
      <c r="T30" s="230" t="e">
        <f>IF(INDEX('Equip Data'!T:T,MATCH($D30,'Equip Data'!$A:$A,0))="",0,10000)</f>
        <v>#N/A</v>
      </c>
      <c r="U30" s="230">
        <v>0</v>
      </c>
      <c r="V30" s="230">
        <v>1</v>
      </c>
      <c r="W30" s="230">
        <v>0</v>
      </c>
    </row>
    <row r="31" spans="1:23" x14ac:dyDescent="0.3">
      <c r="A31" s="234" t="str">
        <f>IF(Main!M49="","",ROW()-1)</f>
        <v/>
      </c>
      <c r="B31" s="234">
        <v>1234567</v>
      </c>
      <c r="C31" s="235" t="e">
        <f>Doll!C21</f>
        <v>#N/A</v>
      </c>
      <c r="D31" s="234" t="e">
        <f>INDEX('Equip Data'!$A:$A,MATCH(Main!M49,'Equip Data'!$AG:$AG,0))</f>
        <v>#N/A</v>
      </c>
      <c r="E31" s="234" t="e">
        <f>INDEX('Exp Tables'!$R$3:$V$13,MATCH(F31,'Exp Tables'!$Q$3:$Q$13,0),MATCH(INDEX('Equip Data'!$D:$D,MATCH(Main!M49,'Equip Data'!$AG:$AG,0)),'Exp Tables'!$R$2:$V$2,0))</f>
        <v>#N/A</v>
      </c>
      <c r="F31" s="234">
        <f>Main!N49</f>
        <v>0</v>
      </c>
      <c r="G31" s="234" t="e">
        <f>IF(INDEX('Equip Data'!G:G,MATCH($D31,'Equip Data'!$A:$A,0))="",0,Main!$O49*10000)</f>
        <v>#N/A</v>
      </c>
      <c r="H31" s="234" t="e">
        <f>IF(INDEX('Equip Data'!H:H,MATCH($D31,'Equip Data'!$A:$A,0))="",0,Main!$O49*10000)</f>
        <v>#N/A</v>
      </c>
      <c r="I31" s="234" t="e">
        <f>IF(INDEX('Equip Data'!I:I,MATCH($D31,'Equip Data'!$A:$A,0))="",0,Main!$O49*10000)</f>
        <v>#N/A</v>
      </c>
      <c r="J31" s="234" t="e">
        <f>IF(INDEX('Equip Data'!J:J,MATCH($D31,'Equip Data'!$A:$A,0))="",0,Main!$O49*10000)</f>
        <v>#N/A</v>
      </c>
      <c r="K31" s="234" t="e">
        <f>IF(INDEX('Equip Data'!K:K,MATCH($D31,'Equip Data'!$A:$A,0))="",0,Main!$O49*10000)</f>
        <v>#N/A</v>
      </c>
      <c r="L31" s="234" t="e">
        <f>IF(INDEX('Equip Data'!L:L,MATCH($D31,'Equip Data'!$A:$A,0))="",0,Main!$O49*10000)</f>
        <v>#N/A</v>
      </c>
      <c r="M31" s="234" t="e">
        <f>IF(INDEX('Equip Data'!M:M,MATCH($D31,'Equip Data'!$A:$A,0))="",0,Main!$O49*10000)</f>
        <v>#N/A</v>
      </c>
      <c r="N31" s="234" t="e">
        <f>IF(INDEX('Equip Data'!N:N,MATCH($D31,'Equip Data'!$A:$A,0))="",0,Main!$O49*10000)</f>
        <v>#N/A</v>
      </c>
      <c r="O31" s="234" t="e">
        <f>IF(INDEX('Equip Data'!O:O,MATCH($D31,'Equip Data'!$A:$A,0))="",0,Main!$O49*10000)</f>
        <v>#N/A</v>
      </c>
      <c r="P31" s="234" t="e">
        <f>IF(INDEX('Equip Data'!P:P,MATCH($D31,'Equip Data'!$A:$A,0))="",0,Main!$O49*10000)</f>
        <v>#N/A</v>
      </c>
      <c r="Q31" s="234" t="e">
        <f>IF(INDEX('Equip Data'!Q:Q,MATCH($D31,'Equip Data'!$A:$A,0))="",0,Main!$O49*10000)</f>
        <v>#N/A</v>
      </c>
      <c r="R31" s="234" t="e">
        <f>IF(INDEX('Equip Data'!R:R,MATCH($D31,'Equip Data'!$A:$A,0))="",0,Main!$O49*10000)</f>
        <v>#N/A</v>
      </c>
      <c r="S31" s="234" t="e">
        <f>IF(INDEX('Equip Data'!S:S,MATCH($D31,'Equip Data'!$A:$A,0))="",0,Main!$O49*10000)</f>
        <v>#N/A</v>
      </c>
      <c r="T31" s="234" t="e">
        <f>IF(INDEX('Equip Data'!T:T,MATCH($D31,'Equip Data'!$A:$A,0))="",0,10000)</f>
        <v>#N/A</v>
      </c>
      <c r="U31" s="234">
        <v>0</v>
      </c>
      <c r="V31" s="234">
        <v>1</v>
      </c>
      <c r="W31" s="234">
        <v>0</v>
      </c>
    </row>
    <row r="32" spans="1:23" x14ac:dyDescent="0.3">
      <c r="A32" s="232" t="str">
        <f>IF(Main!Q35="","",ROW()-1)</f>
        <v/>
      </c>
      <c r="B32" s="232">
        <v>1234567</v>
      </c>
      <c r="C32" s="232" t="e">
        <f>C17</f>
        <v>#N/A</v>
      </c>
      <c r="D32" s="232" t="e">
        <f>INDEX('Equip Data'!$A:$A,MATCH(Main!Q35,'Equip Data'!$AG:$AG,0))</f>
        <v>#N/A</v>
      </c>
      <c r="E32" s="232" t="e">
        <f>INDEX('Exp Tables'!$R$3:$V$13,MATCH(F32,'Exp Tables'!$Q$3:$Q$13,0),MATCH(INDEX('Equip Data'!$D:$D,MATCH(Main!Q35,'Equip Data'!$AG:$AG,0)),'Exp Tables'!$R$2:$V$2,0))</f>
        <v>#N/A</v>
      </c>
      <c r="F32" s="232">
        <f>Main!R35</f>
        <v>0</v>
      </c>
      <c r="G32" s="232" t="e">
        <f>IF(INDEX('Equip Data'!G:G,MATCH($D32,'Equip Data'!$A:$A,0))="",0,Main!$S35*10000)</f>
        <v>#N/A</v>
      </c>
      <c r="H32" s="232" t="e">
        <f>IF(INDEX('Equip Data'!H:H,MATCH($D32,'Equip Data'!$A:$A,0))="",0,Main!$S35*10000)</f>
        <v>#N/A</v>
      </c>
      <c r="I32" s="232" t="e">
        <f>IF(INDEX('Equip Data'!I:I,MATCH($D32,'Equip Data'!$A:$A,0))="",0,Main!$S35*10000)</f>
        <v>#N/A</v>
      </c>
      <c r="J32" s="232" t="e">
        <f>IF(INDEX('Equip Data'!J:J,MATCH($D32,'Equip Data'!$A:$A,0))="",0,Main!$S35*10000)</f>
        <v>#N/A</v>
      </c>
      <c r="K32" s="232" t="e">
        <f>IF(INDEX('Equip Data'!K:K,MATCH($D32,'Equip Data'!$A:$A,0))="",0,Main!$S35*10000)</f>
        <v>#N/A</v>
      </c>
      <c r="L32" s="232" t="e">
        <f>IF(INDEX('Equip Data'!L:L,MATCH($D32,'Equip Data'!$A:$A,0))="",0,Main!$S35*10000)</f>
        <v>#N/A</v>
      </c>
      <c r="M32" s="232" t="e">
        <f>IF(INDEX('Equip Data'!M:M,MATCH($D32,'Equip Data'!$A:$A,0))="",0,Main!$S35*10000)</f>
        <v>#N/A</v>
      </c>
      <c r="N32" s="232" t="e">
        <f>IF(INDEX('Equip Data'!N:N,MATCH($D32,'Equip Data'!$A:$A,0))="",0,Main!$S35*10000)</f>
        <v>#N/A</v>
      </c>
      <c r="O32" s="232" t="e">
        <f>IF(INDEX('Equip Data'!O:O,MATCH($D32,'Equip Data'!$A:$A,0))="",0,Main!$S35*10000)</f>
        <v>#N/A</v>
      </c>
      <c r="P32" s="232" t="e">
        <f>IF(INDEX('Equip Data'!P:P,MATCH($D32,'Equip Data'!$A:$A,0))="",0,Main!$S35*10000)</f>
        <v>#N/A</v>
      </c>
      <c r="Q32" s="232" t="e">
        <f>IF(INDEX('Equip Data'!Q:Q,MATCH($D32,'Equip Data'!$A:$A,0))="",0,Main!$S35*10000)</f>
        <v>#N/A</v>
      </c>
      <c r="R32" s="232" t="e">
        <f>IF(INDEX('Equip Data'!R:R,MATCH($D32,'Equip Data'!$A:$A,0))="",0,Main!$S35*10000)</f>
        <v>#N/A</v>
      </c>
      <c r="S32" s="232" t="e">
        <f>IF(INDEX('Equip Data'!S:S,MATCH($D32,'Equip Data'!$A:$A,0))="",0,Main!$S35*10000)</f>
        <v>#N/A</v>
      </c>
      <c r="T32" s="232" t="e">
        <f>IF(INDEX('Equip Data'!T:T,MATCH($D32,'Equip Data'!$A:$A,0))="",0,10000)</f>
        <v>#N/A</v>
      </c>
      <c r="U32" s="232">
        <v>0</v>
      </c>
      <c r="V32" s="232">
        <v>1</v>
      </c>
      <c r="W32" s="232">
        <v>0</v>
      </c>
    </row>
    <row r="33" spans="1:23" x14ac:dyDescent="0.3">
      <c r="A33" s="230" t="str">
        <f>IF(Main!Q36="","",ROW()-1)</f>
        <v/>
      </c>
      <c r="B33" s="230">
        <v>1234567</v>
      </c>
      <c r="C33" s="233" t="e">
        <f t="shared" ref="C33:C46" si="1">C18</f>
        <v>#N/A</v>
      </c>
      <c r="D33" s="230" t="e">
        <f>INDEX('Equip Data'!$A:$A,MATCH(Main!Q36,'Equip Data'!$AG:$AG,0))</f>
        <v>#N/A</v>
      </c>
      <c r="E33" s="230" t="e">
        <f>INDEX('Exp Tables'!$R$3:$V$13,MATCH(F33,'Exp Tables'!$Q$3:$Q$13,0),MATCH(INDEX('Equip Data'!$D:$D,MATCH(Main!Q36,'Equip Data'!$AG:$AG,0)),'Exp Tables'!$R$2:$V$2,0))</f>
        <v>#N/A</v>
      </c>
      <c r="F33" s="230">
        <f>Main!R36</f>
        <v>0</v>
      </c>
      <c r="G33" s="230" t="e">
        <f>IF(INDEX('Equip Data'!G:G,MATCH($D33,'Equip Data'!$A:$A,0))="",0,Main!$S36*10000)</f>
        <v>#N/A</v>
      </c>
      <c r="H33" s="230" t="e">
        <f>IF(INDEX('Equip Data'!H:H,MATCH($D33,'Equip Data'!$A:$A,0))="",0,Main!$S36*10000)</f>
        <v>#N/A</v>
      </c>
      <c r="I33" s="230" t="e">
        <f>IF(INDEX('Equip Data'!I:I,MATCH($D33,'Equip Data'!$A:$A,0))="",0,Main!$S36*10000)</f>
        <v>#N/A</v>
      </c>
      <c r="J33" s="230" t="e">
        <f>IF(INDEX('Equip Data'!J:J,MATCH($D33,'Equip Data'!$A:$A,0))="",0,Main!$S36*10000)</f>
        <v>#N/A</v>
      </c>
      <c r="K33" s="230" t="e">
        <f>IF(INDEX('Equip Data'!K:K,MATCH($D33,'Equip Data'!$A:$A,0))="",0,Main!$S36*10000)</f>
        <v>#N/A</v>
      </c>
      <c r="L33" s="230" t="e">
        <f>IF(INDEX('Equip Data'!L:L,MATCH($D33,'Equip Data'!$A:$A,0))="",0,Main!$S36*10000)</f>
        <v>#N/A</v>
      </c>
      <c r="M33" s="230" t="e">
        <f>IF(INDEX('Equip Data'!M:M,MATCH($D33,'Equip Data'!$A:$A,0))="",0,Main!$S36*10000)</f>
        <v>#N/A</v>
      </c>
      <c r="N33" s="230" t="e">
        <f>IF(INDEX('Equip Data'!N:N,MATCH($D33,'Equip Data'!$A:$A,0))="",0,Main!$S36*10000)</f>
        <v>#N/A</v>
      </c>
      <c r="O33" s="230" t="e">
        <f>IF(INDEX('Equip Data'!O:O,MATCH($D33,'Equip Data'!$A:$A,0))="",0,Main!$S36*10000)</f>
        <v>#N/A</v>
      </c>
      <c r="P33" s="230" t="e">
        <f>IF(INDEX('Equip Data'!P:P,MATCH($D33,'Equip Data'!$A:$A,0))="",0,Main!$S36*10000)</f>
        <v>#N/A</v>
      </c>
      <c r="Q33" s="230" t="e">
        <f>IF(INDEX('Equip Data'!Q:Q,MATCH($D33,'Equip Data'!$A:$A,0))="",0,Main!$S36*10000)</f>
        <v>#N/A</v>
      </c>
      <c r="R33" s="230" t="e">
        <f>IF(INDEX('Equip Data'!R:R,MATCH($D33,'Equip Data'!$A:$A,0))="",0,Main!$S36*10000)</f>
        <v>#N/A</v>
      </c>
      <c r="S33" s="230" t="e">
        <f>IF(INDEX('Equip Data'!S:S,MATCH($D33,'Equip Data'!$A:$A,0))="",0,Main!$S36*10000)</f>
        <v>#N/A</v>
      </c>
      <c r="T33" s="230" t="e">
        <f>IF(INDEX('Equip Data'!T:T,MATCH($D33,'Equip Data'!$A:$A,0))="",0,10000)</f>
        <v>#N/A</v>
      </c>
      <c r="U33" s="230">
        <v>0</v>
      </c>
      <c r="V33" s="230">
        <v>1</v>
      </c>
      <c r="W33" s="230">
        <v>0</v>
      </c>
    </row>
    <row r="34" spans="1:23" x14ac:dyDescent="0.3">
      <c r="A34" s="230" t="str">
        <f>IF(Main!Q37="","",ROW()-1)</f>
        <v/>
      </c>
      <c r="B34" s="230">
        <v>1234567</v>
      </c>
      <c r="C34" s="233" t="e">
        <f t="shared" si="1"/>
        <v>#N/A</v>
      </c>
      <c r="D34" s="230" t="e">
        <f>INDEX('Equip Data'!$A:$A,MATCH(Main!Q37,'Equip Data'!$AG:$AG,0))</f>
        <v>#N/A</v>
      </c>
      <c r="E34" s="230" t="e">
        <f>INDEX('Exp Tables'!$R$3:$V$13,MATCH(F34,'Exp Tables'!$Q$3:$Q$13,0),MATCH(INDEX('Equip Data'!$D:$D,MATCH(Main!Q37,'Equip Data'!$AG:$AG,0)),'Exp Tables'!$R$2:$V$2,0))</f>
        <v>#N/A</v>
      </c>
      <c r="F34" s="230">
        <f>Main!R37</f>
        <v>0</v>
      </c>
      <c r="G34" s="230" t="e">
        <f>IF(INDEX('Equip Data'!G:G,MATCH($D34,'Equip Data'!$A:$A,0))="",0,Main!$S37*10000)</f>
        <v>#N/A</v>
      </c>
      <c r="H34" s="230" t="e">
        <f>IF(INDEX('Equip Data'!H:H,MATCH($D34,'Equip Data'!$A:$A,0))="",0,Main!$S37*10000)</f>
        <v>#N/A</v>
      </c>
      <c r="I34" s="230" t="e">
        <f>IF(INDEX('Equip Data'!I:I,MATCH($D34,'Equip Data'!$A:$A,0))="",0,Main!$S37*10000)</f>
        <v>#N/A</v>
      </c>
      <c r="J34" s="230" t="e">
        <f>IF(INDEX('Equip Data'!J:J,MATCH($D34,'Equip Data'!$A:$A,0))="",0,Main!$S37*10000)</f>
        <v>#N/A</v>
      </c>
      <c r="K34" s="230" t="e">
        <f>IF(INDEX('Equip Data'!K:K,MATCH($D34,'Equip Data'!$A:$A,0))="",0,Main!$S37*10000)</f>
        <v>#N/A</v>
      </c>
      <c r="L34" s="230" t="e">
        <f>IF(INDEX('Equip Data'!L:L,MATCH($D34,'Equip Data'!$A:$A,0))="",0,Main!$S37*10000)</f>
        <v>#N/A</v>
      </c>
      <c r="M34" s="230" t="e">
        <f>IF(INDEX('Equip Data'!M:M,MATCH($D34,'Equip Data'!$A:$A,0))="",0,Main!$S37*10000)</f>
        <v>#N/A</v>
      </c>
      <c r="N34" s="230" t="e">
        <f>IF(INDEX('Equip Data'!N:N,MATCH($D34,'Equip Data'!$A:$A,0))="",0,Main!$S37*10000)</f>
        <v>#N/A</v>
      </c>
      <c r="O34" s="230" t="e">
        <f>IF(INDEX('Equip Data'!O:O,MATCH($D34,'Equip Data'!$A:$A,0))="",0,Main!$S37*10000)</f>
        <v>#N/A</v>
      </c>
      <c r="P34" s="230" t="e">
        <f>IF(INDEX('Equip Data'!P:P,MATCH($D34,'Equip Data'!$A:$A,0))="",0,Main!$S37*10000)</f>
        <v>#N/A</v>
      </c>
      <c r="Q34" s="230" t="e">
        <f>IF(INDEX('Equip Data'!Q:Q,MATCH($D34,'Equip Data'!$A:$A,0))="",0,Main!$S37*10000)</f>
        <v>#N/A</v>
      </c>
      <c r="R34" s="230" t="e">
        <f>IF(INDEX('Equip Data'!R:R,MATCH($D34,'Equip Data'!$A:$A,0))="",0,Main!$S37*10000)</f>
        <v>#N/A</v>
      </c>
      <c r="S34" s="230" t="e">
        <f>IF(INDEX('Equip Data'!S:S,MATCH($D34,'Equip Data'!$A:$A,0))="",0,Main!$S37*10000)</f>
        <v>#N/A</v>
      </c>
      <c r="T34" s="230" t="e">
        <f>IF(INDEX('Equip Data'!T:T,MATCH($D34,'Equip Data'!$A:$A,0))="",0,10000)</f>
        <v>#N/A</v>
      </c>
      <c r="U34" s="230">
        <v>0</v>
      </c>
      <c r="V34" s="230">
        <v>1</v>
      </c>
      <c r="W34" s="230">
        <v>0</v>
      </c>
    </row>
    <row r="35" spans="1:23" x14ac:dyDescent="0.3">
      <c r="A35" s="230" t="str">
        <f>IF(Main!Q38="","",ROW()-1)</f>
        <v/>
      </c>
      <c r="B35" s="230">
        <v>1234567</v>
      </c>
      <c r="C35" s="233" t="e">
        <f t="shared" si="1"/>
        <v>#N/A</v>
      </c>
      <c r="D35" s="230" t="e">
        <f>INDEX('Equip Data'!$A:$A,MATCH(Main!Q38,'Equip Data'!$AG:$AG,0))</f>
        <v>#N/A</v>
      </c>
      <c r="E35" s="230" t="e">
        <f>INDEX('Exp Tables'!$R$3:$V$13,MATCH(F35,'Exp Tables'!$Q$3:$Q$13,0),MATCH(INDEX('Equip Data'!$D:$D,MATCH(Main!Q38,'Equip Data'!$AG:$AG,0)),'Exp Tables'!$R$2:$V$2,0))</f>
        <v>#N/A</v>
      </c>
      <c r="F35" s="230">
        <f>Main!R38</f>
        <v>0</v>
      </c>
      <c r="G35" s="230" t="e">
        <f>IF(INDEX('Equip Data'!G:G,MATCH($D35,'Equip Data'!$A:$A,0))="",0,Main!$S38*10000)</f>
        <v>#N/A</v>
      </c>
      <c r="H35" s="230" t="e">
        <f>IF(INDEX('Equip Data'!H:H,MATCH($D35,'Equip Data'!$A:$A,0))="",0,Main!$S38*10000)</f>
        <v>#N/A</v>
      </c>
      <c r="I35" s="230" t="e">
        <f>IF(INDEX('Equip Data'!I:I,MATCH($D35,'Equip Data'!$A:$A,0))="",0,Main!$S38*10000)</f>
        <v>#N/A</v>
      </c>
      <c r="J35" s="230" t="e">
        <f>IF(INDEX('Equip Data'!J:J,MATCH($D35,'Equip Data'!$A:$A,0))="",0,Main!$S38*10000)</f>
        <v>#N/A</v>
      </c>
      <c r="K35" s="230" t="e">
        <f>IF(INDEX('Equip Data'!K:K,MATCH($D35,'Equip Data'!$A:$A,0))="",0,Main!$S38*10000)</f>
        <v>#N/A</v>
      </c>
      <c r="L35" s="230" t="e">
        <f>IF(INDEX('Equip Data'!L:L,MATCH($D35,'Equip Data'!$A:$A,0))="",0,Main!$S38*10000)</f>
        <v>#N/A</v>
      </c>
      <c r="M35" s="230" t="e">
        <f>IF(INDEX('Equip Data'!M:M,MATCH($D35,'Equip Data'!$A:$A,0))="",0,Main!$S38*10000)</f>
        <v>#N/A</v>
      </c>
      <c r="N35" s="230" t="e">
        <f>IF(INDEX('Equip Data'!N:N,MATCH($D35,'Equip Data'!$A:$A,0))="",0,Main!$S38*10000)</f>
        <v>#N/A</v>
      </c>
      <c r="O35" s="230" t="e">
        <f>IF(INDEX('Equip Data'!O:O,MATCH($D35,'Equip Data'!$A:$A,0))="",0,Main!$S38*10000)</f>
        <v>#N/A</v>
      </c>
      <c r="P35" s="230" t="e">
        <f>IF(INDEX('Equip Data'!P:P,MATCH($D35,'Equip Data'!$A:$A,0))="",0,Main!$S38*10000)</f>
        <v>#N/A</v>
      </c>
      <c r="Q35" s="230" t="e">
        <f>IF(INDEX('Equip Data'!Q:Q,MATCH($D35,'Equip Data'!$A:$A,0))="",0,Main!$S38*10000)</f>
        <v>#N/A</v>
      </c>
      <c r="R35" s="230" t="e">
        <f>IF(INDEX('Equip Data'!R:R,MATCH($D35,'Equip Data'!$A:$A,0))="",0,Main!$S38*10000)</f>
        <v>#N/A</v>
      </c>
      <c r="S35" s="230" t="e">
        <f>IF(INDEX('Equip Data'!S:S,MATCH($D35,'Equip Data'!$A:$A,0))="",0,Main!$S38*10000)</f>
        <v>#N/A</v>
      </c>
      <c r="T35" s="230" t="e">
        <f>IF(INDEX('Equip Data'!T:T,MATCH($D35,'Equip Data'!$A:$A,0))="",0,10000)</f>
        <v>#N/A</v>
      </c>
      <c r="U35" s="230">
        <v>0</v>
      </c>
      <c r="V35" s="230">
        <v>1</v>
      </c>
      <c r="W35" s="230">
        <v>0</v>
      </c>
    </row>
    <row r="36" spans="1:23" x14ac:dyDescent="0.3">
      <c r="A36" s="230" t="str">
        <f>IF(Main!Q39="","",ROW()-1)</f>
        <v/>
      </c>
      <c r="B36" s="230">
        <v>1234567</v>
      </c>
      <c r="C36" s="233" t="e">
        <f t="shared" si="1"/>
        <v>#N/A</v>
      </c>
      <c r="D36" s="230" t="e">
        <f>INDEX('Equip Data'!$A:$A,MATCH(Main!Q39,'Equip Data'!$AG:$AG,0))</f>
        <v>#N/A</v>
      </c>
      <c r="E36" s="230" t="e">
        <f>INDEX('Exp Tables'!$R$3:$V$13,MATCH(F36,'Exp Tables'!$Q$3:$Q$13,0),MATCH(INDEX('Equip Data'!$D:$D,MATCH(Main!Q39,'Equip Data'!$AG:$AG,0)),'Exp Tables'!$R$2:$V$2,0))</f>
        <v>#N/A</v>
      </c>
      <c r="F36" s="230">
        <f>Main!R39</f>
        <v>0</v>
      </c>
      <c r="G36" s="230" t="e">
        <f>IF(INDEX('Equip Data'!G:G,MATCH($D36,'Equip Data'!$A:$A,0))="",0,Main!$S39*10000)</f>
        <v>#N/A</v>
      </c>
      <c r="H36" s="230" t="e">
        <f>IF(INDEX('Equip Data'!H:H,MATCH($D36,'Equip Data'!$A:$A,0))="",0,Main!$S39*10000)</f>
        <v>#N/A</v>
      </c>
      <c r="I36" s="230" t="e">
        <f>IF(INDEX('Equip Data'!I:I,MATCH($D36,'Equip Data'!$A:$A,0))="",0,Main!$S39*10000)</f>
        <v>#N/A</v>
      </c>
      <c r="J36" s="230" t="e">
        <f>IF(INDEX('Equip Data'!J:J,MATCH($D36,'Equip Data'!$A:$A,0))="",0,Main!$S39*10000)</f>
        <v>#N/A</v>
      </c>
      <c r="K36" s="230" t="e">
        <f>IF(INDEX('Equip Data'!K:K,MATCH($D36,'Equip Data'!$A:$A,0))="",0,Main!$S39*10000)</f>
        <v>#N/A</v>
      </c>
      <c r="L36" s="230" t="e">
        <f>IF(INDEX('Equip Data'!L:L,MATCH($D36,'Equip Data'!$A:$A,0))="",0,Main!$S39*10000)</f>
        <v>#N/A</v>
      </c>
      <c r="M36" s="230" t="e">
        <f>IF(INDEX('Equip Data'!M:M,MATCH($D36,'Equip Data'!$A:$A,0))="",0,Main!$S39*10000)</f>
        <v>#N/A</v>
      </c>
      <c r="N36" s="230" t="e">
        <f>IF(INDEX('Equip Data'!N:N,MATCH($D36,'Equip Data'!$A:$A,0))="",0,Main!$S39*10000)</f>
        <v>#N/A</v>
      </c>
      <c r="O36" s="230" t="e">
        <f>IF(INDEX('Equip Data'!O:O,MATCH($D36,'Equip Data'!$A:$A,0))="",0,Main!$S39*10000)</f>
        <v>#N/A</v>
      </c>
      <c r="P36" s="230" t="e">
        <f>IF(INDEX('Equip Data'!P:P,MATCH($D36,'Equip Data'!$A:$A,0))="",0,Main!$S39*10000)</f>
        <v>#N/A</v>
      </c>
      <c r="Q36" s="230" t="e">
        <f>IF(INDEX('Equip Data'!Q:Q,MATCH($D36,'Equip Data'!$A:$A,0))="",0,Main!$S39*10000)</f>
        <v>#N/A</v>
      </c>
      <c r="R36" s="230" t="e">
        <f>IF(INDEX('Equip Data'!R:R,MATCH($D36,'Equip Data'!$A:$A,0))="",0,Main!$S39*10000)</f>
        <v>#N/A</v>
      </c>
      <c r="S36" s="230" t="e">
        <f>IF(INDEX('Equip Data'!S:S,MATCH($D36,'Equip Data'!$A:$A,0))="",0,Main!$S39*10000)</f>
        <v>#N/A</v>
      </c>
      <c r="T36" s="230" t="e">
        <f>IF(INDEX('Equip Data'!T:T,MATCH($D36,'Equip Data'!$A:$A,0))="",0,10000)</f>
        <v>#N/A</v>
      </c>
      <c r="U36" s="230">
        <v>0</v>
      </c>
      <c r="V36" s="230">
        <v>1</v>
      </c>
      <c r="W36" s="230">
        <v>0</v>
      </c>
    </row>
    <row r="37" spans="1:23" x14ac:dyDescent="0.3">
      <c r="A37" s="230" t="str">
        <f>IF(Main!Q40="","",ROW()-1)</f>
        <v/>
      </c>
      <c r="B37" s="230">
        <v>1234567</v>
      </c>
      <c r="C37" s="233" t="e">
        <f t="shared" si="1"/>
        <v>#N/A</v>
      </c>
      <c r="D37" s="230" t="e">
        <f>INDEX('Equip Data'!$A:$A,MATCH(Main!Q40,'Equip Data'!$AG:$AG,0))</f>
        <v>#N/A</v>
      </c>
      <c r="E37" s="230" t="e">
        <f>INDEX('Exp Tables'!$R$3:$V$13,MATCH(F37,'Exp Tables'!$Q$3:$Q$13,0),MATCH(INDEX('Equip Data'!$D:$D,MATCH(Main!Q40,'Equip Data'!$AG:$AG,0)),'Exp Tables'!$R$2:$V$2,0))</f>
        <v>#N/A</v>
      </c>
      <c r="F37" s="230">
        <f>Main!R40</f>
        <v>0</v>
      </c>
      <c r="G37" s="230" t="e">
        <f>IF(INDEX('Equip Data'!G:G,MATCH($D37,'Equip Data'!$A:$A,0))="",0,Main!$S40*10000)</f>
        <v>#N/A</v>
      </c>
      <c r="H37" s="230" t="e">
        <f>IF(INDEX('Equip Data'!H:H,MATCH($D37,'Equip Data'!$A:$A,0))="",0,Main!$S40*10000)</f>
        <v>#N/A</v>
      </c>
      <c r="I37" s="230" t="e">
        <f>IF(INDEX('Equip Data'!I:I,MATCH($D37,'Equip Data'!$A:$A,0))="",0,Main!$S40*10000)</f>
        <v>#N/A</v>
      </c>
      <c r="J37" s="230" t="e">
        <f>IF(INDEX('Equip Data'!J:J,MATCH($D37,'Equip Data'!$A:$A,0))="",0,Main!$S40*10000)</f>
        <v>#N/A</v>
      </c>
      <c r="K37" s="230" t="e">
        <f>IF(INDEX('Equip Data'!K:K,MATCH($D37,'Equip Data'!$A:$A,0))="",0,Main!$S40*10000)</f>
        <v>#N/A</v>
      </c>
      <c r="L37" s="230" t="e">
        <f>IF(INDEX('Equip Data'!L:L,MATCH($D37,'Equip Data'!$A:$A,0))="",0,Main!$S40*10000)</f>
        <v>#N/A</v>
      </c>
      <c r="M37" s="230" t="e">
        <f>IF(INDEX('Equip Data'!M:M,MATCH($D37,'Equip Data'!$A:$A,0))="",0,Main!$S40*10000)</f>
        <v>#N/A</v>
      </c>
      <c r="N37" s="230" t="e">
        <f>IF(INDEX('Equip Data'!N:N,MATCH($D37,'Equip Data'!$A:$A,0))="",0,Main!$S40*10000)</f>
        <v>#N/A</v>
      </c>
      <c r="O37" s="230" t="e">
        <f>IF(INDEX('Equip Data'!O:O,MATCH($D37,'Equip Data'!$A:$A,0))="",0,Main!$S40*10000)</f>
        <v>#N/A</v>
      </c>
      <c r="P37" s="230" t="e">
        <f>IF(INDEX('Equip Data'!P:P,MATCH($D37,'Equip Data'!$A:$A,0))="",0,Main!$S40*10000)</f>
        <v>#N/A</v>
      </c>
      <c r="Q37" s="230" t="e">
        <f>IF(INDEX('Equip Data'!Q:Q,MATCH($D37,'Equip Data'!$A:$A,0))="",0,Main!$S40*10000)</f>
        <v>#N/A</v>
      </c>
      <c r="R37" s="230" t="e">
        <f>IF(INDEX('Equip Data'!R:R,MATCH($D37,'Equip Data'!$A:$A,0))="",0,Main!$S40*10000)</f>
        <v>#N/A</v>
      </c>
      <c r="S37" s="230" t="e">
        <f>IF(INDEX('Equip Data'!S:S,MATCH($D37,'Equip Data'!$A:$A,0))="",0,Main!$S40*10000)</f>
        <v>#N/A</v>
      </c>
      <c r="T37" s="230" t="e">
        <f>IF(INDEX('Equip Data'!T:T,MATCH($D37,'Equip Data'!$A:$A,0))="",0,10000)</f>
        <v>#N/A</v>
      </c>
      <c r="U37" s="230">
        <v>0</v>
      </c>
      <c r="V37" s="230">
        <v>1</v>
      </c>
      <c r="W37" s="230">
        <v>0</v>
      </c>
    </row>
    <row r="38" spans="1:23" x14ac:dyDescent="0.3">
      <c r="A38" s="230" t="str">
        <f>IF(Main!Q41="","",ROW()-1)</f>
        <v/>
      </c>
      <c r="B38" s="230">
        <v>1234567</v>
      </c>
      <c r="C38" s="233" t="e">
        <f t="shared" si="1"/>
        <v>#N/A</v>
      </c>
      <c r="D38" s="230" t="e">
        <f>INDEX('Equip Data'!$A:$A,MATCH(Main!Q41,'Equip Data'!$AG:$AG,0))</f>
        <v>#N/A</v>
      </c>
      <c r="E38" s="230" t="e">
        <f>INDEX('Exp Tables'!$R$3:$V$13,MATCH(F38,'Exp Tables'!$Q$3:$Q$13,0),MATCH(INDEX('Equip Data'!$D:$D,MATCH(Main!Q41,'Equip Data'!$AG:$AG,0)),'Exp Tables'!$R$2:$V$2,0))</f>
        <v>#N/A</v>
      </c>
      <c r="F38" s="230">
        <f>Main!R41</f>
        <v>0</v>
      </c>
      <c r="G38" s="230" t="e">
        <f>IF(INDEX('Equip Data'!G:G,MATCH($D38,'Equip Data'!$A:$A,0))="",0,Main!$S41*10000)</f>
        <v>#N/A</v>
      </c>
      <c r="H38" s="230" t="e">
        <f>IF(INDEX('Equip Data'!H:H,MATCH($D38,'Equip Data'!$A:$A,0))="",0,Main!$S41*10000)</f>
        <v>#N/A</v>
      </c>
      <c r="I38" s="230" t="e">
        <f>IF(INDEX('Equip Data'!I:I,MATCH($D38,'Equip Data'!$A:$A,0))="",0,Main!$S41*10000)</f>
        <v>#N/A</v>
      </c>
      <c r="J38" s="230" t="e">
        <f>IF(INDEX('Equip Data'!J:J,MATCH($D38,'Equip Data'!$A:$A,0))="",0,Main!$S41*10000)</f>
        <v>#N/A</v>
      </c>
      <c r="K38" s="230" t="e">
        <f>IF(INDEX('Equip Data'!K:K,MATCH($D38,'Equip Data'!$A:$A,0))="",0,Main!$S41*10000)</f>
        <v>#N/A</v>
      </c>
      <c r="L38" s="230" t="e">
        <f>IF(INDEX('Equip Data'!L:L,MATCH($D38,'Equip Data'!$A:$A,0))="",0,Main!$S41*10000)</f>
        <v>#N/A</v>
      </c>
      <c r="M38" s="230" t="e">
        <f>IF(INDEX('Equip Data'!M:M,MATCH($D38,'Equip Data'!$A:$A,0))="",0,Main!$S41*10000)</f>
        <v>#N/A</v>
      </c>
      <c r="N38" s="230" t="e">
        <f>IF(INDEX('Equip Data'!N:N,MATCH($D38,'Equip Data'!$A:$A,0))="",0,Main!$S41*10000)</f>
        <v>#N/A</v>
      </c>
      <c r="O38" s="230" t="e">
        <f>IF(INDEX('Equip Data'!O:O,MATCH($D38,'Equip Data'!$A:$A,0))="",0,Main!$S41*10000)</f>
        <v>#N/A</v>
      </c>
      <c r="P38" s="230" t="e">
        <f>IF(INDEX('Equip Data'!P:P,MATCH($D38,'Equip Data'!$A:$A,0))="",0,Main!$S41*10000)</f>
        <v>#N/A</v>
      </c>
      <c r="Q38" s="230" t="e">
        <f>IF(INDEX('Equip Data'!Q:Q,MATCH($D38,'Equip Data'!$A:$A,0))="",0,Main!$S41*10000)</f>
        <v>#N/A</v>
      </c>
      <c r="R38" s="230" t="e">
        <f>IF(INDEX('Equip Data'!R:R,MATCH($D38,'Equip Data'!$A:$A,0))="",0,Main!$S41*10000)</f>
        <v>#N/A</v>
      </c>
      <c r="S38" s="230" t="e">
        <f>IF(INDEX('Equip Data'!S:S,MATCH($D38,'Equip Data'!$A:$A,0))="",0,Main!$S41*10000)</f>
        <v>#N/A</v>
      </c>
      <c r="T38" s="230" t="e">
        <f>IF(INDEX('Equip Data'!T:T,MATCH($D38,'Equip Data'!$A:$A,0))="",0,10000)</f>
        <v>#N/A</v>
      </c>
      <c r="U38" s="230">
        <v>0</v>
      </c>
      <c r="V38" s="230">
        <v>1</v>
      </c>
      <c r="W38" s="230">
        <v>0</v>
      </c>
    </row>
    <row r="39" spans="1:23" x14ac:dyDescent="0.3">
      <c r="A39" s="230" t="str">
        <f>IF(Main!Q42="","",ROW()-1)</f>
        <v/>
      </c>
      <c r="B39" s="230">
        <v>1234567</v>
      </c>
      <c r="C39" s="233" t="e">
        <f t="shared" si="1"/>
        <v>#N/A</v>
      </c>
      <c r="D39" s="230" t="e">
        <f>INDEX('Equip Data'!$A:$A,MATCH(Main!Q42,'Equip Data'!$AG:$AG,0))</f>
        <v>#N/A</v>
      </c>
      <c r="E39" s="230" t="e">
        <f>INDEX('Exp Tables'!$R$3:$V$13,MATCH(F39,'Exp Tables'!$Q$3:$Q$13,0),MATCH(INDEX('Equip Data'!$D:$D,MATCH(Main!Q42,'Equip Data'!$AG:$AG,0)),'Exp Tables'!$R$2:$V$2,0))</f>
        <v>#N/A</v>
      </c>
      <c r="F39" s="230">
        <f>Main!R42</f>
        <v>0</v>
      </c>
      <c r="G39" s="230" t="e">
        <f>IF(INDEX('Equip Data'!G:G,MATCH($D39,'Equip Data'!$A:$A,0))="",0,Main!$S42*10000)</f>
        <v>#N/A</v>
      </c>
      <c r="H39" s="230" t="e">
        <f>IF(INDEX('Equip Data'!H:H,MATCH($D39,'Equip Data'!$A:$A,0))="",0,Main!$S42*10000)</f>
        <v>#N/A</v>
      </c>
      <c r="I39" s="230" t="e">
        <f>IF(INDEX('Equip Data'!I:I,MATCH($D39,'Equip Data'!$A:$A,0))="",0,Main!$S42*10000)</f>
        <v>#N/A</v>
      </c>
      <c r="J39" s="230" t="e">
        <f>IF(INDEX('Equip Data'!J:J,MATCH($D39,'Equip Data'!$A:$A,0))="",0,Main!$S42*10000)</f>
        <v>#N/A</v>
      </c>
      <c r="K39" s="230" t="e">
        <f>IF(INDEX('Equip Data'!K:K,MATCH($D39,'Equip Data'!$A:$A,0))="",0,Main!$S42*10000)</f>
        <v>#N/A</v>
      </c>
      <c r="L39" s="230" t="e">
        <f>IF(INDEX('Equip Data'!L:L,MATCH($D39,'Equip Data'!$A:$A,0))="",0,Main!$S42*10000)</f>
        <v>#N/A</v>
      </c>
      <c r="M39" s="230" t="e">
        <f>IF(INDEX('Equip Data'!M:M,MATCH($D39,'Equip Data'!$A:$A,0))="",0,Main!$S42*10000)</f>
        <v>#N/A</v>
      </c>
      <c r="N39" s="230" t="e">
        <f>IF(INDEX('Equip Data'!N:N,MATCH($D39,'Equip Data'!$A:$A,0))="",0,Main!$S42*10000)</f>
        <v>#N/A</v>
      </c>
      <c r="O39" s="230" t="e">
        <f>IF(INDEX('Equip Data'!O:O,MATCH($D39,'Equip Data'!$A:$A,0))="",0,Main!$S42*10000)</f>
        <v>#N/A</v>
      </c>
      <c r="P39" s="230" t="e">
        <f>IF(INDEX('Equip Data'!P:P,MATCH($D39,'Equip Data'!$A:$A,0))="",0,Main!$S42*10000)</f>
        <v>#N/A</v>
      </c>
      <c r="Q39" s="230" t="e">
        <f>IF(INDEX('Equip Data'!Q:Q,MATCH($D39,'Equip Data'!$A:$A,0))="",0,Main!$S42*10000)</f>
        <v>#N/A</v>
      </c>
      <c r="R39" s="230" t="e">
        <f>IF(INDEX('Equip Data'!R:R,MATCH($D39,'Equip Data'!$A:$A,0))="",0,Main!$S42*10000)</f>
        <v>#N/A</v>
      </c>
      <c r="S39" s="230" t="e">
        <f>IF(INDEX('Equip Data'!S:S,MATCH($D39,'Equip Data'!$A:$A,0))="",0,Main!$S42*10000)</f>
        <v>#N/A</v>
      </c>
      <c r="T39" s="230" t="e">
        <f>IF(INDEX('Equip Data'!T:T,MATCH($D39,'Equip Data'!$A:$A,0))="",0,10000)</f>
        <v>#N/A</v>
      </c>
      <c r="U39" s="230">
        <v>0</v>
      </c>
      <c r="V39" s="230">
        <v>1</v>
      </c>
      <c r="W39" s="230">
        <v>0</v>
      </c>
    </row>
    <row r="40" spans="1:23" x14ac:dyDescent="0.3">
      <c r="A40" s="230" t="str">
        <f>IF(Main!Q43="","",ROW()-1)</f>
        <v/>
      </c>
      <c r="B40" s="230">
        <v>1234567</v>
      </c>
      <c r="C40" s="233" t="e">
        <f t="shared" si="1"/>
        <v>#N/A</v>
      </c>
      <c r="D40" s="230" t="e">
        <f>INDEX('Equip Data'!$A:$A,MATCH(Main!Q43,'Equip Data'!$AG:$AG,0))</f>
        <v>#N/A</v>
      </c>
      <c r="E40" s="230" t="e">
        <f>INDEX('Exp Tables'!$R$3:$V$13,MATCH(F40,'Exp Tables'!$Q$3:$Q$13,0),MATCH(INDEX('Equip Data'!$D:$D,MATCH(Main!Q43,'Equip Data'!$AG:$AG,0)),'Exp Tables'!$R$2:$V$2,0))</f>
        <v>#N/A</v>
      </c>
      <c r="F40" s="230">
        <f>Main!R43</f>
        <v>0</v>
      </c>
      <c r="G40" s="230" t="e">
        <f>IF(INDEX('Equip Data'!G:G,MATCH($D40,'Equip Data'!$A:$A,0))="",0,Main!$S43*10000)</f>
        <v>#N/A</v>
      </c>
      <c r="H40" s="230" t="e">
        <f>IF(INDEX('Equip Data'!H:H,MATCH($D40,'Equip Data'!$A:$A,0))="",0,Main!$S43*10000)</f>
        <v>#N/A</v>
      </c>
      <c r="I40" s="230" t="e">
        <f>IF(INDEX('Equip Data'!I:I,MATCH($D40,'Equip Data'!$A:$A,0))="",0,Main!$S43*10000)</f>
        <v>#N/A</v>
      </c>
      <c r="J40" s="230" t="e">
        <f>IF(INDEX('Equip Data'!J:J,MATCH($D40,'Equip Data'!$A:$A,0))="",0,Main!$S43*10000)</f>
        <v>#N/A</v>
      </c>
      <c r="K40" s="230" t="e">
        <f>IF(INDEX('Equip Data'!K:K,MATCH($D40,'Equip Data'!$A:$A,0))="",0,Main!$S43*10000)</f>
        <v>#N/A</v>
      </c>
      <c r="L40" s="230" t="e">
        <f>IF(INDEX('Equip Data'!L:L,MATCH($D40,'Equip Data'!$A:$A,0))="",0,Main!$S43*10000)</f>
        <v>#N/A</v>
      </c>
      <c r="M40" s="230" t="e">
        <f>IF(INDEX('Equip Data'!M:M,MATCH($D40,'Equip Data'!$A:$A,0))="",0,Main!$S43*10000)</f>
        <v>#N/A</v>
      </c>
      <c r="N40" s="230" t="e">
        <f>IF(INDEX('Equip Data'!N:N,MATCH($D40,'Equip Data'!$A:$A,0))="",0,Main!$S43*10000)</f>
        <v>#N/A</v>
      </c>
      <c r="O40" s="230" t="e">
        <f>IF(INDEX('Equip Data'!O:O,MATCH($D40,'Equip Data'!$A:$A,0))="",0,Main!$S43*10000)</f>
        <v>#N/A</v>
      </c>
      <c r="P40" s="230" t="e">
        <f>IF(INDEX('Equip Data'!P:P,MATCH($D40,'Equip Data'!$A:$A,0))="",0,Main!$S43*10000)</f>
        <v>#N/A</v>
      </c>
      <c r="Q40" s="230" t="e">
        <f>IF(INDEX('Equip Data'!Q:Q,MATCH($D40,'Equip Data'!$A:$A,0))="",0,Main!$S43*10000)</f>
        <v>#N/A</v>
      </c>
      <c r="R40" s="230" t="e">
        <f>IF(INDEX('Equip Data'!R:R,MATCH($D40,'Equip Data'!$A:$A,0))="",0,Main!$S43*10000)</f>
        <v>#N/A</v>
      </c>
      <c r="S40" s="230" t="e">
        <f>IF(INDEX('Equip Data'!S:S,MATCH($D40,'Equip Data'!$A:$A,0))="",0,Main!$S43*10000)</f>
        <v>#N/A</v>
      </c>
      <c r="T40" s="230" t="e">
        <f>IF(INDEX('Equip Data'!T:T,MATCH($D40,'Equip Data'!$A:$A,0))="",0,10000)</f>
        <v>#N/A</v>
      </c>
      <c r="U40" s="230">
        <v>0</v>
      </c>
      <c r="V40" s="230">
        <v>1</v>
      </c>
      <c r="W40" s="230">
        <v>0</v>
      </c>
    </row>
    <row r="41" spans="1:23" x14ac:dyDescent="0.3">
      <c r="A41" s="230" t="str">
        <f>IF(Main!Q44="","",ROW()-1)</f>
        <v/>
      </c>
      <c r="B41" s="230">
        <v>1234567</v>
      </c>
      <c r="C41" s="233" t="e">
        <f t="shared" si="1"/>
        <v>#N/A</v>
      </c>
      <c r="D41" s="230" t="e">
        <f>INDEX('Equip Data'!$A:$A,MATCH(Main!Q44,'Equip Data'!$AG:$AG,0))</f>
        <v>#N/A</v>
      </c>
      <c r="E41" s="230" t="e">
        <f>INDEX('Exp Tables'!$R$3:$V$13,MATCH(F41,'Exp Tables'!$Q$3:$Q$13,0),MATCH(INDEX('Equip Data'!$D:$D,MATCH(Main!Q44,'Equip Data'!$AG:$AG,0)),'Exp Tables'!$R$2:$V$2,0))</f>
        <v>#N/A</v>
      </c>
      <c r="F41" s="230">
        <f>Main!R44</f>
        <v>0</v>
      </c>
      <c r="G41" s="230" t="e">
        <f>IF(INDEX('Equip Data'!G:G,MATCH($D41,'Equip Data'!$A:$A,0))="",0,Main!$S44*10000)</f>
        <v>#N/A</v>
      </c>
      <c r="H41" s="230" t="e">
        <f>IF(INDEX('Equip Data'!H:H,MATCH($D41,'Equip Data'!$A:$A,0))="",0,Main!$S44*10000)</f>
        <v>#N/A</v>
      </c>
      <c r="I41" s="230" t="e">
        <f>IF(INDEX('Equip Data'!I:I,MATCH($D41,'Equip Data'!$A:$A,0))="",0,Main!$S44*10000)</f>
        <v>#N/A</v>
      </c>
      <c r="J41" s="230" t="e">
        <f>IF(INDEX('Equip Data'!J:J,MATCH($D41,'Equip Data'!$A:$A,0))="",0,Main!$S44*10000)</f>
        <v>#N/A</v>
      </c>
      <c r="K41" s="230" t="e">
        <f>IF(INDEX('Equip Data'!K:K,MATCH($D41,'Equip Data'!$A:$A,0))="",0,Main!$S44*10000)</f>
        <v>#N/A</v>
      </c>
      <c r="L41" s="230" t="e">
        <f>IF(INDEX('Equip Data'!L:L,MATCH($D41,'Equip Data'!$A:$A,0))="",0,Main!$S44*10000)</f>
        <v>#N/A</v>
      </c>
      <c r="M41" s="230" t="e">
        <f>IF(INDEX('Equip Data'!M:M,MATCH($D41,'Equip Data'!$A:$A,0))="",0,Main!$S44*10000)</f>
        <v>#N/A</v>
      </c>
      <c r="N41" s="230" t="e">
        <f>IF(INDEX('Equip Data'!N:N,MATCH($D41,'Equip Data'!$A:$A,0))="",0,Main!$S44*10000)</f>
        <v>#N/A</v>
      </c>
      <c r="O41" s="230" t="e">
        <f>IF(INDEX('Equip Data'!O:O,MATCH($D41,'Equip Data'!$A:$A,0))="",0,Main!$S44*10000)</f>
        <v>#N/A</v>
      </c>
      <c r="P41" s="230" t="e">
        <f>IF(INDEX('Equip Data'!P:P,MATCH($D41,'Equip Data'!$A:$A,0))="",0,Main!$S44*10000)</f>
        <v>#N/A</v>
      </c>
      <c r="Q41" s="230" t="e">
        <f>IF(INDEX('Equip Data'!Q:Q,MATCH($D41,'Equip Data'!$A:$A,0))="",0,Main!$S44*10000)</f>
        <v>#N/A</v>
      </c>
      <c r="R41" s="230" t="e">
        <f>IF(INDEX('Equip Data'!R:R,MATCH($D41,'Equip Data'!$A:$A,0))="",0,Main!$S44*10000)</f>
        <v>#N/A</v>
      </c>
      <c r="S41" s="230" t="e">
        <f>IF(INDEX('Equip Data'!S:S,MATCH($D41,'Equip Data'!$A:$A,0))="",0,Main!$S44*10000)</f>
        <v>#N/A</v>
      </c>
      <c r="T41" s="230" t="e">
        <f>IF(INDEX('Equip Data'!T:T,MATCH($D41,'Equip Data'!$A:$A,0))="",0,10000)</f>
        <v>#N/A</v>
      </c>
      <c r="U41" s="230">
        <v>0</v>
      </c>
      <c r="V41" s="230">
        <v>1</v>
      </c>
      <c r="W41" s="230">
        <v>0</v>
      </c>
    </row>
    <row r="42" spans="1:23" x14ac:dyDescent="0.3">
      <c r="A42" s="230" t="str">
        <f>IF(Main!Q45="","",ROW()-1)</f>
        <v/>
      </c>
      <c r="B42" s="230">
        <v>1234567</v>
      </c>
      <c r="C42" s="233" t="e">
        <f t="shared" si="1"/>
        <v>#N/A</v>
      </c>
      <c r="D42" s="230" t="e">
        <f>INDEX('Equip Data'!$A:$A,MATCH(Main!Q45,'Equip Data'!$AG:$AG,0))</f>
        <v>#N/A</v>
      </c>
      <c r="E42" s="230" t="e">
        <f>INDEX('Exp Tables'!$R$3:$V$13,MATCH(F42,'Exp Tables'!$Q$3:$Q$13,0),MATCH(INDEX('Equip Data'!$D:$D,MATCH(Main!Q45,'Equip Data'!$AG:$AG,0)),'Exp Tables'!$R$2:$V$2,0))</f>
        <v>#N/A</v>
      </c>
      <c r="F42" s="230">
        <f>Main!R45</f>
        <v>0</v>
      </c>
      <c r="G42" s="230" t="e">
        <f>IF(INDEX('Equip Data'!G:G,MATCH($D42,'Equip Data'!$A:$A,0))="",0,Main!$S45*10000)</f>
        <v>#N/A</v>
      </c>
      <c r="H42" s="230" t="e">
        <f>IF(INDEX('Equip Data'!H:H,MATCH($D42,'Equip Data'!$A:$A,0))="",0,Main!$S45*10000)</f>
        <v>#N/A</v>
      </c>
      <c r="I42" s="230" t="e">
        <f>IF(INDEX('Equip Data'!I:I,MATCH($D42,'Equip Data'!$A:$A,0))="",0,Main!$S45*10000)</f>
        <v>#N/A</v>
      </c>
      <c r="J42" s="230" t="e">
        <f>IF(INDEX('Equip Data'!J:J,MATCH($D42,'Equip Data'!$A:$A,0))="",0,Main!$S45*10000)</f>
        <v>#N/A</v>
      </c>
      <c r="K42" s="230" t="e">
        <f>IF(INDEX('Equip Data'!K:K,MATCH($D42,'Equip Data'!$A:$A,0))="",0,Main!$S45*10000)</f>
        <v>#N/A</v>
      </c>
      <c r="L42" s="230" t="e">
        <f>IF(INDEX('Equip Data'!L:L,MATCH($D42,'Equip Data'!$A:$A,0))="",0,Main!$S45*10000)</f>
        <v>#N/A</v>
      </c>
      <c r="M42" s="230" t="e">
        <f>IF(INDEX('Equip Data'!M:M,MATCH($D42,'Equip Data'!$A:$A,0))="",0,Main!$S45*10000)</f>
        <v>#N/A</v>
      </c>
      <c r="N42" s="230" t="e">
        <f>IF(INDEX('Equip Data'!N:N,MATCH($D42,'Equip Data'!$A:$A,0))="",0,Main!$S45*10000)</f>
        <v>#N/A</v>
      </c>
      <c r="O42" s="230" t="e">
        <f>IF(INDEX('Equip Data'!O:O,MATCH($D42,'Equip Data'!$A:$A,0))="",0,Main!$S45*10000)</f>
        <v>#N/A</v>
      </c>
      <c r="P42" s="230" t="e">
        <f>IF(INDEX('Equip Data'!P:P,MATCH($D42,'Equip Data'!$A:$A,0))="",0,Main!$S45*10000)</f>
        <v>#N/A</v>
      </c>
      <c r="Q42" s="230" t="e">
        <f>IF(INDEX('Equip Data'!Q:Q,MATCH($D42,'Equip Data'!$A:$A,0))="",0,Main!$S45*10000)</f>
        <v>#N/A</v>
      </c>
      <c r="R42" s="230" t="e">
        <f>IF(INDEX('Equip Data'!R:R,MATCH($D42,'Equip Data'!$A:$A,0))="",0,Main!$S45*10000)</f>
        <v>#N/A</v>
      </c>
      <c r="S42" s="230" t="e">
        <f>IF(INDEX('Equip Data'!S:S,MATCH($D42,'Equip Data'!$A:$A,0))="",0,Main!$S45*10000)</f>
        <v>#N/A</v>
      </c>
      <c r="T42" s="230" t="e">
        <f>IF(INDEX('Equip Data'!T:T,MATCH($D42,'Equip Data'!$A:$A,0))="",0,10000)</f>
        <v>#N/A</v>
      </c>
      <c r="U42" s="230">
        <v>0</v>
      </c>
      <c r="V42" s="230">
        <v>1</v>
      </c>
      <c r="W42" s="230">
        <v>0</v>
      </c>
    </row>
    <row r="43" spans="1:23" x14ac:dyDescent="0.3">
      <c r="A43" s="230" t="str">
        <f>IF(Main!Q46="","",ROW()-1)</f>
        <v/>
      </c>
      <c r="B43" s="230">
        <v>1234567</v>
      </c>
      <c r="C43" s="233" t="e">
        <f t="shared" si="1"/>
        <v>#N/A</v>
      </c>
      <c r="D43" s="230" t="e">
        <f>INDEX('Equip Data'!$A:$A,MATCH(Main!Q46,'Equip Data'!$AG:$AG,0))</f>
        <v>#N/A</v>
      </c>
      <c r="E43" s="230" t="e">
        <f>INDEX('Exp Tables'!$R$3:$V$13,MATCH(F43,'Exp Tables'!$Q$3:$Q$13,0),MATCH(INDEX('Equip Data'!$D:$D,MATCH(Main!Q46,'Equip Data'!$AG:$AG,0)),'Exp Tables'!$R$2:$V$2,0))</f>
        <v>#N/A</v>
      </c>
      <c r="F43" s="230">
        <f>Main!R46</f>
        <v>0</v>
      </c>
      <c r="G43" s="230" t="e">
        <f>IF(INDEX('Equip Data'!G:G,MATCH($D43,'Equip Data'!$A:$A,0))="",0,Main!$S46*10000)</f>
        <v>#N/A</v>
      </c>
      <c r="H43" s="230" t="e">
        <f>IF(INDEX('Equip Data'!H:H,MATCH($D43,'Equip Data'!$A:$A,0))="",0,Main!$S46*10000)</f>
        <v>#N/A</v>
      </c>
      <c r="I43" s="230" t="e">
        <f>IF(INDEX('Equip Data'!I:I,MATCH($D43,'Equip Data'!$A:$A,0))="",0,Main!$S46*10000)</f>
        <v>#N/A</v>
      </c>
      <c r="J43" s="230" t="e">
        <f>IF(INDEX('Equip Data'!J:J,MATCH($D43,'Equip Data'!$A:$A,0))="",0,Main!$S46*10000)</f>
        <v>#N/A</v>
      </c>
      <c r="K43" s="230" t="e">
        <f>IF(INDEX('Equip Data'!K:K,MATCH($D43,'Equip Data'!$A:$A,0))="",0,Main!$S46*10000)</f>
        <v>#N/A</v>
      </c>
      <c r="L43" s="230" t="e">
        <f>IF(INDEX('Equip Data'!L:L,MATCH($D43,'Equip Data'!$A:$A,0))="",0,Main!$S46*10000)</f>
        <v>#N/A</v>
      </c>
      <c r="M43" s="230" t="e">
        <f>IF(INDEX('Equip Data'!M:M,MATCH($D43,'Equip Data'!$A:$A,0))="",0,Main!$S46*10000)</f>
        <v>#N/A</v>
      </c>
      <c r="N43" s="230" t="e">
        <f>IF(INDEX('Equip Data'!N:N,MATCH($D43,'Equip Data'!$A:$A,0))="",0,Main!$S46*10000)</f>
        <v>#N/A</v>
      </c>
      <c r="O43" s="230" t="e">
        <f>IF(INDEX('Equip Data'!O:O,MATCH($D43,'Equip Data'!$A:$A,0))="",0,Main!$S46*10000)</f>
        <v>#N/A</v>
      </c>
      <c r="P43" s="230" t="e">
        <f>IF(INDEX('Equip Data'!P:P,MATCH($D43,'Equip Data'!$A:$A,0))="",0,Main!$S46*10000)</f>
        <v>#N/A</v>
      </c>
      <c r="Q43" s="230" t="e">
        <f>IF(INDEX('Equip Data'!Q:Q,MATCH($D43,'Equip Data'!$A:$A,0))="",0,Main!$S46*10000)</f>
        <v>#N/A</v>
      </c>
      <c r="R43" s="230" t="e">
        <f>IF(INDEX('Equip Data'!R:R,MATCH($D43,'Equip Data'!$A:$A,0))="",0,Main!$S46*10000)</f>
        <v>#N/A</v>
      </c>
      <c r="S43" s="230" t="e">
        <f>IF(INDEX('Equip Data'!S:S,MATCH($D43,'Equip Data'!$A:$A,0))="",0,Main!$S46*10000)</f>
        <v>#N/A</v>
      </c>
      <c r="T43" s="230" t="e">
        <f>IF(INDEX('Equip Data'!T:T,MATCH($D43,'Equip Data'!$A:$A,0))="",0,10000)</f>
        <v>#N/A</v>
      </c>
      <c r="U43" s="230">
        <v>0</v>
      </c>
      <c r="V43" s="230">
        <v>1</v>
      </c>
      <c r="W43" s="230">
        <v>0</v>
      </c>
    </row>
    <row r="44" spans="1:23" x14ac:dyDescent="0.3">
      <c r="A44" s="230" t="str">
        <f>IF(Main!Q47="","",ROW()-1)</f>
        <v/>
      </c>
      <c r="B44" s="230">
        <v>1234567</v>
      </c>
      <c r="C44" s="233" t="e">
        <f t="shared" si="1"/>
        <v>#N/A</v>
      </c>
      <c r="D44" s="230" t="e">
        <f>INDEX('Equip Data'!$A:$A,MATCH(Main!Q47,'Equip Data'!$AG:$AG,0))</f>
        <v>#N/A</v>
      </c>
      <c r="E44" s="230" t="e">
        <f>INDEX('Exp Tables'!$R$3:$V$13,MATCH(F44,'Exp Tables'!$Q$3:$Q$13,0),MATCH(INDEX('Equip Data'!$D:$D,MATCH(Main!Q47,'Equip Data'!$AG:$AG,0)),'Exp Tables'!$R$2:$V$2,0))</f>
        <v>#N/A</v>
      </c>
      <c r="F44" s="230">
        <f>Main!R47</f>
        <v>0</v>
      </c>
      <c r="G44" s="230" t="e">
        <f>IF(INDEX('Equip Data'!G:G,MATCH($D44,'Equip Data'!$A:$A,0))="",0,Main!$S47*10000)</f>
        <v>#N/A</v>
      </c>
      <c r="H44" s="230" t="e">
        <f>IF(INDEX('Equip Data'!H:H,MATCH($D44,'Equip Data'!$A:$A,0))="",0,Main!$S47*10000)</f>
        <v>#N/A</v>
      </c>
      <c r="I44" s="230" t="e">
        <f>IF(INDEX('Equip Data'!I:I,MATCH($D44,'Equip Data'!$A:$A,0))="",0,Main!$S47*10000)</f>
        <v>#N/A</v>
      </c>
      <c r="J44" s="230" t="e">
        <f>IF(INDEX('Equip Data'!J:J,MATCH($D44,'Equip Data'!$A:$A,0))="",0,Main!$S47*10000)</f>
        <v>#N/A</v>
      </c>
      <c r="K44" s="230" t="e">
        <f>IF(INDEX('Equip Data'!K:K,MATCH($D44,'Equip Data'!$A:$A,0))="",0,Main!$S47*10000)</f>
        <v>#N/A</v>
      </c>
      <c r="L44" s="230" t="e">
        <f>IF(INDEX('Equip Data'!L:L,MATCH($D44,'Equip Data'!$A:$A,0))="",0,Main!$S47*10000)</f>
        <v>#N/A</v>
      </c>
      <c r="M44" s="230" t="e">
        <f>IF(INDEX('Equip Data'!M:M,MATCH($D44,'Equip Data'!$A:$A,0))="",0,Main!$S47*10000)</f>
        <v>#N/A</v>
      </c>
      <c r="N44" s="230" t="e">
        <f>IF(INDEX('Equip Data'!N:N,MATCH($D44,'Equip Data'!$A:$A,0))="",0,Main!$S47*10000)</f>
        <v>#N/A</v>
      </c>
      <c r="O44" s="230" t="e">
        <f>IF(INDEX('Equip Data'!O:O,MATCH($D44,'Equip Data'!$A:$A,0))="",0,Main!$S47*10000)</f>
        <v>#N/A</v>
      </c>
      <c r="P44" s="230" t="e">
        <f>IF(INDEX('Equip Data'!P:P,MATCH($D44,'Equip Data'!$A:$A,0))="",0,Main!$S47*10000)</f>
        <v>#N/A</v>
      </c>
      <c r="Q44" s="230" t="e">
        <f>IF(INDEX('Equip Data'!Q:Q,MATCH($D44,'Equip Data'!$A:$A,0))="",0,Main!$S47*10000)</f>
        <v>#N/A</v>
      </c>
      <c r="R44" s="230" t="e">
        <f>IF(INDEX('Equip Data'!R:R,MATCH($D44,'Equip Data'!$A:$A,0))="",0,Main!$S47*10000)</f>
        <v>#N/A</v>
      </c>
      <c r="S44" s="230" t="e">
        <f>IF(INDEX('Equip Data'!S:S,MATCH($D44,'Equip Data'!$A:$A,0))="",0,Main!$S47*10000)</f>
        <v>#N/A</v>
      </c>
      <c r="T44" s="230" t="e">
        <f>IF(INDEX('Equip Data'!T:T,MATCH($D44,'Equip Data'!$A:$A,0))="",0,10000)</f>
        <v>#N/A</v>
      </c>
      <c r="U44" s="230">
        <v>0</v>
      </c>
      <c r="V44" s="230">
        <v>1</v>
      </c>
      <c r="W44" s="230">
        <v>0</v>
      </c>
    </row>
    <row r="45" spans="1:23" x14ac:dyDescent="0.3">
      <c r="A45" s="230" t="str">
        <f>IF(Main!Q48="","",ROW()-1)</f>
        <v/>
      </c>
      <c r="B45" s="230">
        <v>1234567</v>
      </c>
      <c r="C45" s="233" t="e">
        <f t="shared" si="1"/>
        <v>#N/A</v>
      </c>
      <c r="D45" s="230" t="e">
        <f>INDEX('Equip Data'!$A:$A,MATCH(Main!Q48,'Equip Data'!$AG:$AG,0))</f>
        <v>#N/A</v>
      </c>
      <c r="E45" s="230" t="e">
        <f>INDEX('Exp Tables'!$R$3:$V$13,MATCH(F45,'Exp Tables'!$Q$3:$Q$13,0),MATCH(INDEX('Equip Data'!$D:$D,MATCH(Main!Q48,'Equip Data'!$AG:$AG,0)),'Exp Tables'!$R$2:$V$2,0))</f>
        <v>#N/A</v>
      </c>
      <c r="F45" s="230">
        <f>Main!R48</f>
        <v>0</v>
      </c>
      <c r="G45" s="230" t="e">
        <f>IF(INDEX('Equip Data'!G:G,MATCH($D45,'Equip Data'!$A:$A,0))="",0,Main!$S48*10000)</f>
        <v>#N/A</v>
      </c>
      <c r="H45" s="230" t="e">
        <f>IF(INDEX('Equip Data'!H:H,MATCH($D45,'Equip Data'!$A:$A,0))="",0,Main!$S48*10000)</f>
        <v>#N/A</v>
      </c>
      <c r="I45" s="230" t="e">
        <f>IF(INDEX('Equip Data'!I:I,MATCH($D45,'Equip Data'!$A:$A,0))="",0,Main!$S48*10000)</f>
        <v>#N/A</v>
      </c>
      <c r="J45" s="230" t="e">
        <f>IF(INDEX('Equip Data'!J:J,MATCH($D45,'Equip Data'!$A:$A,0))="",0,Main!$S48*10000)</f>
        <v>#N/A</v>
      </c>
      <c r="K45" s="230" t="e">
        <f>IF(INDEX('Equip Data'!K:K,MATCH($D45,'Equip Data'!$A:$A,0))="",0,Main!$S48*10000)</f>
        <v>#N/A</v>
      </c>
      <c r="L45" s="230" t="e">
        <f>IF(INDEX('Equip Data'!L:L,MATCH($D45,'Equip Data'!$A:$A,0))="",0,Main!$S48*10000)</f>
        <v>#N/A</v>
      </c>
      <c r="M45" s="230" t="e">
        <f>IF(INDEX('Equip Data'!M:M,MATCH($D45,'Equip Data'!$A:$A,0))="",0,Main!$S48*10000)</f>
        <v>#N/A</v>
      </c>
      <c r="N45" s="230" t="e">
        <f>IF(INDEX('Equip Data'!N:N,MATCH($D45,'Equip Data'!$A:$A,0))="",0,Main!$S48*10000)</f>
        <v>#N/A</v>
      </c>
      <c r="O45" s="230" t="e">
        <f>IF(INDEX('Equip Data'!O:O,MATCH($D45,'Equip Data'!$A:$A,0))="",0,Main!$S48*10000)</f>
        <v>#N/A</v>
      </c>
      <c r="P45" s="230" t="e">
        <f>IF(INDEX('Equip Data'!P:P,MATCH($D45,'Equip Data'!$A:$A,0))="",0,Main!$S48*10000)</f>
        <v>#N/A</v>
      </c>
      <c r="Q45" s="230" t="e">
        <f>IF(INDEX('Equip Data'!Q:Q,MATCH($D45,'Equip Data'!$A:$A,0))="",0,Main!$S48*10000)</f>
        <v>#N/A</v>
      </c>
      <c r="R45" s="230" t="e">
        <f>IF(INDEX('Equip Data'!R:R,MATCH($D45,'Equip Data'!$A:$A,0))="",0,Main!$S48*10000)</f>
        <v>#N/A</v>
      </c>
      <c r="S45" s="230" t="e">
        <f>IF(INDEX('Equip Data'!S:S,MATCH($D45,'Equip Data'!$A:$A,0))="",0,Main!$S48*10000)</f>
        <v>#N/A</v>
      </c>
      <c r="T45" s="230" t="e">
        <f>IF(INDEX('Equip Data'!T:T,MATCH($D45,'Equip Data'!$A:$A,0))="",0,10000)</f>
        <v>#N/A</v>
      </c>
      <c r="U45" s="230">
        <v>0</v>
      </c>
      <c r="V45" s="230">
        <v>1</v>
      </c>
      <c r="W45" s="230">
        <v>0</v>
      </c>
    </row>
    <row r="46" spans="1:23" x14ac:dyDescent="0.3">
      <c r="A46" s="234" t="str">
        <f>IF(Main!Q49="","",ROW()-1)</f>
        <v/>
      </c>
      <c r="B46" s="234">
        <v>1234567</v>
      </c>
      <c r="C46" s="235" t="e">
        <f t="shared" si="1"/>
        <v>#N/A</v>
      </c>
      <c r="D46" s="234" t="e">
        <f>INDEX('Equip Data'!$A:$A,MATCH(Main!Q49,'Equip Data'!$AG:$AG,0))</f>
        <v>#N/A</v>
      </c>
      <c r="E46" s="234" t="e">
        <f>INDEX('Exp Tables'!$R$3:$V$13,MATCH(F46,'Exp Tables'!$Q$3:$Q$13,0),MATCH(INDEX('Equip Data'!$D:$D,MATCH(Main!Q49,'Equip Data'!$AG:$AG,0)),'Exp Tables'!$R$2:$V$2,0))</f>
        <v>#N/A</v>
      </c>
      <c r="F46" s="234">
        <f>Main!R49</f>
        <v>0</v>
      </c>
      <c r="G46" s="234" t="e">
        <f>IF(INDEX('Equip Data'!G:G,MATCH($D46,'Equip Data'!$A:$A,0))="",0,Main!$S49*10000)</f>
        <v>#N/A</v>
      </c>
      <c r="H46" s="234" t="e">
        <f>IF(INDEX('Equip Data'!H:H,MATCH($D46,'Equip Data'!$A:$A,0))="",0,Main!$S49*10000)</f>
        <v>#N/A</v>
      </c>
      <c r="I46" s="234" t="e">
        <f>IF(INDEX('Equip Data'!I:I,MATCH($D46,'Equip Data'!$A:$A,0))="",0,Main!$S49*10000)</f>
        <v>#N/A</v>
      </c>
      <c r="J46" s="234" t="e">
        <f>IF(INDEX('Equip Data'!J:J,MATCH($D46,'Equip Data'!$A:$A,0))="",0,Main!$S49*10000)</f>
        <v>#N/A</v>
      </c>
      <c r="K46" s="234" t="e">
        <f>IF(INDEX('Equip Data'!K:K,MATCH($D46,'Equip Data'!$A:$A,0))="",0,Main!$S49*10000)</f>
        <v>#N/A</v>
      </c>
      <c r="L46" s="234" t="e">
        <f>IF(INDEX('Equip Data'!L:L,MATCH($D46,'Equip Data'!$A:$A,0))="",0,Main!$S49*10000)</f>
        <v>#N/A</v>
      </c>
      <c r="M46" s="234" t="e">
        <f>IF(INDEX('Equip Data'!M:M,MATCH($D46,'Equip Data'!$A:$A,0))="",0,Main!$S49*10000)</f>
        <v>#N/A</v>
      </c>
      <c r="N46" s="234" t="e">
        <f>IF(INDEX('Equip Data'!N:N,MATCH($D46,'Equip Data'!$A:$A,0))="",0,Main!$S49*10000)</f>
        <v>#N/A</v>
      </c>
      <c r="O46" s="234" t="e">
        <f>IF(INDEX('Equip Data'!O:O,MATCH($D46,'Equip Data'!$A:$A,0))="",0,Main!$S49*10000)</f>
        <v>#N/A</v>
      </c>
      <c r="P46" s="234" t="e">
        <f>IF(INDEX('Equip Data'!P:P,MATCH($D46,'Equip Data'!$A:$A,0))="",0,Main!$S49*10000)</f>
        <v>#N/A</v>
      </c>
      <c r="Q46" s="234" t="e">
        <f>IF(INDEX('Equip Data'!Q:Q,MATCH($D46,'Equip Data'!$A:$A,0))="",0,Main!$S49*10000)</f>
        <v>#N/A</v>
      </c>
      <c r="R46" s="234" t="e">
        <f>IF(INDEX('Equip Data'!R:R,MATCH($D46,'Equip Data'!$A:$A,0))="",0,Main!$S49*10000)</f>
        <v>#N/A</v>
      </c>
      <c r="S46" s="234" t="e">
        <f>IF(INDEX('Equip Data'!S:S,MATCH($D46,'Equip Data'!$A:$A,0))="",0,Main!$S49*10000)</f>
        <v>#N/A</v>
      </c>
      <c r="T46" s="234" t="e">
        <f>IF(INDEX('Equip Data'!T:T,MATCH($D46,'Equip Data'!$A:$A,0))="",0,10000)</f>
        <v>#N/A</v>
      </c>
      <c r="U46" s="234">
        <v>0</v>
      </c>
      <c r="V46" s="234">
        <v>1</v>
      </c>
      <c r="W46" s="234">
        <v>0</v>
      </c>
    </row>
    <row r="47" spans="1:23" x14ac:dyDescent="0.3">
      <c r="A47" s="232" t="str">
        <f>IF(Main!U35="","",ROW()-1)</f>
        <v/>
      </c>
      <c r="B47" s="232">
        <v>1234567</v>
      </c>
      <c r="C47" s="232" t="e">
        <f>C32</f>
        <v>#N/A</v>
      </c>
      <c r="D47" s="232" t="e">
        <f>INDEX('Equip Data'!$A:$A,MATCH(Main!U35,'Equip Data'!$AG:$AG,0))</f>
        <v>#N/A</v>
      </c>
      <c r="E47" s="232" t="e">
        <f>INDEX('Exp Tables'!$R$3:$V$13,MATCH(F47,'Exp Tables'!$Q$3:$Q$13,0),MATCH(INDEX('Equip Data'!$D:$D,MATCH(Main!U35,'Equip Data'!$AG:$AG,0)),'Exp Tables'!$R$2:$V$2,0))</f>
        <v>#N/A</v>
      </c>
      <c r="F47" s="232">
        <f>Main!V35</f>
        <v>0</v>
      </c>
      <c r="G47" s="232" t="e">
        <f>IF(INDEX('Equip Data'!G:G,MATCH($D47,'Equip Data'!$A:$A,0))="",0,Main!$W35*10000)</f>
        <v>#N/A</v>
      </c>
      <c r="H47" s="232" t="e">
        <f>IF(INDEX('Equip Data'!H:H,MATCH($D47,'Equip Data'!$A:$A,0))="",0,Main!$W35*10000)</f>
        <v>#N/A</v>
      </c>
      <c r="I47" s="232" t="e">
        <f>IF(INDEX('Equip Data'!I:I,MATCH($D47,'Equip Data'!$A:$A,0))="",0,Main!$W35*10000)</f>
        <v>#N/A</v>
      </c>
      <c r="J47" s="232" t="e">
        <f>IF(INDEX('Equip Data'!J:J,MATCH($D47,'Equip Data'!$A:$A,0))="",0,Main!$W35*10000)</f>
        <v>#N/A</v>
      </c>
      <c r="K47" s="232" t="e">
        <f>IF(INDEX('Equip Data'!K:K,MATCH($D47,'Equip Data'!$A:$A,0))="",0,Main!$W35*10000)</f>
        <v>#N/A</v>
      </c>
      <c r="L47" s="232" t="e">
        <f>IF(INDEX('Equip Data'!L:L,MATCH($D47,'Equip Data'!$A:$A,0))="",0,Main!$W35*10000)</f>
        <v>#N/A</v>
      </c>
      <c r="M47" s="232" t="e">
        <f>IF(INDEX('Equip Data'!M:M,MATCH($D47,'Equip Data'!$A:$A,0))="",0,Main!$W35*10000)</f>
        <v>#N/A</v>
      </c>
      <c r="N47" s="232" t="e">
        <f>IF(INDEX('Equip Data'!N:N,MATCH($D47,'Equip Data'!$A:$A,0))="",0,Main!$W35*10000)</f>
        <v>#N/A</v>
      </c>
      <c r="O47" s="232" t="e">
        <f>IF(INDEX('Equip Data'!O:O,MATCH($D47,'Equip Data'!$A:$A,0))="",0,Main!$W35*10000)</f>
        <v>#N/A</v>
      </c>
      <c r="P47" s="232" t="e">
        <f>IF(INDEX('Equip Data'!P:P,MATCH($D47,'Equip Data'!$A:$A,0))="",0,Main!$W35*10000)</f>
        <v>#N/A</v>
      </c>
      <c r="Q47" s="232" t="e">
        <f>IF(INDEX('Equip Data'!Q:Q,MATCH($D47,'Equip Data'!$A:$A,0))="",0,Main!$W35*10000)</f>
        <v>#N/A</v>
      </c>
      <c r="R47" s="232" t="e">
        <f>IF(INDEX('Equip Data'!R:R,MATCH($D47,'Equip Data'!$A:$A,0))="",0,Main!$W35*10000)</f>
        <v>#N/A</v>
      </c>
      <c r="S47" s="232" t="e">
        <f>IF(INDEX('Equip Data'!S:S,MATCH($D47,'Equip Data'!$A:$A,0))="",0,Main!$W35*10000)</f>
        <v>#N/A</v>
      </c>
      <c r="T47" s="232" t="e">
        <f>IF(INDEX('Equip Data'!T:T,MATCH($D47,'Equip Data'!$A:$A,0))="",0,10000)</f>
        <v>#N/A</v>
      </c>
      <c r="U47" s="232">
        <v>0</v>
      </c>
      <c r="V47" s="232">
        <v>1</v>
      </c>
      <c r="W47" s="232">
        <v>0</v>
      </c>
    </row>
    <row r="48" spans="1:23" x14ac:dyDescent="0.3">
      <c r="A48" s="230" t="str">
        <f>IF(Main!U36="","",ROW()-1)</f>
        <v/>
      </c>
      <c r="B48" s="230">
        <v>1234567</v>
      </c>
      <c r="C48" s="233" t="e">
        <f t="shared" ref="C48:C61" si="2">C33</f>
        <v>#N/A</v>
      </c>
      <c r="D48" s="230" t="e">
        <f>INDEX('Equip Data'!$A:$A,MATCH(Main!U36,'Equip Data'!$AG:$AG,0))</f>
        <v>#N/A</v>
      </c>
      <c r="E48" s="230" t="e">
        <f>INDEX('Exp Tables'!$R$3:$V$13,MATCH(F48,'Exp Tables'!$Q$3:$Q$13,0),MATCH(INDEX('Equip Data'!$D:$D,MATCH(Main!U36,'Equip Data'!$AG:$AG,0)),'Exp Tables'!$R$2:$V$2,0))</f>
        <v>#N/A</v>
      </c>
      <c r="F48" s="230">
        <f>Main!V36</f>
        <v>0</v>
      </c>
      <c r="G48" s="230" t="e">
        <f>IF(INDEX('Equip Data'!G:G,MATCH($D48,'Equip Data'!$A:$A,0))="",0,Main!$W36*10000)</f>
        <v>#N/A</v>
      </c>
      <c r="H48" s="230" t="e">
        <f>IF(INDEX('Equip Data'!H:H,MATCH($D48,'Equip Data'!$A:$A,0))="",0,Main!$W36*10000)</f>
        <v>#N/A</v>
      </c>
      <c r="I48" s="230" t="e">
        <f>IF(INDEX('Equip Data'!I:I,MATCH($D48,'Equip Data'!$A:$A,0))="",0,Main!$W36*10000)</f>
        <v>#N/A</v>
      </c>
      <c r="J48" s="230" t="e">
        <f>IF(INDEX('Equip Data'!J:J,MATCH($D48,'Equip Data'!$A:$A,0))="",0,Main!$W36*10000)</f>
        <v>#N/A</v>
      </c>
      <c r="K48" s="230" t="e">
        <f>IF(INDEX('Equip Data'!K:K,MATCH($D48,'Equip Data'!$A:$A,0))="",0,Main!$W36*10000)</f>
        <v>#N/A</v>
      </c>
      <c r="L48" s="230" t="e">
        <f>IF(INDEX('Equip Data'!L:L,MATCH($D48,'Equip Data'!$A:$A,0))="",0,Main!$W36*10000)</f>
        <v>#N/A</v>
      </c>
      <c r="M48" s="230" t="e">
        <f>IF(INDEX('Equip Data'!M:M,MATCH($D48,'Equip Data'!$A:$A,0))="",0,Main!$W36*10000)</f>
        <v>#N/A</v>
      </c>
      <c r="N48" s="230" t="e">
        <f>IF(INDEX('Equip Data'!N:N,MATCH($D48,'Equip Data'!$A:$A,0))="",0,Main!$W36*10000)</f>
        <v>#N/A</v>
      </c>
      <c r="O48" s="230" t="e">
        <f>IF(INDEX('Equip Data'!O:O,MATCH($D48,'Equip Data'!$A:$A,0))="",0,Main!$W36*10000)</f>
        <v>#N/A</v>
      </c>
      <c r="P48" s="230" t="e">
        <f>IF(INDEX('Equip Data'!P:P,MATCH($D48,'Equip Data'!$A:$A,0))="",0,Main!$W36*10000)</f>
        <v>#N/A</v>
      </c>
      <c r="Q48" s="230" t="e">
        <f>IF(INDEX('Equip Data'!Q:Q,MATCH($D48,'Equip Data'!$A:$A,0))="",0,Main!$W36*10000)</f>
        <v>#N/A</v>
      </c>
      <c r="R48" s="230" t="e">
        <f>IF(INDEX('Equip Data'!R:R,MATCH($D48,'Equip Data'!$A:$A,0))="",0,Main!$W36*10000)</f>
        <v>#N/A</v>
      </c>
      <c r="S48" s="230" t="e">
        <f>IF(INDEX('Equip Data'!S:S,MATCH($D48,'Equip Data'!$A:$A,0))="",0,Main!$W36*10000)</f>
        <v>#N/A</v>
      </c>
      <c r="T48" s="230" t="e">
        <f>IF(INDEX('Equip Data'!T:T,MATCH($D48,'Equip Data'!$A:$A,0))="",0,10000)</f>
        <v>#N/A</v>
      </c>
      <c r="U48" s="230">
        <v>0</v>
      </c>
      <c r="V48" s="230">
        <v>1</v>
      </c>
      <c r="W48" s="230">
        <v>0</v>
      </c>
    </row>
    <row r="49" spans="1:23" x14ac:dyDescent="0.3">
      <c r="A49" s="230" t="str">
        <f>IF(Main!U37="","",ROW()-1)</f>
        <v/>
      </c>
      <c r="B49" s="230">
        <v>1234567</v>
      </c>
      <c r="C49" s="233" t="e">
        <f t="shared" si="2"/>
        <v>#N/A</v>
      </c>
      <c r="D49" s="230" t="e">
        <f>INDEX('Equip Data'!$A:$A,MATCH(Main!U37,'Equip Data'!$AG:$AG,0))</f>
        <v>#N/A</v>
      </c>
      <c r="E49" s="230" t="e">
        <f>INDEX('Exp Tables'!$R$3:$V$13,MATCH(F49,'Exp Tables'!$Q$3:$Q$13,0),MATCH(INDEX('Equip Data'!$D:$D,MATCH(Main!U37,'Equip Data'!$AG:$AG,0)),'Exp Tables'!$R$2:$V$2,0))</f>
        <v>#N/A</v>
      </c>
      <c r="F49" s="230">
        <f>Main!V37</f>
        <v>0</v>
      </c>
      <c r="G49" s="230" t="e">
        <f>IF(INDEX('Equip Data'!G:G,MATCH($D49,'Equip Data'!$A:$A,0))="",0,Main!$W37*10000)</f>
        <v>#N/A</v>
      </c>
      <c r="H49" s="230" t="e">
        <f>IF(INDEX('Equip Data'!H:H,MATCH($D49,'Equip Data'!$A:$A,0))="",0,Main!$W37*10000)</f>
        <v>#N/A</v>
      </c>
      <c r="I49" s="230" t="e">
        <f>IF(INDEX('Equip Data'!I:I,MATCH($D49,'Equip Data'!$A:$A,0))="",0,Main!$W37*10000)</f>
        <v>#N/A</v>
      </c>
      <c r="J49" s="230" t="e">
        <f>IF(INDEX('Equip Data'!J:J,MATCH($D49,'Equip Data'!$A:$A,0))="",0,Main!$W37*10000)</f>
        <v>#N/A</v>
      </c>
      <c r="K49" s="230" t="e">
        <f>IF(INDEX('Equip Data'!K:K,MATCH($D49,'Equip Data'!$A:$A,0))="",0,Main!$W37*10000)</f>
        <v>#N/A</v>
      </c>
      <c r="L49" s="230" t="e">
        <f>IF(INDEX('Equip Data'!L:L,MATCH($D49,'Equip Data'!$A:$A,0))="",0,Main!$W37*10000)</f>
        <v>#N/A</v>
      </c>
      <c r="M49" s="230" t="e">
        <f>IF(INDEX('Equip Data'!M:M,MATCH($D49,'Equip Data'!$A:$A,0))="",0,Main!$W37*10000)</f>
        <v>#N/A</v>
      </c>
      <c r="N49" s="230" t="e">
        <f>IF(INDEX('Equip Data'!N:N,MATCH($D49,'Equip Data'!$A:$A,0))="",0,Main!$W37*10000)</f>
        <v>#N/A</v>
      </c>
      <c r="O49" s="230" t="e">
        <f>IF(INDEX('Equip Data'!O:O,MATCH($D49,'Equip Data'!$A:$A,0))="",0,Main!$W37*10000)</f>
        <v>#N/A</v>
      </c>
      <c r="P49" s="230" t="e">
        <f>IF(INDEX('Equip Data'!P:P,MATCH($D49,'Equip Data'!$A:$A,0))="",0,Main!$W37*10000)</f>
        <v>#N/A</v>
      </c>
      <c r="Q49" s="230" t="e">
        <f>IF(INDEX('Equip Data'!Q:Q,MATCH($D49,'Equip Data'!$A:$A,0))="",0,Main!$W37*10000)</f>
        <v>#N/A</v>
      </c>
      <c r="R49" s="230" t="e">
        <f>IF(INDEX('Equip Data'!R:R,MATCH($D49,'Equip Data'!$A:$A,0))="",0,Main!$W37*10000)</f>
        <v>#N/A</v>
      </c>
      <c r="S49" s="230" t="e">
        <f>IF(INDEX('Equip Data'!S:S,MATCH($D49,'Equip Data'!$A:$A,0))="",0,Main!$W37*10000)</f>
        <v>#N/A</v>
      </c>
      <c r="T49" s="230" t="e">
        <f>IF(INDEX('Equip Data'!T:T,MATCH($D49,'Equip Data'!$A:$A,0))="",0,10000)</f>
        <v>#N/A</v>
      </c>
      <c r="U49" s="230">
        <v>0</v>
      </c>
      <c r="V49" s="230">
        <v>1</v>
      </c>
      <c r="W49" s="230">
        <v>0</v>
      </c>
    </row>
    <row r="50" spans="1:23" x14ac:dyDescent="0.3">
      <c r="A50" s="230" t="str">
        <f>IF(Main!U38="","",ROW()-1)</f>
        <v/>
      </c>
      <c r="B50" s="230">
        <v>1234567</v>
      </c>
      <c r="C50" s="233" t="e">
        <f t="shared" si="2"/>
        <v>#N/A</v>
      </c>
      <c r="D50" s="230" t="e">
        <f>INDEX('Equip Data'!$A:$A,MATCH(Main!U38,'Equip Data'!$AG:$AG,0))</f>
        <v>#N/A</v>
      </c>
      <c r="E50" s="230" t="e">
        <f>INDEX('Exp Tables'!$R$3:$V$13,MATCH(F50,'Exp Tables'!$Q$3:$Q$13,0),MATCH(INDEX('Equip Data'!$D:$D,MATCH(Main!U38,'Equip Data'!$AG:$AG,0)),'Exp Tables'!$R$2:$V$2,0))</f>
        <v>#N/A</v>
      </c>
      <c r="F50" s="230">
        <f>Main!V38</f>
        <v>0</v>
      </c>
      <c r="G50" s="230" t="e">
        <f>IF(INDEX('Equip Data'!G:G,MATCH($D50,'Equip Data'!$A:$A,0))="",0,Main!$W38*10000)</f>
        <v>#N/A</v>
      </c>
      <c r="H50" s="230" t="e">
        <f>IF(INDEX('Equip Data'!H:H,MATCH($D50,'Equip Data'!$A:$A,0))="",0,Main!$W38*10000)</f>
        <v>#N/A</v>
      </c>
      <c r="I50" s="230" t="e">
        <f>IF(INDEX('Equip Data'!I:I,MATCH($D50,'Equip Data'!$A:$A,0))="",0,Main!$W38*10000)</f>
        <v>#N/A</v>
      </c>
      <c r="J50" s="230" t="e">
        <f>IF(INDEX('Equip Data'!J:J,MATCH($D50,'Equip Data'!$A:$A,0))="",0,Main!$W38*10000)</f>
        <v>#N/A</v>
      </c>
      <c r="K50" s="230" t="e">
        <f>IF(INDEX('Equip Data'!K:K,MATCH($D50,'Equip Data'!$A:$A,0))="",0,Main!$W38*10000)</f>
        <v>#N/A</v>
      </c>
      <c r="L50" s="230" t="e">
        <f>IF(INDEX('Equip Data'!L:L,MATCH($D50,'Equip Data'!$A:$A,0))="",0,Main!$W38*10000)</f>
        <v>#N/A</v>
      </c>
      <c r="M50" s="230" t="e">
        <f>IF(INDEX('Equip Data'!M:M,MATCH($D50,'Equip Data'!$A:$A,0))="",0,Main!$W38*10000)</f>
        <v>#N/A</v>
      </c>
      <c r="N50" s="230" t="e">
        <f>IF(INDEX('Equip Data'!N:N,MATCH($D50,'Equip Data'!$A:$A,0))="",0,Main!$W38*10000)</f>
        <v>#N/A</v>
      </c>
      <c r="O50" s="230" t="e">
        <f>IF(INDEX('Equip Data'!O:O,MATCH($D50,'Equip Data'!$A:$A,0))="",0,Main!$W38*10000)</f>
        <v>#N/A</v>
      </c>
      <c r="P50" s="230" t="e">
        <f>IF(INDEX('Equip Data'!P:P,MATCH($D50,'Equip Data'!$A:$A,0))="",0,Main!$W38*10000)</f>
        <v>#N/A</v>
      </c>
      <c r="Q50" s="230" t="e">
        <f>IF(INDEX('Equip Data'!Q:Q,MATCH($D50,'Equip Data'!$A:$A,0))="",0,Main!$W38*10000)</f>
        <v>#N/A</v>
      </c>
      <c r="R50" s="230" t="e">
        <f>IF(INDEX('Equip Data'!R:R,MATCH($D50,'Equip Data'!$A:$A,0))="",0,Main!$W38*10000)</f>
        <v>#N/A</v>
      </c>
      <c r="S50" s="230" t="e">
        <f>IF(INDEX('Equip Data'!S:S,MATCH($D50,'Equip Data'!$A:$A,0))="",0,Main!$W38*10000)</f>
        <v>#N/A</v>
      </c>
      <c r="T50" s="230" t="e">
        <f>IF(INDEX('Equip Data'!T:T,MATCH($D50,'Equip Data'!$A:$A,0))="",0,10000)</f>
        <v>#N/A</v>
      </c>
      <c r="U50" s="230">
        <v>0</v>
      </c>
      <c r="V50" s="230">
        <v>1</v>
      </c>
      <c r="W50" s="230">
        <v>0</v>
      </c>
    </row>
    <row r="51" spans="1:23" x14ac:dyDescent="0.3">
      <c r="A51" s="230" t="str">
        <f>IF(Main!U39="","",ROW()-1)</f>
        <v/>
      </c>
      <c r="B51" s="230">
        <v>1234567</v>
      </c>
      <c r="C51" s="233" t="e">
        <f t="shared" si="2"/>
        <v>#N/A</v>
      </c>
      <c r="D51" s="230" t="e">
        <f>INDEX('Equip Data'!$A:$A,MATCH(Main!U39,'Equip Data'!$AG:$AG,0))</f>
        <v>#N/A</v>
      </c>
      <c r="E51" s="230" t="e">
        <f>INDEX('Exp Tables'!$R$3:$V$13,MATCH(F51,'Exp Tables'!$Q$3:$Q$13,0),MATCH(INDEX('Equip Data'!$D:$D,MATCH(Main!U39,'Equip Data'!$AG:$AG,0)),'Exp Tables'!$R$2:$V$2,0))</f>
        <v>#N/A</v>
      </c>
      <c r="F51" s="230">
        <f>Main!V39</f>
        <v>0</v>
      </c>
      <c r="G51" s="230" t="e">
        <f>IF(INDEX('Equip Data'!G:G,MATCH($D51,'Equip Data'!$A:$A,0))="",0,Main!$W39*10000)</f>
        <v>#N/A</v>
      </c>
      <c r="H51" s="230" t="e">
        <f>IF(INDEX('Equip Data'!H:H,MATCH($D51,'Equip Data'!$A:$A,0))="",0,Main!$W39*10000)</f>
        <v>#N/A</v>
      </c>
      <c r="I51" s="230" t="e">
        <f>IF(INDEX('Equip Data'!I:I,MATCH($D51,'Equip Data'!$A:$A,0))="",0,Main!$W39*10000)</f>
        <v>#N/A</v>
      </c>
      <c r="J51" s="230" t="e">
        <f>IF(INDEX('Equip Data'!J:J,MATCH($D51,'Equip Data'!$A:$A,0))="",0,Main!$W39*10000)</f>
        <v>#N/A</v>
      </c>
      <c r="K51" s="230" t="e">
        <f>IF(INDEX('Equip Data'!K:K,MATCH($D51,'Equip Data'!$A:$A,0))="",0,Main!$W39*10000)</f>
        <v>#N/A</v>
      </c>
      <c r="L51" s="230" t="e">
        <f>IF(INDEX('Equip Data'!L:L,MATCH($D51,'Equip Data'!$A:$A,0))="",0,Main!$W39*10000)</f>
        <v>#N/A</v>
      </c>
      <c r="M51" s="230" t="e">
        <f>IF(INDEX('Equip Data'!M:M,MATCH($D51,'Equip Data'!$A:$A,0))="",0,Main!$W39*10000)</f>
        <v>#N/A</v>
      </c>
      <c r="N51" s="230" t="e">
        <f>IF(INDEX('Equip Data'!N:N,MATCH($D51,'Equip Data'!$A:$A,0))="",0,Main!$W39*10000)</f>
        <v>#N/A</v>
      </c>
      <c r="O51" s="230" t="e">
        <f>IF(INDEX('Equip Data'!O:O,MATCH($D51,'Equip Data'!$A:$A,0))="",0,Main!$W39*10000)</f>
        <v>#N/A</v>
      </c>
      <c r="P51" s="230" t="e">
        <f>IF(INDEX('Equip Data'!P:P,MATCH($D51,'Equip Data'!$A:$A,0))="",0,Main!$W39*10000)</f>
        <v>#N/A</v>
      </c>
      <c r="Q51" s="230" t="e">
        <f>IF(INDEX('Equip Data'!Q:Q,MATCH($D51,'Equip Data'!$A:$A,0))="",0,Main!$W39*10000)</f>
        <v>#N/A</v>
      </c>
      <c r="R51" s="230" t="e">
        <f>IF(INDEX('Equip Data'!R:R,MATCH($D51,'Equip Data'!$A:$A,0))="",0,Main!$W39*10000)</f>
        <v>#N/A</v>
      </c>
      <c r="S51" s="230" t="e">
        <f>IF(INDEX('Equip Data'!S:S,MATCH($D51,'Equip Data'!$A:$A,0))="",0,Main!$W39*10000)</f>
        <v>#N/A</v>
      </c>
      <c r="T51" s="230" t="e">
        <f>IF(INDEX('Equip Data'!T:T,MATCH($D51,'Equip Data'!$A:$A,0))="",0,10000)</f>
        <v>#N/A</v>
      </c>
      <c r="U51" s="230">
        <v>0</v>
      </c>
      <c r="V51" s="230">
        <v>1</v>
      </c>
      <c r="W51" s="230">
        <v>0</v>
      </c>
    </row>
    <row r="52" spans="1:23" x14ac:dyDescent="0.3">
      <c r="A52" s="230" t="str">
        <f>IF(Main!U40="","",ROW()-1)</f>
        <v/>
      </c>
      <c r="B52" s="230">
        <v>1234567</v>
      </c>
      <c r="C52" s="233" t="e">
        <f t="shared" si="2"/>
        <v>#N/A</v>
      </c>
      <c r="D52" s="230" t="e">
        <f>INDEX('Equip Data'!$A:$A,MATCH(Main!U40,'Equip Data'!$AG:$AG,0))</f>
        <v>#N/A</v>
      </c>
      <c r="E52" s="230" t="e">
        <f>INDEX('Exp Tables'!$R$3:$V$13,MATCH(F52,'Exp Tables'!$Q$3:$Q$13,0),MATCH(INDEX('Equip Data'!$D:$D,MATCH(Main!U40,'Equip Data'!$AG:$AG,0)),'Exp Tables'!$R$2:$V$2,0))</f>
        <v>#N/A</v>
      </c>
      <c r="F52" s="230">
        <f>Main!V40</f>
        <v>0</v>
      </c>
      <c r="G52" s="230" t="e">
        <f>IF(INDEX('Equip Data'!G:G,MATCH($D52,'Equip Data'!$A:$A,0))="",0,Main!$W40*10000)</f>
        <v>#N/A</v>
      </c>
      <c r="H52" s="230" t="e">
        <f>IF(INDEX('Equip Data'!H:H,MATCH($D52,'Equip Data'!$A:$A,0))="",0,Main!$W40*10000)</f>
        <v>#N/A</v>
      </c>
      <c r="I52" s="230" t="e">
        <f>IF(INDEX('Equip Data'!I:I,MATCH($D52,'Equip Data'!$A:$A,0))="",0,Main!$W40*10000)</f>
        <v>#N/A</v>
      </c>
      <c r="J52" s="230" t="e">
        <f>IF(INDEX('Equip Data'!J:J,MATCH($D52,'Equip Data'!$A:$A,0))="",0,Main!$W40*10000)</f>
        <v>#N/A</v>
      </c>
      <c r="K52" s="230" t="e">
        <f>IF(INDEX('Equip Data'!K:K,MATCH($D52,'Equip Data'!$A:$A,0))="",0,Main!$W40*10000)</f>
        <v>#N/A</v>
      </c>
      <c r="L52" s="230" t="e">
        <f>IF(INDEX('Equip Data'!L:L,MATCH($D52,'Equip Data'!$A:$A,0))="",0,Main!$W40*10000)</f>
        <v>#N/A</v>
      </c>
      <c r="M52" s="230" t="e">
        <f>IF(INDEX('Equip Data'!M:M,MATCH($D52,'Equip Data'!$A:$A,0))="",0,Main!$W40*10000)</f>
        <v>#N/A</v>
      </c>
      <c r="N52" s="230" t="e">
        <f>IF(INDEX('Equip Data'!N:N,MATCH($D52,'Equip Data'!$A:$A,0))="",0,Main!$W40*10000)</f>
        <v>#N/A</v>
      </c>
      <c r="O52" s="230" t="e">
        <f>IF(INDEX('Equip Data'!O:O,MATCH($D52,'Equip Data'!$A:$A,0))="",0,Main!$W40*10000)</f>
        <v>#N/A</v>
      </c>
      <c r="P52" s="230" t="e">
        <f>IF(INDEX('Equip Data'!P:P,MATCH($D52,'Equip Data'!$A:$A,0))="",0,Main!$W40*10000)</f>
        <v>#N/A</v>
      </c>
      <c r="Q52" s="230" t="e">
        <f>IF(INDEX('Equip Data'!Q:Q,MATCH($D52,'Equip Data'!$A:$A,0))="",0,Main!$W40*10000)</f>
        <v>#N/A</v>
      </c>
      <c r="R52" s="230" t="e">
        <f>IF(INDEX('Equip Data'!R:R,MATCH($D52,'Equip Data'!$A:$A,0))="",0,Main!$W40*10000)</f>
        <v>#N/A</v>
      </c>
      <c r="S52" s="230" t="e">
        <f>IF(INDEX('Equip Data'!S:S,MATCH($D52,'Equip Data'!$A:$A,0))="",0,Main!$W40*10000)</f>
        <v>#N/A</v>
      </c>
      <c r="T52" s="230" t="e">
        <f>IF(INDEX('Equip Data'!T:T,MATCH($D52,'Equip Data'!$A:$A,0))="",0,10000)</f>
        <v>#N/A</v>
      </c>
      <c r="U52" s="230">
        <v>0</v>
      </c>
      <c r="V52" s="230">
        <v>1</v>
      </c>
      <c r="W52" s="230">
        <v>0</v>
      </c>
    </row>
    <row r="53" spans="1:23" x14ac:dyDescent="0.3">
      <c r="A53" s="230" t="str">
        <f>IF(Main!U41="","",ROW()-1)</f>
        <v/>
      </c>
      <c r="B53" s="230">
        <v>1234567</v>
      </c>
      <c r="C53" s="233" t="e">
        <f t="shared" si="2"/>
        <v>#N/A</v>
      </c>
      <c r="D53" s="230" t="e">
        <f>INDEX('Equip Data'!$A:$A,MATCH(Main!U41,'Equip Data'!$AG:$AG,0))</f>
        <v>#N/A</v>
      </c>
      <c r="E53" s="230" t="e">
        <f>INDEX('Exp Tables'!$R$3:$V$13,MATCH(F53,'Exp Tables'!$Q$3:$Q$13,0),MATCH(INDEX('Equip Data'!$D:$D,MATCH(Main!U41,'Equip Data'!$AG:$AG,0)),'Exp Tables'!$R$2:$V$2,0))</f>
        <v>#N/A</v>
      </c>
      <c r="F53" s="230">
        <f>Main!V41</f>
        <v>0</v>
      </c>
      <c r="G53" s="230" t="e">
        <f>IF(INDEX('Equip Data'!G:G,MATCH($D53,'Equip Data'!$A:$A,0))="",0,Main!$W41*10000)</f>
        <v>#N/A</v>
      </c>
      <c r="H53" s="230" t="e">
        <f>IF(INDEX('Equip Data'!H:H,MATCH($D53,'Equip Data'!$A:$A,0))="",0,Main!$W41*10000)</f>
        <v>#N/A</v>
      </c>
      <c r="I53" s="230" t="e">
        <f>IF(INDEX('Equip Data'!I:I,MATCH($D53,'Equip Data'!$A:$A,0))="",0,Main!$W41*10000)</f>
        <v>#N/A</v>
      </c>
      <c r="J53" s="230" t="e">
        <f>IF(INDEX('Equip Data'!J:J,MATCH($D53,'Equip Data'!$A:$A,0))="",0,Main!$W41*10000)</f>
        <v>#N/A</v>
      </c>
      <c r="K53" s="230" t="e">
        <f>IF(INDEX('Equip Data'!K:K,MATCH($D53,'Equip Data'!$A:$A,0))="",0,Main!$W41*10000)</f>
        <v>#N/A</v>
      </c>
      <c r="L53" s="230" t="e">
        <f>IF(INDEX('Equip Data'!L:L,MATCH($D53,'Equip Data'!$A:$A,0))="",0,Main!$W41*10000)</f>
        <v>#N/A</v>
      </c>
      <c r="M53" s="230" t="e">
        <f>IF(INDEX('Equip Data'!M:M,MATCH($D53,'Equip Data'!$A:$A,0))="",0,Main!$W41*10000)</f>
        <v>#N/A</v>
      </c>
      <c r="N53" s="230" t="e">
        <f>IF(INDEX('Equip Data'!N:N,MATCH($D53,'Equip Data'!$A:$A,0))="",0,Main!$W41*10000)</f>
        <v>#N/A</v>
      </c>
      <c r="O53" s="230" t="e">
        <f>IF(INDEX('Equip Data'!O:O,MATCH($D53,'Equip Data'!$A:$A,0))="",0,Main!$W41*10000)</f>
        <v>#N/A</v>
      </c>
      <c r="P53" s="230" t="e">
        <f>IF(INDEX('Equip Data'!P:P,MATCH($D53,'Equip Data'!$A:$A,0))="",0,Main!$W41*10000)</f>
        <v>#N/A</v>
      </c>
      <c r="Q53" s="230" t="e">
        <f>IF(INDEX('Equip Data'!Q:Q,MATCH($D53,'Equip Data'!$A:$A,0))="",0,Main!$W41*10000)</f>
        <v>#N/A</v>
      </c>
      <c r="R53" s="230" t="e">
        <f>IF(INDEX('Equip Data'!R:R,MATCH($D53,'Equip Data'!$A:$A,0))="",0,Main!$W41*10000)</f>
        <v>#N/A</v>
      </c>
      <c r="S53" s="230" t="e">
        <f>IF(INDEX('Equip Data'!S:S,MATCH($D53,'Equip Data'!$A:$A,0))="",0,Main!$W41*10000)</f>
        <v>#N/A</v>
      </c>
      <c r="T53" s="230" t="e">
        <f>IF(INDEX('Equip Data'!T:T,MATCH($D53,'Equip Data'!$A:$A,0))="",0,10000)</f>
        <v>#N/A</v>
      </c>
      <c r="U53" s="230">
        <v>0</v>
      </c>
      <c r="V53" s="230">
        <v>1</v>
      </c>
      <c r="W53" s="230">
        <v>0</v>
      </c>
    </row>
    <row r="54" spans="1:23" x14ac:dyDescent="0.3">
      <c r="A54" s="230" t="str">
        <f>IF(Main!U42="","",ROW()-1)</f>
        <v/>
      </c>
      <c r="B54" s="230">
        <v>1234567</v>
      </c>
      <c r="C54" s="233" t="e">
        <f t="shared" si="2"/>
        <v>#N/A</v>
      </c>
      <c r="D54" s="230" t="e">
        <f>INDEX('Equip Data'!$A:$A,MATCH(Main!U42,'Equip Data'!$AG:$AG,0))</f>
        <v>#N/A</v>
      </c>
      <c r="E54" s="230" t="e">
        <f>INDEX('Exp Tables'!$R$3:$V$13,MATCH(F54,'Exp Tables'!$Q$3:$Q$13,0),MATCH(INDEX('Equip Data'!$D:$D,MATCH(Main!U42,'Equip Data'!$AG:$AG,0)),'Exp Tables'!$R$2:$V$2,0))</f>
        <v>#N/A</v>
      </c>
      <c r="F54" s="230">
        <f>Main!V42</f>
        <v>0</v>
      </c>
      <c r="G54" s="230" t="e">
        <f>IF(INDEX('Equip Data'!G:G,MATCH($D54,'Equip Data'!$A:$A,0))="",0,Main!$W42*10000)</f>
        <v>#N/A</v>
      </c>
      <c r="H54" s="230" t="e">
        <f>IF(INDEX('Equip Data'!H:H,MATCH($D54,'Equip Data'!$A:$A,0))="",0,Main!$W42*10000)</f>
        <v>#N/A</v>
      </c>
      <c r="I54" s="230" t="e">
        <f>IF(INDEX('Equip Data'!I:I,MATCH($D54,'Equip Data'!$A:$A,0))="",0,Main!$W42*10000)</f>
        <v>#N/A</v>
      </c>
      <c r="J54" s="230" t="e">
        <f>IF(INDEX('Equip Data'!J:J,MATCH($D54,'Equip Data'!$A:$A,0))="",0,Main!$W42*10000)</f>
        <v>#N/A</v>
      </c>
      <c r="K54" s="230" t="e">
        <f>IF(INDEX('Equip Data'!K:K,MATCH($D54,'Equip Data'!$A:$A,0))="",0,Main!$W42*10000)</f>
        <v>#N/A</v>
      </c>
      <c r="L54" s="230" t="e">
        <f>IF(INDEX('Equip Data'!L:L,MATCH($D54,'Equip Data'!$A:$A,0))="",0,Main!$W42*10000)</f>
        <v>#N/A</v>
      </c>
      <c r="M54" s="230" t="e">
        <f>IF(INDEX('Equip Data'!M:M,MATCH($D54,'Equip Data'!$A:$A,0))="",0,Main!$W42*10000)</f>
        <v>#N/A</v>
      </c>
      <c r="N54" s="230" t="e">
        <f>IF(INDEX('Equip Data'!N:N,MATCH($D54,'Equip Data'!$A:$A,0))="",0,Main!$W42*10000)</f>
        <v>#N/A</v>
      </c>
      <c r="O54" s="230" t="e">
        <f>IF(INDEX('Equip Data'!O:O,MATCH($D54,'Equip Data'!$A:$A,0))="",0,Main!$W42*10000)</f>
        <v>#N/A</v>
      </c>
      <c r="P54" s="230" t="e">
        <f>IF(INDEX('Equip Data'!P:P,MATCH($D54,'Equip Data'!$A:$A,0))="",0,Main!$W42*10000)</f>
        <v>#N/A</v>
      </c>
      <c r="Q54" s="230" t="e">
        <f>IF(INDEX('Equip Data'!Q:Q,MATCH($D54,'Equip Data'!$A:$A,0))="",0,Main!$W42*10000)</f>
        <v>#N/A</v>
      </c>
      <c r="R54" s="230" t="e">
        <f>IF(INDEX('Equip Data'!R:R,MATCH($D54,'Equip Data'!$A:$A,0))="",0,Main!$W42*10000)</f>
        <v>#N/A</v>
      </c>
      <c r="S54" s="230" t="e">
        <f>IF(INDEX('Equip Data'!S:S,MATCH($D54,'Equip Data'!$A:$A,0))="",0,Main!$W42*10000)</f>
        <v>#N/A</v>
      </c>
      <c r="T54" s="230" t="e">
        <f>IF(INDEX('Equip Data'!T:T,MATCH($D54,'Equip Data'!$A:$A,0))="",0,10000)</f>
        <v>#N/A</v>
      </c>
      <c r="U54" s="230">
        <v>0</v>
      </c>
      <c r="V54" s="230">
        <v>1</v>
      </c>
      <c r="W54" s="230">
        <v>0</v>
      </c>
    </row>
    <row r="55" spans="1:23" x14ac:dyDescent="0.3">
      <c r="A55" s="230" t="str">
        <f>IF(Main!U43="","",ROW()-1)</f>
        <v/>
      </c>
      <c r="B55" s="230">
        <v>1234567</v>
      </c>
      <c r="C55" s="233" t="e">
        <f t="shared" si="2"/>
        <v>#N/A</v>
      </c>
      <c r="D55" s="230" t="e">
        <f>INDEX('Equip Data'!$A:$A,MATCH(Main!U43,'Equip Data'!$AG:$AG,0))</f>
        <v>#N/A</v>
      </c>
      <c r="E55" s="230" t="e">
        <f>INDEX('Exp Tables'!$R$3:$V$13,MATCH(F55,'Exp Tables'!$Q$3:$Q$13,0),MATCH(INDEX('Equip Data'!$D:$D,MATCH(Main!U43,'Equip Data'!$AG:$AG,0)),'Exp Tables'!$R$2:$V$2,0))</f>
        <v>#N/A</v>
      </c>
      <c r="F55" s="230">
        <f>Main!V43</f>
        <v>0</v>
      </c>
      <c r="G55" s="230" t="e">
        <f>IF(INDEX('Equip Data'!G:G,MATCH($D55,'Equip Data'!$A:$A,0))="",0,Main!$W43*10000)</f>
        <v>#N/A</v>
      </c>
      <c r="H55" s="230" t="e">
        <f>IF(INDEX('Equip Data'!H:H,MATCH($D55,'Equip Data'!$A:$A,0))="",0,Main!$W43*10000)</f>
        <v>#N/A</v>
      </c>
      <c r="I55" s="230" t="e">
        <f>IF(INDEX('Equip Data'!I:I,MATCH($D55,'Equip Data'!$A:$A,0))="",0,Main!$W43*10000)</f>
        <v>#N/A</v>
      </c>
      <c r="J55" s="230" t="e">
        <f>IF(INDEX('Equip Data'!J:J,MATCH($D55,'Equip Data'!$A:$A,0))="",0,Main!$W43*10000)</f>
        <v>#N/A</v>
      </c>
      <c r="K55" s="230" t="e">
        <f>IF(INDEX('Equip Data'!K:K,MATCH($D55,'Equip Data'!$A:$A,0))="",0,Main!$W43*10000)</f>
        <v>#N/A</v>
      </c>
      <c r="L55" s="230" t="e">
        <f>IF(INDEX('Equip Data'!L:L,MATCH($D55,'Equip Data'!$A:$A,0))="",0,Main!$W43*10000)</f>
        <v>#N/A</v>
      </c>
      <c r="M55" s="230" t="e">
        <f>IF(INDEX('Equip Data'!M:M,MATCH($D55,'Equip Data'!$A:$A,0))="",0,Main!$W43*10000)</f>
        <v>#N/A</v>
      </c>
      <c r="N55" s="230" t="e">
        <f>IF(INDEX('Equip Data'!N:N,MATCH($D55,'Equip Data'!$A:$A,0))="",0,Main!$W43*10000)</f>
        <v>#N/A</v>
      </c>
      <c r="O55" s="230" t="e">
        <f>IF(INDEX('Equip Data'!O:O,MATCH($D55,'Equip Data'!$A:$A,0))="",0,Main!$W43*10000)</f>
        <v>#N/A</v>
      </c>
      <c r="P55" s="230" t="e">
        <f>IF(INDEX('Equip Data'!P:P,MATCH($D55,'Equip Data'!$A:$A,0))="",0,Main!$W43*10000)</f>
        <v>#N/A</v>
      </c>
      <c r="Q55" s="230" t="e">
        <f>IF(INDEX('Equip Data'!Q:Q,MATCH($D55,'Equip Data'!$A:$A,0))="",0,Main!$W43*10000)</f>
        <v>#N/A</v>
      </c>
      <c r="R55" s="230" t="e">
        <f>IF(INDEX('Equip Data'!R:R,MATCH($D55,'Equip Data'!$A:$A,0))="",0,Main!$W43*10000)</f>
        <v>#N/A</v>
      </c>
      <c r="S55" s="230" t="e">
        <f>IF(INDEX('Equip Data'!S:S,MATCH($D55,'Equip Data'!$A:$A,0))="",0,Main!$W43*10000)</f>
        <v>#N/A</v>
      </c>
      <c r="T55" s="230" t="e">
        <f>IF(INDEX('Equip Data'!T:T,MATCH($D55,'Equip Data'!$A:$A,0))="",0,10000)</f>
        <v>#N/A</v>
      </c>
      <c r="U55" s="230">
        <v>0</v>
      </c>
      <c r="V55" s="230">
        <v>1</v>
      </c>
      <c r="W55" s="230">
        <v>0</v>
      </c>
    </row>
    <row r="56" spans="1:23" x14ac:dyDescent="0.3">
      <c r="A56" s="230" t="str">
        <f>IF(Main!U44="","",ROW()-1)</f>
        <v/>
      </c>
      <c r="B56" s="230">
        <v>1234567</v>
      </c>
      <c r="C56" s="233" t="e">
        <f t="shared" si="2"/>
        <v>#N/A</v>
      </c>
      <c r="D56" s="230" t="e">
        <f>INDEX('Equip Data'!$A:$A,MATCH(Main!U44,'Equip Data'!$AG:$AG,0))</f>
        <v>#N/A</v>
      </c>
      <c r="E56" s="230" t="e">
        <f>INDEX('Exp Tables'!$R$3:$V$13,MATCH(F56,'Exp Tables'!$Q$3:$Q$13,0),MATCH(INDEX('Equip Data'!$D:$D,MATCH(Main!U44,'Equip Data'!$AG:$AG,0)),'Exp Tables'!$R$2:$V$2,0))</f>
        <v>#N/A</v>
      </c>
      <c r="F56" s="230">
        <f>Main!V44</f>
        <v>0</v>
      </c>
      <c r="G56" s="230" t="e">
        <f>IF(INDEX('Equip Data'!G:G,MATCH($D56,'Equip Data'!$A:$A,0))="",0,Main!$W44*10000)</f>
        <v>#N/A</v>
      </c>
      <c r="H56" s="230" t="e">
        <f>IF(INDEX('Equip Data'!H:H,MATCH($D56,'Equip Data'!$A:$A,0))="",0,Main!$W44*10000)</f>
        <v>#N/A</v>
      </c>
      <c r="I56" s="230" t="e">
        <f>IF(INDEX('Equip Data'!I:I,MATCH($D56,'Equip Data'!$A:$A,0))="",0,Main!$W44*10000)</f>
        <v>#N/A</v>
      </c>
      <c r="J56" s="230" t="e">
        <f>IF(INDEX('Equip Data'!J:J,MATCH($D56,'Equip Data'!$A:$A,0))="",0,Main!$W44*10000)</f>
        <v>#N/A</v>
      </c>
      <c r="K56" s="230" t="e">
        <f>IF(INDEX('Equip Data'!K:K,MATCH($D56,'Equip Data'!$A:$A,0))="",0,Main!$W44*10000)</f>
        <v>#N/A</v>
      </c>
      <c r="L56" s="230" t="e">
        <f>IF(INDEX('Equip Data'!L:L,MATCH($D56,'Equip Data'!$A:$A,0))="",0,Main!$W44*10000)</f>
        <v>#N/A</v>
      </c>
      <c r="M56" s="230" t="e">
        <f>IF(INDEX('Equip Data'!M:M,MATCH($D56,'Equip Data'!$A:$A,0))="",0,Main!$W44*10000)</f>
        <v>#N/A</v>
      </c>
      <c r="N56" s="230" t="e">
        <f>IF(INDEX('Equip Data'!N:N,MATCH($D56,'Equip Data'!$A:$A,0))="",0,Main!$W44*10000)</f>
        <v>#N/A</v>
      </c>
      <c r="O56" s="230" t="e">
        <f>IF(INDEX('Equip Data'!O:O,MATCH($D56,'Equip Data'!$A:$A,0))="",0,Main!$W44*10000)</f>
        <v>#N/A</v>
      </c>
      <c r="P56" s="230" t="e">
        <f>IF(INDEX('Equip Data'!P:P,MATCH($D56,'Equip Data'!$A:$A,0))="",0,Main!$W44*10000)</f>
        <v>#N/A</v>
      </c>
      <c r="Q56" s="230" t="e">
        <f>IF(INDEX('Equip Data'!Q:Q,MATCH($D56,'Equip Data'!$A:$A,0))="",0,Main!$W44*10000)</f>
        <v>#N/A</v>
      </c>
      <c r="R56" s="230" t="e">
        <f>IF(INDEX('Equip Data'!R:R,MATCH($D56,'Equip Data'!$A:$A,0))="",0,Main!$W44*10000)</f>
        <v>#N/A</v>
      </c>
      <c r="S56" s="230" t="e">
        <f>IF(INDEX('Equip Data'!S:S,MATCH($D56,'Equip Data'!$A:$A,0))="",0,Main!$W44*10000)</f>
        <v>#N/A</v>
      </c>
      <c r="T56" s="230" t="e">
        <f>IF(INDEX('Equip Data'!T:T,MATCH($D56,'Equip Data'!$A:$A,0))="",0,10000)</f>
        <v>#N/A</v>
      </c>
      <c r="U56" s="230">
        <v>0</v>
      </c>
      <c r="V56" s="230">
        <v>1</v>
      </c>
      <c r="W56" s="230">
        <v>0</v>
      </c>
    </row>
    <row r="57" spans="1:23" x14ac:dyDescent="0.3">
      <c r="A57" s="230" t="str">
        <f>IF(Main!U45="","",ROW()-1)</f>
        <v/>
      </c>
      <c r="B57" s="230">
        <v>1234567</v>
      </c>
      <c r="C57" s="233" t="e">
        <f t="shared" si="2"/>
        <v>#N/A</v>
      </c>
      <c r="D57" s="230" t="e">
        <f>INDEX('Equip Data'!$A:$A,MATCH(Main!U45,'Equip Data'!$AG:$AG,0))</f>
        <v>#N/A</v>
      </c>
      <c r="E57" s="230" t="e">
        <f>INDEX('Exp Tables'!$R$3:$V$13,MATCH(F57,'Exp Tables'!$Q$3:$Q$13,0),MATCH(INDEX('Equip Data'!$D:$D,MATCH(Main!U45,'Equip Data'!$AG:$AG,0)),'Exp Tables'!$R$2:$V$2,0))</f>
        <v>#N/A</v>
      </c>
      <c r="F57" s="230">
        <f>Main!V45</f>
        <v>0</v>
      </c>
      <c r="G57" s="230" t="e">
        <f>IF(INDEX('Equip Data'!G:G,MATCH($D57,'Equip Data'!$A:$A,0))="",0,Main!$W45*10000)</f>
        <v>#N/A</v>
      </c>
      <c r="H57" s="230" t="e">
        <f>IF(INDEX('Equip Data'!H:H,MATCH($D57,'Equip Data'!$A:$A,0))="",0,Main!$W45*10000)</f>
        <v>#N/A</v>
      </c>
      <c r="I57" s="230" t="e">
        <f>IF(INDEX('Equip Data'!I:I,MATCH($D57,'Equip Data'!$A:$A,0))="",0,Main!$W45*10000)</f>
        <v>#N/A</v>
      </c>
      <c r="J57" s="230" t="e">
        <f>IF(INDEX('Equip Data'!J:J,MATCH($D57,'Equip Data'!$A:$A,0))="",0,Main!$W45*10000)</f>
        <v>#N/A</v>
      </c>
      <c r="K57" s="230" t="e">
        <f>IF(INDEX('Equip Data'!K:K,MATCH($D57,'Equip Data'!$A:$A,0))="",0,Main!$W45*10000)</f>
        <v>#N/A</v>
      </c>
      <c r="L57" s="230" t="e">
        <f>IF(INDEX('Equip Data'!L:L,MATCH($D57,'Equip Data'!$A:$A,0))="",0,Main!$W45*10000)</f>
        <v>#N/A</v>
      </c>
      <c r="M57" s="230" t="e">
        <f>IF(INDEX('Equip Data'!M:M,MATCH($D57,'Equip Data'!$A:$A,0))="",0,Main!$W45*10000)</f>
        <v>#N/A</v>
      </c>
      <c r="N57" s="230" t="e">
        <f>IF(INDEX('Equip Data'!N:N,MATCH($D57,'Equip Data'!$A:$A,0))="",0,Main!$W45*10000)</f>
        <v>#N/A</v>
      </c>
      <c r="O57" s="230" t="e">
        <f>IF(INDEX('Equip Data'!O:O,MATCH($D57,'Equip Data'!$A:$A,0))="",0,Main!$W45*10000)</f>
        <v>#N/A</v>
      </c>
      <c r="P57" s="230" t="e">
        <f>IF(INDEX('Equip Data'!P:P,MATCH($D57,'Equip Data'!$A:$A,0))="",0,Main!$W45*10000)</f>
        <v>#N/A</v>
      </c>
      <c r="Q57" s="230" t="e">
        <f>IF(INDEX('Equip Data'!Q:Q,MATCH($D57,'Equip Data'!$A:$A,0))="",0,Main!$W45*10000)</f>
        <v>#N/A</v>
      </c>
      <c r="R57" s="230" t="e">
        <f>IF(INDEX('Equip Data'!R:R,MATCH($D57,'Equip Data'!$A:$A,0))="",0,Main!$W45*10000)</f>
        <v>#N/A</v>
      </c>
      <c r="S57" s="230" t="e">
        <f>IF(INDEX('Equip Data'!S:S,MATCH($D57,'Equip Data'!$A:$A,0))="",0,Main!$W45*10000)</f>
        <v>#N/A</v>
      </c>
      <c r="T57" s="230" t="e">
        <f>IF(INDEX('Equip Data'!T:T,MATCH($D57,'Equip Data'!$A:$A,0))="",0,10000)</f>
        <v>#N/A</v>
      </c>
      <c r="U57" s="230">
        <v>0</v>
      </c>
      <c r="V57" s="230">
        <v>1</v>
      </c>
      <c r="W57" s="230">
        <v>0</v>
      </c>
    </row>
    <row r="58" spans="1:23" x14ac:dyDescent="0.3">
      <c r="A58" s="230" t="str">
        <f>IF(Main!U46="","",ROW()-1)</f>
        <v/>
      </c>
      <c r="B58" s="230">
        <v>1234567</v>
      </c>
      <c r="C58" s="233" t="e">
        <f t="shared" si="2"/>
        <v>#N/A</v>
      </c>
      <c r="D58" s="230" t="e">
        <f>INDEX('Equip Data'!$A:$A,MATCH(Main!U46,'Equip Data'!$AG:$AG,0))</f>
        <v>#N/A</v>
      </c>
      <c r="E58" s="230" t="e">
        <f>INDEX('Exp Tables'!$R$3:$V$13,MATCH(F58,'Exp Tables'!$Q$3:$Q$13,0),MATCH(INDEX('Equip Data'!$D:$D,MATCH(Main!U46,'Equip Data'!$AG:$AG,0)),'Exp Tables'!$R$2:$V$2,0))</f>
        <v>#N/A</v>
      </c>
      <c r="F58" s="230">
        <f>Main!V46</f>
        <v>0</v>
      </c>
      <c r="G58" s="230" t="e">
        <f>IF(INDEX('Equip Data'!G:G,MATCH($D58,'Equip Data'!$A:$A,0))="",0,Main!$W46*10000)</f>
        <v>#N/A</v>
      </c>
      <c r="H58" s="230" t="e">
        <f>IF(INDEX('Equip Data'!H:H,MATCH($D58,'Equip Data'!$A:$A,0))="",0,Main!$W46*10000)</f>
        <v>#N/A</v>
      </c>
      <c r="I58" s="230" t="e">
        <f>IF(INDEX('Equip Data'!I:I,MATCH($D58,'Equip Data'!$A:$A,0))="",0,Main!$W46*10000)</f>
        <v>#N/A</v>
      </c>
      <c r="J58" s="230" t="e">
        <f>IF(INDEX('Equip Data'!J:J,MATCH($D58,'Equip Data'!$A:$A,0))="",0,Main!$W46*10000)</f>
        <v>#N/A</v>
      </c>
      <c r="K58" s="230" t="e">
        <f>IF(INDEX('Equip Data'!K:K,MATCH($D58,'Equip Data'!$A:$A,0))="",0,Main!$W46*10000)</f>
        <v>#N/A</v>
      </c>
      <c r="L58" s="230" t="e">
        <f>IF(INDEX('Equip Data'!L:L,MATCH($D58,'Equip Data'!$A:$A,0))="",0,Main!$W46*10000)</f>
        <v>#N/A</v>
      </c>
      <c r="M58" s="230" t="e">
        <f>IF(INDEX('Equip Data'!M:M,MATCH($D58,'Equip Data'!$A:$A,0))="",0,Main!$W46*10000)</f>
        <v>#N/A</v>
      </c>
      <c r="N58" s="230" t="e">
        <f>IF(INDEX('Equip Data'!N:N,MATCH($D58,'Equip Data'!$A:$A,0))="",0,Main!$W46*10000)</f>
        <v>#N/A</v>
      </c>
      <c r="O58" s="230" t="e">
        <f>IF(INDEX('Equip Data'!O:O,MATCH($D58,'Equip Data'!$A:$A,0))="",0,Main!$W46*10000)</f>
        <v>#N/A</v>
      </c>
      <c r="P58" s="230" t="e">
        <f>IF(INDEX('Equip Data'!P:P,MATCH($D58,'Equip Data'!$A:$A,0))="",0,Main!$W46*10000)</f>
        <v>#N/A</v>
      </c>
      <c r="Q58" s="230" t="e">
        <f>IF(INDEX('Equip Data'!Q:Q,MATCH($D58,'Equip Data'!$A:$A,0))="",0,Main!$W46*10000)</f>
        <v>#N/A</v>
      </c>
      <c r="R58" s="230" t="e">
        <f>IF(INDEX('Equip Data'!R:R,MATCH($D58,'Equip Data'!$A:$A,0))="",0,Main!$W46*10000)</f>
        <v>#N/A</v>
      </c>
      <c r="S58" s="230" t="e">
        <f>IF(INDEX('Equip Data'!S:S,MATCH($D58,'Equip Data'!$A:$A,0))="",0,Main!$W46*10000)</f>
        <v>#N/A</v>
      </c>
      <c r="T58" s="230" t="e">
        <f>IF(INDEX('Equip Data'!T:T,MATCH($D58,'Equip Data'!$A:$A,0))="",0,10000)</f>
        <v>#N/A</v>
      </c>
      <c r="U58" s="230">
        <v>0</v>
      </c>
      <c r="V58" s="230">
        <v>1</v>
      </c>
      <c r="W58" s="230">
        <v>0</v>
      </c>
    </row>
    <row r="59" spans="1:23" x14ac:dyDescent="0.3">
      <c r="A59" s="230" t="str">
        <f>IF(Main!U47="","",ROW()-1)</f>
        <v/>
      </c>
      <c r="B59" s="230">
        <v>1234567</v>
      </c>
      <c r="C59" s="233" t="e">
        <f t="shared" si="2"/>
        <v>#N/A</v>
      </c>
      <c r="D59" s="230" t="e">
        <f>INDEX('Equip Data'!$A:$A,MATCH(Main!U47,'Equip Data'!$AG:$AG,0))</f>
        <v>#N/A</v>
      </c>
      <c r="E59" s="230" t="e">
        <f>INDEX('Exp Tables'!$R$3:$V$13,MATCH(F59,'Exp Tables'!$Q$3:$Q$13,0),MATCH(INDEX('Equip Data'!$D:$D,MATCH(Main!U47,'Equip Data'!$AG:$AG,0)),'Exp Tables'!$R$2:$V$2,0))</f>
        <v>#N/A</v>
      </c>
      <c r="F59" s="230">
        <f>Main!V47</f>
        <v>0</v>
      </c>
      <c r="G59" s="230" t="e">
        <f>IF(INDEX('Equip Data'!G:G,MATCH($D59,'Equip Data'!$A:$A,0))="",0,Main!$W47*10000)</f>
        <v>#N/A</v>
      </c>
      <c r="H59" s="230" t="e">
        <f>IF(INDEX('Equip Data'!H:H,MATCH($D59,'Equip Data'!$A:$A,0))="",0,Main!$W47*10000)</f>
        <v>#N/A</v>
      </c>
      <c r="I59" s="230" t="e">
        <f>IF(INDEX('Equip Data'!I:I,MATCH($D59,'Equip Data'!$A:$A,0))="",0,Main!$W47*10000)</f>
        <v>#N/A</v>
      </c>
      <c r="J59" s="230" t="e">
        <f>IF(INDEX('Equip Data'!J:J,MATCH($D59,'Equip Data'!$A:$A,0))="",0,Main!$W47*10000)</f>
        <v>#N/A</v>
      </c>
      <c r="K59" s="230" t="e">
        <f>IF(INDEX('Equip Data'!K:K,MATCH($D59,'Equip Data'!$A:$A,0))="",0,Main!$W47*10000)</f>
        <v>#N/A</v>
      </c>
      <c r="L59" s="230" t="e">
        <f>IF(INDEX('Equip Data'!L:L,MATCH($D59,'Equip Data'!$A:$A,0))="",0,Main!$W47*10000)</f>
        <v>#N/A</v>
      </c>
      <c r="M59" s="230" t="e">
        <f>IF(INDEX('Equip Data'!M:M,MATCH($D59,'Equip Data'!$A:$A,0))="",0,Main!$W47*10000)</f>
        <v>#N/A</v>
      </c>
      <c r="N59" s="230" t="e">
        <f>IF(INDEX('Equip Data'!N:N,MATCH($D59,'Equip Data'!$A:$A,0))="",0,Main!$W47*10000)</f>
        <v>#N/A</v>
      </c>
      <c r="O59" s="230" t="e">
        <f>IF(INDEX('Equip Data'!O:O,MATCH($D59,'Equip Data'!$A:$A,0))="",0,Main!$W47*10000)</f>
        <v>#N/A</v>
      </c>
      <c r="P59" s="230" t="e">
        <f>IF(INDEX('Equip Data'!P:P,MATCH($D59,'Equip Data'!$A:$A,0))="",0,Main!$W47*10000)</f>
        <v>#N/A</v>
      </c>
      <c r="Q59" s="230" t="e">
        <f>IF(INDEX('Equip Data'!Q:Q,MATCH($D59,'Equip Data'!$A:$A,0))="",0,Main!$W47*10000)</f>
        <v>#N/A</v>
      </c>
      <c r="R59" s="230" t="e">
        <f>IF(INDEX('Equip Data'!R:R,MATCH($D59,'Equip Data'!$A:$A,0))="",0,Main!$W47*10000)</f>
        <v>#N/A</v>
      </c>
      <c r="S59" s="230" t="e">
        <f>IF(INDEX('Equip Data'!S:S,MATCH($D59,'Equip Data'!$A:$A,0))="",0,Main!$W47*10000)</f>
        <v>#N/A</v>
      </c>
      <c r="T59" s="230" t="e">
        <f>IF(INDEX('Equip Data'!T:T,MATCH($D59,'Equip Data'!$A:$A,0))="",0,10000)</f>
        <v>#N/A</v>
      </c>
      <c r="U59" s="230">
        <v>0</v>
      </c>
      <c r="V59" s="230">
        <v>1</v>
      </c>
      <c r="W59" s="230">
        <v>0</v>
      </c>
    </row>
    <row r="60" spans="1:23" x14ac:dyDescent="0.3">
      <c r="A60" s="230" t="str">
        <f>IF(Main!U48="","",ROW()-1)</f>
        <v/>
      </c>
      <c r="B60" s="230">
        <v>1234567</v>
      </c>
      <c r="C60" s="233" t="e">
        <f t="shared" si="2"/>
        <v>#N/A</v>
      </c>
      <c r="D60" s="230" t="e">
        <f>INDEX('Equip Data'!$A:$A,MATCH(Main!U48,'Equip Data'!$AG:$AG,0))</f>
        <v>#N/A</v>
      </c>
      <c r="E60" s="230" t="e">
        <f>INDEX('Exp Tables'!$R$3:$V$13,MATCH(F60,'Exp Tables'!$Q$3:$Q$13,0),MATCH(INDEX('Equip Data'!$D:$D,MATCH(Main!U48,'Equip Data'!$AG:$AG,0)),'Exp Tables'!$R$2:$V$2,0))</f>
        <v>#N/A</v>
      </c>
      <c r="F60" s="230">
        <f>Main!V48</f>
        <v>0</v>
      </c>
      <c r="G60" s="230" t="e">
        <f>IF(INDEX('Equip Data'!G:G,MATCH($D60,'Equip Data'!$A:$A,0))="",0,Main!$W48*10000)</f>
        <v>#N/A</v>
      </c>
      <c r="H60" s="230" t="e">
        <f>IF(INDEX('Equip Data'!H:H,MATCH($D60,'Equip Data'!$A:$A,0))="",0,Main!$W48*10000)</f>
        <v>#N/A</v>
      </c>
      <c r="I60" s="230" t="e">
        <f>IF(INDEX('Equip Data'!I:I,MATCH($D60,'Equip Data'!$A:$A,0))="",0,Main!$W48*10000)</f>
        <v>#N/A</v>
      </c>
      <c r="J60" s="230" t="e">
        <f>IF(INDEX('Equip Data'!J:J,MATCH($D60,'Equip Data'!$A:$A,0))="",0,Main!$W48*10000)</f>
        <v>#N/A</v>
      </c>
      <c r="K60" s="230" t="e">
        <f>IF(INDEX('Equip Data'!K:K,MATCH($D60,'Equip Data'!$A:$A,0))="",0,Main!$W48*10000)</f>
        <v>#N/A</v>
      </c>
      <c r="L60" s="230" t="e">
        <f>IF(INDEX('Equip Data'!L:L,MATCH($D60,'Equip Data'!$A:$A,0))="",0,Main!$W48*10000)</f>
        <v>#N/A</v>
      </c>
      <c r="M60" s="230" t="e">
        <f>IF(INDEX('Equip Data'!M:M,MATCH($D60,'Equip Data'!$A:$A,0))="",0,Main!$W48*10000)</f>
        <v>#N/A</v>
      </c>
      <c r="N60" s="230" t="e">
        <f>IF(INDEX('Equip Data'!N:N,MATCH($D60,'Equip Data'!$A:$A,0))="",0,Main!$W48*10000)</f>
        <v>#N/A</v>
      </c>
      <c r="O60" s="230" t="e">
        <f>IF(INDEX('Equip Data'!O:O,MATCH($D60,'Equip Data'!$A:$A,0))="",0,Main!$W48*10000)</f>
        <v>#N/A</v>
      </c>
      <c r="P60" s="230" t="e">
        <f>IF(INDEX('Equip Data'!P:P,MATCH($D60,'Equip Data'!$A:$A,0))="",0,Main!$W48*10000)</f>
        <v>#N/A</v>
      </c>
      <c r="Q60" s="230" t="e">
        <f>IF(INDEX('Equip Data'!Q:Q,MATCH($D60,'Equip Data'!$A:$A,0))="",0,Main!$W48*10000)</f>
        <v>#N/A</v>
      </c>
      <c r="R60" s="230" t="e">
        <f>IF(INDEX('Equip Data'!R:R,MATCH($D60,'Equip Data'!$A:$A,0))="",0,Main!$W48*10000)</f>
        <v>#N/A</v>
      </c>
      <c r="S60" s="230" t="e">
        <f>IF(INDEX('Equip Data'!S:S,MATCH($D60,'Equip Data'!$A:$A,0))="",0,Main!$W48*10000)</f>
        <v>#N/A</v>
      </c>
      <c r="T60" s="230" t="e">
        <f>IF(INDEX('Equip Data'!T:T,MATCH($D60,'Equip Data'!$A:$A,0))="",0,10000)</f>
        <v>#N/A</v>
      </c>
      <c r="U60" s="230">
        <v>0</v>
      </c>
      <c r="V60" s="230">
        <v>1</v>
      </c>
      <c r="W60" s="230">
        <v>0</v>
      </c>
    </row>
    <row r="61" spans="1:23" x14ac:dyDescent="0.3">
      <c r="A61" s="234" t="str">
        <f>IF(Main!U49="","",ROW()-1)</f>
        <v/>
      </c>
      <c r="B61" s="234">
        <v>1234567</v>
      </c>
      <c r="C61" s="235" t="e">
        <f t="shared" si="2"/>
        <v>#N/A</v>
      </c>
      <c r="D61" s="234" t="e">
        <f>INDEX('Equip Data'!$A:$A,MATCH(Main!U49,'Equip Data'!$AG:$AG,0))</f>
        <v>#N/A</v>
      </c>
      <c r="E61" s="234" t="e">
        <f>INDEX('Exp Tables'!$R$3:$V$13,MATCH(F61,'Exp Tables'!$Q$3:$Q$13,0),MATCH(INDEX('Equip Data'!$D:$D,MATCH(Main!U49,'Equip Data'!$AG:$AG,0)),'Exp Tables'!$R$2:$V$2,0))</f>
        <v>#N/A</v>
      </c>
      <c r="F61" s="234">
        <f>Main!V49</f>
        <v>0</v>
      </c>
      <c r="G61" s="234" t="e">
        <f>IF(INDEX('Equip Data'!G:G,MATCH($D61,'Equip Data'!$A:$A,0))="",0,Main!$W49*10000)</f>
        <v>#N/A</v>
      </c>
      <c r="H61" s="234" t="e">
        <f>IF(INDEX('Equip Data'!H:H,MATCH($D61,'Equip Data'!$A:$A,0))="",0,Main!$W49*10000)</f>
        <v>#N/A</v>
      </c>
      <c r="I61" s="234" t="e">
        <f>IF(INDEX('Equip Data'!I:I,MATCH($D61,'Equip Data'!$A:$A,0))="",0,Main!$W49*10000)</f>
        <v>#N/A</v>
      </c>
      <c r="J61" s="234" t="e">
        <f>IF(INDEX('Equip Data'!J:J,MATCH($D61,'Equip Data'!$A:$A,0))="",0,Main!$W49*10000)</f>
        <v>#N/A</v>
      </c>
      <c r="K61" s="234" t="e">
        <f>IF(INDEX('Equip Data'!K:K,MATCH($D61,'Equip Data'!$A:$A,0))="",0,Main!$W49*10000)</f>
        <v>#N/A</v>
      </c>
      <c r="L61" s="234" t="e">
        <f>IF(INDEX('Equip Data'!L:L,MATCH($D61,'Equip Data'!$A:$A,0))="",0,Main!$W49*10000)</f>
        <v>#N/A</v>
      </c>
      <c r="M61" s="234" t="e">
        <f>IF(INDEX('Equip Data'!M:M,MATCH($D61,'Equip Data'!$A:$A,0))="",0,Main!$W49*10000)</f>
        <v>#N/A</v>
      </c>
      <c r="N61" s="234" t="e">
        <f>IF(INDEX('Equip Data'!N:N,MATCH($D61,'Equip Data'!$A:$A,0))="",0,Main!$W49*10000)</f>
        <v>#N/A</v>
      </c>
      <c r="O61" s="234" t="e">
        <f>IF(INDEX('Equip Data'!O:O,MATCH($D61,'Equip Data'!$A:$A,0))="",0,Main!$W49*10000)</f>
        <v>#N/A</v>
      </c>
      <c r="P61" s="234" t="e">
        <f>IF(INDEX('Equip Data'!P:P,MATCH($D61,'Equip Data'!$A:$A,0))="",0,Main!$W49*10000)</f>
        <v>#N/A</v>
      </c>
      <c r="Q61" s="234" t="e">
        <f>IF(INDEX('Equip Data'!Q:Q,MATCH($D61,'Equip Data'!$A:$A,0))="",0,Main!$W49*10000)</f>
        <v>#N/A</v>
      </c>
      <c r="R61" s="234" t="e">
        <f>IF(INDEX('Equip Data'!R:R,MATCH($D61,'Equip Data'!$A:$A,0))="",0,Main!$W49*10000)</f>
        <v>#N/A</v>
      </c>
      <c r="S61" s="234" t="e">
        <f>IF(INDEX('Equip Data'!S:S,MATCH($D61,'Equip Data'!$A:$A,0))="",0,Main!$W49*10000)</f>
        <v>#N/A</v>
      </c>
      <c r="T61" s="234" t="e">
        <f>IF(INDEX('Equip Data'!T:T,MATCH($D61,'Equip Data'!$A:$A,0))="",0,10000)</f>
        <v>#N/A</v>
      </c>
      <c r="U61" s="234">
        <v>0</v>
      </c>
      <c r="V61" s="234">
        <v>1</v>
      </c>
      <c r="W61" s="234">
        <v>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AC83C-F578-4273-A467-044435F27115}">
  <sheetPr codeName="Sheet4"/>
  <dimension ref="A1:P2"/>
  <sheetViews>
    <sheetView workbookViewId="0">
      <selection activeCell="B2" sqref="B2"/>
    </sheetView>
  </sheetViews>
  <sheetFormatPr defaultRowHeight="14.4" x14ac:dyDescent="0.3"/>
  <sheetData>
    <row r="1" spans="1:16" x14ac:dyDescent="0.3">
      <c r="A1" s="85" t="s">
        <v>25</v>
      </c>
      <c r="B1" s="85" t="s">
        <v>26</v>
      </c>
      <c r="C1" s="85" t="s">
        <v>624</v>
      </c>
      <c r="D1" s="85" t="s">
        <v>30</v>
      </c>
      <c r="E1" s="85" t="s">
        <v>625</v>
      </c>
      <c r="F1" s="85" t="s">
        <v>626</v>
      </c>
      <c r="G1" s="85" t="s">
        <v>627</v>
      </c>
      <c r="H1" s="85" t="s">
        <v>581</v>
      </c>
      <c r="I1" s="85" t="s">
        <v>628</v>
      </c>
      <c r="J1" s="85" t="s">
        <v>629</v>
      </c>
      <c r="K1" s="85" t="s">
        <v>44</v>
      </c>
      <c r="L1" s="85" t="s">
        <v>574</v>
      </c>
      <c r="M1" s="85" t="s">
        <v>577</v>
      </c>
      <c r="N1" s="85" t="s">
        <v>578</v>
      </c>
      <c r="O1" s="85" t="s">
        <v>630</v>
      </c>
      <c r="P1" s="85" t="s">
        <v>54</v>
      </c>
    </row>
    <row r="2" spans="1:16" x14ac:dyDescent="0.3">
      <c r="A2" s="1">
        <f>IF(Main!B30="","",1)</f>
        <v>1</v>
      </c>
      <c r="B2" s="1">
        <v>1234567</v>
      </c>
      <c r="C2" s="1">
        <f>INDEX('Fairy Data'!$A:$A,MATCH(Main!B30,'Fairy Data'!$B:$B,0))</f>
        <v>11</v>
      </c>
      <c r="D2" s="1">
        <f>IF(EchType="SF",0,1)</f>
        <v>1</v>
      </c>
      <c r="E2" s="1">
        <f>Main!D30</f>
        <v>100</v>
      </c>
      <c r="F2" s="1">
        <f>VLOOKUP(E2,'Exp Tables'!$E$3:$G$102,3,FALSE)</f>
        <v>9999000</v>
      </c>
      <c r="G2" s="1">
        <f>Main!C30</f>
        <v>5</v>
      </c>
      <c r="H2" s="1">
        <f>INDEX('Fairy Data'!$E$2:$I$101,MATCH(A2,'Fairy Data'!$A$2:$A$101,0),MATCH("exp"&amp;G2,'Fairy Data'!$E$1:$I$1,0))</f>
        <v>3000</v>
      </c>
      <c r="I2" s="1">
        <f>Main!E30</f>
        <v>10</v>
      </c>
      <c r="J2" s="1">
        <f>VLOOKUP(Main!F30,'Talent Data'!$A$2:$C$100,2,FALSE)</f>
        <v>910117</v>
      </c>
      <c r="K2" s="1">
        <v>1</v>
      </c>
      <c r="L2" s="1">
        <v>0</v>
      </c>
      <c r="M2" s="1">
        <v>0</v>
      </c>
      <c r="N2" s="1">
        <v>0</v>
      </c>
      <c r="O2" s="1">
        <v>0</v>
      </c>
      <c r="P2" s="1">
        <v>0</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B9D5C-674C-41FE-8A56-630473D2B097}">
  <sheetPr codeName="Sheet13"/>
  <dimension ref="A1:AH16"/>
  <sheetViews>
    <sheetView workbookViewId="0">
      <selection activeCell="L12" sqref="L12"/>
    </sheetView>
  </sheetViews>
  <sheetFormatPr defaultRowHeight="14.4" x14ac:dyDescent="0.3"/>
  <sheetData>
    <row r="1" spans="1:34" x14ac:dyDescent="0.3">
      <c r="A1" s="85" t="s">
        <v>25</v>
      </c>
      <c r="B1" s="85" t="s">
        <v>26</v>
      </c>
      <c r="C1" s="85" t="s">
        <v>868</v>
      </c>
      <c r="D1" s="85" t="s">
        <v>869</v>
      </c>
      <c r="E1" s="85" t="s">
        <v>870</v>
      </c>
      <c r="F1" s="85" t="s">
        <v>220</v>
      </c>
      <c r="G1" s="85" t="s">
        <v>871</v>
      </c>
      <c r="H1" s="85" t="s">
        <v>34</v>
      </c>
      <c r="I1" s="85" t="s">
        <v>8363</v>
      </c>
      <c r="J1" s="85" t="s">
        <v>35</v>
      </c>
      <c r="K1" s="85" t="s">
        <v>36</v>
      </c>
      <c r="L1" s="85" t="s">
        <v>872</v>
      </c>
      <c r="M1" s="85" t="s">
        <v>873</v>
      </c>
      <c r="N1" s="85" t="s">
        <v>874</v>
      </c>
      <c r="O1" s="85" t="s">
        <v>875</v>
      </c>
      <c r="P1" s="85" t="s">
        <v>876</v>
      </c>
      <c r="Q1" s="85" t="s">
        <v>877</v>
      </c>
      <c r="R1" s="85" t="s">
        <v>38</v>
      </c>
      <c r="S1" s="85" t="s">
        <v>878</v>
      </c>
      <c r="T1" s="85" t="s">
        <v>41</v>
      </c>
      <c r="U1" s="85" t="s">
        <v>42</v>
      </c>
      <c r="V1" s="85" t="s">
        <v>879</v>
      </c>
      <c r="W1" s="85" t="s">
        <v>8364</v>
      </c>
      <c r="X1" s="85" t="s">
        <v>8365</v>
      </c>
      <c r="Y1" s="85" t="s">
        <v>8366</v>
      </c>
      <c r="Z1" s="85"/>
      <c r="AA1" s="85"/>
      <c r="AB1" s="85"/>
      <c r="AC1" s="85"/>
      <c r="AD1" s="85"/>
      <c r="AE1" s="85"/>
      <c r="AF1" s="85"/>
      <c r="AG1" s="85"/>
      <c r="AH1" s="85"/>
    </row>
    <row r="2" spans="1:34" x14ac:dyDescent="0.3">
      <c r="A2" s="226" t="str">
        <f>IF(Main!A99&lt;&gt;"X","",10000+Main!B99)</f>
        <v/>
      </c>
      <c r="B2" s="226">
        <v>1234567</v>
      </c>
      <c r="C2" s="226">
        <v>1</v>
      </c>
      <c r="D2" s="226">
        <f>VLOOKUP(E2,'Exp Tables'!$I$3:$K$102,3,FALSE)</f>
        <v>15000000</v>
      </c>
      <c r="E2" s="226">
        <f>Main!D99</f>
        <v>100</v>
      </c>
      <c r="F2" s="226">
        <f>Main!E99</f>
        <v>5</v>
      </c>
      <c r="G2" s="226">
        <f>Main!F99</f>
        <v>10</v>
      </c>
      <c r="H2" s="226">
        <v>100</v>
      </c>
      <c r="I2" s="226">
        <v>0</v>
      </c>
      <c r="J2" s="226">
        <v>10</v>
      </c>
      <c r="K2" s="226">
        <v>10</v>
      </c>
      <c r="L2" s="227">
        <v>0</v>
      </c>
      <c r="M2" s="227">
        <v>0</v>
      </c>
      <c r="N2" s="227">
        <v>0</v>
      </c>
      <c r="O2" s="227">
        <v>0</v>
      </c>
      <c r="P2" s="227">
        <v>0</v>
      </c>
      <c r="Q2" s="227">
        <v>0</v>
      </c>
      <c r="R2" s="227">
        <v>0</v>
      </c>
      <c r="S2" s="227">
        <v>0</v>
      </c>
      <c r="T2" s="226">
        <f>Main!G99</f>
        <v>10</v>
      </c>
      <c r="U2" s="226">
        <f>Main!H99</f>
        <v>10</v>
      </c>
      <c r="V2" s="226">
        <f>Main!I99</f>
        <v>10</v>
      </c>
      <c r="W2" s="226">
        <v>0</v>
      </c>
      <c r="X2" s="226">
        <v>0</v>
      </c>
      <c r="Y2" s="226">
        <v>0</v>
      </c>
      <c r="Z2" s="1"/>
      <c r="AA2" s="1"/>
      <c r="AB2" s="1"/>
      <c r="AC2" s="1"/>
      <c r="AD2" s="1"/>
      <c r="AE2" s="1"/>
      <c r="AF2" s="1"/>
      <c r="AG2" s="1"/>
      <c r="AH2" s="1"/>
    </row>
    <row r="3" spans="1:34" x14ac:dyDescent="0.3">
      <c r="A3" s="226" t="str">
        <f>IF(Main!A100&lt;&gt;"X","",10000+Main!B100)</f>
        <v/>
      </c>
      <c r="B3" s="226">
        <v>1234567</v>
      </c>
      <c r="C3" s="226">
        <v>2</v>
      </c>
      <c r="D3" s="226">
        <f>VLOOKUP(E3,'Exp Tables'!$I$3:$K$102,3,FALSE)</f>
        <v>15000000</v>
      </c>
      <c r="E3" s="226">
        <f>Main!D100</f>
        <v>100</v>
      </c>
      <c r="F3" s="226">
        <f>Main!E100</f>
        <v>5</v>
      </c>
      <c r="G3" s="226">
        <f>Main!F100</f>
        <v>10</v>
      </c>
      <c r="H3" s="226">
        <v>100</v>
      </c>
      <c r="I3" s="226">
        <v>0</v>
      </c>
      <c r="J3" s="226">
        <v>10</v>
      </c>
      <c r="K3" s="226">
        <v>10</v>
      </c>
      <c r="L3" s="227">
        <v>0</v>
      </c>
      <c r="M3" s="227">
        <v>0</v>
      </c>
      <c r="N3" s="227">
        <v>0</v>
      </c>
      <c r="O3" s="227">
        <v>0</v>
      </c>
      <c r="P3" s="227">
        <v>0</v>
      </c>
      <c r="Q3" s="227">
        <v>0</v>
      </c>
      <c r="R3" s="227">
        <v>0</v>
      </c>
      <c r="S3" s="227">
        <v>0</v>
      </c>
      <c r="T3" s="226">
        <f>Main!G100</f>
        <v>10</v>
      </c>
      <c r="U3" s="226">
        <f>Main!H100</f>
        <v>10</v>
      </c>
      <c r="V3" s="226">
        <f>Main!I100</f>
        <v>10</v>
      </c>
      <c r="W3" s="226">
        <v>0</v>
      </c>
      <c r="X3" s="226">
        <v>0</v>
      </c>
      <c r="Y3" s="226">
        <v>0</v>
      </c>
      <c r="Z3" s="1"/>
      <c r="AA3" s="1"/>
      <c r="AB3" s="1"/>
      <c r="AC3" s="1"/>
      <c r="AD3" s="1"/>
      <c r="AE3" s="1"/>
      <c r="AF3" s="1"/>
      <c r="AG3" s="1"/>
      <c r="AH3" s="1"/>
    </row>
    <row r="4" spans="1:34" x14ac:dyDescent="0.3">
      <c r="A4" s="226" t="str">
        <f>IF(Main!A101&lt;&gt;"X","",10000+Main!B101)</f>
        <v/>
      </c>
      <c r="B4" s="226">
        <v>1234567</v>
      </c>
      <c r="C4" s="226">
        <v>3</v>
      </c>
      <c r="D4" s="226">
        <f>VLOOKUP(E4,'Exp Tables'!$I$3:$K$102,3,FALSE)</f>
        <v>15000000</v>
      </c>
      <c r="E4" s="226">
        <f>Main!D101</f>
        <v>100</v>
      </c>
      <c r="F4" s="226">
        <f>Main!E101</f>
        <v>5</v>
      </c>
      <c r="G4" s="226">
        <f>Main!F101</f>
        <v>10</v>
      </c>
      <c r="H4" s="226">
        <v>100</v>
      </c>
      <c r="I4" s="226">
        <v>0</v>
      </c>
      <c r="J4" s="226">
        <v>10</v>
      </c>
      <c r="K4" s="226">
        <v>10</v>
      </c>
      <c r="L4" s="227">
        <v>0</v>
      </c>
      <c r="M4" s="227">
        <v>0</v>
      </c>
      <c r="N4" s="227">
        <v>0</v>
      </c>
      <c r="O4" s="227">
        <v>0</v>
      </c>
      <c r="P4" s="227">
        <v>0</v>
      </c>
      <c r="Q4" s="227">
        <v>0</v>
      </c>
      <c r="R4" s="227">
        <v>0</v>
      </c>
      <c r="S4" s="227">
        <v>0</v>
      </c>
      <c r="T4" s="226">
        <f>Main!G101</f>
        <v>10</v>
      </c>
      <c r="U4" s="226">
        <f>Main!H101</f>
        <v>10</v>
      </c>
      <c r="V4" s="226">
        <f>Main!I101</f>
        <v>10</v>
      </c>
      <c r="W4" s="226">
        <v>0</v>
      </c>
      <c r="X4" s="226">
        <v>0</v>
      </c>
      <c r="Y4" s="226">
        <v>0</v>
      </c>
      <c r="Z4" s="1"/>
      <c r="AA4" s="1"/>
      <c r="AB4" s="1"/>
      <c r="AC4" s="1"/>
      <c r="AD4" s="1"/>
      <c r="AE4" s="1"/>
      <c r="AF4" s="1"/>
      <c r="AG4" s="1"/>
      <c r="AH4" s="1"/>
    </row>
    <row r="5" spans="1:34" x14ac:dyDescent="0.3">
      <c r="A5" s="226" t="str">
        <f>IF(Main!A102&lt;&gt;"X","",10000+Main!B102)</f>
        <v/>
      </c>
      <c r="B5" s="226">
        <v>1234567</v>
      </c>
      <c r="C5" s="226">
        <v>4</v>
      </c>
      <c r="D5" s="226">
        <f>VLOOKUP(E5,'Exp Tables'!$I$3:$K$102,3,FALSE)</f>
        <v>15000000</v>
      </c>
      <c r="E5" s="226">
        <f>Main!D102</f>
        <v>100</v>
      </c>
      <c r="F5" s="226">
        <f>Main!E102</f>
        <v>5</v>
      </c>
      <c r="G5" s="226">
        <f>Main!F102</f>
        <v>10</v>
      </c>
      <c r="H5" s="226">
        <v>100</v>
      </c>
      <c r="I5" s="226">
        <v>0</v>
      </c>
      <c r="J5" s="226">
        <v>10</v>
      </c>
      <c r="K5" s="226">
        <v>10</v>
      </c>
      <c r="L5" s="227">
        <v>0</v>
      </c>
      <c r="M5" s="227">
        <v>0</v>
      </c>
      <c r="N5" s="227">
        <v>0</v>
      </c>
      <c r="O5" s="227">
        <v>0</v>
      </c>
      <c r="P5" s="227">
        <v>0</v>
      </c>
      <c r="Q5" s="227">
        <v>0</v>
      </c>
      <c r="R5" s="227">
        <v>0</v>
      </c>
      <c r="S5" s="227">
        <v>0</v>
      </c>
      <c r="T5" s="226">
        <f>Main!G102</f>
        <v>10</v>
      </c>
      <c r="U5" s="226">
        <f>Main!H102</f>
        <v>10</v>
      </c>
      <c r="V5" s="226">
        <f>Main!I102</f>
        <v>10</v>
      </c>
      <c r="W5" s="226">
        <v>0</v>
      </c>
      <c r="X5" s="226">
        <v>0</v>
      </c>
      <c r="Y5" s="226">
        <v>0</v>
      </c>
      <c r="Z5" s="1"/>
      <c r="AA5" s="1"/>
      <c r="AB5" s="1"/>
      <c r="AC5" s="1"/>
      <c r="AD5" s="1"/>
      <c r="AE5" s="1"/>
      <c r="AF5" s="1"/>
      <c r="AG5" s="1"/>
      <c r="AH5" s="1"/>
    </row>
    <row r="6" spans="1:34" x14ac:dyDescent="0.3">
      <c r="A6" s="226" t="str">
        <f>IF(Main!A103&lt;&gt;"X","",10000+Main!B103)</f>
        <v/>
      </c>
      <c r="B6" s="226">
        <v>1234567</v>
      </c>
      <c r="C6" s="226">
        <v>5</v>
      </c>
      <c r="D6" s="226">
        <f>VLOOKUP(E6,'Exp Tables'!$I$3:$K$102,3,FALSE)</f>
        <v>15000000</v>
      </c>
      <c r="E6" s="226">
        <f>Main!D103</f>
        <v>100</v>
      </c>
      <c r="F6" s="226">
        <f>Main!E103</f>
        <v>5</v>
      </c>
      <c r="G6" s="226">
        <f>Main!F103</f>
        <v>10</v>
      </c>
      <c r="H6" s="226">
        <v>100</v>
      </c>
      <c r="I6" s="226">
        <v>0</v>
      </c>
      <c r="J6" s="226">
        <v>10</v>
      </c>
      <c r="K6" s="226">
        <v>10</v>
      </c>
      <c r="L6" s="227">
        <v>0</v>
      </c>
      <c r="M6" s="227">
        <v>0</v>
      </c>
      <c r="N6" s="227">
        <v>0</v>
      </c>
      <c r="O6" s="227">
        <v>0</v>
      </c>
      <c r="P6" s="227">
        <v>0</v>
      </c>
      <c r="Q6" s="227">
        <v>0</v>
      </c>
      <c r="R6" s="227">
        <v>0</v>
      </c>
      <c r="S6" s="227">
        <v>0</v>
      </c>
      <c r="T6" s="226">
        <f>Main!G103</f>
        <v>10</v>
      </c>
      <c r="U6" s="226">
        <f>Main!H103</f>
        <v>10</v>
      </c>
      <c r="V6" s="226">
        <f>Main!I103</f>
        <v>10</v>
      </c>
      <c r="W6" s="226">
        <v>0</v>
      </c>
      <c r="X6" s="226">
        <v>0</v>
      </c>
      <c r="Y6" s="226">
        <v>0</v>
      </c>
      <c r="Z6" s="1"/>
      <c r="AA6" s="1"/>
      <c r="AB6" s="1"/>
      <c r="AC6" s="1"/>
      <c r="AD6" s="1"/>
      <c r="AE6" s="1"/>
      <c r="AF6" s="1"/>
      <c r="AG6" s="1"/>
      <c r="AH6" s="1"/>
    </row>
    <row r="7" spans="1:34" x14ac:dyDescent="0.3">
      <c r="A7" s="226" t="str">
        <f>IF(Main!A104&lt;&gt;"X","",10000+Main!B104)</f>
        <v/>
      </c>
      <c r="B7" s="226">
        <v>1234567</v>
      </c>
      <c r="C7" s="226">
        <v>6</v>
      </c>
      <c r="D7" s="226">
        <f>VLOOKUP(E7,'Exp Tables'!$I$3:$K$102,3,FALSE)</f>
        <v>15000000</v>
      </c>
      <c r="E7" s="226">
        <f>Main!D104</f>
        <v>100</v>
      </c>
      <c r="F7" s="226">
        <f>Main!E104</f>
        <v>5</v>
      </c>
      <c r="G7" s="226">
        <f>Main!F104</f>
        <v>10</v>
      </c>
      <c r="H7" s="226">
        <v>100</v>
      </c>
      <c r="I7" s="226">
        <v>0</v>
      </c>
      <c r="J7" s="226">
        <v>10</v>
      </c>
      <c r="K7" s="226">
        <v>10</v>
      </c>
      <c r="L7" s="227">
        <v>0</v>
      </c>
      <c r="M7" s="227">
        <v>0</v>
      </c>
      <c r="N7" s="227">
        <v>0</v>
      </c>
      <c r="O7" s="227">
        <v>0</v>
      </c>
      <c r="P7" s="227">
        <v>0</v>
      </c>
      <c r="Q7" s="227">
        <v>0</v>
      </c>
      <c r="R7" s="227">
        <v>0</v>
      </c>
      <c r="S7" s="227">
        <v>0</v>
      </c>
      <c r="T7" s="226">
        <f>Main!G104</f>
        <v>10</v>
      </c>
      <c r="U7" s="226">
        <f>Main!H104</f>
        <v>10</v>
      </c>
      <c r="V7" s="226">
        <f>Main!I104</f>
        <v>10</v>
      </c>
      <c r="W7" s="226">
        <v>0</v>
      </c>
      <c r="X7" s="226">
        <v>0</v>
      </c>
      <c r="Y7" s="226">
        <v>0</v>
      </c>
      <c r="Z7" s="1"/>
      <c r="AA7" s="1"/>
      <c r="AB7" s="1"/>
      <c r="AC7" s="1"/>
      <c r="AD7" s="1"/>
      <c r="AE7" s="1"/>
      <c r="AF7" s="1"/>
      <c r="AG7" s="1"/>
      <c r="AH7" s="1"/>
    </row>
    <row r="8" spans="1:34" x14ac:dyDescent="0.3">
      <c r="A8" s="226" t="str">
        <f>IF(Main!A105&lt;&gt;"X","",10000+Main!B105)</f>
        <v/>
      </c>
      <c r="B8" s="226">
        <v>1234567</v>
      </c>
      <c r="C8" s="226">
        <v>7</v>
      </c>
      <c r="D8" s="226">
        <f>VLOOKUP(E8,'Exp Tables'!$I$3:$K$102,3,FALSE)</f>
        <v>15000000</v>
      </c>
      <c r="E8" s="226">
        <f>Main!D105</f>
        <v>100</v>
      </c>
      <c r="F8" s="226">
        <f>Main!E105</f>
        <v>5</v>
      </c>
      <c r="G8" s="226">
        <f>Main!F105</f>
        <v>10</v>
      </c>
      <c r="H8" s="226">
        <v>100</v>
      </c>
      <c r="I8" s="226">
        <v>0</v>
      </c>
      <c r="J8" s="226">
        <v>10</v>
      </c>
      <c r="K8" s="226">
        <v>10</v>
      </c>
      <c r="L8" s="227">
        <v>0</v>
      </c>
      <c r="M8" s="227">
        <v>0</v>
      </c>
      <c r="N8" s="227">
        <v>0</v>
      </c>
      <c r="O8" s="227">
        <v>0</v>
      </c>
      <c r="P8" s="227">
        <v>0</v>
      </c>
      <c r="Q8" s="227">
        <v>0</v>
      </c>
      <c r="R8" s="227">
        <v>0</v>
      </c>
      <c r="S8" s="227">
        <v>0</v>
      </c>
      <c r="T8" s="226">
        <f>Main!G105</f>
        <v>10</v>
      </c>
      <c r="U8" s="226">
        <f>Main!H105</f>
        <v>10</v>
      </c>
      <c r="V8" s="226">
        <f>Main!I105</f>
        <v>10</v>
      </c>
      <c r="W8" s="226">
        <v>0</v>
      </c>
      <c r="X8" s="226">
        <v>0</v>
      </c>
      <c r="Y8" s="226">
        <v>0</v>
      </c>
      <c r="Z8" s="1"/>
      <c r="AA8" s="1"/>
      <c r="AB8" s="1"/>
      <c r="AC8" s="1"/>
      <c r="AD8" s="1"/>
      <c r="AE8" s="1"/>
      <c r="AF8" s="1"/>
      <c r="AG8" s="1"/>
      <c r="AH8" s="1"/>
    </row>
    <row r="9" spans="1:34" x14ac:dyDescent="0.3">
      <c r="A9" s="226" t="str">
        <f>IF(Main!A106&lt;&gt;"X","",10000+Main!B106)</f>
        <v/>
      </c>
      <c r="B9" s="226">
        <v>1234567</v>
      </c>
      <c r="C9" s="226">
        <v>8</v>
      </c>
      <c r="D9" s="226">
        <f>VLOOKUP(E9,'Exp Tables'!$I$3:$K$102,3,FALSE)</f>
        <v>15000000</v>
      </c>
      <c r="E9" s="226">
        <f>Main!D106</f>
        <v>100</v>
      </c>
      <c r="F9" s="226">
        <f>Main!E106</f>
        <v>5</v>
      </c>
      <c r="G9" s="226">
        <f>Main!F106</f>
        <v>10</v>
      </c>
      <c r="H9" s="226">
        <v>100</v>
      </c>
      <c r="I9" s="226">
        <v>0</v>
      </c>
      <c r="J9" s="226">
        <v>10</v>
      </c>
      <c r="K9" s="226">
        <v>10</v>
      </c>
      <c r="L9" s="227">
        <v>0</v>
      </c>
      <c r="M9" s="227">
        <v>0</v>
      </c>
      <c r="N9" s="227">
        <v>0</v>
      </c>
      <c r="O9" s="227">
        <v>0</v>
      </c>
      <c r="P9" s="227">
        <v>0</v>
      </c>
      <c r="Q9" s="227">
        <v>0</v>
      </c>
      <c r="R9" s="227">
        <v>0</v>
      </c>
      <c r="S9" s="227">
        <v>0</v>
      </c>
      <c r="T9" s="226">
        <f>Main!G106</f>
        <v>10</v>
      </c>
      <c r="U9" s="226">
        <f>Main!H106</f>
        <v>10</v>
      </c>
      <c r="V9" s="226">
        <f>Main!I106</f>
        <v>10</v>
      </c>
      <c r="W9" s="226">
        <v>0</v>
      </c>
      <c r="X9" s="226">
        <v>0</v>
      </c>
      <c r="Y9" s="226">
        <v>0</v>
      </c>
    </row>
    <row r="10" spans="1:34" x14ac:dyDescent="0.3">
      <c r="A10" s="226" t="str">
        <f>IF(Main!A107&lt;&gt;"X","",10000+Main!B107)</f>
        <v/>
      </c>
      <c r="B10" s="226">
        <v>1234567</v>
      </c>
      <c r="C10" s="226">
        <v>9</v>
      </c>
      <c r="D10" s="226">
        <f>VLOOKUP(E10,'Exp Tables'!$I$3:$K$102,3,FALSE)</f>
        <v>15000000</v>
      </c>
      <c r="E10" s="226">
        <f>Main!D107</f>
        <v>100</v>
      </c>
      <c r="F10" s="226">
        <f>Main!E107</f>
        <v>5</v>
      </c>
      <c r="G10" s="226">
        <f>Main!F107</f>
        <v>10</v>
      </c>
      <c r="H10" s="226">
        <v>100</v>
      </c>
      <c r="I10" s="226">
        <v>0</v>
      </c>
      <c r="J10" s="226">
        <v>10</v>
      </c>
      <c r="K10" s="226">
        <v>10</v>
      </c>
      <c r="L10" s="227">
        <v>0</v>
      </c>
      <c r="M10" s="227">
        <v>0</v>
      </c>
      <c r="N10" s="227">
        <v>0</v>
      </c>
      <c r="O10" s="227">
        <v>0</v>
      </c>
      <c r="P10" s="227">
        <v>0</v>
      </c>
      <c r="Q10" s="227">
        <v>0</v>
      </c>
      <c r="R10" s="227">
        <v>0</v>
      </c>
      <c r="S10" s="227">
        <v>0</v>
      </c>
      <c r="T10" s="226">
        <f>Main!G107</f>
        <v>10</v>
      </c>
      <c r="U10" s="226">
        <f>Main!H107</f>
        <v>10</v>
      </c>
      <c r="V10" s="226">
        <f>Main!I107</f>
        <v>10</v>
      </c>
      <c r="W10" s="226">
        <v>0</v>
      </c>
      <c r="X10" s="226">
        <v>0</v>
      </c>
      <c r="Y10" s="226">
        <v>0</v>
      </c>
    </row>
    <row r="11" spans="1:34" x14ac:dyDescent="0.3">
      <c r="A11" s="226" t="str">
        <f>IF(Main!A108&lt;&gt;"X","",10000+Main!B108)</f>
        <v/>
      </c>
      <c r="B11" s="226">
        <v>1234567</v>
      </c>
      <c r="C11" s="226">
        <v>10</v>
      </c>
      <c r="D11" s="226">
        <f>VLOOKUP(E11,'Exp Tables'!$I$3:$K$102,3,FALSE)</f>
        <v>15000000</v>
      </c>
      <c r="E11" s="226">
        <f>Main!D108</f>
        <v>100</v>
      </c>
      <c r="F11" s="226">
        <f>Main!E108</f>
        <v>5</v>
      </c>
      <c r="G11" s="226">
        <f>Main!F108</f>
        <v>10</v>
      </c>
      <c r="H11" s="226">
        <v>100</v>
      </c>
      <c r="I11" s="226">
        <v>0</v>
      </c>
      <c r="J11" s="226">
        <v>10</v>
      </c>
      <c r="K11" s="226">
        <v>10</v>
      </c>
      <c r="L11" s="227">
        <v>0</v>
      </c>
      <c r="M11" s="227">
        <v>0</v>
      </c>
      <c r="N11" s="227">
        <v>0</v>
      </c>
      <c r="O11" s="227">
        <v>0</v>
      </c>
      <c r="P11" s="227">
        <v>0</v>
      </c>
      <c r="Q11" s="227">
        <v>0</v>
      </c>
      <c r="R11" s="227">
        <v>0</v>
      </c>
      <c r="S11" s="227">
        <v>0</v>
      </c>
      <c r="T11" s="226">
        <f>Main!G108</f>
        <v>10</v>
      </c>
      <c r="U11" s="226">
        <f>Main!H108</f>
        <v>10</v>
      </c>
      <c r="V11" s="226">
        <f>Main!I108</f>
        <v>10</v>
      </c>
      <c r="W11" s="226">
        <v>0</v>
      </c>
      <c r="X11" s="226">
        <v>0</v>
      </c>
      <c r="Y11" s="226">
        <v>0</v>
      </c>
    </row>
    <row r="12" spans="1:34" x14ac:dyDescent="0.3">
      <c r="A12" s="226" t="str">
        <f>IF(Main!A109&lt;&gt;"X","",10000+Main!B109)</f>
        <v/>
      </c>
      <c r="B12" s="226">
        <v>1234567</v>
      </c>
      <c r="C12" s="228">
        <v>11</v>
      </c>
      <c r="D12" s="226">
        <f>VLOOKUP(E12,'Exp Tables'!$I$3:$K$102,3,FALSE)</f>
        <v>15000000</v>
      </c>
      <c r="E12" s="226">
        <f>Main!D109</f>
        <v>100</v>
      </c>
      <c r="F12" s="226">
        <f>Main!E109</f>
        <v>5</v>
      </c>
      <c r="G12" s="226">
        <f>Main!F109</f>
        <v>10</v>
      </c>
      <c r="H12" s="226">
        <v>100</v>
      </c>
      <c r="I12" s="226">
        <v>0</v>
      </c>
      <c r="J12" s="226">
        <v>10</v>
      </c>
      <c r="K12" s="226">
        <v>10</v>
      </c>
      <c r="L12" s="227">
        <v>0</v>
      </c>
      <c r="M12" s="227">
        <v>0</v>
      </c>
      <c r="N12" s="227">
        <v>0</v>
      </c>
      <c r="O12" s="227">
        <v>0</v>
      </c>
      <c r="P12" s="227">
        <v>0</v>
      </c>
      <c r="Q12" s="227">
        <v>0</v>
      </c>
      <c r="R12" s="227">
        <v>0</v>
      </c>
      <c r="S12" s="227">
        <v>0</v>
      </c>
      <c r="T12" s="226">
        <f>Main!G109</f>
        <v>10</v>
      </c>
      <c r="U12" s="226">
        <f>Main!H109</f>
        <v>10</v>
      </c>
      <c r="V12" s="226">
        <f>Main!I109</f>
        <v>10</v>
      </c>
      <c r="W12" s="226">
        <v>0</v>
      </c>
      <c r="X12" s="226">
        <v>0</v>
      </c>
      <c r="Y12" s="226">
        <v>0</v>
      </c>
    </row>
    <row r="13" spans="1:34" x14ac:dyDescent="0.3">
      <c r="A13" s="249" t="str">
        <f>IF(Main!A110&lt;&gt;"X","",10000+Main!B110)</f>
        <v/>
      </c>
      <c r="B13" s="249">
        <v>1234567</v>
      </c>
      <c r="C13" s="249">
        <v>1019</v>
      </c>
      <c r="D13" s="249">
        <f>VLOOKUP(E13,'Exp Tables'!$I$3:$K$102,3,FALSE)</f>
        <v>15000000</v>
      </c>
      <c r="E13" s="249">
        <v>100</v>
      </c>
      <c r="F13" s="249">
        <v>5</v>
      </c>
      <c r="G13" s="249">
        <v>10</v>
      </c>
      <c r="H13" s="249">
        <v>100</v>
      </c>
      <c r="I13" s="249">
        <v>0</v>
      </c>
      <c r="J13" s="249">
        <v>10</v>
      </c>
      <c r="K13" s="249">
        <v>10</v>
      </c>
      <c r="L13" s="250">
        <v>0</v>
      </c>
      <c r="M13" s="250">
        <v>0</v>
      </c>
      <c r="N13" s="250">
        <v>0</v>
      </c>
      <c r="O13" s="250">
        <v>0</v>
      </c>
      <c r="P13" s="250">
        <v>0</v>
      </c>
      <c r="Q13" s="250">
        <v>0</v>
      </c>
      <c r="R13" s="250">
        <v>0</v>
      </c>
      <c r="S13" s="250">
        <v>0</v>
      </c>
      <c r="T13" s="250">
        <v>0</v>
      </c>
      <c r="U13" s="250">
        <v>0</v>
      </c>
      <c r="V13" s="250">
        <v>0</v>
      </c>
      <c r="W13" s="250">
        <v>0</v>
      </c>
      <c r="X13" s="250">
        <v>0</v>
      </c>
      <c r="Y13" s="250">
        <v>0</v>
      </c>
    </row>
    <row r="14" spans="1:34" x14ac:dyDescent="0.3">
      <c r="A14" s="253" t="str">
        <f>IF(OR(Main!F75="",Main!G75="",Main!B75=""),"",10000+90)</f>
        <v/>
      </c>
      <c r="B14" s="253">
        <v>1234567</v>
      </c>
      <c r="C14" s="253">
        <v>1001</v>
      </c>
      <c r="D14" s="253">
        <f>VLOOKUP(E14,'Exp Tables'!$I$3:$K$102,3,FALSE)</f>
        <v>15000000</v>
      </c>
      <c r="E14" s="253">
        <f>Main!F75</f>
        <v>100</v>
      </c>
      <c r="F14" s="253">
        <f>Main!G75</f>
        <v>5</v>
      </c>
      <c r="G14" s="253">
        <v>0</v>
      </c>
      <c r="H14" s="253">
        <v>100</v>
      </c>
      <c r="I14" s="253">
        <v>0</v>
      </c>
      <c r="J14" s="253">
        <v>10</v>
      </c>
      <c r="K14" s="253">
        <v>10</v>
      </c>
      <c r="L14" s="254">
        <v>0</v>
      </c>
      <c r="M14" s="254">
        <v>0</v>
      </c>
      <c r="N14" s="254">
        <v>0</v>
      </c>
      <c r="O14" s="254">
        <v>0</v>
      </c>
      <c r="P14" s="254">
        <v>0</v>
      </c>
      <c r="Q14" s="254">
        <v>0</v>
      </c>
      <c r="R14" s="254">
        <v>0</v>
      </c>
      <c r="S14" s="254">
        <v>0</v>
      </c>
      <c r="T14" s="253">
        <v>1</v>
      </c>
      <c r="U14" s="253">
        <v>1</v>
      </c>
      <c r="V14" s="253">
        <v>1</v>
      </c>
      <c r="W14" s="253">
        <v>0</v>
      </c>
      <c r="X14" s="253">
        <v>0</v>
      </c>
      <c r="Y14" s="253">
        <v>0</v>
      </c>
      <c r="Z14" s="1"/>
      <c r="AA14" s="1"/>
      <c r="AB14" s="1"/>
      <c r="AC14" s="1"/>
      <c r="AD14" s="1"/>
      <c r="AE14" s="1"/>
      <c r="AF14" s="1"/>
      <c r="AG14" s="1"/>
      <c r="AH14" s="1"/>
    </row>
    <row r="15" spans="1:34" x14ac:dyDescent="0.3">
      <c r="A15" s="243" t="str">
        <f>IF(OR(Main!H75="",Main!I75="",Main!B76=""),"",10000+91)</f>
        <v/>
      </c>
      <c r="B15" s="243">
        <v>1234567</v>
      </c>
      <c r="C15" s="243">
        <v>1002</v>
      </c>
      <c r="D15" s="243">
        <f>VLOOKUP(E15,'Exp Tables'!$I$3:$K$102,3,FALSE)</f>
        <v>15000000</v>
      </c>
      <c r="E15" s="243">
        <f>Main!H75</f>
        <v>100</v>
      </c>
      <c r="F15" s="243">
        <f>Main!I75</f>
        <v>5</v>
      </c>
      <c r="G15" s="243">
        <v>0</v>
      </c>
      <c r="H15" s="243">
        <v>100</v>
      </c>
      <c r="I15" s="243">
        <v>0</v>
      </c>
      <c r="J15" s="243">
        <v>10</v>
      </c>
      <c r="K15" s="243">
        <v>10</v>
      </c>
      <c r="L15" s="255">
        <v>0</v>
      </c>
      <c r="M15" s="255">
        <v>0</v>
      </c>
      <c r="N15" s="255">
        <v>0</v>
      </c>
      <c r="O15" s="255">
        <v>0</v>
      </c>
      <c r="P15" s="255">
        <v>0</v>
      </c>
      <c r="Q15" s="255">
        <v>0</v>
      </c>
      <c r="R15" s="255">
        <v>0</v>
      </c>
      <c r="S15" s="255">
        <v>0</v>
      </c>
      <c r="T15" s="243">
        <v>1</v>
      </c>
      <c r="U15" s="243">
        <v>1</v>
      </c>
      <c r="V15" s="243">
        <v>1</v>
      </c>
      <c r="W15" s="243">
        <v>0</v>
      </c>
      <c r="X15" s="243">
        <v>0</v>
      </c>
      <c r="Y15" s="243">
        <v>0</v>
      </c>
      <c r="Z15" s="1"/>
      <c r="AA15" s="1"/>
      <c r="AB15" s="1"/>
      <c r="AC15" s="1"/>
      <c r="AD15" s="1"/>
      <c r="AE15" s="1"/>
      <c r="AF15" s="1"/>
      <c r="AG15" s="1"/>
      <c r="AH15" s="1"/>
    </row>
    <row r="16" spans="1:34" x14ac:dyDescent="0.3">
      <c r="A16" s="251" t="str">
        <f>IF(OR(Main!J75&lt;&gt;"HOC",Main!K75="",Main!M75="",Main!B75=""),"",10000+92)</f>
        <v/>
      </c>
      <c r="B16" s="251">
        <v>1234567</v>
      </c>
      <c r="C16" s="251">
        <v>1003</v>
      </c>
      <c r="D16" s="251">
        <f>VLOOKUP(E16,'Exp Tables'!$I$3:$K$102,3,FALSE)</f>
        <v>15000000</v>
      </c>
      <c r="E16" s="251">
        <f>Main!K75</f>
        <v>100</v>
      </c>
      <c r="F16" s="251">
        <f>Main!M75</f>
        <v>5</v>
      </c>
      <c r="G16" s="251">
        <v>0</v>
      </c>
      <c r="H16" s="251">
        <v>100</v>
      </c>
      <c r="I16" s="251">
        <v>0</v>
      </c>
      <c r="J16" s="251">
        <v>10</v>
      </c>
      <c r="K16" s="251">
        <v>10</v>
      </c>
      <c r="L16" s="256">
        <v>0</v>
      </c>
      <c r="M16" s="256">
        <v>0</v>
      </c>
      <c r="N16" s="256">
        <v>0</v>
      </c>
      <c r="O16" s="256">
        <v>0</v>
      </c>
      <c r="P16" s="256">
        <v>0</v>
      </c>
      <c r="Q16" s="256">
        <v>0</v>
      </c>
      <c r="R16" s="256">
        <v>0</v>
      </c>
      <c r="S16" s="256">
        <v>0</v>
      </c>
      <c r="T16" s="251">
        <v>1</v>
      </c>
      <c r="U16" s="251">
        <v>1</v>
      </c>
      <c r="V16" s="251">
        <v>1</v>
      </c>
      <c r="W16" s="251">
        <v>0</v>
      </c>
      <c r="X16" s="251">
        <v>0</v>
      </c>
      <c r="Y16" s="251">
        <v>0</v>
      </c>
      <c r="Z16" s="1"/>
      <c r="AA16" s="1"/>
      <c r="AB16" s="1"/>
      <c r="AC16" s="1"/>
      <c r="AD16" s="1"/>
      <c r="AE16" s="1"/>
      <c r="AF16" s="1"/>
      <c r="AG16" s="1"/>
      <c r="AH16" s="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2569-A867-40B3-BDF6-99FBA4F12D9F}">
  <sheetPr codeName="Sheet36"/>
  <dimension ref="A1:D111"/>
  <sheetViews>
    <sheetView topLeftCell="A90" workbookViewId="0">
      <selection activeCell="B111" sqref="B111"/>
    </sheetView>
  </sheetViews>
  <sheetFormatPr defaultRowHeight="14.4" x14ac:dyDescent="0.3"/>
  <sheetData>
    <row r="1" spans="1:4" x14ac:dyDescent="0.3">
      <c r="A1" s="85" t="s">
        <v>26</v>
      </c>
      <c r="B1" s="85" t="s">
        <v>1101</v>
      </c>
      <c r="C1" s="85" t="s">
        <v>8367</v>
      </c>
      <c r="D1" s="85" t="s">
        <v>8368</v>
      </c>
    </row>
    <row r="2" spans="1:4" x14ac:dyDescent="0.3">
      <c r="A2" s="181" t="str">
        <f>IF(INDEX(Main!$A$99:$A$109,MATCH(LEFT(B2,LEN(B2)-3)*1,Main!$B$99:$B$109,0))="X",1234567,"")</f>
        <v/>
      </c>
      <c r="B2" s="181">
        <v>1001</v>
      </c>
      <c r="C2" s="181">
        <f>MAX(INDEX('Exp Tables'!$AI$3:$AN$22,MATCH(D2,'Exp Tables'!$AB$3:$AB$22,0),MATCH(INDEX('HOC Chip Data'!O:O,MATCH(B2,'HOC Chip Data'!A:A,0)),'Exp Tables'!$AI$2:$AN$2,0))-
INDEX('HOC Chip Data'!O:O,MATCH(B2,'HOC Chip Data'!A:A,0))*25,0)</f>
        <v>4700</v>
      </c>
      <c r="D2" s="181">
        <f>INDEX(Main!$J$99:$S$109,MATCH(LEFT(B2,LEN(B2)-3)*1,Main!$B$99:$B$109,0),MATCH("Chip "&amp;RIGHT(B2,3)*1,Main!$J$98:$S$98,0))</f>
        <v>20</v>
      </c>
    </row>
    <row r="3" spans="1:4" x14ac:dyDescent="0.3">
      <c r="A3" s="1" t="str">
        <f>IF(INDEX(Main!$A$99:$A$109,MATCH(LEFT(B3,LEN(B3)-3)*1,Main!$B$99:$B$109,0))="X",1234567,"")</f>
        <v/>
      </c>
      <c r="B3" s="1">
        <f t="shared" ref="B3:B11" si="0">B2+1</f>
        <v>1002</v>
      </c>
      <c r="C3" s="1">
        <f>MAX(INDEX('Exp Tables'!$AI$3:$AN$22,MATCH(D3,'Exp Tables'!$AB$3:$AB$22,0),MATCH(INDEX('HOC Chip Data'!O:O,MATCH(B3,'HOC Chip Data'!A:A,0)),'Exp Tables'!$AI$2:$AN$2,0))-
INDEX('HOC Chip Data'!O:O,MATCH(B3,'HOC Chip Data'!A:A,0))*25,0)</f>
        <v>7050</v>
      </c>
      <c r="D3" s="1">
        <f>INDEX(Main!$J$99:$S$109,MATCH(LEFT(B3,LEN(B3)-3)*1,Main!$B$99:$B$109,0),MATCH("Chip "&amp;RIGHT(B3,3)*1,Main!$J$98:$S$98,0))</f>
        <v>20</v>
      </c>
    </row>
    <row r="4" spans="1:4" x14ac:dyDescent="0.3">
      <c r="A4" s="1" t="str">
        <f>IF(INDEX(Main!$A$99:$A$109,MATCH(LEFT(B4,LEN(B4)-3)*1,Main!$B$99:$B$109,0))="X",1234567,"")</f>
        <v/>
      </c>
      <c r="B4" s="1">
        <f t="shared" si="0"/>
        <v>1003</v>
      </c>
      <c r="C4" s="1">
        <f>MAX(INDEX('Exp Tables'!$AI$3:$AN$22,MATCH(D4,'Exp Tables'!$AB$3:$AB$22,0),MATCH(INDEX('HOC Chip Data'!O:O,MATCH(B4,'HOC Chip Data'!A:A,0)),'Exp Tables'!$AI$2:$AN$2,0))-
INDEX('HOC Chip Data'!O:O,MATCH(B4,'HOC Chip Data'!A:A,0))*25,0)</f>
        <v>4700</v>
      </c>
      <c r="D4" s="1">
        <f>INDEX(Main!$J$99:$S$109,MATCH(LEFT(B4,LEN(B4)-3)*1,Main!$B$99:$B$109,0),MATCH("Chip "&amp;RIGHT(B4,3)*1,Main!$J$98:$S$98,0))</f>
        <v>20</v>
      </c>
    </row>
    <row r="5" spans="1:4" x14ac:dyDescent="0.3">
      <c r="A5" s="1" t="str">
        <f>IF(INDEX(Main!$A$99:$A$109,MATCH(LEFT(B5,LEN(B5)-3)*1,Main!$B$99:$B$109,0))="X",1234567,"")</f>
        <v/>
      </c>
      <c r="B5" s="1">
        <f t="shared" si="0"/>
        <v>1004</v>
      </c>
      <c r="C5" s="1">
        <f>MAX(INDEX('Exp Tables'!$AI$3:$AN$22,MATCH(D5,'Exp Tables'!$AB$3:$AB$22,0),MATCH(INDEX('HOC Chip Data'!O:O,MATCH(B5,'HOC Chip Data'!A:A,0)),'Exp Tables'!$AI$2:$AN$2,0))-
INDEX('HOC Chip Data'!O:O,MATCH(B5,'HOC Chip Data'!A:A,0))*25,0)</f>
        <v>2350</v>
      </c>
      <c r="D5" s="1">
        <f>INDEX(Main!$J$99:$S$109,MATCH(LEFT(B5,LEN(B5)-3)*1,Main!$B$99:$B$109,0),MATCH("Chip "&amp;RIGHT(B5,3)*1,Main!$J$98:$S$98,0))</f>
        <v>20</v>
      </c>
    </row>
    <row r="6" spans="1:4" x14ac:dyDescent="0.3">
      <c r="A6" s="1" t="str">
        <f>IF(INDEX(Main!$A$99:$A$109,MATCH(LEFT(B6,LEN(B6)-3)*1,Main!$B$99:$B$109,0))="X",1234567,"")</f>
        <v/>
      </c>
      <c r="B6" s="1">
        <f t="shared" si="0"/>
        <v>1005</v>
      </c>
      <c r="C6" s="1">
        <f>MAX(INDEX('Exp Tables'!$AI$3:$AN$22,MATCH(D6,'Exp Tables'!$AB$3:$AB$22,0),MATCH(INDEX('HOC Chip Data'!O:O,MATCH(B6,'HOC Chip Data'!A:A,0)),'Exp Tables'!$AI$2:$AN$2,0))-
INDEX('HOC Chip Data'!O:O,MATCH(B6,'HOC Chip Data'!A:A,0))*25,0)</f>
        <v>2350</v>
      </c>
      <c r="D6" s="1">
        <f>INDEX(Main!$J$99:$S$109,MATCH(LEFT(B6,LEN(B6)-3)*1,Main!$B$99:$B$109,0),MATCH("Chip "&amp;RIGHT(B6,3)*1,Main!$J$98:$S$98,0))</f>
        <v>20</v>
      </c>
    </row>
    <row r="7" spans="1:4" x14ac:dyDescent="0.3">
      <c r="A7" s="1" t="str">
        <f>IF(INDEX(Main!$A$99:$A$109,MATCH(LEFT(B7,LEN(B7)-3)*1,Main!$B$99:$B$109,0))="X",1234567,"")</f>
        <v/>
      </c>
      <c r="B7" s="1">
        <f t="shared" si="0"/>
        <v>1006</v>
      </c>
      <c r="C7" s="1">
        <f>MAX(INDEX('Exp Tables'!$AI$3:$AN$22,MATCH(D7,'Exp Tables'!$AB$3:$AB$22,0),MATCH(INDEX('HOC Chip Data'!O:O,MATCH(B7,'HOC Chip Data'!A:A,0)),'Exp Tables'!$AI$2:$AN$2,0))-
INDEX('HOC Chip Data'!O:O,MATCH(B7,'HOC Chip Data'!A:A,0))*25,0)</f>
        <v>4700</v>
      </c>
      <c r="D7" s="1">
        <f>INDEX(Main!$J$99:$S$109,MATCH(LEFT(B7,LEN(B7)-3)*1,Main!$B$99:$B$109,0),MATCH("Chip "&amp;RIGHT(B7,3)*1,Main!$J$98:$S$98,0))</f>
        <v>20</v>
      </c>
    </row>
    <row r="8" spans="1:4" x14ac:dyDescent="0.3">
      <c r="A8" s="1" t="str">
        <f>IF(INDEX(Main!$A$99:$A$109,MATCH(LEFT(B8,LEN(B8)-3)*1,Main!$B$99:$B$109,0))="X",1234567,"")</f>
        <v/>
      </c>
      <c r="B8" s="1">
        <f t="shared" si="0"/>
        <v>1007</v>
      </c>
      <c r="C8" s="1">
        <f>MAX(INDEX('Exp Tables'!$AI$3:$AN$22,MATCH(D8,'Exp Tables'!$AB$3:$AB$22,0),MATCH(INDEX('HOC Chip Data'!O:O,MATCH(B8,'HOC Chip Data'!A:A,0)),'Exp Tables'!$AI$2:$AN$2,0))-
INDEX('HOC Chip Data'!O:O,MATCH(B8,'HOC Chip Data'!A:A,0))*25,0)</f>
        <v>4700</v>
      </c>
      <c r="D8" s="1">
        <f>INDEX(Main!$J$99:$S$109,MATCH(LEFT(B8,LEN(B8)-3)*1,Main!$B$99:$B$109,0),MATCH("Chip "&amp;RIGHT(B8,3)*1,Main!$J$98:$S$98,0))</f>
        <v>20</v>
      </c>
    </row>
    <row r="9" spans="1:4" x14ac:dyDescent="0.3">
      <c r="A9" s="1" t="str">
        <f>IF(INDEX(Main!$A$99:$A$109,MATCH(LEFT(B9,LEN(B9)-3)*1,Main!$B$99:$B$109,0))="X",1234567,"")</f>
        <v/>
      </c>
      <c r="B9" s="1">
        <f t="shared" si="0"/>
        <v>1008</v>
      </c>
      <c r="C9" s="1">
        <f>MAX(INDEX('Exp Tables'!$AI$3:$AN$22,MATCH(D9,'Exp Tables'!$AB$3:$AB$22,0),MATCH(INDEX('HOC Chip Data'!O:O,MATCH(B9,'HOC Chip Data'!A:A,0)),'Exp Tables'!$AI$2:$AN$2,0))-
INDEX('HOC Chip Data'!O:O,MATCH(B9,'HOC Chip Data'!A:A,0))*25,0)</f>
        <v>4700</v>
      </c>
      <c r="D9" s="1">
        <f>INDEX(Main!$J$99:$S$109,MATCH(LEFT(B9,LEN(B9)-3)*1,Main!$B$99:$B$109,0),MATCH("Chip "&amp;RIGHT(B9,3)*1,Main!$J$98:$S$98,0))</f>
        <v>20</v>
      </c>
    </row>
    <row r="10" spans="1:4" x14ac:dyDescent="0.3">
      <c r="A10" s="1" t="str">
        <f>IF(INDEX(Main!$A$99:$A$109,MATCH(LEFT(B10,LEN(B10)-3)*1,Main!$B$99:$B$109,0))="X",1234567,"")</f>
        <v/>
      </c>
      <c r="B10" s="1">
        <f t="shared" si="0"/>
        <v>1009</v>
      </c>
      <c r="C10" s="1">
        <f>MAX(INDEX('Exp Tables'!$AI$3:$AN$22,MATCH(D10,'Exp Tables'!$AB$3:$AB$22,0),MATCH(INDEX('HOC Chip Data'!O:O,MATCH(B10,'HOC Chip Data'!A:A,0)),'Exp Tables'!$AI$2:$AN$2,0))-
INDEX('HOC Chip Data'!O:O,MATCH(B10,'HOC Chip Data'!A:A,0))*25,0)</f>
        <v>4700</v>
      </c>
      <c r="D10" s="1">
        <f>INDEX(Main!$J$99:$S$109,MATCH(LEFT(B10,LEN(B10)-3)*1,Main!$B$99:$B$109,0),MATCH("Chip "&amp;RIGHT(B10,3)*1,Main!$J$98:$S$98,0))</f>
        <v>20</v>
      </c>
    </row>
    <row r="11" spans="1:4" x14ac:dyDescent="0.3">
      <c r="A11" s="45" t="str">
        <f>IF(INDEX(Main!$A$99:$A$109,MATCH(LEFT(B11,LEN(B11)-3)*1,Main!$B$99:$B$109,0))="X",1234567,"")</f>
        <v/>
      </c>
      <c r="B11" s="45">
        <f t="shared" si="0"/>
        <v>1010</v>
      </c>
      <c r="C11" s="45">
        <f>MAX(INDEX('Exp Tables'!$AI$3:$AN$22,MATCH(D11,'Exp Tables'!$AB$3:$AB$22,0),MATCH(INDEX('HOC Chip Data'!O:O,MATCH(B11,'HOC Chip Data'!A:A,0)),'Exp Tables'!$AI$2:$AN$2,0))-
INDEX('HOC Chip Data'!O:O,MATCH(B11,'HOC Chip Data'!A:A,0))*25,0)</f>
        <v>2350</v>
      </c>
      <c r="D11" s="45">
        <f>INDEX(Main!$J$99:$S$109,MATCH(LEFT(B11,LEN(B11)-3)*1,Main!$B$99:$B$109,0),MATCH("Chip "&amp;RIGHT(B11,3)*1,Main!$J$98:$S$98,0))</f>
        <v>20</v>
      </c>
    </row>
    <row r="12" spans="1:4" x14ac:dyDescent="0.3">
      <c r="A12" s="181" t="str">
        <f>IF(INDEX(Main!$A$99:$A$109,MATCH(LEFT(B12,LEN(B12)-3)*1,Main!$B$99:$B$109,0))="X",1234567,"")</f>
        <v/>
      </c>
      <c r="B12" s="181">
        <f>B2+1000</f>
        <v>2001</v>
      </c>
      <c r="C12" s="181">
        <f>MAX(INDEX('Exp Tables'!$AI$3:$AN$22,MATCH(D12,'Exp Tables'!$AB$3:$AB$22,0),MATCH(INDEX('HOC Chip Data'!O:O,MATCH(B12,'HOC Chip Data'!A:A,0)),'Exp Tables'!$AI$2:$AN$2,0))-
INDEX('HOC Chip Data'!O:O,MATCH(B12,'HOC Chip Data'!A:A,0))*25,0)</f>
        <v>4700</v>
      </c>
      <c r="D12" s="181">
        <f>INDEX(Main!$J$99:$S$109,MATCH(LEFT(B12,LEN(B12)-3)*1,Main!$B$99:$B$109,0),MATCH("Chip "&amp;RIGHT(B12,3)*1,Main!$J$98:$S$98,0))</f>
        <v>20</v>
      </c>
    </row>
    <row r="13" spans="1:4" x14ac:dyDescent="0.3">
      <c r="A13" s="1" t="str">
        <f>IF(INDEX(Main!$A$99:$A$109,MATCH(LEFT(B13,LEN(B13)-3)*1,Main!$B$99:$B$109,0))="X",1234567,"")</f>
        <v/>
      </c>
      <c r="B13" s="1">
        <f t="shared" ref="B13:B76" si="1">B3+1000</f>
        <v>2002</v>
      </c>
      <c r="C13" s="1">
        <f>MAX(INDEX('Exp Tables'!$AI$3:$AN$22,MATCH(D13,'Exp Tables'!$AB$3:$AB$22,0),MATCH(INDEX('HOC Chip Data'!O:O,MATCH(B13,'HOC Chip Data'!A:A,0)),'Exp Tables'!$AI$2:$AN$2,0))-
INDEX('HOC Chip Data'!O:O,MATCH(B13,'HOC Chip Data'!A:A,0))*25,0)</f>
        <v>4700</v>
      </c>
      <c r="D13" s="1">
        <f>INDEX(Main!$J$99:$S$109,MATCH(LEFT(B13,LEN(B13)-3)*1,Main!$B$99:$B$109,0),MATCH("Chip "&amp;RIGHT(B13,3)*1,Main!$J$98:$S$98,0))</f>
        <v>20</v>
      </c>
    </row>
    <row r="14" spans="1:4" x14ac:dyDescent="0.3">
      <c r="A14" s="1" t="str">
        <f>IF(INDEX(Main!$A$99:$A$109,MATCH(LEFT(B14,LEN(B14)-3)*1,Main!$B$99:$B$109,0))="X",1234567,"")</f>
        <v/>
      </c>
      <c r="B14" s="1">
        <f t="shared" si="1"/>
        <v>2003</v>
      </c>
      <c r="C14" s="1">
        <f>MAX(INDEX('Exp Tables'!$AI$3:$AN$22,MATCH(D14,'Exp Tables'!$AB$3:$AB$22,0),MATCH(INDEX('HOC Chip Data'!O:O,MATCH(B14,'HOC Chip Data'!A:A,0)),'Exp Tables'!$AI$2:$AN$2,0))-
INDEX('HOC Chip Data'!O:O,MATCH(B14,'HOC Chip Data'!A:A,0))*25,0)</f>
        <v>5875</v>
      </c>
      <c r="D14" s="1">
        <f>INDEX(Main!$J$99:$S$109,MATCH(LEFT(B14,LEN(B14)-3)*1,Main!$B$99:$B$109,0),MATCH("Chip "&amp;RIGHT(B14,3)*1,Main!$J$98:$S$98,0))</f>
        <v>20</v>
      </c>
    </row>
    <row r="15" spans="1:4" x14ac:dyDescent="0.3">
      <c r="A15" s="1" t="str">
        <f>IF(INDEX(Main!$A$99:$A$109,MATCH(LEFT(B15,LEN(B15)-3)*1,Main!$B$99:$B$109,0))="X",1234567,"")</f>
        <v/>
      </c>
      <c r="B15" s="1">
        <f t="shared" si="1"/>
        <v>2004</v>
      </c>
      <c r="C15" s="1">
        <f>MAX(INDEX('Exp Tables'!$AI$3:$AN$22,MATCH(D15,'Exp Tables'!$AB$3:$AB$22,0),MATCH(INDEX('HOC Chip Data'!O:O,MATCH(B15,'HOC Chip Data'!A:A,0)),'Exp Tables'!$AI$2:$AN$2,0))-
INDEX('HOC Chip Data'!O:O,MATCH(B15,'HOC Chip Data'!A:A,0))*25,0)</f>
        <v>3525</v>
      </c>
      <c r="D15" s="1">
        <f>INDEX(Main!$J$99:$S$109,MATCH(LEFT(B15,LEN(B15)-3)*1,Main!$B$99:$B$109,0),MATCH("Chip "&amp;RIGHT(B15,3)*1,Main!$J$98:$S$98,0))</f>
        <v>20</v>
      </c>
    </row>
    <row r="16" spans="1:4" x14ac:dyDescent="0.3">
      <c r="A16" s="1" t="str">
        <f>IF(INDEX(Main!$A$99:$A$109,MATCH(LEFT(B16,LEN(B16)-3)*1,Main!$B$99:$B$109,0))="X",1234567,"")</f>
        <v/>
      </c>
      <c r="B16" s="1">
        <f t="shared" si="1"/>
        <v>2005</v>
      </c>
      <c r="C16" s="1">
        <f>MAX(INDEX('Exp Tables'!$AI$3:$AN$22,MATCH(D16,'Exp Tables'!$AB$3:$AB$22,0),MATCH(INDEX('HOC Chip Data'!O:O,MATCH(B16,'HOC Chip Data'!A:A,0)),'Exp Tables'!$AI$2:$AN$2,0))-
INDEX('HOC Chip Data'!O:O,MATCH(B16,'HOC Chip Data'!A:A,0))*25,0)</f>
        <v>7050</v>
      </c>
      <c r="D16" s="1">
        <f>INDEX(Main!$J$99:$S$109,MATCH(LEFT(B16,LEN(B16)-3)*1,Main!$B$99:$B$109,0),MATCH("Chip "&amp;RIGHT(B16,3)*1,Main!$J$98:$S$98,0))</f>
        <v>20</v>
      </c>
    </row>
    <row r="17" spans="1:4" x14ac:dyDescent="0.3">
      <c r="A17" s="1" t="str">
        <f>IF(INDEX(Main!$A$99:$A$109,MATCH(LEFT(B17,LEN(B17)-3)*1,Main!$B$99:$B$109,0))="X",1234567,"")</f>
        <v/>
      </c>
      <c r="B17" s="1">
        <f t="shared" si="1"/>
        <v>2006</v>
      </c>
      <c r="C17" s="1">
        <f>MAX(INDEX('Exp Tables'!$AI$3:$AN$22,MATCH(D17,'Exp Tables'!$AB$3:$AB$22,0),MATCH(INDEX('HOC Chip Data'!O:O,MATCH(B17,'HOC Chip Data'!A:A,0)),'Exp Tables'!$AI$2:$AN$2,0))-
INDEX('HOC Chip Data'!O:O,MATCH(B17,'HOC Chip Data'!A:A,0))*25,0)</f>
        <v>7050</v>
      </c>
      <c r="D17" s="1">
        <f>INDEX(Main!$J$99:$S$109,MATCH(LEFT(B17,LEN(B17)-3)*1,Main!$B$99:$B$109,0),MATCH("Chip "&amp;RIGHT(B17,3)*1,Main!$J$98:$S$98,0))</f>
        <v>20</v>
      </c>
    </row>
    <row r="18" spans="1:4" x14ac:dyDescent="0.3">
      <c r="A18" s="1" t="str">
        <f>IF(INDEX(Main!$A$99:$A$109,MATCH(LEFT(B18,LEN(B18)-3)*1,Main!$B$99:$B$109,0))="X",1234567,"")</f>
        <v/>
      </c>
      <c r="B18" s="1">
        <f t="shared" si="1"/>
        <v>2007</v>
      </c>
      <c r="C18" s="1">
        <f>MAX(INDEX('Exp Tables'!$AI$3:$AN$22,MATCH(D18,'Exp Tables'!$AB$3:$AB$22,0),MATCH(INDEX('HOC Chip Data'!O:O,MATCH(B18,'HOC Chip Data'!A:A,0)),'Exp Tables'!$AI$2:$AN$2,0))-
INDEX('HOC Chip Data'!O:O,MATCH(B18,'HOC Chip Data'!A:A,0))*25,0)</f>
        <v>2350</v>
      </c>
      <c r="D18" s="1">
        <f>INDEX(Main!$J$99:$S$109,MATCH(LEFT(B18,LEN(B18)-3)*1,Main!$B$99:$B$109,0),MATCH("Chip "&amp;RIGHT(B18,3)*1,Main!$J$98:$S$98,0))</f>
        <v>20</v>
      </c>
    </row>
    <row r="19" spans="1:4" x14ac:dyDescent="0.3">
      <c r="A19" s="1" t="str">
        <f>IF(INDEX(Main!$A$99:$A$109,MATCH(LEFT(B19,LEN(B19)-3)*1,Main!$B$99:$B$109,0))="X",1234567,"")</f>
        <v/>
      </c>
      <c r="B19" s="1">
        <f t="shared" si="1"/>
        <v>2008</v>
      </c>
      <c r="C19" s="1">
        <f>MAX(INDEX('Exp Tables'!$AI$3:$AN$22,MATCH(D19,'Exp Tables'!$AB$3:$AB$22,0),MATCH(INDEX('HOC Chip Data'!O:O,MATCH(B19,'HOC Chip Data'!A:A,0)),'Exp Tables'!$AI$2:$AN$2,0))-
INDEX('HOC Chip Data'!O:O,MATCH(B19,'HOC Chip Data'!A:A,0))*25,0)</f>
        <v>2350</v>
      </c>
      <c r="D19" s="1">
        <f>INDEX(Main!$J$99:$S$109,MATCH(LEFT(B19,LEN(B19)-3)*1,Main!$B$99:$B$109,0),MATCH("Chip "&amp;RIGHT(B19,3)*1,Main!$J$98:$S$98,0))</f>
        <v>20</v>
      </c>
    </row>
    <row r="20" spans="1:4" x14ac:dyDescent="0.3">
      <c r="A20" s="1" t="str">
        <f>IF(INDEX(Main!$A$99:$A$109,MATCH(LEFT(B20,LEN(B20)-3)*1,Main!$B$99:$B$109,0))="X",1234567,"")</f>
        <v/>
      </c>
      <c r="B20" s="1">
        <f t="shared" si="1"/>
        <v>2009</v>
      </c>
      <c r="C20" s="1">
        <f>MAX(INDEX('Exp Tables'!$AI$3:$AN$22,MATCH(D20,'Exp Tables'!$AB$3:$AB$22,0),MATCH(INDEX('HOC Chip Data'!O:O,MATCH(B20,'HOC Chip Data'!A:A,0)),'Exp Tables'!$AI$2:$AN$2,0))-
INDEX('HOC Chip Data'!O:O,MATCH(B20,'HOC Chip Data'!A:A,0))*25,0)</f>
        <v>4700</v>
      </c>
      <c r="D20" s="1">
        <f>INDEX(Main!$J$99:$S$109,MATCH(LEFT(B20,LEN(B20)-3)*1,Main!$B$99:$B$109,0),MATCH("Chip "&amp;RIGHT(B20,3)*1,Main!$J$98:$S$98,0))</f>
        <v>20</v>
      </c>
    </row>
    <row r="21" spans="1:4" x14ac:dyDescent="0.3">
      <c r="A21" s="45" t="str">
        <f>IF(INDEX(Main!$A$99:$A$109,MATCH(LEFT(B21,LEN(B21)-3)*1,Main!$B$99:$B$109,0))="X",1234567,"")</f>
        <v/>
      </c>
      <c r="B21" s="45">
        <f t="shared" si="1"/>
        <v>2010</v>
      </c>
      <c r="C21" s="45">
        <f>MAX(INDEX('Exp Tables'!$AI$3:$AN$22,MATCH(D21,'Exp Tables'!$AB$3:$AB$22,0),MATCH(INDEX('HOC Chip Data'!O:O,MATCH(B21,'HOC Chip Data'!A:A,0)),'Exp Tables'!$AI$2:$AN$2,0))-
INDEX('HOC Chip Data'!O:O,MATCH(B21,'HOC Chip Data'!A:A,0))*25,0)</f>
        <v>2350</v>
      </c>
      <c r="D21" s="45">
        <f>INDEX(Main!$J$99:$S$109,MATCH(LEFT(B21,LEN(B21)-3)*1,Main!$B$99:$B$109,0),MATCH("Chip "&amp;RIGHT(B21,3)*1,Main!$J$98:$S$98,0))</f>
        <v>20</v>
      </c>
    </row>
    <row r="22" spans="1:4" x14ac:dyDescent="0.3">
      <c r="A22" s="181" t="str">
        <f>IF(INDEX(Main!$A$99:$A$109,MATCH(LEFT(B22,LEN(B22)-3)*1,Main!$B$99:$B$109,0))="X",1234567,"")</f>
        <v/>
      </c>
      <c r="B22" s="181">
        <f>B12+1000</f>
        <v>3001</v>
      </c>
      <c r="C22" s="181">
        <f>MAX(INDEX('Exp Tables'!$AI$3:$AN$22,MATCH(D22,'Exp Tables'!$AB$3:$AB$22,0),MATCH(INDEX('HOC Chip Data'!O:O,MATCH(B22,'HOC Chip Data'!A:A,0)),'Exp Tables'!$AI$2:$AN$2,0))-
INDEX('HOC Chip Data'!O:O,MATCH(B22,'HOC Chip Data'!A:A,0))*25,0)</f>
        <v>4700</v>
      </c>
      <c r="D22" s="181">
        <f>INDEX(Main!$J$99:$S$109,MATCH(LEFT(B22,LEN(B22)-3)*1,Main!$B$99:$B$109,0),MATCH("Chip "&amp;RIGHT(B22,3)*1,Main!$J$98:$S$98,0))</f>
        <v>20</v>
      </c>
    </row>
    <row r="23" spans="1:4" x14ac:dyDescent="0.3">
      <c r="A23" s="1" t="str">
        <f>IF(INDEX(Main!$A$99:$A$109,MATCH(LEFT(B23,LEN(B23)-3)*1,Main!$B$99:$B$109,0))="X",1234567,"")</f>
        <v/>
      </c>
      <c r="B23" s="1">
        <f t="shared" si="1"/>
        <v>3002</v>
      </c>
      <c r="C23" s="1">
        <f>MAX(INDEX('Exp Tables'!$AI$3:$AN$22,MATCH(D23,'Exp Tables'!$AB$3:$AB$22,0),MATCH(INDEX('HOC Chip Data'!O:O,MATCH(B23,'HOC Chip Data'!A:A,0)),'Exp Tables'!$AI$2:$AN$2,0))-
INDEX('HOC Chip Data'!O:O,MATCH(B23,'HOC Chip Data'!A:A,0))*25,0)</f>
        <v>3525</v>
      </c>
      <c r="D23" s="1">
        <f>INDEX(Main!$J$99:$S$109,MATCH(LEFT(B23,LEN(B23)-3)*1,Main!$B$99:$B$109,0),MATCH("Chip "&amp;RIGHT(B23,3)*1,Main!$J$98:$S$98,0))</f>
        <v>20</v>
      </c>
    </row>
    <row r="24" spans="1:4" x14ac:dyDescent="0.3">
      <c r="A24" s="1" t="str">
        <f>IF(INDEX(Main!$A$99:$A$109,MATCH(LEFT(B24,LEN(B24)-3)*1,Main!$B$99:$B$109,0))="X",1234567,"")</f>
        <v/>
      </c>
      <c r="B24" s="1">
        <f t="shared" si="1"/>
        <v>3003</v>
      </c>
      <c r="C24" s="1">
        <f>MAX(INDEX('Exp Tables'!$AI$3:$AN$22,MATCH(D24,'Exp Tables'!$AB$3:$AB$22,0),MATCH(INDEX('HOC Chip Data'!O:O,MATCH(B24,'HOC Chip Data'!A:A,0)),'Exp Tables'!$AI$2:$AN$2,0))-
INDEX('HOC Chip Data'!O:O,MATCH(B24,'HOC Chip Data'!A:A,0))*25,0)</f>
        <v>3525</v>
      </c>
      <c r="D24" s="1">
        <f>INDEX(Main!$J$99:$S$109,MATCH(LEFT(B24,LEN(B24)-3)*1,Main!$B$99:$B$109,0),MATCH("Chip "&amp;RIGHT(B24,3)*1,Main!$J$98:$S$98,0))</f>
        <v>20</v>
      </c>
    </row>
    <row r="25" spans="1:4" x14ac:dyDescent="0.3">
      <c r="A25" s="1" t="str">
        <f>IF(INDEX(Main!$A$99:$A$109,MATCH(LEFT(B25,LEN(B25)-3)*1,Main!$B$99:$B$109,0))="X",1234567,"")</f>
        <v/>
      </c>
      <c r="B25" s="1">
        <f t="shared" si="1"/>
        <v>3004</v>
      </c>
      <c r="C25" s="1">
        <f>MAX(INDEX('Exp Tables'!$AI$3:$AN$22,MATCH(D25,'Exp Tables'!$AB$3:$AB$22,0),MATCH(INDEX('HOC Chip Data'!O:O,MATCH(B25,'HOC Chip Data'!A:A,0)),'Exp Tables'!$AI$2:$AN$2,0))-
INDEX('HOC Chip Data'!O:O,MATCH(B25,'HOC Chip Data'!A:A,0))*25,0)</f>
        <v>4700</v>
      </c>
      <c r="D25" s="1">
        <f>INDEX(Main!$J$99:$S$109,MATCH(LEFT(B25,LEN(B25)-3)*1,Main!$B$99:$B$109,0),MATCH("Chip "&amp;RIGHT(B25,3)*1,Main!$J$98:$S$98,0))</f>
        <v>20</v>
      </c>
    </row>
    <row r="26" spans="1:4" x14ac:dyDescent="0.3">
      <c r="A26" s="1" t="str">
        <f>IF(INDEX(Main!$A$99:$A$109,MATCH(LEFT(B26,LEN(B26)-3)*1,Main!$B$99:$B$109,0))="X",1234567,"")</f>
        <v/>
      </c>
      <c r="B26" s="1">
        <f t="shared" si="1"/>
        <v>3005</v>
      </c>
      <c r="C26" s="1">
        <f>MAX(INDEX('Exp Tables'!$AI$3:$AN$22,MATCH(D26,'Exp Tables'!$AB$3:$AB$22,0),MATCH(INDEX('HOC Chip Data'!O:O,MATCH(B26,'HOC Chip Data'!A:A,0)),'Exp Tables'!$AI$2:$AN$2,0))-
INDEX('HOC Chip Data'!O:O,MATCH(B26,'HOC Chip Data'!A:A,0))*25,0)</f>
        <v>4700</v>
      </c>
      <c r="D26" s="1">
        <f>INDEX(Main!$J$99:$S$109,MATCH(LEFT(B26,LEN(B26)-3)*1,Main!$B$99:$B$109,0),MATCH("Chip "&amp;RIGHT(B26,3)*1,Main!$J$98:$S$98,0))</f>
        <v>20</v>
      </c>
    </row>
    <row r="27" spans="1:4" x14ac:dyDescent="0.3">
      <c r="A27" s="1" t="str">
        <f>IF(INDEX(Main!$A$99:$A$109,MATCH(LEFT(B27,LEN(B27)-3)*1,Main!$B$99:$B$109,0))="X",1234567,"")</f>
        <v/>
      </c>
      <c r="B27" s="1">
        <f t="shared" si="1"/>
        <v>3006</v>
      </c>
      <c r="C27" s="1">
        <f>MAX(INDEX('Exp Tables'!$AI$3:$AN$22,MATCH(D27,'Exp Tables'!$AB$3:$AB$22,0),MATCH(INDEX('HOC Chip Data'!O:O,MATCH(B27,'HOC Chip Data'!A:A,0)),'Exp Tables'!$AI$2:$AN$2,0))-
INDEX('HOC Chip Data'!O:O,MATCH(B27,'HOC Chip Data'!A:A,0))*25,0)</f>
        <v>2350</v>
      </c>
      <c r="D27" s="1">
        <f>INDEX(Main!$J$99:$S$109,MATCH(LEFT(B27,LEN(B27)-3)*1,Main!$B$99:$B$109,0),MATCH("Chip "&amp;RIGHT(B27,3)*1,Main!$J$98:$S$98,0))</f>
        <v>20</v>
      </c>
    </row>
    <row r="28" spans="1:4" x14ac:dyDescent="0.3">
      <c r="A28" s="1" t="str">
        <f>IF(INDEX(Main!$A$99:$A$109,MATCH(LEFT(B28,LEN(B28)-3)*1,Main!$B$99:$B$109,0))="X",1234567,"")</f>
        <v/>
      </c>
      <c r="B28" s="1">
        <f t="shared" si="1"/>
        <v>3007</v>
      </c>
      <c r="C28" s="1">
        <f>MAX(INDEX('Exp Tables'!$AI$3:$AN$22,MATCH(D28,'Exp Tables'!$AB$3:$AB$22,0),MATCH(INDEX('HOC Chip Data'!O:O,MATCH(B28,'HOC Chip Data'!A:A,0)),'Exp Tables'!$AI$2:$AN$2,0))-
INDEX('HOC Chip Data'!O:O,MATCH(B28,'HOC Chip Data'!A:A,0))*25,0)</f>
        <v>4700</v>
      </c>
      <c r="D28" s="1">
        <f>INDEX(Main!$J$99:$S$109,MATCH(LEFT(B28,LEN(B28)-3)*1,Main!$B$99:$B$109,0),MATCH("Chip "&amp;RIGHT(B28,3)*1,Main!$J$98:$S$98,0))</f>
        <v>20</v>
      </c>
    </row>
    <row r="29" spans="1:4" x14ac:dyDescent="0.3">
      <c r="A29" s="1" t="str">
        <f>IF(INDEX(Main!$A$99:$A$109,MATCH(LEFT(B29,LEN(B29)-3)*1,Main!$B$99:$B$109,0))="X",1234567,"")</f>
        <v/>
      </c>
      <c r="B29" s="1">
        <f t="shared" si="1"/>
        <v>3008</v>
      </c>
      <c r="C29" s="1">
        <f>MAX(INDEX('Exp Tables'!$AI$3:$AN$22,MATCH(D29,'Exp Tables'!$AB$3:$AB$22,0),MATCH(INDEX('HOC Chip Data'!O:O,MATCH(B29,'HOC Chip Data'!A:A,0)),'Exp Tables'!$AI$2:$AN$2,0))-
INDEX('HOC Chip Data'!O:O,MATCH(B29,'HOC Chip Data'!A:A,0))*25,0)</f>
        <v>4700</v>
      </c>
      <c r="D29" s="1">
        <f>INDEX(Main!$J$99:$S$109,MATCH(LEFT(B29,LEN(B29)-3)*1,Main!$B$99:$B$109,0),MATCH("Chip "&amp;RIGHT(B29,3)*1,Main!$J$98:$S$98,0))</f>
        <v>20</v>
      </c>
    </row>
    <row r="30" spans="1:4" x14ac:dyDescent="0.3">
      <c r="A30" s="1" t="str">
        <f>IF(INDEX(Main!$A$99:$A$109,MATCH(LEFT(B30,LEN(B30)-3)*1,Main!$B$99:$B$109,0))="X",1234567,"")</f>
        <v/>
      </c>
      <c r="B30" s="1">
        <f t="shared" si="1"/>
        <v>3009</v>
      </c>
      <c r="C30" s="1">
        <f>MAX(INDEX('Exp Tables'!$AI$3:$AN$22,MATCH(D30,'Exp Tables'!$AB$3:$AB$22,0),MATCH(INDEX('HOC Chip Data'!O:O,MATCH(B30,'HOC Chip Data'!A:A,0)),'Exp Tables'!$AI$2:$AN$2,0))-
INDEX('HOC Chip Data'!O:O,MATCH(B30,'HOC Chip Data'!A:A,0))*25,0)</f>
        <v>2350</v>
      </c>
      <c r="D30" s="1">
        <f>INDEX(Main!$J$99:$S$109,MATCH(LEFT(B30,LEN(B30)-3)*1,Main!$B$99:$B$109,0),MATCH("Chip "&amp;RIGHT(B30,3)*1,Main!$J$98:$S$98,0))</f>
        <v>20</v>
      </c>
    </row>
    <row r="31" spans="1:4" x14ac:dyDescent="0.3">
      <c r="A31" s="45" t="str">
        <f>IF(INDEX(Main!$A$99:$A$109,MATCH(LEFT(B31,LEN(B31)-3)*1,Main!$B$99:$B$109,0))="X",1234567,"")</f>
        <v/>
      </c>
      <c r="B31" s="45">
        <f t="shared" si="1"/>
        <v>3010</v>
      </c>
      <c r="C31" s="45">
        <f>MAX(INDEX('Exp Tables'!$AI$3:$AN$22,MATCH(D31,'Exp Tables'!$AB$3:$AB$22,0),MATCH(INDEX('HOC Chip Data'!O:O,MATCH(B31,'HOC Chip Data'!A:A,0)),'Exp Tables'!$AI$2:$AN$2,0))-
INDEX('HOC Chip Data'!O:O,MATCH(B31,'HOC Chip Data'!A:A,0))*25,0)</f>
        <v>2350</v>
      </c>
      <c r="D31" s="45">
        <f>INDEX(Main!$J$99:$S$109,MATCH(LEFT(B31,LEN(B31)-3)*1,Main!$B$99:$B$109,0),MATCH("Chip "&amp;RIGHT(B31,3)*1,Main!$J$98:$S$98,0))</f>
        <v>20</v>
      </c>
    </row>
    <row r="32" spans="1:4" x14ac:dyDescent="0.3">
      <c r="A32" s="181" t="str">
        <f>IF(INDEX(Main!$A$99:$A$109,MATCH(LEFT(B32,LEN(B32)-3)*1,Main!$B$99:$B$109,0))="X",1234567,"")</f>
        <v/>
      </c>
      <c r="B32" s="181">
        <f>B22+1000</f>
        <v>4001</v>
      </c>
      <c r="C32" s="181">
        <f>MAX(INDEX('Exp Tables'!$AI$3:$AN$22,MATCH(D32,'Exp Tables'!$AB$3:$AB$22,0),MATCH(INDEX('HOC Chip Data'!O:O,MATCH(B32,'HOC Chip Data'!A:A,0)),'Exp Tables'!$AI$2:$AN$2,0))-
INDEX('HOC Chip Data'!O:O,MATCH(B32,'HOC Chip Data'!A:A,0))*25,0)</f>
        <v>3525</v>
      </c>
      <c r="D32" s="181">
        <f>INDEX(Main!$J$99:$S$109,MATCH(LEFT(B32,LEN(B32)-3)*1,Main!$B$99:$B$109,0),MATCH("Chip "&amp;RIGHT(B32,3)*1,Main!$J$98:$S$98,0))</f>
        <v>20</v>
      </c>
    </row>
    <row r="33" spans="1:4" x14ac:dyDescent="0.3">
      <c r="A33" s="1" t="str">
        <f>IF(INDEX(Main!$A$99:$A$109,MATCH(LEFT(B33,LEN(B33)-3)*1,Main!$B$99:$B$109,0))="X",1234567,"")</f>
        <v/>
      </c>
      <c r="B33" s="1">
        <f t="shared" si="1"/>
        <v>4002</v>
      </c>
      <c r="C33" s="1">
        <f>MAX(INDEX('Exp Tables'!$AI$3:$AN$22,MATCH(D33,'Exp Tables'!$AB$3:$AB$22,0),MATCH(INDEX('HOC Chip Data'!O:O,MATCH(B33,'HOC Chip Data'!A:A,0)),'Exp Tables'!$AI$2:$AN$2,0))-
INDEX('HOC Chip Data'!O:O,MATCH(B33,'HOC Chip Data'!A:A,0))*25,0)</f>
        <v>4700</v>
      </c>
      <c r="D33" s="1">
        <f>INDEX(Main!$J$99:$S$109,MATCH(LEFT(B33,LEN(B33)-3)*1,Main!$B$99:$B$109,0),MATCH("Chip "&amp;RIGHT(B33,3)*1,Main!$J$98:$S$98,0))</f>
        <v>20</v>
      </c>
    </row>
    <row r="34" spans="1:4" x14ac:dyDescent="0.3">
      <c r="A34" s="1" t="str">
        <f>IF(INDEX(Main!$A$99:$A$109,MATCH(LEFT(B34,LEN(B34)-3)*1,Main!$B$99:$B$109,0))="X",1234567,"")</f>
        <v/>
      </c>
      <c r="B34" s="1">
        <f t="shared" si="1"/>
        <v>4003</v>
      </c>
      <c r="C34" s="1">
        <f>MAX(INDEX('Exp Tables'!$AI$3:$AN$22,MATCH(D34,'Exp Tables'!$AB$3:$AB$22,0),MATCH(INDEX('HOC Chip Data'!O:O,MATCH(B34,'HOC Chip Data'!A:A,0)),'Exp Tables'!$AI$2:$AN$2,0))-
INDEX('HOC Chip Data'!O:O,MATCH(B34,'HOC Chip Data'!A:A,0))*25,0)</f>
        <v>4700</v>
      </c>
      <c r="D34" s="1">
        <f>INDEX(Main!$J$99:$S$109,MATCH(LEFT(B34,LEN(B34)-3)*1,Main!$B$99:$B$109,0),MATCH("Chip "&amp;RIGHT(B34,3)*1,Main!$J$98:$S$98,0))</f>
        <v>20</v>
      </c>
    </row>
    <row r="35" spans="1:4" x14ac:dyDescent="0.3">
      <c r="A35" s="1" t="str">
        <f>IF(INDEX(Main!$A$99:$A$109,MATCH(LEFT(B35,LEN(B35)-3)*1,Main!$B$99:$B$109,0))="X",1234567,"")</f>
        <v/>
      </c>
      <c r="B35" s="1">
        <f t="shared" si="1"/>
        <v>4004</v>
      </c>
      <c r="C35" s="1">
        <f>MAX(INDEX('Exp Tables'!$AI$3:$AN$22,MATCH(D35,'Exp Tables'!$AB$3:$AB$22,0),MATCH(INDEX('HOC Chip Data'!O:O,MATCH(B35,'HOC Chip Data'!A:A,0)),'Exp Tables'!$AI$2:$AN$2,0))-
INDEX('HOC Chip Data'!O:O,MATCH(B35,'HOC Chip Data'!A:A,0))*25,0)</f>
        <v>4700</v>
      </c>
      <c r="D35" s="1">
        <f>INDEX(Main!$J$99:$S$109,MATCH(LEFT(B35,LEN(B35)-3)*1,Main!$B$99:$B$109,0),MATCH("Chip "&amp;RIGHT(B35,3)*1,Main!$J$98:$S$98,0))</f>
        <v>20</v>
      </c>
    </row>
    <row r="36" spans="1:4" x14ac:dyDescent="0.3">
      <c r="A36" s="1" t="str">
        <f>IF(INDEX(Main!$A$99:$A$109,MATCH(LEFT(B36,LEN(B36)-3)*1,Main!$B$99:$B$109,0))="X",1234567,"")</f>
        <v/>
      </c>
      <c r="B36" s="1">
        <f t="shared" si="1"/>
        <v>4005</v>
      </c>
      <c r="C36" s="1">
        <f>MAX(INDEX('Exp Tables'!$AI$3:$AN$22,MATCH(D36,'Exp Tables'!$AB$3:$AB$22,0),MATCH(INDEX('HOC Chip Data'!O:O,MATCH(B36,'HOC Chip Data'!A:A,0)),'Exp Tables'!$AI$2:$AN$2,0))-
INDEX('HOC Chip Data'!O:O,MATCH(B36,'HOC Chip Data'!A:A,0))*25,0)</f>
        <v>4700</v>
      </c>
      <c r="D36" s="1">
        <f>INDEX(Main!$J$99:$S$109,MATCH(LEFT(B36,LEN(B36)-3)*1,Main!$B$99:$B$109,0),MATCH("Chip "&amp;RIGHT(B36,3)*1,Main!$J$98:$S$98,0))</f>
        <v>20</v>
      </c>
    </row>
    <row r="37" spans="1:4" x14ac:dyDescent="0.3">
      <c r="A37" s="1" t="str">
        <f>IF(INDEX(Main!$A$99:$A$109,MATCH(LEFT(B37,LEN(B37)-3)*1,Main!$B$99:$B$109,0))="X",1234567,"")</f>
        <v/>
      </c>
      <c r="B37" s="1">
        <f t="shared" si="1"/>
        <v>4006</v>
      </c>
      <c r="C37" s="1">
        <f>MAX(INDEX('Exp Tables'!$AI$3:$AN$22,MATCH(D37,'Exp Tables'!$AB$3:$AB$22,0),MATCH(INDEX('HOC Chip Data'!O:O,MATCH(B37,'HOC Chip Data'!A:A,0)),'Exp Tables'!$AI$2:$AN$2,0))-
INDEX('HOC Chip Data'!O:O,MATCH(B37,'HOC Chip Data'!A:A,0))*25,0)</f>
        <v>4700</v>
      </c>
      <c r="D37" s="1">
        <f>INDEX(Main!$J$99:$S$109,MATCH(LEFT(B37,LEN(B37)-3)*1,Main!$B$99:$B$109,0),MATCH("Chip "&amp;RIGHT(B37,3)*1,Main!$J$98:$S$98,0))</f>
        <v>20</v>
      </c>
    </row>
    <row r="38" spans="1:4" x14ac:dyDescent="0.3">
      <c r="A38" s="1" t="str">
        <f>IF(INDEX(Main!$A$99:$A$109,MATCH(LEFT(B38,LEN(B38)-3)*1,Main!$B$99:$B$109,0))="X",1234567,"")</f>
        <v/>
      </c>
      <c r="B38" s="1">
        <f t="shared" si="1"/>
        <v>4007</v>
      </c>
      <c r="C38" s="1">
        <f>MAX(INDEX('Exp Tables'!$AI$3:$AN$22,MATCH(D38,'Exp Tables'!$AB$3:$AB$22,0),MATCH(INDEX('HOC Chip Data'!O:O,MATCH(B38,'HOC Chip Data'!A:A,0)),'Exp Tables'!$AI$2:$AN$2,0))-
INDEX('HOC Chip Data'!O:O,MATCH(B38,'HOC Chip Data'!A:A,0))*25,0)</f>
        <v>7050</v>
      </c>
      <c r="D38" s="1">
        <f>INDEX(Main!$J$99:$S$109,MATCH(LEFT(B38,LEN(B38)-3)*1,Main!$B$99:$B$109,0),MATCH("Chip "&amp;RIGHT(B38,3)*1,Main!$J$98:$S$98,0))</f>
        <v>20</v>
      </c>
    </row>
    <row r="39" spans="1:4" x14ac:dyDescent="0.3">
      <c r="A39" s="1" t="str">
        <f>IF(INDEX(Main!$A$99:$A$109,MATCH(LEFT(B39,LEN(B39)-3)*1,Main!$B$99:$B$109,0))="X",1234567,"")</f>
        <v/>
      </c>
      <c r="B39" s="1">
        <f t="shared" si="1"/>
        <v>4008</v>
      </c>
      <c r="C39" s="1">
        <f>MAX(INDEX('Exp Tables'!$AI$3:$AN$22,MATCH(D39,'Exp Tables'!$AB$3:$AB$22,0),MATCH(INDEX('HOC Chip Data'!O:O,MATCH(B39,'HOC Chip Data'!A:A,0)),'Exp Tables'!$AI$2:$AN$2,0))-
INDEX('HOC Chip Data'!O:O,MATCH(B39,'HOC Chip Data'!A:A,0))*25,0)</f>
        <v>4700</v>
      </c>
      <c r="D39" s="1">
        <f>INDEX(Main!$J$99:$S$109,MATCH(LEFT(B39,LEN(B39)-3)*1,Main!$B$99:$B$109,0),MATCH("Chip "&amp;RIGHT(B39,3)*1,Main!$J$98:$S$98,0))</f>
        <v>20</v>
      </c>
    </row>
    <row r="40" spans="1:4" x14ac:dyDescent="0.3">
      <c r="A40" s="1" t="str">
        <f>IF(INDEX(Main!$A$99:$A$109,MATCH(LEFT(B40,LEN(B40)-3)*1,Main!$B$99:$B$109,0))="X",1234567,"")</f>
        <v/>
      </c>
      <c r="B40" s="1">
        <f t="shared" si="1"/>
        <v>4009</v>
      </c>
      <c r="C40" s="1">
        <f>MAX(INDEX('Exp Tables'!$AI$3:$AN$22,MATCH(D40,'Exp Tables'!$AB$3:$AB$22,0),MATCH(INDEX('HOC Chip Data'!O:O,MATCH(B40,'HOC Chip Data'!A:A,0)),'Exp Tables'!$AI$2:$AN$2,0))-
INDEX('HOC Chip Data'!O:O,MATCH(B40,'HOC Chip Data'!A:A,0))*25,0)</f>
        <v>2350</v>
      </c>
      <c r="D40" s="1">
        <f>INDEX(Main!$J$99:$S$109,MATCH(LEFT(B40,LEN(B40)-3)*1,Main!$B$99:$B$109,0),MATCH("Chip "&amp;RIGHT(B40,3)*1,Main!$J$98:$S$98,0))</f>
        <v>20</v>
      </c>
    </row>
    <row r="41" spans="1:4" x14ac:dyDescent="0.3">
      <c r="A41" s="45" t="str">
        <f>IF(INDEX(Main!$A$99:$A$109,MATCH(LEFT(B41,LEN(B41)-3)*1,Main!$B$99:$B$109,0))="X",1234567,"")</f>
        <v/>
      </c>
      <c r="B41" s="45">
        <f t="shared" si="1"/>
        <v>4010</v>
      </c>
      <c r="C41" s="45">
        <f>MAX(INDEX('Exp Tables'!$AI$3:$AN$22,MATCH(D41,'Exp Tables'!$AB$3:$AB$22,0),MATCH(INDEX('HOC Chip Data'!O:O,MATCH(B41,'HOC Chip Data'!A:A,0)),'Exp Tables'!$AI$2:$AN$2,0))-
INDEX('HOC Chip Data'!O:O,MATCH(B41,'HOC Chip Data'!A:A,0))*25,0)</f>
        <v>3525</v>
      </c>
      <c r="D41" s="45">
        <f>INDEX(Main!$J$99:$S$109,MATCH(LEFT(B41,LEN(B41)-3)*1,Main!$B$99:$B$109,0),MATCH("Chip "&amp;RIGHT(B41,3)*1,Main!$J$98:$S$98,0))</f>
        <v>20</v>
      </c>
    </row>
    <row r="42" spans="1:4" x14ac:dyDescent="0.3">
      <c r="A42" s="181" t="str">
        <f>IF(INDEX(Main!$A$99:$A$109,MATCH(LEFT(B42,LEN(B42)-3)*1,Main!$B$99:$B$109,0))="X",1234567,"")</f>
        <v/>
      </c>
      <c r="B42" s="181">
        <f>B32+1000</f>
        <v>5001</v>
      </c>
      <c r="C42" s="181">
        <f>MAX(INDEX('Exp Tables'!$AI$3:$AN$22,MATCH(D42,'Exp Tables'!$AB$3:$AB$22,0),MATCH(INDEX('HOC Chip Data'!O:O,MATCH(B42,'HOC Chip Data'!A:A,0)),'Exp Tables'!$AI$2:$AN$2,0))-
INDEX('HOC Chip Data'!O:O,MATCH(B42,'HOC Chip Data'!A:A,0))*25,0)</f>
        <v>4700</v>
      </c>
      <c r="D42" s="181">
        <f>INDEX(Main!$J$99:$S$109,MATCH(LEFT(B42,LEN(B42)-3)*1,Main!$B$99:$B$109,0),MATCH("Chip "&amp;RIGHT(B42,3)*1,Main!$J$98:$S$98,0))</f>
        <v>20</v>
      </c>
    </row>
    <row r="43" spans="1:4" x14ac:dyDescent="0.3">
      <c r="A43" s="1" t="str">
        <f>IF(INDEX(Main!$A$99:$A$109,MATCH(LEFT(B43,LEN(B43)-3)*1,Main!$B$99:$B$109,0))="X",1234567,"")</f>
        <v/>
      </c>
      <c r="B43" s="1">
        <f t="shared" si="1"/>
        <v>5002</v>
      </c>
      <c r="C43" s="1">
        <f>MAX(INDEX('Exp Tables'!$AI$3:$AN$22,MATCH(D43,'Exp Tables'!$AB$3:$AB$22,0),MATCH(INDEX('HOC Chip Data'!O:O,MATCH(B43,'HOC Chip Data'!A:A,0)),'Exp Tables'!$AI$2:$AN$2,0))-
INDEX('HOC Chip Data'!O:O,MATCH(B43,'HOC Chip Data'!A:A,0))*25,0)</f>
        <v>3525</v>
      </c>
      <c r="D43" s="1">
        <f>INDEX(Main!$J$99:$S$109,MATCH(LEFT(B43,LEN(B43)-3)*1,Main!$B$99:$B$109,0),MATCH("Chip "&amp;RIGHT(B43,3)*1,Main!$J$98:$S$98,0))</f>
        <v>20</v>
      </c>
    </row>
    <row r="44" spans="1:4" x14ac:dyDescent="0.3">
      <c r="A44" s="1" t="str">
        <f>IF(INDEX(Main!$A$99:$A$109,MATCH(LEFT(B44,LEN(B44)-3)*1,Main!$B$99:$B$109,0))="X",1234567,"")</f>
        <v/>
      </c>
      <c r="B44" s="1">
        <f t="shared" si="1"/>
        <v>5003</v>
      </c>
      <c r="C44" s="1">
        <f>MAX(INDEX('Exp Tables'!$AI$3:$AN$22,MATCH(D44,'Exp Tables'!$AB$3:$AB$22,0),MATCH(INDEX('HOC Chip Data'!O:O,MATCH(B44,'HOC Chip Data'!A:A,0)),'Exp Tables'!$AI$2:$AN$2,0))-
INDEX('HOC Chip Data'!O:O,MATCH(B44,'HOC Chip Data'!A:A,0))*25,0)</f>
        <v>4700</v>
      </c>
      <c r="D44" s="1">
        <f>INDEX(Main!$J$99:$S$109,MATCH(LEFT(B44,LEN(B44)-3)*1,Main!$B$99:$B$109,0),MATCH("Chip "&amp;RIGHT(B44,3)*1,Main!$J$98:$S$98,0))</f>
        <v>20</v>
      </c>
    </row>
    <row r="45" spans="1:4" x14ac:dyDescent="0.3">
      <c r="A45" s="1" t="str">
        <f>IF(INDEX(Main!$A$99:$A$109,MATCH(LEFT(B45,LEN(B45)-3)*1,Main!$B$99:$B$109,0))="X",1234567,"")</f>
        <v/>
      </c>
      <c r="B45" s="1">
        <f t="shared" si="1"/>
        <v>5004</v>
      </c>
      <c r="C45" s="1">
        <f>MAX(INDEX('Exp Tables'!$AI$3:$AN$22,MATCH(D45,'Exp Tables'!$AB$3:$AB$22,0),MATCH(INDEX('HOC Chip Data'!O:O,MATCH(B45,'HOC Chip Data'!A:A,0)),'Exp Tables'!$AI$2:$AN$2,0))-
INDEX('HOC Chip Data'!O:O,MATCH(B45,'HOC Chip Data'!A:A,0))*25,0)</f>
        <v>4700</v>
      </c>
      <c r="D45" s="1">
        <f>INDEX(Main!$J$99:$S$109,MATCH(LEFT(B45,LEN(B45)-3)*1,Main!$B$99:$B$109,0),MATCH("Chip "&amp;RIGHT(B45,3)*1,Main!$J$98:$S$98,0))</f>
        <v>20</v>
      </c>
    </row>
    <row r="46" spans="1:4" x14ac:dyDescent="0.3">
      <c r="A46" s="1" t="str">
        <f>IF(INDEX(Main!$A$99:$A$109,MATCH(LEFT(B46,LEN(B46)-3)*1,Main!$B$99:$B$109,0))="X",1234567,"")</f>
        <v/>
      </c>
      <c r="B46" s="1">
        <f t="shared" si="1"/>
        <v>5005</v>
      </c>
      <c r="C46" s="1">
        <f>MAX(INDEX('Exp Tables'!$AI$3:$AN$22,MATCH(D46,'Exp Tables'!$AB$3:$AB$22,0),MATCH(INDEX('HOC Chip Data'!O:O,MATCH(B46,'HOC Chip Data'!A:A,0)),'Exp Tables'!$AI$2:$AN$2,0))-
INDEX('HOC Chip Data'!O:O,MATCH(B46,'HOC Chip Data'!A:A,0))*25,0)</f>
        <v>4700</v>
      </c>
      <c r="D46" s="1">
        <f>INDEX(Main!$J$99:$S$109,MATCH(LEFT(B46,LEN(B46)-3)*1,Main!$B$99:$B$109,0),MATCH("Chip "&amp;RIGHT(B46,3)*1,Main!$J$98:$S$98,0))</f>
        <v>20</v>
      </c>
    </row>
    <row r="47" spans="1:4" x14ac:dyDescent="0.3">
      <c r="A47" s="1" t="str">
        <f>IF(INDEX(Main!$A$99:$A$109,MATCH(LEFT(B47,LEN(B47)-3)*1,Main!$B$99:$B$109,0))="X",1234567,"")</f>
        <v/>
      </c>
      <c r="B47" s="1">
        <f t="shared" si="1"/>
        <v>5006</v>
      </c>
      <c r="C47" s="1">
        <f>MAX(INDEX('Exp Tables'!$AI$3:$AN$22,MATCH(D47,'Exp Tables'!$AB$3:$AB$22,0),MATCH(INDEX('HOC Chip Data'!O:O,MATCH(B47,'HOC Chip Data'!A:A,0)),'Exp Tables'!$AI$2:$AN$2,0))-
INDEX('HOC Chip Data'!O:O,MATCH(B47,'HOC Chip Data'!A:A,0))*25,0)</f>
        <v>2350</v>
      </c>
      <c r="D47" s="1">
        <f>INDEX(Main!$J$99:$S$109,MATCH(LEFT(B47,LEN(B47)-3)*1,Main!$B$99:$B$109,0),MATCH("Chip "&amp;RIGHT(B47,3)*1,Main!$J$98:$S$98,0))</f>
        <v>20</v>
      </c>
    </row>
    <row r="48" spans="1:4" x14ac:dyDescent="0.3">
      <c r="A48" s="1" t="str">
        <f>IF(INDEX(Main!$A$99:$A$109,MATCH(LEFT(B48,LEN(B48)-3)*1,Main!$B$99:$B$109,0))="X",1234567,"")</f>
        <v/>
      </c>
      <c r="B48" s="1">
        <f t="shared" si="1"/>
        <v>5007</v>
      </c>
      <c r="C48" s="1">
        <f>MAX(INDEX('Exp Tables'!$AI$3:$AN$22,MATCH(D48,'Exp Tables'!$AB$3:$AB$22,0),MATCH(INDEX('HOC Chip Data'!O:O,MATCH(B48,'HOC Chip Data'!A:A,0)),'Exp Tables'!$AI$2:$AN$2,0))-
INDEX('HOC Chip Data'!O:O,MATCH(B48,'HOC Chip Data'!A:A,0))*25,0)</f>
        <v>3525</v>
      </c>
      <c r="D48" s="1">
        <f>INDEX(Main!$J$99:$S$109,MATCH(LEFT(B48,LEN(B48)-3)*1,Main!$B$99:$B$109,0),MATCH("Chip "&amp;RIGHT(B48,3)*1,Main!$J$98:$S$98,0))</f>
        <v>20</v>
      </c>
    </row>
    <row r="49" spans="1:4" x14ac:dyDescent="0.3">
      <c r="A49" s="1" t="str">
        <f>IF(INDEX(Main!$A$99:$A$109,MATCH(LEFT(B49,LEN(B49)-3)*1,Main!$B$99:$B$109,0))="X",1234567,"")</f>
        <v/>
      </c>
      <c r="B49" s="1">
        <f t="shared" si="1"/>
        <v>5008</v>
      </c>
      <c r="C49" s="1">
        <f>MAX(INDEX('Exp Tables'!$AI$3:$AN$22,MATCH(D49,'Exp Tables'!$AB$3:$AB$22,0),MATCH(INDEX('HOC Chip Data'!O:O,MATCH(B49,'HOC Chip Data'!A:A,0)),'Exp Tables'!$AI$2:$AN$2,0))-
INDEX('HOC Chip Data'!O:O,MATCH(B49,'HOC Chip Data'!A:A,0))*25,0)</f>
        <v>3525</v>
      </c>
      <c r="D49" s="1">
        <f>INDEX(Main!$J$99:$S$109,MATCH(LEFT(B49,LEN(B49)-3)*1,Main!$B$99:$B$109,0),MATCH("Chip "&amp;RIGHT(B49,3)*1,Main!$J$98:$S$98,0))</f>
        <v>20</v>
      </c>
    </row>
    <row r="50" spans="1:4" x14ac:dyDescent="0.3">
      <c r="A50" s="1" t="str">
        <f>IF(INDEX(Main!$A$99:$A$109,MATCH(LEFT(B50,LEN(B50)-3)*1,Main!$B$99:$B$109,0))="X",1234567,"")</f>
        <v/>
      </c>
      <c r="B50" s="1">
        <f t="shared" si="1"/>
        <v>5009</v>
      </c>
      <c r="C50" s="1">
        <f>MAX(INDEX('Exp Tables'!$AI$3:$AN$22,MATCH(D50,'Exp Tables'!$AB$3:$AB$22,0),MATCH(INDEX('HOC Chip Data'!O:O,MATCH(B50,'HOC Chip Data'!A:A,0)),'Exp Tables'!$AI$2:$AN$2,0))-
INDEX('HOC Chip Data'!O:O,MATCH(B50,'HOC Chip Data'!A:A,0))*25,0)</f>
        <v>7050</v>
      </c>
      <c r="D50" s="1">
        <f>INDEX(Main!$J$99:$S$109,MATCH(LEFT(B50,LEN(B50)-3)*1,Main!$B$99:$B$109,0),MATCH("Chip "&amp;RIGHT(B50,3)*1,Main!$J$98:$S$98,0))</f>
        <v>20</v>
      </c>
    </row>
    <row r="51" spans="1:4" x14ac:dyDescent="0.3">
      <c r="A51" s="45" t="str">
        <f>IF(INDEX(Main!$A$99:$A$109,MATCH(LEFT(B51,LEN(B51)-3)*1,Main!$B$99:$B$109,0))="X",1234567,"")</f>
        <v/>
      </c>
      <c r="B51" s="45">
        <f t="shared" si="1"/>
        <v>5010</v>
      </c>
      <c r="C51" s="45">
        <f>MAX(INDEX('Exp Tables'!$AI$3:$AN$22,MATCH(D51,'Exp Tables'!$AB$3:$AB$22,0),MATCH(INDEX('HOC Chip Data'!O:O,MATCH(B51,'HOC Chip Data'!A:A,0)),'Exp Tables'!$AI$2:$AN$2,0))-
INDEX('HOC Chip Data'!O:O,MATCH(B51,'HOC Chip Data'!A:A,0))*25,0)</f>
        <v>3525</v>
      </c>
      <c r="D51" s="45">
        <f>INDEX(Main!$J$99:$S$109,MATCH(LEFT(B51,LEN(B51)-3)*1,Main!$B$99:$B$109,0),MATCH("Chip "&amp;RIGHT(B51,3)*1,Main!$J$98:$S$98,0))</f>
        <v>20</v>
      </c>
    </row>
    <row r="52" spans="1:4" x14ac:dyDescent="0.3">
      <c r="A52" s="181" t="str">
        <f>IF(INDEX(Main!$A$99:$A$109,MATCH(LEFT(B52,LEN(B52)-3)*1,Main!$B$99:$B$109,0))="X",1234567,"")</f>
        <v/>
      </c>
      <c r="B52" s="181">
        <f>B42+1000</f>
        <v>6001</v>
      </c>
      <c r="C52" s="181">
        <f>MAX(INDEX('Exp Tables'!$AI$3:$AN$22,MATCH(D52,'Exp Tables'!$AB$3:$AB$22,0),MATCH(INDEX('HOC Chip Data'!O:O,MATCH(B52,'HOC Chip Data'!A:A,0)),'Exp Tables'!$AI$2:$AN$2,0))-
INDEX('HOC Chip Data'!O:O,MATCH(B52,'HOC Chip Data'!A:A,0))*25,0)</f>
        <v>4700</v>
      </c>
      <c r="D52" s="181">
        <f>INDEX(Main!$J$99:$S$109,MATCH(LEFT(B52,LEN(B52)-3)*1,Main!$B$99:$B$109,0),MATCH("Chip "&amp;RIGHT(B52,3)*1,Main!$J$98:$S$98,0))</f>
        <v>20</v>
      </c>
    </row>
    <row r="53" spans="1:4" x14ac:dyDescent="0.3">
      <c r="A53" s="1" t="str">
        <f>IF(INDEX(Main!$A$99:$A$109,MATCH(LEFT(B53,LEN(B53)-3)*1,Main!$B$99:$B$109,0))="X",1234567,"")</f>
        <v/>
      </c>
      <c r="B53" s="1">
        <f t="shared" si="1"/>
        <v>6002</v>
      </c>
      <c r="C53" s="1">
        <f>MAX(INDEX('Exp Tables'!$AI$3:$AN$22,MATCH(D53,'Exp Tables'!$AB$3:$AB$22,0),MATCH(INDEX('HOC Chip Data'!O:O,MATCH(B53,'HOC Chip Data'!A:A,0)),'Exp Tables'!$AI$2:$AN$2,0))-
INDEX('HOC Chip Data'!O:O,MATCH(B53,'HOC Chip Data'!A:A,0))*25,0)</f>
        <v>2350</v>
      </c>
      <c r="D53" s="1">
        <f>INDEX(Main!$J$99:$S$109,MATCH(LEFT(B53,LEN(B53)-3)*1,Main!$B$99:$B$109,0),MATCH("Chip "&amp;RIGHT(B53,3)*1,Main!$J$98:$S$98,0))</f>
        <v>20</v>
      </c>
    </row>
    <row r="54" spans="1:4" x14ac:dyDescent="0.3">
      <c r="A54" s="1" t="str">
        <f>IF(INDEX(Main!$A$99:$A$109,MATCH(LEFT(B54,LEN(B54)-3)*1,Main!$B$99:$B$109,0))="X",1234567,"")</f>
        <v/>
      </c>
      <c r="B54" s="1">
        <f t="shared" si="1"/>
        <v>6003</v>
      </c>
      <c r="C54" s="1">
        <f>MAX(INDEX('Exp Tables'!$AI$3:$AN$22,MATCH(D54,'Exp Tables'!$AB$3:$AB$22,0),MATCH(INDEX('HOC Chip Data'!O:O,MATCH(B54,'HOC Chip Data'!A:A,0)),'Exp Tables'!$AI$2:$AN$2,0))-
INDEX('HOC Chip Data'!O:O,MATCH(B54,'HOC Chip Data'!A:A,0))*25,0)</f>
        <v>5875</v>
      </c>
      <c r="D54" s="1">
        <f>INDEX(Main!$J$99:$S$109,MATCH(LEFT(B54,LEN(B54)-3)*1,Main!$B$99:$B$109,0),MATCH("Chip "&amp;RIGHT(B54,3)*1,Main!$J$98:$S$98,0))</f>
        <v>20</v>
      </c>
    </row>
    <row r="55" spans="1:4" x14ac:dyDescent="0.3">
      <c r="A55" s="1" t="str">
        <f>IF(INDEX(Main!$A$99:$A$109,MATCH(LEFT(B55,LEN(B55)-3)*1,Main!$B$99:$B$109,0))="X",1234567,"")</f>
        <v/>
      </c>
      <c r="B55" s="1">
        <f t="shared" si="1"/>
        <v>6004</v>
      </c>
      <c r="C55" s="1">
        <f>MAX(INDEX('Exp Tables'!$AI$3:$AN$22,MATCH(D55,'Exp Tables'!$AB$3:$AB$22,0),MATCH(INDEX('HOC Chip Data'!O:O,MATCH(B55,'HOC Chip Data'!A:A,0)),'Exp Tables'!$AI$2:$AN$2,0))-
INDEX('HOC Chip Data'!O:O,MATCH(B55,'HOC Chip Data'!A:A,0))*25,0)</f>
        <v>4700</v>
      </c>
      <c r="D55" s="1">
        <f>INDEX(Main!$J$99:$S$109,MATCH(LEFT(B55,LEN(B55)-3)*1,Main!$B$99:$B$109,0),MATCH("Chip "&amp;RIGHT(B55,3)*1,Main!$J$98:$S$98,0))</f>
        <v>20</v>
      </c>
    </row>
    <row r="56" spans="1:4" x14ac:dyDescent="0.3">
      <c r="A56" s="1" t="str">
        <f>IF(INDEX(Main!$A$99:$A$109,MATCH(LEFT(B56,LEN(B56)-3)*1,Main!$B$99:$B$109,0))="X",1234567,"")</f>
        <v/>
      </c>
      <c r="B56" s="1">
        <f t="shared" si="1"/>
        <v>6005</v>
      </c>
      <c r="C56" s="1">
        <f>MAX(INDEX('Exp Tables'!$AI$3:$AN$22,MATCH(D56,'Exp Tables'!$AB$3:$AB$22,0),MATCH(INDEX('HOC Chip Data'!O:O,MATCH(B56,'HOC Chip Data'!A:A,0)),'Exp Tables'!$AI$2:$AN$2,0))-
INDEX('HOC Chip Data'!O:O,MATCH(B56,'HOC Chip Data'!A:A,0))*25,0)</f>
        <v>4700</v>
      </c>
      <c r="D56" s="1">
        <f>INDEX(Main!$J$99:$S$109,MATCH(LEFT(B56,LEN(B56)-3)*1,Main!$B$99:$B$109,0),MATCH("Chip "&amp;RIGHT(B56,3)*1,Main!$J$98:$S$98,0))</f>
        <v>20</v>
      </c>
    </row>
    <row r="57" spans="1:4" x14ac:dyDescent="0.3">
      <c r="A57" s="1" t="str">
        <f>IF(INDEX(Main!$A$99:$A$109,MATCH(LEFT(B57,LEN(B57)-3)*1,Main!$B$99:$B$109,0))="X",1234567,"")</f>
        <v/>
      </c>
      <c r="B57" s="1">
        <f t="shared" si="1"/>
        <v>6006</v>
      </c>
      <c r="C57" s="1">
        <f>MAX(INDEX('Exp Tables'!$AI$3:$AN$22,MATCH(D57,'Exp Tables'!$AB$3:$AB$22,0),MATCH(INDEX('HOC Chip Data'!O:O,MATCH(B57,'HOC Chip Data'!A:A,0)),'Exp Tables'!$AI$2:$AN$2,0))-
INDEX('HOC Chip Data'!O:O,MATCH(B57,'HOC Chip Data'!A:A,0))*25,0)</f>
        <v>4700</v>
      </c>
      <c r="D57" s="1">
        <f>INDEX(Main!$J$99:$S$109,MATCH(LEFT(B57,LEN(B57)-3)*1,Main!$B$99:$B$109,0),MATCH("Chip "&amp;RIGHT(B57,3)*1,Main!$J$98:$S$98,0))</f>
        <v>20</v>
      </c>
    </row>
    <row r="58" spans="1:4" x14ac:dyDescent="0.3">
      <c r="A58" s="1" t="str">
        <f>IF(INDEX(Main!$A$99:$A$109,MATCH(LEFT(B58,LEN(B58)-3)*1,Main!$B$99:$B$109,0))="X",1234567,"")</f>
        <v/>
      </c>
      <c r="B58" s="1">
        <f t="shared" si="1"/>
        <v>6007</v>
      </c>
      <c r="C58" s="1">
        <f>MAX(INDEX('Exp Tables'!$AI$3:$AN$22,MATCH(D58,'Exp Tables'!$AB$3:$AB$22,0),MATCH(INDEX('HOC Chip Data'!O:O,MATCH(B58,'HOC Chip Data'!A:A,0)),'Exp Tables'!$AI$2:$AN$2,0))-
INDEX('HOC Chip Data'!O:O,MATCH(B58,'HOC Chip Data'!A:A,0))*25,0)</f>
        <v>4700</v>
      </c>
      <c r="D58" s="1">
        <f>INDEX(Main!$J$99:$S$109,MATCH(LEFT(B58,LEN(B58)-3)*1,Main!$B$99:$B$109,0),MATCH("Chip "&amp;RIGHT(B58,3)*1,Main!$J$98:$S$98,0))</f>
        <v>20</v>
      </c>
    </row>
    <row r="59" spans="1:4" x14ac:dyDescent="0.3">
      <c r="A59" s="1" t="str">
        <f>IF(INDEX(Main!$A$99:$A$109,MATCH(LEFT(B59,LEN(B59)-3)*1,Main!$B$99:$B$109,0))="X",1234567,"")</f>
        <v/>
      </c>
      <c r="B59" s="1">
        <f t="shared" si="1"/>
        <v>6008</v>
      </c>
      <c r="C59" s="1">
        <f>MAX(INDEX('Exp Tables'!$AI$3:$AN$22,MATCH(D59,'Exp Tables'!$AB$3:$AB$22,0),MATCH(INDEX('HOC Chip Data'!O:O,MATCH(B59,'HOC Chip Data'!A:A,0)),'Exp Tables'!$AI$2:$AN$2,0))-
INDEX('HOC Chip Data'!O:O,MATCH(B59,'HOC Chip Data'!A:A,0))*25,0)</f>
        <v>3525</v>
      </c>
      <c r="D59" s="1">
        <f>INDEX(Main!$J$99:$S$109,MATCH(LEFT(B59,LEN(B59)-3)*1,Main!$B$99:$B$109,0),MATCH("Chip "&amp;RIGHT(B59,3)*1,Main!$J$98:$S$98,0))</f>
        <v>20</v>
      </c>
    </row>
    <row r="60" spans="1:4" x14ac:dyDescent="0.3">
      <c r="A60" s="1" t="str">
        <f>IF(INDEX(Main!$A$99:$A$109,MATCH(LEFT(B60,LEN(B60)-3)*1,Main!$B$99:$B$109,0))="X",1234567,"")</f>
        <v/>
      </c>
      <c r="B60" s="1">
        <f t="shared" si="1"/>
        <v>6009</v>
      </c>
      <c r="C60" s="1">
        <f>MAX(INDEX('Exp Tables'!$AI$3:$AN$22,MATCH(D60,'Exp Tables'!$AB$3:$AB$22,0),MATCH(INDEX('HOC Chip Data'!O:O,MATCH(B60,'HOC Chip Data'!A:A,0)),'Exp Tables'!$AI$2:$AN$2,0))-
INDEX('HOC Chip Data'!O:O,MATCH(B60,'HOC Chip Data'!A:A,0))*25,0)</f>
        <v>4700</v>
      </c>
      <c r="D60" s="1">
        <f>INDEX(Main!$J$99:$S$109,MATCH(LEFT(B60,LEN(B60)-3)*1,Main!$B$99:$B$109,0),MATCH("Chip "&amp;RIGHT(B60,3)*1,Main!$J$98:$S$98,0))</f>
        <v>20</v>
      </c>
    </row>
    <row r="61" spans="1:4" x14ac:dyDescent="0.3">
      <c r="A61" s="45" t="str">
        <f>IF(INDEX(Main!$A$99:$A$109,MATCH(LEFT(B61,LEN(B61)-3)*1,Main!$B$99:$B$109,0))="X",1234567,"")</f>
        <v/>
      </c>
      <c r="B61" s="45">
        <f t="shared" si="1"/>
        <v>6010</v>
      </c>
      <c r="C61" s="45">
        <f>MAX(INDEX('Exp Tables'!$AI$3:$AN$22,MATCH(D61,'Exp Tables'!$AB$3:$AB$22,0),MATCH(INDEX('HOC Chip Data'!O:O,MATCH(B61,'HOC Chip Data'!A:A,0)),'Exp Tables'!$AI$2:$AN$2,0))-
INDEX('HOC Chip Data'!O:O,MATCH(B61,'HOC Chip Data'!A:A,0))*25,0)</f>
        <v>4700</v>
      </c>
      <c r="D61" s="45">
        <f>INDEX(Main!$J$99:$S$109,MATCH(LEFT(B61,LEN(B61)-3)*1,Main!$B$99:$B$109,0),MATCH("Chip "&amp;RIGHT(B61,3)*1,Main!$J$98:$S$98,0))</f>
        <v>20</v>
      </c>
    </row>
    <row r="62" spans="1:4" x14ac:dyDescent="0.3">
      <c r="A62" s="181" t="str">
        <f>IF(INDEX(Main!$A$99:$A$109,MATCH(LEFT(B62,LEN(B62)-3)*1,Main!$B$99:$B$109,0))="X",1234567,"")</f>
        <v/>
      </c>
      <c r="B62" s="181">
        <f>B52+1000</f>
        <v>7001</v>
      </c>
      <c r="C62" s="181">
        <f>MAX(INDEX('Exp Tables'!$AI$3:$AN$22,MATCH(D62,'Exp Tables'!$AB$3:$AB$22,0),MATCH(INDEX('HOC Chip Data'!O:O,MATCH(B62,'HOC Chip Data'!A:A,0)),'Exp Tables'!$AI$2:$AN$2,0))-
INDEX('HOC Chip Data'!O:O,MATCH(B62,'HOC Chip Data'!A:A,0))*25,0)</f>
        <v>2350</v>
      </c>
      <c r="D62" s="181">
        <f>INDEX(Main!$J$99:$S$109,MATCH(LEFT(B62,LEN(B62)-3)*1,Main!$B$99:$B$109,0),MATCH("Chip "&amp;RIGHT(B62,3)*1,Main!$J$98:$S$98,0))</f>
        <v>20</v>
      </c>
    </row>
    <row r="63" spans="1:4" x14ac:dyDescent="0.3">
      <c r="A63" s="1" t="str">
        <f>IF(INDEX(Main!$A$99:$A$109,MATCH(LEFT(B63,LEN(B63)-3)*1,Main!$B$99:$B$109,0))="X",1234567,"")</f>
        <v/>
      </c>
      <c r="B63" s="1">
        <f t="shared" si="1"/>
        <v>7002</v>
      </c>
      <c r="C63" s="1">
        <f>MAX(INDEX('Exp Tables'!$AI$3:$AN$22,MATCH(D63,'Exp Tables'!$AB$3:$AB$22,0),MATCH(INDEX('HOC Chip Data'!O:O,MATCH(B63,'HOC Chip Data'!A:A,0)),'Exp Tables'!$AI$2:$AN$2,0))-
INDEX('HOC Chip Data'!O:O,MATCH(B63,'HOC Chip Data'!A:A,0))*25,0)</f>
        <v>3525</v>
      </c>
      <c r="D63" s="1">
        <f>INDEX(Main!$J$99:$S$109,MATCH(LEFT(B63,LEN(B63)-3)*1,Main!$B$99:$B$109,0),MATCH("Chip "&amp;RIGHT(B63,3)*1,Main!$J$98:$S$98,0))</f>
        <v>20</v>
      </c>
    </row>
    <row r="64" spans="1:4" x14ac:dyDescent="0.3">
      <c r="A64" s="1" t="str">
        <f>IF(INDEX(Main!$A$99:$A$109,MATCH(LEFT(B64,LEN(B64)-3)*1,Main!$B$99:$B$109,0))="X",1234567,"")</f>
        <v/>
      </c>
      <c r="B64" s="1">
        <f t="shared" si="1"/>
        <v>7003</v>
      </c>
      <c r="C64" s="1">
        <f>MAX(INDEX('Exp Tables'!$AI$3:$AN$22,MATCH(D64,'Exp Tables'!$AB$3:$AB$22,0),MATCH(INDEX('HOC Chip Data'!O:O,MATCH(B64,'HOC Chip Data'!A:A,0)),'Exp Tables'!$AI$2:$AN$2,0))-
INDEX('HOC Chip Data'!O:O,MATCH(B64,'HOC Chip Data'!A:A,0))*25,0)</f>
        <v>7050</v>
      </c>
      <c r="D64" s="1">
        <f>INDEX(Main!$J$99:$S$109,MATCH(LEFT(B64,LEN(B64)-3)*1,Main!$B$99:$B$109,0),MATCH("Chip "&amp;RIGHT(B64,3)*1,Main!$J$98:$S$98,0))</f>
        <v>20</v>
      </c>
    </row>
    <row r="65" spans="1:4" x14ac:dyDescent="0.3">
      <c r="A65" s="1" t="str">
        <f>IF(INDEX(Main!$A$99:$A$109,MATCH(LEFT(B65,LEN(B65)-3)*1,Main!$B$99:$B$109,0))="X",1234567,"")</f>
        <v/>
      </c>
      <c r="B65" s="1">
        <f t="shared" si="1"/>
        <v>7004</v>
      </c>
      <c r="C65" s="1">
        <f>MAX(INDEX('Exp Tables'!$AI$3:$AN$22,MATCH(D65,'Exp Tables'!$AB$3:$AB$22,0),MATCH(INDEX('HOC Chip Data'!O:O,MATCH(B65,'HOC Chip Data'!A:A,0)),'Exp Tables'!$AI$2:$AN$2,0))-
INDEX('HOC Chip Data'!O:O,MATCH(B65,'HOC Chip Data'!A:A,0))*25,0)</f>
        <v>4700</v>
      </c>
      <c r="D65" s="1">
        <f>INDEX(Main!$J$99:$S$109,MATCH(LEFT(B65,LEN(B65)-3)*1,Main!$B$99:$B$109,0),MATCH("Chip "&amp;RIGHT(B65,3)*1,Main!$J$98:$S$98,0))</f>
        <v>20</v>
      </c>
    </row>
    <row r="66" spans="1:4" x14ac:dyDescent="0.3">
      <c r="A66" s="1" t="str">
        <f>IF(INDEX(Main!$A$99:$A$109,MATCH(LEFT(B66,LEN(B66)-3)*1,Main!$B$99:$B$109,0))="X",1234567,"")</f>
        <v/>
      </c>
      <c r="B66" s="1">
        <f t="shared" si="1"/>
        <v>7005</v>
      </c>
      <c r="C66" s="1">
        <f>MAX(INDEX('Exp Tables'!$AI$3:$AN$22,MATCH(D66,'Exp Tables'!$AB$3:$AB$22,0),MATCH(INDEX('HOC Chip Data'!O:O,MATCH(B66,'HOC Chip Data'!A:A,0)),'Exp Tables'!$AI$2:$AN$2,0))-
INDEX('HOC Chip Data'!O:O,MATCH(B66,'HOC Chip Data'!A:A,0))*25,0)</f>
        <v>4700</v>
      </c>
      <c r="D66" s="1">
        <f>INDEX(Main!$J$99:$S$109,MATCH(LEFT(B66,LEN(B66)-3)*1,Main!$B$99:$B$109,0),MATCH("Chip "&amp;RIGHT(B66,3)*1,Main!$J$98:$S$98,0))</f>
        <v>20</v>
      </c>
    </row>
    <row r="67" spans="1:4" x14ac:dyDescent="0.3">
      <c r="A67" s="1" t="str">
        <f>IF(INDEX(Main!$A$99:$A$109,MATCH(LEFT(B67,LEN(B67)-3)*1,Main!$B$99:$B$109,0))="X",1234567,"")</f>
        <v/>
      </c>
      <c r="B67" s="1">
        <f t="shared" si="1"/>
        <v>7006</v>
      </c>
      <c r="C67" s="1">
        <f>MAX(INDEX('Exp Tables'!$AI$3:$AN$22,MATCH(D67,'Exp Tables'!$AB$3:$AB$22,0),MATCH(INDEX('HOC Chip Data'!O:O,MATCH(B67,'HOC Chip Data'!A:A,0)),'Exp Tables'!$AI$2:$AN$2,0))-
INDEX('HOC Chip Data'!O:O,MATCH(B67,'HOC Chip Data'!A:A,0))*25,0)</f>
        <v>2350</v>
      </c>
      <c r="D67" s="1">
        <f>INDEX(Main!$J$99:$S$109,MATCH(LEFT(B67,LEN(B67)-3)*1,Main!$B$99:$B$109,0),MATCH("Chip "&amp;RIGHT(B67,3)*1,Main!$J$98:$S$98,0))</f>
        <v>20</v>
      </c>
    </row>
    <row r="68" spans="1:4" x14ac:dyDescent="0.3">
      <c r="A68" s="1" t="str">
        <f>IF(INDEX(Main!$A$99:$A$109,MATCH(LEFT(B68,LEN(B68)-3)*1,Main!$B$99:$B$109,0))="X",1234567,"")</f>
        <v/>
      </c>
      <c r="B68" s="1">
        <f t="shared" si="1"/>
        <v>7007</v>
      </c>
      <c r="C68" s="1">
        <f>MAX(INDEX('Exp Tables'!$AI$3:$AN$22,MATCH(D68,'Exp Tables'!$AB$3:$AB$22,0),MATCH(INDEX('HOC Chip Data'!O:O,MATCH(B68,'HOC Chip Data'!A:A,0)),'Exp Tables'!$AI$2:$AN$2,0))-
INDEX('HOC Chip Data'!O:O,MATCH(B68,'HOC Chip Data'!A:A,0))*25,0)</f>
        <v>2350</v>
      </c>
      <c r="D68" s="1">
        <f>INDEX(Main!$J$99:$S$109,MATCH(LEFT(B68,LEN(B68)-3)*1,Main!$B$99:$B$109,0),MATCH("Chip "&amp;RIGHT(B68,3)*1,Main!$J$98:$S$98,0))</f>
        <v>20</v>
      </c>
    </row>
    <row r="69" spans="1:4" x14ac:dyDescent="0.3">
      <c r="A69" s="1" t="str">
        <f>IF(INDEX(Main!$A$99:$A$109,MATCH(LEFT(B69,LEN(B69)-3)*1,Main!$B$99:$B$109,0))="X",1234567,"")</f>
        <v/>
      </c>
      <c r="B69" s="1">
        <f t="shared" si="1"/>
        <v>7008</v>
      </c>
      <c r="C69" s="1">
        <f>MAX(INDEX('Exp Tables'!$AI$3:$AN$22,MATCH(D69,'Exp Tables'!$AB$3:$AB$22,0),MATCH(INDEX('HOC Chip Data'!O:O,MATCH(B69,'HOC Chip Data'!A:A,0)),'Exp Tables'!$AI$2:$AN$2,0))-
INDEX('HOC Chip Data'!O:O,MATCH(B69,'HOC Chip Data'!A:A,0))*25,0)</f>
        <v>4700</v>
      </c>
      <c r="D69" s="1">
        <f>INDEX(Main!$J$99:$S$109,MATCH(LEFT(B69,LEN(B69)-3)*1,Main!$B$99:$B$109,0),MATCH("Chip "&amp;RIGHT(B69,3)*1,Main!$J$98:$S$98,0))</f>
        <v>20</v>
      </c>
    </row>
    <row r="70" spans="1:4" x14ac:dyDescent="0.3">
      <c r="A70" s="1" t="str">
        <f>IF(INDEX(Main!$A$99:$A$109,MATCH(LEFT(B70,LEN(B70)-3)*1,Main!$B$99:$B$109,0))="X",1234567,"")</f>
        <v/>
      </c>
      <c r="B70" s="1">
        <f t="shared" si="1"/>
        <v>7009</v>
      </c>
      <c r="C70" s="1">
        <f>MAX(INDEX('Exp Tables'!$AI$3:$AN$22,MATCH(D70,'Exp Tables'!$AB$3:$AB$22,0),MATCH(INDEX('HOC Chip Data'!O:O,MATCH(B70,'HOC Chip Data'!A:A,0)),'Exp Tables'!$AI$2:$AN$2,0))-
INDEX('HOC Chip Data'!O:O,MATCH(B70,'HOC Chip Data'!A:A,0))*25,0)</f>
        <v>9400</v>
      </c>
      <c r="D70" s="1">
        <f>INDEX(Main!$J$99:$S$109,MATCH(LEFT(B70,LEN(B70)-3)*1,Main!$B$99:$B$109,0),MATCH("Chip "&amp;RIGHT(B70,3)*1,Main!$J$98:$S$98,0))</f>
        <v>20</v>
      </c>
    </row>
    <row r="71" spans="1:4" x14ac:dyDescent="0.3">
      <c r="A71" s="45" t="str">
        <f>IF(INDEX(Main!$A$99:$A$109,MATCH(LEFT(B71,LEN(B71)-3)*1,Main!$B$99:$B$109,0))="X",1234567,"")</f>
        <v/>
      </c>
      <c r="B71" s="45">
        <f t="shared" si="1"/>
        <v>7010</v>
      </c>
      <c r="C71" s="45">
        <f>MAX(INDEX('Exp Tables'!$AI$3:$AN$22,MATCH(D71,'Exp Tables'!$AB$3:$AB$22,0),MATCH(INDEX('HOC Chip Data'!O:O,MATCH(B71,'HOC Chip Data'!A:A,0)),'Exp Tables'!$AI$2:$AN$2,0))-
INDEX('HOC Chip Data'!O:O,MATCH(B71,'HOC Chip Data'!A:A,0))*25,0)</f>
        <v>3525</v>
      </c>
      <c r="D71" s="45">
        <f>INDEX(Main!$J$99:$S$109,MATCH(LEFT(B71,LEN(B71)-3)*1,Main!$B$99:$B$109,0),MATCH("Chip "&amp;RIGHT(B71,3)*1,Main!$J$98:$S$98,0))</f>
        <v>20</v>
      </c>
    </row>
    <row r="72" spans="1:4" x14ac:dyDescent="0.3">
      <c r="A72" s="181" t="str">
        <f>IF(INDEX(Main!$A$99:$A$109,MATCH(LEFT(B72,LEN(B72)-3)*1,Main!$B$99:$B$109,0))="X",1234567,"")</f>
        <v/>
      </c>
      <c r="B72" s="181">
        <f>B62+1000</f>
        <v>8001</v>
      </c>
      <c r="C72" s="181">
        <f>MAX(INDEX('Exp Tables'!$AI$3:$AN$22,MATCH(D72,'Exp Tables'!$AB$3:$AB$22,0),MATCH(INDEX('HOC Chip Data'!O:O,MATCH(B72,'HOC Chip Data'!A:A,0)),'Exp Tables'!$AI$2:$AN$2,0))-
INDEX('HOC Chip Data'!O:O,MATCH(B72,'HOC Chip Data'!A:A,0))*25,0)</f>
        <v>4700</v>
      </c>
      <c r="D72" s="181">
        <f>INDEX(Main!$J$99:$S$109,MATCH(LEFT(B72,LEN(B72)-3)*1,Main!$B$99:$B$109,0),MATCH("Chip "&amp;RIGHT(B72,3)*1,Main!$J$98:$S$98,0))</f>
        <v>20</v>
      </c>
    </row>
    <row r="73" spans="1:4" x14ac:dyDescent="0.3">
      <c r="A73" s="1" t="str">
        <f>IF(INDEX(Main!$A$99:$A$109,MATCH(LEFT(B73,LEN(B73)-3)*1,Main!$B$99:$B$109,0))="X",1234567,"")</f>
        <v/>
      </c>
      <c r="B73" s="1">
        <f t="shared" si="1"/>
        <v>8002</v>
      </c>
      <c r="C73" s="1">
        <f>MAX(INDEX('Exp Tables'!$AI$3:$AN$22,MATCH(D73,'Exp Tables'!$AB$3:$AB$22,0),MATCH(INDEX('HOC Chip Data'!O:O,MATCH(B73,'HOC Chip Data'!A:A,0)),'Exp Tables'!$AI$2:$AN$2,0))-
INDEX('HOC Chip Data'!O:O,MATCH(B73,'HOC Chip Data'!A:A,0))*25,0)</f>
        <v>3525</v>
      </c>
      <c r="D73" s="1">
        <f>INDEX(Main!$J$99:$S$109,MATCH(LEFT(B73,LEN(B73)-3)*1,Main!$B$99:$B$109,0),MATCH("Chip "&amp;RIGHT(B73,3)*1,Main!$J$98:$S$98,0))</f>
        <v>20</v>
      </c>
    </row>
    <row r="74" spans="1:4" x14ac:dyDescent="0.3">
      <c r="A74" s="1" t="str">
        <f>IF(INDEX(Main!$A$99:$A$109,MATCH(LEFT(B74,LEN(B74)-3)*1,Main!$B$99:$B$109,0))="X",1234567,"")</f>
        <v/>
      </c>
      <c r="B74" s="1">
        <f t="shared" si="1"/>
        <v>8003</v>
      </c>
      <c r="C74" s="1">
        <f>MAX(INDEX('Exp Tables'!$AI$3:$AN$22,MATCH(D74,'Exp Tables'!$AB$3:$AB$22,0),MATCH(INDEX('HOC Chip Data'!O:O,MATCH(B74,'HOC Chip Data'!A:A,0)),'Exp Tables'!$AI$2:$AN$2,0))-
INDEX('HOC Chip Data'!O:O,MATCH(B74,'HOC Chip Data'!A:A,0))*25,0)</f>
        <v>4700</v>
      </c>
      <c r="D74" s="1">
        <f>INDEX(Main!$J$99:$S$109,MATCH(LEFT(B74,LEN(B74)-3)*1,Main!$B$99:$B$109,0),MATCH("Chip "&amp;RIGHT(B74,3)*1,Main!$J$98:$S$98,0))</f>
        <v>20</v>
      </c>
    </row>
    <row r="75" spans="1:4" x14ac:dyDescent="0.3">
      <c r="A75" s="1" t="str">
        <f>IF(INDEX(Main!$A$99:$A$109,MATCH(LEFT(B75,LEN(B75)-3)*1,Main!$B$99:$B$109,0))="X",1234567,"")</f>
        <v/>
      </c>
      <c r="B75" s="1">
        <f t="shared" si="1"/>
        <v>8004</v>
      </c>
      <c r="C75" s="1">
        <f>MAX(INDEX('Exp Tables'!$AI$3:$AN$22,MATCH(D75,'Exp Tables'!$AB$3:$AB$22,0),MATCH(INDEX('HOC Chip Data'!O:O,MATCH(B75,'HOC Chip Data'!A:A,0)),'Exp Tables'!$AI$2:$AN$2,0))-
INDEX('HOC Chip Data'!O:O,MATCH(B75,'HOC Chip Data'!A:A,0))*25,0)</f>
        <v>4700</v>
      </c>
      <c r="D75" s="1">
        <f>INDEX(Main!$J$99:$S$109,MATCH(LEFT(B75,LEN(B75)-3)*1,Main!$B$99:$B$109,0),MATCH("Chip "&amp;RIGHT(B75,3)*1,Main!$J$98:$S$98,0))</f>
        <v>20</v>
      </c>
    </row>
    <row r="76" spans="1:4" x14ac:dyDescent="0.3">
      <c r="A76" s="1" t="str">
        <f>IF(INDEX(Main!$A$99:$A$109,MATCH(LEFT(B76,LEN(B76)-3)*1,Main!$B$99:$B$109,0))="X",1234567,"")</f>
        <v/>
      </c>
      <c r="B76" s="1">
        <f t="shared" si="1"/>
        <v>8005</v>
      </c>
      <c r="C76" s="1">
        <f>MAX(INDEX('Exp Tables'!$AI$3:$AN$22,MATCH(D76,'Exp Tables'!$AB$3:$AB$22,0),MATCH(INDEX('HOC Chip Data'!O:O,MATCH(B76,'HOC Chip Data'!A:A,0)),'Exp Tables'!$AI$2:$AN$2,0))-
INDEX('HOC Chip Data'!O:O,MATCH(B76,'HOC Chip Data'!A:A,0))*25,0)</f>
        <v>3525</v>
      </c>
      <c r="D76" s="1">
        <f>INDEX(Main!$J$99:$S$109,MATCH(LEFT(B76,LEN(B76)-3)*1,Main!$B$99:$B$109,0),MATCH("Chip "&amp;RIGHT(B76,3)*1,Main!$J$98:$S$98,0))</f>
        <v>20</v>
      </c>
    </row>
    <row r="77" spans="1:4" x14ac:dyDescent="0.3">
      <c r="A77" s="1" t="str">
        <f>IF(INDEX(Main!$A$99:$A$109,MATCH(LEFT(B77,LEN(B77)-3)*1,Main!$B$99:$B$109,0))="X",1234567,"")</f>
        <v/>
      </c>
      <c r="B77" s="1">
        <f t="shared" ref="B77:B81" si="2">B67+1000</f>
        <v>8006</v>
      </c>
      <c r="C77" s="1">
        <f>MAX(INDEX('Exp Tables'!$AI$3:$AN$22,MATCH(D77,'Exp Tables'!$AB$3:$AB$22,0),MATCH(INDEX('HOC Chip Data'!O:O,MATCH(B77,'HOC Chip Data'!A:A,0)),'Exp Tables'!$AI$2:$AN$2,0))-
INDEX('HOC Chip Data'!O:O,MATCH(B77,'HOC Chip Data'!A:A,0))*25,0)</f>
        <v>2350</v>
      </c>
      <c r="D77" s="1">
        <f>INDEX(Main!$J$99:$S$109,MATCH(LEFT(B77,LEN(B77)-3)*1,Main!$B$99:$B$109,0),MATCH("Chip "&amp;RIGHT(B77,3)*1,Main!$J$98:$S$98,0))</f>
        <v>20</v>
      </c>
    </row>
    <row r="78" spans="1:4" x14ac:dyDescent="0.3">
      <c r="A78" s="1" t="str">
        <f>IF(INDEX(Main!$A$99:$A$109,MATCH(LEFT(B78,LEN(B78)-3)*1,Main!$B$99:$B$109,0))="X",1234567,"")</f>
        <v/>
      </c>
      <c r="B78" s="1">
        <f t="shared" si="2"/>
        <v>8007</v>
      </c>
      <c r="C78" s="1">
        <f>MAX(INDEX('Exp Tables'!$AI$3:$AN$22,MATCH(D78,'Exp Tables'!$AB$3:$AB$22,0),MATCH(INDEX('HOC Chip Data'!O:O,MATCH(B78,'HOC Chip Data'!A:A,0)),'Exp Tables'!$AI$2:$AN$2,0))-
INDEX('HOC Chip Data'!O:O,MATCH(B78,'HOC Chip Data'!A:A,0))*25,0)</f>
        <v>4700</v>
      </c>
      <c r="D78" s="1">
        <f>INDEX(Main!$J$99:$S$109,MATCH(LEFT(B78,LEN(B78)-3)*1,Main!$B$99:$B$109,0),MATCH("Chip "&amp;RIGHT(B78,3)*1,Main!$J$98:$S$98,0))</f>
        <v>20</v>
      </c>
    </row>
    <row r="79" spans="1:4" x14ac:dyDescent="0.3">
      <c r="A79" s="1" t="str">
        <f>IF(INDEX(Main!$A$99:$A$109,MATCH(LEFT(B79,LEN(B79)-3)*1,Main!$B$99:$B$109,0))="X",1234567,"")</f>
        <v/>
      </c>
      <c r="B79" s="1">
        <f t="shared" si="2"/>
        <v>8008</v>
      </c>
      <c r="C79" s="1">
        <f>MAX(INDEX('Exp Tables'!$AI$3:$AN$22,MATCH(D79,'Exp Tables'!$AB$3:$AB$22,0),MATCH(INDEX('HOC Chip Data'!O:O,MATCH(B79,'HOC Chip Data'!A:A,0)),'Exp Tables'!$AI$2:$AN$2,0))-
INDEX('HOC Chip Data'!O:O,MATCH(B79,'HOC Chip Data'!A:A,0))*25,0)</f>
        <v>2350</v>
      </c>
      <c r="D79" s="1">
        <f>INDEX(Main!$J$99:$S$109,MATCH(LEFT(B79,LEN(B79)-3)*1,Main!$B$99:$B$109,0),MATCH("Chip "&amp;RIGHT(B79,3)*1,Main!$J$98:$S$98,0))</f>
        <v>20</v>
      </c>
    </row>
    <row r="80" spans="1:4" x14ac:dyDescent="0.3">
      <c r="A80" s="1" t="str">
        <f>IF(INDEX(Main!$A$99:$A$109,MATCH(LEFT(B80,LEN(B80)-3)*1,Main!$B$99:$B$109,0))="X",1234567,"")</f>
        <v/>
      </c>
      <c r="B80" s="1">
        <f t="shared" si="2"/>
        <v>8009</v>
      </c>
      <c r="C80" s="1">
        <f>MAX(INDEX('Exp Tables'!$AI$3:$AN$22,MATCH(D80,'Exp Tables'!$AB$3:$AB$22,0),MATCH(INDEX('HOC Chip Data'!O:O,MATCH(B80,'HOC Chip Data'!A:A,0)),'Exp Tables'!$AI$2:$AN$2,0))-
INDEX('HOC Chip Data'!O:O,MATCH(B80,'HOC Chip Data'!A:A,0))*25,0)</f>
        <v>4700</v>
      </c>
      <c r="D80" s="1">
        <f>INDEX(Main!$J$99:$S$109,MATCH(LEFT(B80,LEN(B80)-3)*1,Main!$B$99:$B$109,0),MATCH("Chip "&amp;RIGHT(B80,3)*1,Main!$J$98:$S$98,0))</f>
        <v>20</v>
      </c>
    </row>
    <row r="81" spans="1:4" x14ac:dyDescent="0.3">
      <c r="A81" s="45" t="str">
        <f>IF(INDEX(Main!$A$99:$A$109,MATCH(LEFT(B81,LEN(B81)-3)*1,Main!$B$99:$B$109,0))="X",1234567,"")</f>
        <v/>
      </c>
      <c r="B81" s="45">
        <f t="shared" si="2"/>
        <v>8010</v>
      </c>
      <c r="C81" s="45">
        <f>MAX(INDEX('Exp Tables'!$AI$3:$AN$22,MATCH(D81,'Exp Tables'!$AB$3:$AB$22,0),MATCH(INDEX('HOC Chip Data'!O:O,MATCH(B81,'HOC Chip Data'!A:A,0)),'Exp Tables'!$AI$2:$AN$2,0))-
INDEX('HOC Chip Data'!O:O,MATCH(B81,'HOC Chip Data'!A:A,0))*25,0)</f>
        <v>2350</v>
      </c>
      <c r="D81" s="45">
        <f>INDEX(Main!$J$99:$S$109,MATCH(LEFT(B81,LEN(B81)-3)*1,Main!$B$99:$B$109,0),MATCH("Chip "&amp;RIGHT(B81,3)*1,Main!$J$98:$S$98,0))</f>
        <v>20</v>
      </c>
    </row>
    <row r="82" spans="1:4" x14ac:dyDescent="0.3">
      <c r="A82" s="181" t="str">
        <f>IF(INDEX(Main!$A$99:$A$109,MATCH(LEFT(B82,LEN(B82)-3)*1,Main!$B$99:$B$109,0))="X",1234567,"")</f>
        <v/>
      </c>
      <c r="B82" s="181">
        <f>B72+1000</f>
        <v>9001</v>
      </c>
      <c r="C82" s="181">
        <f>MAX(INDEX('Exp Tables'!$AI$3:$AN$22,MATCH(D82,'Exp Tables'!$AB$3:$AB$22,0),MATCH(INDEX('HOC Chip Data'!O:O,MATCH(B82,'HOC Chip Data'!A:A,0)),'Exp Tables'!$AI$2:$AN$2,0))-
INDEX('HOC Chip Data'!O:O,MATCH(B82,'HOC Chip Data'!A:A,0))*25,0)</f>
        <v>3525</v>
      </c>
      <c r="D82" s="181">
        <f>INDEX(Main!$J$99:$S$109,MATCH(LEFT(B82,LEN(B82)-3)*1,Main!$B$99:$B$109,0),MATCH("Chip "&amp;RIGHT(B82,3)*1,Main!$J$98:$S$98,0))</f>
        <v>20</v>
      </c>
    </row>
    <row r="83" spans="1:4" x14ac:dyDescent="0.3">
      <c r="A83" s="1" t="str">
        <f>IF(INDEX(Main!$A$99:$A$109,MATCH(LEFT(B83,LEN(B83)-3)*1,Main!$B$99:$B$109,0))="X",1234567,"")</f>
        <v/>
      </c>
      <c r="B83" s="1">
        <f t="shared" ref="B83:B111" si="3">B73+1000</f>
        <v>9002</v>
      </c>
      <c r="C83" s="1">
        <f>MAX(INDEX('Exp Tables'!$AI$3:$AN$22,MATCH(D83,'Exp Tables'!$AB$3:$AB$22,0),MATCH(INDEX('HOC Chip Data'!O:O,MATCH(B83,'HOC Chip Data'!A:A,0)),'Exp Tables'!$AI$2:$AN$2,0))-
INDEX('HOC Chip Data'!O:O,MATCH(B83,'HOC Chip Data'!A:A,0))*25,0)</f>
        <v>4700</v>
      </c>
      <c r="D83" s="1">
        <f>INDEX(Main!$J$99:$S$109,MATCH(LEFT(B83,LEN(B83)-3)*1,Main!$B$99:$B$109,0),MATCH("Chip "&amp;RIGHT(B83,3)*1,Main!$J$98:$S$98,0))</f>
        <v>20</v>
      </c>
    </row>
    <row r="84" spans="1:4" x14ac:dyDescent="0.3">
      <c r="A84" s="1" t="str">
        <f>IF(INDEX(Main!$A$99:$A$109,MATCH(LEFT(B84,LEN(B84)-3)*1,Main!$B$99:$B$109,0))="X",1234567,"")</f>
        <v/>
      </c>
      <c r="B84" s="1">
        <f t="shared" si="3"/>
        <v>9003</v>
      </c>
      <c r="C84" s="1">
        <f>MAX(INDEX('Exp Tables'!$AI$3:$AN$22,MATCH(D84,'Exp Tables'!$AB$3:$AB$22,0),MATCH(INDEX('HOC Chip Data'!O:O,MATCH(B84,'HOC Chip Data'!A:A,0)),'Exp Tables'!$AI$2:$AN$2,0))-
INDEX('HOC Chip Data'!O:O,MATCH(B84,'HOC Chip Data'!A:A,0))*25,0)</f>
        <v>4700</v>
      </c>
      <c r="D84" s="1">
        <f>INDEX(Main!$J$99:$S$109,MATCH(LEFT(B84,LEN(B84)-3)*1,Main!$B$99:$B$109,0),MATCH("Chip "&amp;RIGHT(B84,3)*1,Main!$J$98:$S$98,0))</f>
        <v>20</v>
      </c>
    </row>
    <row r="85" spans="1:4" x14ac:dyDescent="0.3">
      <c r="A85" s="1" t="str">
        <f>IF(INDEX(Main!$A$99:$A$109,MATCH(LEFT(B85,LEN(B85)-3)*1,Main!$B$99:$B$109,0))="X",1234567,"")</f>
        <v/>
      </c>
      <c r="B85" s="1">
        <f t="shared" si="3"/>
        <v>9004</v>
      </c>
      <c r="C85" s="1">
        <f>MAX(INDEX('Exp Tables'!$AI$3:$AN$22,MATCH(D85,'Exp Tables'!$AB$3:$AB$22,0),MATCH(INDEX('HOC Chip Data'!O:O,MATCH(B85,'HOC Chip Data'!A:A,0)),'Exp Tables'!$AI$2:$AN$2,0))-
INDEX('HOC Chip Data'!O:O,MATCH(B85,'HOC Chip Data'!A:A,0))*25,0)</f>
        <v>4700</v>
      </c>
      <c r="D85" s="1">
        <f>INDEX(Main!$J$99:$S$109,MATCH(LEFT(B85,LEN(B85)-3)*1,Main!$B$99:$B$109,0),MATCH("Chip "&amp;RIGHT(B85,3)*1,Main!$J$98:$S$98,0))</f>
        <v>20</v>
      </c>
    </row>
    <row r="86" spans="1:4" x14ac:dyDescent="0.3">
      <c r="A86" s="1" t="str">
        <f>IF(INDEX(Main!$A$99:$A$109,MATCH(LEFT(B86,LEN(B86)-3)*1,Main!$B$99:$B$109,0))="X",1234567,"")</f>
        <v/>
      </c>
      <c r="B86" s="1">
        <f t="shared" si="3"/>
        <v>9005</v>
      </c>
      <c r="C86" s="1">
        <f>MAX(INDEX('Exp Tables'!$AI$3:$AN$22,MATCH(D86,'Exp Tables'!$AB$3:$AB$22,0),MATCH(INDEX('HOC Chip Data'!O:O,MATCH(B86,'HOC Chip Data'!A:A,0)),'Exp Tables'!$AI$2:$AN$2,0))-
INDEX('HOC Chip Data'!O:O,MATCH(B86,'HOC Chip Data'!A:A,0))*25,0)</f>
        <v>4700</v>
      </c>
      <c r="D86" s="1">
        <f>INDEX(Main!$J$99:$S$109,MATCH(LEFT(B86,LEN(B86)-3)*1,Main!$B$99:$B$109,0),MATCH("Chip "&amp;RIGHT(B86,3)*1,Main!$J$98:$S$98,0))</f>
        <v>20</v>
      </c>
    </row>
    <row r="87" spans="1:4" x14ac:dyDescent="0.3">
      <c r="A87" s="1" t="str">
        <f>IF(INDEX(Main!$A$99:$A$109,MATCH(LEFT(B87,LEN(B87)-3)*1,Main!$B$99:$B$109,0))="X",1234567,"")</f>
        <v/>
      </c>
      <c r="B87" s="1">
        <f t="shared" si="3"/>
        <v>9006</v>
      </c>
      <c r="C87" s="1">
        <f>MAX(INDEX('Exp Tables'!$AI$3:$AN$22,MATCH(D87,'Exp Tables'!$AB$3:$AB$22,0),MATCH(INDEX('HOC Chip Data'!O:O,MATCH(B87,'HOC Chip Data'!A:A,0)),'Exp Tables'!$AI$2:$AN$2,0))-
INDEX('HOC Chip Data'!O:O,MATCH(B87,'HOC Chip Data'!A:A,0))*25,0)</f>
        <v>4700</v>
      </c>
      <c r="D87" s="1">
        <f>INDEX(Main!$J$99:$S$109,MATCH(LEFT(B87,LEN(B87)-3)*1,Main!$B$99:$B$109,0),MATCH("Chip "&amp;RIGHT(B87,3)*1,Main!$J$98:$S$98,0))</f>
        <v>20</v>
      </c>
    </row>
    <row r="88" spans="1:4" x14ac:dyDescent="0.3">
      <c r="A88" s="1" t="str">
        <f>IF(INDEX(Main!$A$99:$A$109,MATCH(LEFT(B88,LEN(B88)-3)*1,Main!$B$99:$B$109,0))="X",1234567,"")</f>
        <v/>
      </c>
      <c r="B88" s="1">
        <f t="shared" si="3"/>
        <v>9007</v>
      </c>
      <c r="C88" s="1">
        <f>MAX(INDEX('Exp Tables'!$AI$3:$AN$22,MATCH(D88,'Exp Tables'!$AB$3:$AB$22,0),MATCH(INDEX('HOC Chip Data'!O:O,MATCH(B88,'HOC Chip Data'!A:A,0)),'Exp Tables'!$AI$2:$AN$2,0))-
INDEX('HOC Chip Data'!O:O,MATCH(B88,'HOC Chip Data'!A:A,0))*25,0)</f>
        <v>4700</v>
      </c>
      <c r="D88" s="1">
        <f>INDEX(Main!$J$99:$S$109,MATCH(LEFT(B88,LEN(B88)-3)*1,Main!$B$99:$B$109,0),MATCH("Chip "&amp;RIGHT(B88,3)*1,Main!$J$98:$S$98,0))</f>
        <v>20</v>
      </c>
    </row>
    <row r="89" spans="1:4" x14ac:dyDescent="0.3">
      <c r="A89" s="1" t="str">
        <f>IF(INDEX(Main!$A$99:$A$109,MATCH(LEFT(B89,LEN(B89)-3)*1,Main!$B$99:$B$109,0))="X",1234567,"")</f>
        <v/>
      </c>
      <c r="B89" s="1">
        <f t="shared" si="3"/>
        <v>9008</v>
      </c>
      <c r="C89" s="1">
        <f>MAX(INDEX('Exp Tables'!$AI$3:$AN$22,MATCH(D89,'Exp Tables'!$AB$3:$AB$22,0),MATCH(INDEX('HOC Chip Data'!O:O,MATCH(B89,'HOC Chip Data'!A:A,0)),'Exp Tables'!$AI$2:$AN$2,0))-
INDEX('HOC Chip Data'!O:O,MATCH(B89,'HOC Chip Data'!A:A,0))*25,0)</f>
        <v>3525</v>
      </c>
      <c r="D89" s="1">
        <f>INDEX(Main!$J$99:$S$109,MATCH(LEFT(B89,LEN(B89)-3)*1,Main!$B$99:$B$109,0),MATCH("Chip "&amp;RIGHT(B89,3)*1,Main!$J$98:$S$98,0))</f>
        <v>20</v>
      </c>
    </row>
    <row r="90" spans="1:4" x14ac:dyDescent="0.3">
      <c r="A90" s="1" t="str">
        <f>IF(INDEX(Main!$A$99:$A$109,MATCH(LEFT(B90,LEN(B90)-3)*1,Main!$B$99:$B$109,0))="X",1234567,"")</f>
        <v/>
      </c>
      <c r="B90" s="1">
        <f t="shared" si="3"/>
        <v>9009</v>
      </c>
      <c r="C90" s="1">
        <f>MAX(INDEX('Exp Tables'!$AI$3:$AN$22,MATCH(D90,'Exp Tables'!$AB$3:$AB$22,0),MATCH(INDEX('HOC Chip Data'!O:O,MATCH(B90,'HOC Chip Data'!A:A,0)),'Exp Tables'!$AI$2:$AN$2,0))-
INDEX('HOC Chip Data'!O:O,MATCH(B90,'HOC Chip Data'!A:A,0))*25,0)</f>
        <v>4700</v>
      </c>
      <c r="D90" s="1">
        <f>INDEX(Main!$J$99:$S$109,MATCH(LEFT(B90,LEN(B90)-3)*1,Main!$B$99:$B$109,0),MATCH("Chip "&amp;RIGHT(B90,3)*1,Main!$J$98:$S$98,0))</f>
        <v>20</v>
      </c>
    </row>
    <row r="91" spans="1:4" x14ac:dyDescent="0.3">
      <c r="A91" s="45" t="str">
        <f>IF(INDEX(Main!$A$99:$A$109,MATCH(LEFT(B91,LEN(B91)-3)*1,Main!$B$99:$B$109,0))="X",1234567,"")</f>
        <v/>
      </c>
      <c r="B91" s="45">
        <f t="shared" si="3"/>
        <v>9010</v>
      </c>
      <c r="C91" s="45">
        <f>MAX(INDEX('Exp Tables'!$AI$3:$AN$22,MATCH(D91,'Exp Tables'!$AB$3:$AB$22,0),MATCH(INDEX('HOC Chip Data'!O:O,MATCH(B91,'HOC Chip Data'!A:A,0)),'Exp Tables'!$AI$2:$AN$2,0))-
INDEX('HOC Chip Data'!O:O,MATCH(B91,'HOC Chip Data'!A:A,0))*25,0)</f>
        <v>4700</v>
      </c>
      <c r="D91" s="45">
        <f>INDEX(Main!$J$99:$S$109,MATCH(LEFT(B91,LEN(B91)-3)*1,Main!$B$99:$B$109,0),MATCH("Chip "&amp;RIGHT(B91,3)*1,Main!$J$98:$S$98,0))</f>
        <v>20</v>
      </c>
    </row>
    <row r="92" spans="1:4" x14ac:dyDescent="0.3">
      <c r="A92" s="181" t="str">
        <f>IF(INDEX(Main!$A$99:$A$109,MATCH(LEFT(B92,LEN(B92)-3)*1,Main!$B$99:$B$109,0))="X",1234567,"")</f>
        <v/>
      </c>
      <c r="B92" s="181">
        <f>B82+1000</f>
        <v>10001</v>
      </c>
      <c r="C92" s="181">
        <f>MAX(INDEX('Exp Tables'!$AI$3:$AN$22,MATCH(D92,'Exp Tables'!$AB$3:$AB$22,0),MATCH(INDEX('HOC Chip Data'!O:O,MATCH(B92,'HOC Chip Data'!A:A,0)),'Exp Tables'!$AI$2:$AN$2,0))-
INDEX('HOC Chip Data'!O:O,MATCH(B92,'HOC Chip Data'!A:A,0))*25,0)</f>
        <v>3525</v>
      </c>
      <c r="D92" s="181">
        <f>INDEX(Main!$J$99:$S$109,MATCH(LEFT(B92,LEN(B92)-3)*1,Main!$B$99:$B$109,0),MATCH("Chip "&amp;RIGHT(B92,3)*1,Main!$J$98:$S$98,0))</f>
        <v>20</v>
      </c>
    </row>
    <row r="93" spans="1:4" x14ac:dyDescent="0.3">
      <c r="A93" s="1" t="str">
        <f>IF(INDEX(Main!$A$99:$A$109,MATCH(LEFT(B93,LEN(B93)-3)*1,Main!$B$99:$B$109,0))="X",1234567,"")</f>
        <v/>
      </c>
      <c r="B93" s="1">
        <f t="shared" si="3"/>
        <v>10002</v>
      </c>
      <c r="C93" s="1">
        <f>MAX(INDEX('Exp Tables'!$AI$3:$AN$22,MATCH(D93,'Exp Tables'!$AB$3:$AB$22,0),MATCH(INDEX('HOC Chip Data'!O:O,MATCH(B93,'HOC Chip Data'!A:A,0)),'Exp Tables'!$AI$2:$AN$2,0))-
INDEX('HOC Chip Data'!O:O,MATCH(B93,'HOC Chip Data'!A:A,0))*25,0)</f>
        <v>2350</v>
      </c>
      <c r="D93" s="1">
        <f>INDEX(Main!$J$99:$S$109,MATCH(LEFT(B93,LEN(B93)-3)*1,Main!$B$99:$B$109,0),MATCH("Chip "&amp;RIGHT(B93,3)*1,Main!$J$98:$S$98,0))</f>
        <v>20</v>
      </c>
    </row>
    <row r="94" spans="1:4" x14ac:dyDescent="0.3">
      <c r="A94" s="1" t="str">
        <f>IF(INDEX(Main!$A$99:$A$109,MATCH(LEFT(B94,LEN(B94)-3)*1,Main!$B$99:$B$109,0))="X",1234567,"")</f>
        <v/>
      </c>
      <c r="B94" s="1">
        <f t="shared" si="3"/>
        <v>10003</v>
      </c>
      <c r="C94" s="1">
        <f>MAX(INDEX('Exp Tables'!$AI$3:$AN$22,MATCH(D94,'Exp Tables'!$AB$3:$AB$22,0),MATCH(INDEX('HOC Chip Data'!O:O,MATCH(B94,'HOC Chip Data'!A:A,0)),'Exp Tables'!$AI$2:$AN$2,0))-
INDEX('HOC Chip Data'!O:O,MATCH(B94,'HOC Chip Data'!A:A,0))*25,0)</f>
        <v>4700</v>
      </c>
      <c r="D94" s="1">
        <f>INDEX(Main!$J$99:$S$109,MATCH(LEFT(B94,LEN(B94)-3)*1,Main!$B$99:$B$109,0),MATCH("Chip "&amp;RIGHT(B94,3)*1,Main!$J$98:$S$98,0))</f>
        <v>20</v>
      </c>
    </row>
    <row r="95" spans="1:4" x14ac:dyDescent="0.3">
      <c r="A95" s="1" t="str">
        <f>IF(INDEX(Main!$A$99:$A$109,MATCH(LEFT(B95,LEN(B95)-3)*1,Main!$B$99:$B$109,0))="X",1234567,"")</f>
        <v/>
      </c>
      <c r="B95" s="1">
        <f t="shared" si="3"/>
        <v>10004</v>
      </c>
      <c r="C95" s="1">
        <f>MAX(INDEX('Exp Tables'!$AI$3:$AN$22,MATCH(D95,'Exp Tables'!$AB$3:$AB$22,0),MATCH(INDEX('HOC Chip Data'!O:O,MATCH(B95,'HOC Chip Data'!A:A,0)),'Exp Tables'!$AI$2:$AN$2,0))-
INDEX('HOC Chip Data'!O:O,MATCH(B95,'HOC Chip Data'!A:A,0))*25,0)</f>
        <v>3525</v>
      </c>
      <c r="D95" s="1">
        <f>INDEX(Main!$J$99:$S$109,MATCH(LEFT(B95,LEN(B95)-3)*1,Main!$B$99:$B$109,0),MATCH("Chip "&amp;RIGHT(B95,3)*1,Main!$J$98:$S$98,0))</f>
        <v>20</v>
      </c>
    </row>
    <row r="96" spans="1:4" x14ac:dyDescent="0.3">
      <c r="A96" s="1" t="str">
        <f>IF(INDEX(Main!$A$99:$A$109,MATCH(LEFT(B96,LEN(B96)-3)*1,Main!$B$99:$B$109,0))="X",1234567,"")</f>
        <v/>
      </c>
      <c r="B96" s="1">
        <f t="shared" si="3"/>
        <v>10005</v>
      </c>
      <c r="C96" s="1">
        <f>MAX(INDEX('Exp Tables'!$AI$3:$AN$22,MATCH(D96,'Exp Tables'!$AB$3:$AB$22,0),MATCH(INDEX('HOC Chip Data'!O:O,MATCH(B96,'HOC Chip Data'!A:A,0)),'Exp Tables'!$AI$2:$AN$2,0))-
INDEX('HOC Chip Data'!O:O,MATCH(B96,'HOC Chip Data'!A:A,0))*25,0)</f>
        <v>4700</v>
      </c>
      <c r="D96" s="1">
        <f>INDEX(Main!$J$99:$S$109,MATCH(LEFT(B96,LEN(B96)-3)*1,Main!$B$99:$B$109,0),MATCH("Chip "&amp;RIGHT(B96,3)*1,Main!$J$98:$S$98,0))</f>
        <v>20</v>
      </c>
    </row>
    <row r="97" spans="1:4" x14ac:dyDescent="0.3">
      <c r="A97" s="1" t="str">
        <f>IF(INDEX(Main!$A$99:$A$109,MATCH(LEFT(B97,LEN(B97)-3)*1,Main!$B$99:$B$109,0))="X",1234567,"")</f>
        <v/>
      </c>
      <c r="B97" s="1">
        <f t="shared" si="3"/>
        <v>10006</v>
      </c>
      <c r="C97" s="1">
        <f>MAX(INDEX('Exp Tables'!$AI$3:$AN$22,MATCH(D97,'Exp Tables'!$AB$3:$AB$22,0),MATCH(INDEX('HOC Chip Data'!O:O,MATCH(B97,'HOC Chip Data'!A:A,0)),'Exp Tables'!$AI$2:$AN$2,0))-
INDEX('HOC Chip Data'!O:O,MATCH(B97,'HOC Chip Data'!A:A,0))*25,0)</f>
        <v>4700</v>
      </c>
      <c r="D97" s="1">
        <f>INDEX(Main!$J$99:$S$109,MATCH(LEFT(B97,LEN(B97)-3)*1,Main!$B$99:$B$109,0),MATCH("Chip "&amp;RIGHT(B97,3)*1,Main!$J$98:$S$98,0))</f>
        <v>20</v>
      </c>
    </row>
    <row r="98" spans="1:4" x14ac:dyDescent="0.3">
      <c r="A98" s="1" t="str">
        <f>IF(INDEX(Main!$A$99:$A$109,MATCH(LEFT(B98,LEN(B98)-3)*1,Main!$B$99:$B$109,0))="X",1234567,"")</f>
        <v/>
      </c>
      <c r="B98" s="1">
        <f t="shared" si="3"/>
        <v>10007</v>
      </c>
      <c r="C98" s="1">
        <f>MAX(INDEX('Exp Tables'!$AI$3:$AN$22,MATCH(D98,'Exp Tables'!$AB$3:$AB$22,0),MATCH(INDEX('HOC Chip Data'!O:O,MATCH(B98,'HOC Chip Data'!A:A,0)),'Exp Tables'!$AI$2:$AN$2,0))-
INDEX('HOC Chip Data'!O:O,MATCH(B98,'HOC Chip Data'!A:A,0))*25,0)</f>
        <v>7050</v>
      </c>
      <c r="D98" s="1">
        <f>INDEX(Main!$J$99:$S$109,MATCH(LEFT(B98,LEN(B98)-3)*1,Main!$B$99:$B$109,0),MATCH("Chip "&amp;RIGHT(B98,3)*1,Main!$J$98:$S$98,0))</f>
        <v>20</v>
      </c>
    </row>
    <row r="99" spans="1:4" x14ac:dyDescent="0.3">
      <c r="A99" s="1" t="str">
        <f>IF(INDEX(Main!$A$99:$A$109,MATCH(LEFT(B99,LEN(B99)-3)*1,Main!$B$99:$B$109,0))="X",1234567,"")</f>
        <v/>
      </c>
      <c r="B99" s="1">
        <f t="shared" si="3"/>
        <v>10008</v>
      </c>
      <c r="C99" s="1">
        <f>MAX(INDEX('Exp Tables'!$AI$3:$AN$22,MATCH(D99,'Exp Tables'!$AB$3:$AB$22,0),MATCH(INDEX('HOC Chip Data'!O:O,MATCH(B99,'HOC Chip Data'!A:A,0)),'Exp Tables'!$AI$2:$AN$2,0))-
INDEX('HOC Chip Data'!O:O,MATCH(B99,'HOC Chip Data'!A:A,0))*25,0)</f>
        <v>4700</v>
      </c>
      <c r="D99" s="1">
        <f>INDEX(Main!$J$99:$S$109,MATCH(LEFT(B99,LEN(B99)-3)*1,Main!$B$99:$B$109,0),MATCH("Chip "&amp;RIGHT(B99,3)*1,Main!$J$98:$S$98,0))</f>
        <v>20</v>
      </c>
    </row>
    <row r="100" spans="1:4" x14ac:dyDescent="0.3">
      <c r="A100" s="1" t="str">
        <f>IF(INDEX(Main!$A$99:$A$109,MATCH(LEFT(B100,LEN(B100)-3)*1,Main!$B$99:$B$109,0))="X",1234567,"")</f>
        <v/>
      </c>
      <c r="B100" s="1">
        <f t="shared" si="3"/>
        <v>10009</v>
      </c>
      <c r="C100" s="1">
        <f>MAX(INDEX('Exp Tables'!$AI$3:$AN$22,MATCH(D100,'Exp Tables'!$AB$3:$AB$22,0),MATCH(INDEX('HOC Chip Data'!O:O,MATCH(B100,'HOC Chip Data'!A:A,0)),'Exp Tables'!$AI$2:$AN$2,0))-
INDEX('HOC Chip Data'!O:O,MATCH(B100,'HOC Chip Data'!A:A,0))*25,0)</f>
        <v>2350</v>
      </c>
      <c r="D100" s="1">
        <f>INDEX(Main!$J$99:$S$109,MATCH(LEFT(B100,LEN(B100)-3)*1,Main!$B$99:$B$109,0),MATCH("Chip "&amp;RIGHT(B100,3)*1,Main!$J$98:$S$98,0))</f>
        <v>20</v>
      </c>
    </row>
    <row r="101" spans="1:4" x14ac:dyDescent="0.3">
      <c r="A101" s="45" t="str">
        <f>IF(INDEX(Main!$A$99:$A$109,MATCH(LEFT(B101,LEN(B101)-3)*1,Main!$B$99:$B$109,0))="X",1234567,"")</f>
        <v/>
      </c>
      <c r="B101" s="45">
        <f t="shared" si="3"/>
        <v>10010</v>
      </c>
      <c r="C101" s="45">
        <f>MAX(INDEX('Exp Tables'!$AI$3:$AN$22,MATCH(D101,'Exp Tables'!$AB$3:$AB$22,0),MATCH(INDEX('HOC Chip Data'!O:O,MATCH(B101,'HOC Chip Data'!A:A,0)),'Exp Tables'!$AI$2:$AN$2,0))-
INDEX('HOC Chip Data'!O:O,MATCH(B101,'HOC Chip Data'!A:A,0))*25,0)</f>
        <v>4700</v>
      </c>
      <c r="D101" s="45">
        <f>INDEX(Main!$J$99:$S$109,MATCH(LEFT(B101,LEN(B101)-3)*1,Main!$B$99:$B$109,0),MATCH("Chip "&amp;RIGHT(B101,3)*1,Main!$J$98:$S$98,0))</f>
        <v>20</v>
      </c>
    </row>
    <row r="102" spans="1:4" x14ac:dyDescent="0.3">
      <c r="A102" s="181" t="str">
        <f>IF(INDEX(Main!$A$99:$A$109,MATCH(LEFT(B102,LEN(B102)-3)*1,Main!$B$99:$B$109,0))="X",1234567,"")</f>
        <v/>
      </c>
      <c r="B102" s="181">
        <f>B92+1000</f>
        <v>11001</v>
      </c>
      <c r="C102" s="181">
        <f>MAX(INDEX('Exp Tables'!$AI$3:$AN$22,MATCH(D102,'Exp Tables'!$AB$3:$AB$22,0),MATCH(INDEX('HOC Chip Data'!O:O,MATCH(B102,'HOC Chip Data'!A:A,0)),'Exp Tables'!$AI$2:$AN$2,0))-
INDEX('HOC Chip Data'!O:O,MATCH(B102,'HOC Chip Data'!A:A,0))*25,0)</f>
        <v>3525</v>
      </c>
      <c r="D102" s="181">
        <f>INDEX(Main!$J$99:$S$109,MATCH(LEFT(B102,LEN(B102)-3)*1,Main!$B$99:$B$109,0),MATCH("Chip "&amp;RIGHT(B102,3)*1,Main!$J$98:$S$98,0))</f>
        <v>20</v>
      </c>
    </row>
    <row r="103" spans="1:4" x14ac:dyDescent="0.3">
      <c r="A103" s="1" t="str">
        <f>IF(INDEX(Main!$A$99:$A$109,MATCH(LEFT(B103,LEN(B103)-3)*1,Main!$B$99:$B$109,0))="X",1234567,"")</f>
        <v/>
      </c>
      <c r="B103" s="1">
        <f t="shared" si="3"/>
        <v>11002</v>
      </c>
      <c r="C103" s="1">
        <f>MAX(INDEX('Exp Tables'!$AI$3:$AN$22,MATCH(D103,'Exp Tables'!$AB$3:$AB$22,0),MATCH(INDEX('HOC Chip Data'!O:O,MATCH(B103,'HOC Chip Data'!A:A,0)),'Exp Tables'!$AI$2:$AN$2,0))-
INDEX('HOC Chip Data'!O:O,MATCH(B103,'HOC Chip Data'!A:A,0))*25,0)</f>
        <v>2350</v>
      </c>
      <c r="D103" s="1">
        <f>INDEX(Main!$J$99:$S$109,MATCH(LEFT(B103,LEN(B103)-3)*1,Main!$B$99:$B$109,0),MATCH("Chip "&amp;RIGHT(B103,3)*1,Main!$J$98:$S$98,0))</f>
        <v>20</v>
      </c>
    </row>
    <row r="104" spans="1:4" x14ac:dyDescent="0.3">
      <c r="A104" s="1" t="str">
        <f>IF(INDEX(Main!$A$99:$A$109,MATCH(LEFT(B104,LEN(B104)-3)*1,Main!$B$99:$B$109,0))="X",1234567,"")</f>
        <v/>
      </c>
      <c r="B104" s="1">
        <f t="shared" si="3"/>
        <v>11003</v>
      </c>
      <c r="C104" s="1">
        <f>MAX(INDEX('Exp Tables'!$AI$3:$AN$22,MATCH(D104,'Exp Tables'!$AB$3:$AB$22,0),MATCH(INDEX('HOC Chip Data'!O:O,MATCH(B104,'HOC Chip Data'!A:A,0)),'Exp Tables'!$AI$2:$AN$2,0))-
INDEX('HOC Chip Data'!O:O,MATCH(B104,'HOC Chip Data'!A:A,0))*25,0)</f>
        <v>3525</v>
      </c>
      <c r="D104" s="1">
        <f>INDEX(Main!$J$99:$S$109,MATCH(LEFT(B104,LEN(B104)-3)*1,Main!$B$99:$B$109,0),MATCH("Chip "&amp;RIGHT(B104,3)*1,Main!$J$98:$S$98,0))</f>
        <v>20</v>
      </c>
    </row>
    <row r="105" spans="1:4" x14ac:dyDescent="0.3">
      <c r="A105" s="1" t="str">
        <f>IF(INDEX(Main!$A$99:$A$109,MATCH(LEFT(B105,LEN(B105)-3)*1,Main!$B$99:$B$109,0))="X",1234567,"")</f>
        <v/>
      </c>
      <c r="B105" s="1">
        <f t="shared" si="3"/>
        <v>11004</v>
      </c>
      <c r="C105" s="1">
        <f>MAX(INDEX('Exp Tables'!$AI$3:$AN$22,MATCH(D105,'Exp Tables'!$AB$3:$AB$22,0),MATCH(INDEX('HOC Chip Data'!O:O,MATCH(B105,'HOC Chip Data'!A:A,0)),'Exp Tables'!$AI$2:$AN$2,0))-
INDEX('HOC Chip Data'!O:O,MATCH(B105,'HOC Chip Data'!A:A,0))*25,0)</f>
        <v>4700</v>
      </c>
      <c r="D105" s="1">
        <f>INDEX(Main!$J$99:$S$109,MATCH(LEFT(B105,LEN(B105)-3)*1,Main!$B$99:$B$109,0),MATCH("Chip "&amp;RIGHT(B105,3)*1,Main!$J$98:$S$98,0))</f>
        <v>20</v>
      </c>
    </row>
    <row r="106" spans="1:4" x14ac:dyDescent="0.3">
      <c r="A106" s="1" t="str">
        <f>IF(INDEX(Main!$A$99:$A$109,MATCH(LEFT(B106,LEN(B106)-3)*1,Main!$B$99:$B$109,0))="X",1234567,"")</f>
        <v/>
      </c>
      <c r="B106" s="1">
        <f t="shared" si="3"/>
        <v>11005</v>
      </c>
      <c r="C106" s="1">
        <f>MAX(INDEX('Exp Tables'!$AI$3:$AN$22,MATCH(D106,'Exp Tables'!$AB$3:$AB$22,0),MATCH(INDEX('HOC Chip Data'!O:O,MATCH(B106,'HOC Chip Data'!A:A,0)),'Exp Tables'!$AI$2:$AN$2,0))-
INDEX('HOC Chip Data'!O:O,MATCH(B106,'HOC Chip Data'!A:A,0))*25,0)</f>
        <v>3525</v>
      </c>
      <c r="D106" s="1">
        <f>INDEX(Main!$J$99:$S$109,MATCH(LEFT(B106,LEN(B106)-3)*1,Main!$B$99:$B$109,0),MATCH("Chip "&amp;RIGHT(B106,3)*1,Main!$J$98:$S$98,0))</f>
        <v>20</v>
      </c>
    </row>
    <row r="107" spans="1:4" x14ac:dyDescent="0.3">
      <c r="A107" s="1" t="str">
        <f>IF(INDEX(Main!$A$99:$A$109,MATCH(LEFT(B107,LEN(B107)-3)*1,Main!$B$99:$B$109,0))="X",1234567,"")</f>
        <v/>
      </c>
      <c r="B107" s="1">
        <f t="shared" si="3"/>
        <v>11006</v>
      </c>
      <c r="C107" s="1">
        <f>MAX(INDEX('Exp Tables'!$AI$3:$AN$22,MATCH(D107,'Exp Tables'!$AB$3:$AB$22,0),MATCH(INDEX('HOC Chip Data'!O:O,MATCH(B107,'HOC Chip Data'!A:A,0)),'Exp Tables'!$AI$2:$AN$2,0))-
INDEX('HOC Chip Data'!O:O,MATCH(B107,'HOC Chip Data'!A:A,0))*25,0)</f>
        <v>3525</v>
      </c>
      <c r="D107" s="1">
        <f>INDEX(Main!$J$99:$S$109,MATCH(LEFT(B107,LEN(B107)-3)*1,Main!$B$99:$B$109,0),MATCH("Chip "&amp;RIGHT(B107,3)*1,Main!$J$98:$S$98,0))</f>
        <v>20</v>
      </c>
    </row>
    <row r="108" spans="1:4" x14ac:dyDescent="0.3">
      <c r="A108" s="1" t="str">
        <f>IF(INDEX(Main!$A$99:$A$109,MATCH(LEFT(B108,LEN(B108)-3)*1,Main!$B$99:$B$109,0))="X",1234567,"")</f>
        <v/>
      </c>
      <c r="B108" s="1">
        <f t="shared" si="3"/>
        <v>11007</v>
      </c>
      <c r="C108" s="1">
        <f>MAX(INDEX('Exp Tables'!$AI$3:$AN$22,MATCH(D108,'Exp Tables'!$AB$3:$AB$22,0),MATCH(INDEX('HOC Chip Data'!O:O,MATCH(B108,'HOC Chip Data'!A:A,0)),'Exp Tables'!$AI$2:$AN$2,0))-
INDEX('HOC Chip Data'!O:O,MATCH(B108,'HOC Chip Data'!A:A,0))*25,0)</f>
        <v>3525</v>
      </c>
      <c r="D108" s="1">
        <f>INDEX(Main!$J$99:$S$109,MATCH(LEFT(B108,LEN(B108)-3)*1,Main!$B$99:$B$109,0),MATCH("Chip "&amp;RIGHT(B108,3)*1,Main!$J$98:$S$98,0))</f>
        <v>20</v>
      </c>
    </row>
    <row r="109" spans="1:4" x14ac:dyDescent="0.3">
      <c r="A109" s="1" t="str">
        <f>IF(INDEX(Main!$A$99:$A$109,MATCH(LEFT(B109,LEN(B109)-3)*1,Main!$B$99:$B$109,0))="X",1234567,"")</f>
        <v/>
      </c>
      <c r="B109" s="1">
        <f t="shared" si="3"/>
        <v>11008</v>
      </c>
      <c r="C109" s="1">
        <f>MAX(INDEX('Exp Tables'!$AI$3:$AN$22,MATCH(D109,'Exp Tables'!$AB$3:$AB$22,0),MATCH(INDEX('HOC Chip Data'!O:O,MATCH(B109,'HOC Chip Data'!A:A,0)),'Exp Tables'!$AI$2:$AN$2,0))-
INDEX('HOC Chip Data'!O:O,MATCH(B109,'HOC Chip Data'!A:A,0))*25,0)</f>
        <v>3525</v>
      </c>
      <c r="D109" s="1">
        <f>INDEX(Main!$J$99:$S$109,MATCH(LEFT(B109,LEN(B109)-3)*1,Main!$B$99:$B$109,0),MATCH("Chip "&amp;RIGHT(B109,3)*1,Main!$J$98:$S$98,0))</f>
        <v>20</v>
      </c>
    </row>
    <row r="110" spans="1:4" x14ac:dyDescent="0.3">
      <c r="A110" s="1" t="str">
        <f>IF(INDEX(Main!$A$99:$A$109,MATCH(LEFT(B110,LEN(B110)-3)*1,Main!$B$99:$B$109,0))="X",1234567,"")</f>
        <v/>
      </c>
      <c r="B110" s="1">
        <f t="shared" si="3"/>
        <v>11009</v>
      </c>
      <c r="C110" s="1">
        <f>MAX(INDEX('Exp Tables'!$AI$3:$AN$22,MATCH(D110,'Exp Tables'!$AB$3:$AB$22,0),MATCH(INDEX('HOC Chip Data'!O:O,MATCH(B110,'HOC Chip Data'!A:A,0)),'Exp Tables'!$AI$2:$AN$2,0))-
INDEX('HOC Chip Data'!O:O,MATCH(B110,'HOC Chip Data'!A:A,0))*25,0)</f>
        <v>4700</v>
      </c>
      <c r="D110" s="1">
        <f>INDEX(Main!$J$99:$S$109,MATCH(LEFT(B110,LEN(B110)-3)*1,Main!$B$99:$B$109,0),MATCH("Chip "&amp;RIGHT(B110,3)*1,Main!$J$98:$S$98,0))</f>
        <v>20</v>
      </c>
    </row>
    <row r="111" spans="1:4" x14ac:dyDescent="0.3">
      <c r="A111" s="45" t="str">
        <f>IF(INDEX(Main!$A$99:$A$109,MATCH(LEFT(B111,LEN(B111)-3)*1,Main!$B$99:$B$109,0))="X",1234567,"")</f>
        <v/>
      </c>
      <c r="B111" s="45">
        <f t="shared" si="3"/>
        <v>11010</v>
      </c>
      <c r="C111" s="45">
        <f>MAX(INDEX('Exp Tables'!$AI$3:$AN$22,MATCH(D111,'Exp Tables'!$AB$3:$AB$22,0),MATCH(INDEX('HOC Chip Data'!O:O,MATCH(B111,'HOC Chip Data'!A:A,0)),'Exp Tables'!$AI$2:$AN$2,0))-
INDEX('HOC Chip Data'!O:O,MATCH(B111,'HOC Chip Data'!A:A,0))*25,0)</f>
        <v>7050</v>
      </c>
      <c r="D111" s="45">
        <f>INDEX(Main!$J$99:$S$109,MATCH(LEFT(B111,LEN(B111)-3)*1,Main!$B$99:$B$109,0),MATCH("Chip "&amp;RIGHT(B111,3)*1,Main!$J$98:$S$98,0))</f>
        <v>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4D672-FDB7-4202-8F73-32F9E31344C4}">
  <sheetPr codeName="Sheet30"/>
  <dimension ref="A1:AD5"/>
  <sheetViews>
    <sheetView workbookViewId="0">
      <selection activeCell="B2" sqref="B2"/>
    </sheetView>
  </sheetViews>
  <sheetFormatPr defaultRowHeight="14.4" x14ac:dyDescent="0.3"/>
  <sheetData>
    <row r="1" spans="1:30" x14ac:dyDescent="0.3">
      <c r="A1" s="85" t="s">
        <v>25</v>
      </c>
      <c r="B1" s="85" t="s">
        <v>26</v>
      </c>
      <c r="C1" s="85" t="s">
        <v>8171</v>
      </c>
      <c r="D1" s="85" t="s">
        <v>8172</v>
      </c>
      <c r="E1" s="85" t="s">
        <v>34</v>
      </c>
      <c r="F1" s="85" t="s">
        <v>35</v>
      </c>
      <c r="G1" s="85" t="s">
        <v>36</v>
      </c>
      <c r="H1" s="85" t="s">
        <v>8173</v>
      </c>
      <c r="I1" s="85" t="s">
        <v>8174</v>
      </c>
      <c r="J1" s="85" t="s">
        <v>8175</v>
      </c>
      <c r="K1" s="85" t="s">
        <v>8176</v>
      </c>
      <c r="L1" s="85" t="s">
        <v>8177</v>
      </c>
      <c r="M1" s="85" t="s">
        <v>8178</v>
      </c>
      <c r="N1" s="85" t="s">
        <v>54</v>
      </c>
      <c r="O1" s="85" t="s">
        <v>8179</v>
      </c>
      <c r="P1" s="85" t="s">
        <v>8180</v>
      </c>
      <c r="Q1" s="85" t="s">
        <v>8181</v>
      </c>
      <c r="R1" s="85" t="s">
        <v>277</v>
      </c>
      <c r="S1" s="85" t="s">
        <v>39</v>
      </c>
      <c r="T1" s="85" t="s">
        <v>8182</v>
      </c>
      <c r="U1" s="85" t="s">
        <v>8183</v>
      </c>
      <c r="V1" s="85" t="s">
        <v>8184</v>
      </c>
      <c r="W1" s="85" t="s">
        <v>877</v>
      </c>
      <c r="X1" s="85" t="s">
        <v>7733</v>
      </c>
      <c r="Y1" s="85" t="s">
        <v>38</v>
      </c>
      <c r="Z1" s="85" t="s">
        <v>2618</v>
      </c>
      <c r="AA1" s="85" t="s">
        <v>4470</v>
      </c>
      <c r="AB1" s="85" t="s">
        <v>8185</v>
      </c>
      <c r="AC1" s="85" t="s">
        <v>8186</v>
      </c>
      <c r="AD1" s="85" t="s">
        <v>8187</v>
      </c>
    </row>
    <row r="2" spans="1:30" x14ac:dyDescent="0.3">
      <c r="A2" s="1" t="str">
        <f>IF(OR(VehicleMode="Off",Main!B75&lt;&gt;"X"),"",1)</f>
        <v/>
      </c>
      <c r="B2" s="1">
        <v>1234567</v>
      </c>
      <c r="C2" s="1">
        <v>1</v>
      </c>
      <c r="D2" s="1">
        <v>209500</v>
      </c>
      <c r="E2" s="1">
        <f>3600+Q2</f>
        <v>4050</v>
      </c>
      <c r="F2" s="1">
        <v>10</v>
      </c>
      <c r="G2" s="1">
        <v>10</v>
      </c>
      <c r="H2" s="1">
        <v>60</v>
      </c>
      <c r="I2" s="1">
        <v>180</v>
      </c>
      <c r="J2" s="239" t="str">
        <f>LEFT("10001,10002,10003,10004,10005,10006,10007,10008,10009,10010,10011,10012,10013,10014,10015",5+6*(Main!C75-1))</f>
        <v>10001,10002,10003,10004,10005,10006,10007,10008,10009,10010,10011,10012,10013,10014,10015</v>
      </c>
      <c r="K2" s="1" t="str">
        <f>"1:"&amp;IF(VehicleComp!A2="",0,VehicleComp!A2)&amp;
",2:"&amp;IF(VehicleComp!A4="",0,VehicleComp!A4)&amp;
",3:"&amp;IF(VehicleComp!A6="",0,VehicleComp!A6)&amp;
",4:"&amp;IF(VehicleComp!A8="",0,VehicleComp!A8)&amp;
",5:"&amp;IF(VehicleComp!A10="",0,VehicleComp!A10)</f>
        <v>1:1,2:3,3:5,4:7,5:9</v>
      </c>
      <c r="L2" s="1" t="str">
        <f>"1:"&amp;IF(VehicleComp!A12="",0,VehicleComp!A12)&amp;
",2:"&amp;IF(VehicleComp!A14="",0,VehicleComp!A14)&amp;
",3:"&amp;IF(VehicleComp!A16="",0,VehicleComp!A16)&amp;
",4:"&amp;IF(VehicleComp!A18="",0,VehicleComp!A18)</f>
        <v>1:11,2:13,3:15,4:17</v>
      </c>
      <c r="M2" s="1" t="str">
        <f>"1001:"&amp;IF(Doll!A22="",0,"1-"&amp;Doll!A22)&amp;
",1002:"&amp;IF(HOC!A14="",0,"3-"&amp;HOC!A14)&amp;
",1003:"&amp;IF(HOC!A15="",0,"3-"&amp;HOC!A15)&amp;",1004:"&amp;IF(Doll!A24&lt;&gt;"","1-"&amp;Doll!A24,IF(HOC!A16&lt;&gt;"","3-"&amp;HOC!A16,IF(SF!B17&lt;&gt;"","2-"&amp;SF!A17,0)))</f>
        <v>1001:1-21,1002:0,1003:0,1004:1-23</v>
      </c>
      <c r="N2" s="1">
        <v>0</v>
      </c>
      <c r="O2" s="1">
        <v>0</v>
      </c>
      <c r="P2" s="1">
        <f>SUMIFS('Vehicle Tree'!L:L,'Vehicle Tree'!$B:$B,$C2,'Vehicle Tree'!$A:$A,"&lt;="&amp;10000+Main!$C75)</f>
        <v>15000</v>
      </c>
      <c r="Q2" s="1">
        <f>SUMIFS('Vehicle Tree'!M:M,'Vehicle Tree'!$B:$B,$C2,'Vehicle Tree'!$A:$A,"&lt;="&amp;10000+Main!$C75)</f>
        <v>450</v>
      </c>
      <c r="R2" s="1">
        <f>SUMIFS('Vehicle Tree'!N:N,'Vehicle Tree'!$B:$B,$C2,'Vehicle Tree'!$A:$A,"&lt;="&amp;10000+Main!$C75)</f>
        <v>0</v>
      </c>
      <c r="S2" s="1">
        <f>SUMIFS('Vehicle Tree'!O:O,'Vehicle Tree'!$B:$B,$C2,'Vehicle Tree'!$A:$A,"&lt;="&amp;10000+Main!$C75)</f>
        <v>4</v>
      </c>
      <c r="T2" s="1">
        <f>SUMIFS('Vehicle Tree'!P:P,'Vehicle Tree'!$B:$B,$C2,'Vehicle Tree'!$A:$A,"&lt;="&amp;10000+Main!$C75)</f>
        <v>60</v>
      </c>
      <c r="U2" s="1">
        <f>SUMIFS('Vehicle Tree'!Q:Q,'Vehicle Tree'!$B:$B,$C2,'Vehicle Tree'!$A:$A,"&lt;="&amp;10000+Main!$C75)</f>
        <v>45</v>
      </c>
      <c r="V2" s="1">
        <f>SUMIFS('Vehicle Tree'!R:R,'Vehicle Tree'!$B:$B,$C2,'Vehicle Tree'!$A:$A,"&lt;="&amp;10000+Main!$C75)</f>
        <v>23</v>
      </c>
      <c r="W2" s="1">
        <f>SUMIFS('Vehicle Tree'!S:S,'Vehicle Tree'!$B:$B,$C2,'Vehicle Tree'!$A:$A,"&lt;="&amp;10000+Main!$C75)</f>
        <v>11</v>
      </c>
      <c r="X2" s="1">
        <f>SUMIFS('Vehicle Tree'!T:T,'Vehicle Tree'!$B:$B,$C2,'Vehicle Tree'!$A:$A,"&lt;="&amp;10000+Main!$C75)</f>
        <v>34</v>
      </c>
      <c r="Y2" s="1">
        <f>SUMIFS('Vehicle Tree'!U:U,'Vehicle Tree'!$B:$B,$C2,'Vehicle Tree'!$A:$A,"&lt;="&amp;10000+Main!$C75)</f>
        <v>8</v>
      </c>
      <c r="Z2" s="1">
        <f>SUMIFS('Vehicle Tree'!V:V,'Vehicle Tree'!$B:$B,$C2,'Vehicle Tree'!$A:$A,"&lt;="&amp;10000+Main!$C75)</f>
        <v>0</v>
      </c>
      <c r="AA2" s="1">
        <f>SUMIFS('Vehicle Tree'!W:W,'Vehicle Tree'!$B:$B,$C2,'Vehicle Tree'!$A:$A,"&lt;="&amp;10000+Main!$C75)</f>
        <v>0</v>
      </c>
      <c r="AB2" s="1">
        <f>SUMIFS('Vehicle Tree'!X:X,'Vehicle Tree'!$B:$B,$C2,'Vehicle Tree'!$A:$A,"&lt;="&amp;10000+Main!$C75)</f>
        <v>20</v>
      </c>
      <c r="AC2" s="1">
        <f>SUMIFS('Vehicle Tree'!Y:Y,'Vehicle Tree'!$B:$B,$C2,'Vehicle Tree'!$A:$A,"&lt;="&amp;10000+Main!$C75)</f>
        <v>10</v>
      </c>
      <c r="AD2" s="1">
        <f>SUMIFS('Vehicle Tree'!Z:Z,'Vehicle Tree'!$B:$B,$C2,'Vehicle Tree'!$A:$A,"&lt;="&amp;10000+Main!$C75)</f>
        <v>35</v>
      </c>
    </row>
    <row r="3" spans="1:30" x14ac:dyDescent="0.3">
      <c r="A3" s="1" t="str">
        <f>IF(OR(VehicleMode="Off",Main!B76&lt;&gt;"X"),"",IF(Main!B75="",1,2))</f>
        <v/>
      </c>
      <c r="B3" s="1">
        <v>1234567</v>
      </c>
      <c r="C3" s="1">
        <v>2</v>
      </c>
      <c r="D3" s="1">
        <v>209500</v>
      </c>
      <c r="E3" s="1">
        <f>4400+Q3</f>
        <v>4950</v>
      </c>
      <c r="F3" s="1">
        <v>10</v>
      </c>
      <c r="G3" s="1">
        <v>10</v>
      </c>
      <c r="H3" s="1">
        <v>80</v>
      </c>
      <c r="I3" s="1">
        <v>240</v>
      </c>
      <c r="J3" s="239" t="str">
        <f>LEFT("11001,11002,11003,11004,11005,11006,11007,11008,11009,11010,11011,11012,11013,11014,11015",5+6*(Main!C76-1))</f>
        <v>11001,11002,11003,11004,11005,11006,11007,11008,11009,11010,11011,11012,11013,11014,11015</v>
      </c>
      <c r="K3" s="1" t="str">
        <f>"1:"&amp;IF(VehicleComp!A3="",0,VehicleComp!A3)&amp;
",2:"&amp;IF(VehicleComp!A5="",0,VehicleComp!A5)&amp;
",3:"&amp;IF(VehicleComp!A7="",0,VehicleComp!A7)&amp;
",4:"&amp;IF(VehicleComp!A9="",0,VehicleComp!A9)&amp;
",5:"&amp;IF(VehicleComp!A11="",0,VehicleComp!A11)</f>
        <v>1:2,2:4,3:6,4:8,5:10</v>
      </c>
      <c r="L3" s="1" t="str">
        <f>"1:"&amp;IF(VehicleComp!A13="",0,VehicleComp!A13)&amp;
",2:"&amp;IF(VehicleComp!A15="",0,VehicleComp!A15)&amp;
",3:"&amp;IF(VehicleComp!A17="",0,VehicleComp!A17)&amp;
",4:"&amp;IF(VehicleComp!A19="",0,VehicleComp!A19)</f>
        <v>1:12,2:14,3:16,4:18</v>
      </c>
      <c r="M3" s="239" t="str">
        <f>"2001:"&amp;IF(Doll!A23="",0,"1-"&amp;Doll!A23)</f>
        <v>2001:1-22</v>
      </c>
      <c r="N3" s="1">
        <v>0</v>
      </c>
      <c r="O3" s="1">
        <v>0</v>
      </c>
      <c r="P3" s="1">
        <f>SUMIFS('Vehicle Tree'!L:L,'Vehicle Tree'!$B:$B,$C3,'Vehicle Tree'!$A:$A,"&lt;="&amp;11000+Main!$C76)</f>
        <v>15000</v>
      </c>
      <c r="Q3" s="1">
        <f>SUMIFS('Vehicle Tree'!M:M,'Vehicle Tree'!$B:$B,$C3,'Vehicle Tree'!$A:$A,"&lt;="&amp;11000+Main!$C76)</f>
        <v>550</v>
      </c>
      <c r="R3" s="1">
        <f>SUMIFS('Vehicle Tree'!N:N,'Vehicle Tree'!$B:$B,$C3,'Vehicle Tree'!$A:$A,"&lt;="&amp;11000+Main!$C76)</f>
        <v>0</v>
      </c>
      <c r="S3" s="1">
        <f>SUMIFS('Vehicle Tree'!O:O,'Vehicle Tree'!$B:$B,$C3,'Vehicle Tree'!$A:$A,"&lt;="&amp;11000+Main!$C76)</f>
        <v>3</v>
      </c>
      <c r="T3" s="1">
        <f>SUMIFS('Vehicle Tree'!P:P,'Vehicle Tree'!$B:$B,$C3,'Vehicle Tree'!$A:$A,"&lt;="&amp;11000+Main!$C76)</f>
        <v>45</v>
      </c>
      <c r="U3" s="1">
        <f>SUMIFS('Vehicle Tree'!Q:Q,'Vehicle Tree'!$B:$B,$C3,'Vehicle Tree'!$A:$A,"&lt;="&amp;11000+Main!$C76)</f>
        <v>60</v>
      </c>
      <c r="V3" s="1">
        <f>SUMIFS('Vehicle Tree'!R:R,'Vehicle Tree'!$B:$B,$C3,'Vehicle Tree'!$A:$A,"&lt;="&amp;11000+Main!$C76)</f>
        <v>18</v>
      </c>
      <c r="W3" s="1">
        <f>SUMIFS('Vehicle Tree'!S:S,'Vehicle Tree'!$B:$B,$C3,'Vehicle Tree'!$A:$A,"&lt;="&amp;11000+Main!$C76)</f>
        <v>14</v>
      </c>
      <c r="X3" s="1">
        <f>SUMIFS('Vehicle Tree'!T:T,'Vehicle Tree'!$B:$B,$C3,'Vehicle Tree'!$A:$A,"&lt;="&amp;11000+Main!$C76)</f>
        <v>27</v>
      </c>
      <c r="Y3" s="1">
        <f>SUMIFS('Vehicle Tree'!U:U,'Vehicle Tree'!$B:$B,$C3,'Vehicle Tree'!$A:$A,"&lt;="&amp;11000+Main!$C76)</f>
        <v>10</v>
      </c>
      <c r="Z3" s="1">
        <f>SUMIFS('Vehicle Tree'!V:V,'Vehicle Tree'!$B:$B,$C3,'Vehicle Tree'!$A:$A,"&lt;="&amp;11000+Main!$C76)</f>
        <v>0</v>
      </c>
      <c r="AA3" s="1">
        <f>SUMIFS('Vehicle Tree'!W:W,'Vehicle Tree'!$B:$B,$C3,'Vehicle Tree'!$A:$A,"&lt;="&amp;11000+Main!$C76)</f>
        <v>0</v>
      </c>
      <c r="AB3" s="1">
        <f>SUMIFS('Vehicle Tree'!X:X,'Vehicle Tree'!$B:$B,$C3,'Vehicle Tree'!$A:$A,"&lt;="&amp;11000+Main!$C76)</f>
        <v>15</v>
      </c>
      <c r="AC3" s="1">
        <f>SUMIFS('Vehicle Tree'!Y:Y,'Vehicle Tree'!$B:$B,$C3,'Vehicle Tree'!$A:$A,"&lt;="&amp;11000+Main!$C76)</f>
        <v>15</v>
      </c>
      <c r="AD3" s="1">
        <f>SUMIFS('Vehicle Tree'!Z:Z,'Vehicle Tree'!$B:$B,$C3,'Vehicle Tree'!$A:$A,"&lt;="&amp;11000+Main!$C76)</f>
        <v>30</v>
      </c>
    </row>
    <row r="4" spans="1:30" x14ac:dyDescent="0.3">
      <c r="J4" s="239"/>
    </row>
    <row r="5" spans="1:30" x14ac:dyDescent="0.3">
      <c r="J5" s="252"/>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57BF2-8D1B-482D-A7EB-6CB021AFA29F}">
  <sheetPr codeName="Sheet32"/>
  <dimension ref="A1:AG30"/>
  <sheetViews>
    <sheetView workbookViewId="0">
      <pane ySplit="1" topLeftCell="A2" activePane="bottomLeft" state="frozen"/>
      <selection activeCell="F1" sqref="F1"/>
      <selection pane="bottomLeft"/>
    </sheetView>
  </sheetViews>
  <sheetFormatPr defaultRowHeight="14.4" x14ac:dyDescent="0.3"/>
  <sheetData>
    <row r="1" spans="1:33" s="10" customFormat="1" x14ac:dyDescent="0.3">
      <c r="A1" s="38" t="s">
        <v>25</v>
      </c>
      <c r="B1" s="38" t="s">
        <v>26</v>
      </c>
      <c r="C1" s="38" t="s">
        <v>8255</v>
      </c>
      <c r="D1" s="38" t="s">
        <v>8172</v>
      </c>
      <c r="E1" s="38" t="s">
        <v>8256</v>
      </c>
      <c r="F1" s="38" t="s">
        <v>54</v>
      </c>
      <c r="G1" s="38" t="s">
        <v>44</v>
      </c>
      <c r="H1" s="38" t="s">
        <v>8257</v>
      </c>
      <c r="I1" s="38" t="s">
        <v>8258</v>
      </c>
      <c r="J1" s="38" t="s">
        <v>8259</v>
      </c>
      <c r="K1" s="38" t="s">
        <v>8260</v>
      </c>
      <c r="L1" s="38" t="s">
        <v>8261</v>
      </c>
      <c r="M1" s="38" t="s">
        <v>8262</v>
      </c>
      <c r="N1" s="38" t="s">
        <v>8182</v>
      </c>
      <c r="O1" s="38" t="s">
        <v>8183</v>
      </c>
      <c r="P1" s="38" t="s">
        <v>8184</v>
      </c>
      <c r="Q1" s="38" t="s">
        <v>7733</v>
      </c>
      <c r="R1" s="38" t="s">
        <v>877</v>
      </c>
      <c r="S1" s="38" t="s">
        <v>38</v>
      </c>
      <c r="T1" s="38" t="s">
        <v>277</v>
      </c>
      <c r="U1" s="38" t="s">
        <v>39</v>
      </c>
      <c r="V1" s="38" t="s">
        <v>8263</v>
      </c>
      <c r="W1" s="38" t="s">
        <v>8264</v>
      </c>
      <c r="X1" s="38" t="s">
        <v>8186</v>
      </c>
      <c r="Y1" s="38" t="s">
        <v>8187</v>
      </c>
      <c r="Z1" s="38" t="s">
        <v>8185</v>
      </c>
      <c r="AA1" s="38" t="s">
        <v>8173</v>
      </c>
      <c r="AB1" s="38" t="s">
        <v>8174</v>
      </c>
      <c r="AC1" s="38" t="s">
        <v>1797</v>
      </c>
    </row>
    <row r="2" spans="1:33" x14ac:dyDescent="0.3">
      <c r="A2" s="1">
        <f>IF(Main!B82="","",ROW()-1)</f>
        <v>1</v>
      </c>
      <c r="B2" s="1">
        <v>1234567</v>
      </c>
      <c r="C2" s="1">
        <f>VLOOKUP(Main!B82,'Vehicle Comp Data'!$B:$E,4,FALSE)</f>
        <v>1113</v>
      </c>
      <c r="D2" s="1">
        <f>VLOOKUP(E2,'Exp Tables'!$X$3:$Z$13,3,FALSE)</f>
        <v>32660</v>
      </c>
      <c r="E2" s="1">
        <f>Main!C82</f>
        <v>10</v>
      </c>
      <c r="F2" s="1">
        <v>0</v>
      </c>
      <c r="G2" s="1">
        <v>0</v>
      </c>
      <c r="H2" s="1" t="str">
        <f>IFERROR(Main!B83&amp;":"&amp;IF(Main!B83="skill",VLOOKUP(Main!C83,'Vehicle Substats'!$I$2:$J$50,2,FALSE),VLOOKUP(Main!B83,'Vehicle Substats'!$A$1:$F$16,6,FALSE)),"")</f>
        <v/>
      </c>
      <c r="I2" s="1" t="str">
        <f>IFERROR(Main!B84&amp;":"&amp;IF(Main!B84="skill",VLOOKUP(Main!C84,'Vehicle Substats'!$I$2:$J$50,2,FALSE),VLOOKUP(Main!B84,'Vehicle Substats'!$A$1:$F$16,6,FALSE)),"")</f>
        <v/>
      </c>
      <c r="J2" s="1" t="str">
        <f>IFERROR(Main!B85&amp;":"&amp;IF(Main!B85="skill",VLOOKUP(Main!C85,'Vehicle Substats'!$I$2:$J$50,2,FALSE),VLOOKUP(Main!B85,'Vehicle Substats'!$A$1:$F$16,6,FALSE)),"")</f>
        <v/>
      </c>
      <c r="K2" s="1"/>
      <c r="L2" s="1"/>
      <c r="M2" s="1" t="str">
        <f>IF(H2&lt;&gt;"",1,"")&amp;IF(I2&lt;&gt;"",",2","")&amp;IF(J2&lt;&gt;"",",3","")</f>
        <v/>
      </c>
      <c r="N2" s="1">
        <f>IFERROR(IF(LEFT($H2,FIND(":",$H2)-1)=N$1,SUBSTITUTE($H2,N$1&amp;":",""),0)+
IF(LEFT($I2,FIND(":",$I2)-1)=N$1,SUBSTITUTE($I2,N$1&amp;":",""),0)+
IF(LEFT($J2,FIND(":",$J2)-1)=N$1,SUBSTITUTE($J2,N$1&amp;":",""),0),0)</f>
        <v>0</v>
      </c>
      <c r="O2" s="1">
        <f t="shared" ref="O2:AB17" si="0">IFERROR(IF(LEFT($H2,FIND(":",$H2)-1)=O$1,SUBSTITUTE($H2,O$1&amp;":",""),0)+
IF(LEFT($I2,FIND(":",$I2)-1)=O$1,SUBSTITUTE($I2,O$1&amp;":",""),0)+
IF(LEFT($J2,FIND(":",$J2)-1)=O$1,SUBSTITUTE($J2,O$1&amp;":",""),0),0)</f>
        <v>0</v>
      </c>
      <c r="P2" s="1">
        <f t="shared" si="0"/>
        <v>0</v>
      </c>
      <c r="Q2" s="1">
        <f t="shared" si="0"/>
        <v>0</v>
      </c>
      <c r="R2" s="1">
        <f t="shared" si="0"/>
        <v>0</v>
      </c>
      <c r="S2" s="1">
        <f t="shared" si="0"/>
        <v>0</v>
      </c>
      <c r="T2" s="1">
        <f t="shared" si="0"/>
        <v>0</v>
      </c>
      <c r="U2" s="1">
        <f t="shared" si="0"/>
        <v>0</v>
      </c>
      <c r="V2" s="1">
        <f t="shared" si="0"/>
        <v>0</v>
      </c>
      <c r="W2" s="1">
        <f t="shared" si="0"/>
        <v>0</v>
      </c>
      <c r="X2" s="1">
        <f t="shared" si="0"/>
        <v>0</v>
      </c>
      <c r="Y2" s="1">
        <f t="shared" si="0"/>
        <v>0</v>
      </c>
      <c r="Z2" s="1">
        <f t="shared" si="0"/>
        <v>0</v>
      </c>
      <c r="AA2" s="1">
        <f t="shared" si="0"/>
        <v>0</v>
      </c>
      <c r="AB2" s="1">
        <f t="shared" si="0"/>
        <v>0</v>
      </c>
      <c r="AC2" s="1" t="str">
        <f t="shared" ref="AC2" si="1">AE2&amp;IF(AND(AE2&lt;&gt;"",AF2&lt;&gt;""),",","")&amp;AF2&amp;IF(AND(OR(AE2&lt;&gt;"",AF2&lt;&gt;""),AG2&lt;&gt;""),",","")&amp;AG2</f>
        <v/>
      </c>
      <c r="AE2" t="str">
        <f>IFERROR(IF(LEFT($H2,FIND(":",$H2)-1)=AC$1,SUBSTITUTE($H2,AC$1&amp;":",""),""),"")</f>
        <v/>
      </c>
      <c r="AF2" t="str">
        <f>IFERROR(IF(LEFT($I2,FIND(":",$I2)-1)=AC$1,SUBSTITUTE($I2,AC$1&amp;":",""),""),"")</f>
        <v/>
      </c>
      <c r="AG2" t="str">
        <f>IFERROR(IF(LEFT($J2,FIND(":",$J2)-1)=AC$1,SUBSTITUTE($J2,AC$1&amp;":",""),""),"")</f>
        <v/>
      </c>
    </row>
    <row r="3" spans="1:33" x14ac:dyDescent="0.3">
      <c r="A3" s="45">
        <f>IF(Main!B89="","",ROW()-1)</f>
        <v>2</v>
      </c>
      <c r="B3" s="45">
        <v>1234567</v>
      </c>
      <c r="C3" s="45">
        <f>VLOOKUP(Main!B89,'Vehicle Comp Data'!$B:$E,4,FALSE)</f>
        <v>1113</v>
      </c>
      <c r="D3" s="45">
        <f>VLOOKUP(E3,'Exp Tables'!$X$3:$Z$13,3,FALSE)</f>
        <v>32660</v>
      </c>
      <c r="E3" s="45">
        <f>Main!C89</f>
        <v>10</v>
      </c>
      <c r="F3" s="45">
        <v>0</v>
      </c>
      <c r="G3" s="45">
        <v>0</v>
      </c>
      <c r="H3" s="45" t="str">
        <f>IFERROR(Main!B90&amp;":"&amp;IF(Main!B90="skill",VLOOKUP(Main!C90,'Vehicle Substats'!$I$2:$J$50,2,FALSE),VLOOKUP(Main!B90,'Vehicle Substats'!$A$1:$F$16,6,FALSE)),"")</f>
        <v/>
      </c>
      <c r="I3" s="45" t="str">
        <f>IFERROR(Main!B91&amp;":"&amp;IF(Main!B91="skill",VLOOKUP(Main!C91,'Vehicle Substats'!$I$2:$J$50,2,FALSE),VLOOKUP(Main!B91,'Vehicle Substats'!$A$1:$F$16,6,FALSE)),"")</f>
        <v/>
      </c>
      <c r="J3" s="45" t="str">
        <f>IFERROR(Main!B92&amp;":"&amp;IF(Main!B92="skill",VLOOKUP(Main!C92,'Vehicle Substats'!$I$2:$J$50,2,FALSE),VLOOKUP(Main!B92,'Vehicle Substats'!$A$1:$F$16,6,FALSE)),"")</f>
        <v/>
      </c>
      <c r="K3" s="45"/>
      <c r="L3" s="45"/>
      <c r="M3" s="45" t="str">
        <f t="shared" ref="M3:M19" si="2">IF(H3&lt;&gt;"",1,"")&amp;IF(I3&lt;&gt;"",",2","")&amp;IF(J3&lt;&gt;"",",3","")</f>
        <v/>
      </c>
      <c r="N3" s="45">
        <f t="shared" ref="N3:AB18" si="3">IFERROR(IF(LEFT($H3,FIND(":",$H3)-1)=N$1,SUBSTITUTE($H3,N$1&amp;":",""),0)+
IF(LEFT($I3,FIND(":",$I3)-1)=N$1,SUBSTITUTE($I3,N$1&amp;":",""),0)+
IF(LEFT($J3,FIND(":",$J3)-1)=N$1,SUBSTITUTE($J3,N$1&amp;":",""),0),0)</f>
        <v>0</v>
      </c>
      <c r="O3" s="45">
        <f t="shared" si="0"/>
        <v>0</v>
      </c>
      <c r="P3" s="45">
        <f t="shared" si="0"/>
        <v>0</v>
      </c>
      <c r="Q3" s="45">
        <f t="shared" si="0"/>
        <v>0</v>
      </c>
      <c r="R3" s="45">
        <f t="shared" si="0"/>
        <v>0</v>
      </c>
      <c r="S3" s="45">
        <f t="shared" si="0"/>
        <v>0</v>
      </c>
      <c r="T3" s="45">
        <f t="shared" si="0"/>
        <v>0</v>
      </c>
      <c r="U3" s="45">
        <f t="shared" si="0"/>
        <v>0</v>
      </c>
      <c r="V3" s="45">
        <f t="shared" si="0"/>
        <v>0</v>
      </c>
      <c r="W3" s="45">
        <f t="shared" si="0"/>
        <v>0</v>
      </c>
      <c r="X3" s="45">
        <f t="shared" si="0"/>
        <v>0</v>
      </c>
      <c r="Y3" s="45">
        <f t="shared" si="0"/>
        <v>0</v>
      </c>
      <c r="Z3" s="45">
        <f t="shared" si="0"/>
        <v>0</v>
      </c>
      <c r="AA3" s="45">
        <f t="shared" si="0"/>
        <v>0</v>
      </c>
      <c r="AB3" s="45">
        <f t="shared" si="0"/>
        <v>0</v>
      </c>
      <c r="AC3" s="45" t="str">
        <f>AE3&amp;IF(AND(AE3&lt;&gt;"",AF3&lt;&gt;""),",","")&amp;AF3&amp;IF(AND(OR(AE3&lt;&gt;"",AF3&lt;&gt;""),AG3&lt;&gt;""),",","")&amp;AG3</f>
        <v/>
      </c>
      <c r="AE3" t="str">
        <f t="shared" ref="AE3:AE19" si="4">IFERROR(IF(LEFT($H3,FIND(":",$H3)-1)=AC$1,SUBSTITUTE($H3,AC$1&amp;":",""),""),"")</f>
        <v/>
      </c>
      <c r="AF3" t="str">
        <f t="shared" ref="AF3:AF19" si="5">IFERROR(IF(LEFT($I3,FIND(":",$I3)-1)=AC$1,SUBSTITUTE($I3,AC$1&amp;":",""),""),"")</f>
        <v/>
      </c>
      <c r="AG3" t="str">
        <f t="shared" ref="AG3:AG19" si="6">IFERROR(IF(LEFT($J3,FIND(":",$J3)-1)=AC$1,SUBSTITUTE($J3,AC$1&amp;":",""),""),"")</f>
        <v/>
      </c>
    </row>
    <row r="4" spans="1:33" x14ac:dyDescent="0.3">
      <c r="A4" s="1">
        <f>IF(Main!D82="","",ROW()-1)</f>
        <v>3</v>
      </c>
      <c r="B4" s="1">
        <v>1234567</v>
      </c>
      <c r="C4" s="1">
        <f>VLOOKUP(Main!D82,'Vehicle Comp Data'!$B:$E,4,FALSE)</f>
        <v>1127</v>
      </c>
      <c r="D4" s="1">
        <f>VLOOKUP(E4,'Exp Tables'!$X$3:$Z$13,3,FALSE)</f>
        <v>32660</v>
      </c>
      <c r="E4" s="1">
        <f>Main!E82</f>
        <v>10</v>
      </c>
      <c r="F4" s="1">
        <v>0</v>
      </c>
      <c r="G4" s="1">
        <v>0</v>
      </c>
      <c r="H4" s="1" t="str">
        <f>IFERROR(Main!D83&amp;":"&amp;IF(Main!D83="skill",VLOOKUP(Main!E83,'Vehicle Substats'!$I$2:$J$50,2,FALSE),VLOOKUP(Main!D83,'Vehicle Substats'!$A$1:$F$16,6,FALSE)),"")</f>
        <v/>
      </c>
      <c r="I4" s="1" t="str">
        <f>IFERROR(Main!D84&amp;":"&amp;IF(Main!D84="skill",VLOOKUP(Main!E84,'Vehicle Substats'!$I$2:$J$50,2,FALSE),VLOOKUP(Main!D84,'Vehicle Substats'!$A$1:$F$16,6,FALSE)),"")</f>
        <v/>
      </c>
      <c r="J4" s="1" t="str">
        <f>IFERROR(Main!D85&amp;":"&amp;IF(Main!D85="skill",VLOOKUP(Main!E85,'Vehicle Substats'!$I$2:$J$50,2,FALSE),VLOOKUP(Main!D85,'Vehicle Substats'!$A$1:$F$16,6,FALSE)),"")</f>
        <v/>
      </c>
      <c r="K4" s="1"/>
      <c r="L4" s="1"/>
      <c r="M4" s="1" t="str">
        <f t="shared" si="2"/>
        <v/>
      </c>
      <c r="N4" s="1">
        <f t="shared" si="3"/>
        <v>0</v>
      </c>
      <c r="O4" s="1">
        <f t="shared" si="0"/>
        <v>0</v>
      </c>
      <c r="P4" s="1">
        <f t="shared" si="0"/>
        <v>0</v>
      </c>
      <c r="Q4" s="1">
        <f t="shared" si="0"/>
        <v>0</v>
      </c>
      <c r="R4" s="1">
        <f t="shared" si="0"/>
        <v>0</v>
      </c>
      <c r="S4" s="1">
        <f t="shared" si="0"/>
        <v>0</v>
      </c>
      <c r="T4" s="1">
        <f t="shared" si="0"/>
        <v>0</v>
      </c>
      <c r="U4" s="1">
        <f t="shared" si="0"/>
        <v>0</v>
      </c>
      <c r="V4" s="1">
        <f t="shared" si="0"/>
        <v>0</v>
      </c>
      <c r="W4" s="1">
        <f t="shared" si="0"/>
        <v>0</v>
      </c>
      <c r="X4" s="1">
        <f t="shared" si="0"/>
        <v>0</v>
      </c>
      <c r="Y4" s="1">
        <f t="shared" si="0"/>
        <v>0</v>
      </c>
      <c r="Z4" s="1">
        <f t="shared" si="0"/>
        <v>0</v>
      </c>
      <c r="AA4" s="1">
        <f t="shared" si="0"/>
        <v>0</v>
      </c>
      <c r="AB4" s="1">
        <f t="shared" si="0"/>
        <v>0</v>
      </c>
      <c r="AC4" s="1" t="str">
        <f t="shared" ref="AC4:AC19" si="7">AE4&amp;IF(AND(AE4&lt;&gt;"",AF4&lt;&gt;""),",","")&amp;AF4&amp;IF(AND(OR(AE4&lt;&gt;"",AF4&lt;&gt;""),AG4&lt;&gt;""),",","")&amp;AG4</f>
        <v/>
      </c>
      <c r="AE4" t="str">
        <f t="shared" si="4"/>
        <v/>
      </c>
      <c r="AF4" t="str">
        <f t="shared" si="5"/>
        <v/>
      </c>
      <c r="AG4" t="str">
        <f t="shared" si="6"/>
        <v/>
      </c>
    </row>
    <row r="5" spans="1:33" x14ac:dyDescent="0.3">
      <c r="A5" s="45">
        <f>IF(Main!D89="","",ROW()-1)</f>
        <v>4</v>
      </c>
      <c r="B5" s="45">
        <v>1234567</v>
      </c>
      <c r="C5" s="45">
        <f>VLOOKUP(Main!D89,'Vehicle Comp Data'!$B:$E,4,FALSE)</f>
        <v>1102</v>
      </c>
      <c r="D5" s="45">
        <f>VLOOKUP(E5,'Exp Tables'!$X$3:$Z$13,3,FALSE)</f>
        <v>32660</v>
      </c>
      <c r="E5" s="45">
        <f>Main!E89</f>
        <v>10</v>
      </c>
      <c r="F5" s="45">
        <v>0</v>
      </c>
      <c r="G5" s="45">
        <v>0</v>
      </c>
      <c r="H5" s="45" t="str">
        <f>IFERROR(Main!D90&amp;":"&amp;IF(Main!D90="skill",VLOOKUP(Main!E90,'Vehicle Substats'!$I$2:$J$50,2,FALSE),VLOOKUP(Main!D90,'Vehicle Substats'!$A$1:$F$16,6,FALSE)),"")</f>
        <v/>
      </c>
      <c r="I5" s="45" t="str">
        <f>IFERROR(Main!D91&amp;":"&amp;IF(Main!D91="skill",VLOOKUP(Main!E91,'Vehicle Substats'!$I$2:$J$50,2,FALSE),VLOOKUP(Main!D91,'Vehicle Substats'!$A$1:$F$16,6,FALSE)),"")</f>
        <v/>
      </c>
      <c r="J5" s="45" t="str">
        <f>IFERROR(Main!D92&amp;":"&amp;IF(Main!D92="skill",VLOOKUP(Main!E92,'Vehicle Substats'!$I$2:$J$50,2,FALSE),VLOOKUP(Main!D92,'Vehicle Substats'!$A$1:$F$16,6,FALSE)),"")</f>
        <v/>
      </c>
      <c r="K5" s="45"/>
      <c r="L5" s="45"/>
      <c r="M5" s="45" t="str">
        <f t="shared" si="2"/>
        <v/>
      </c>
      <c r="N5" s="45">
        <f t="shared" si="3"/>
        <v>0</v>
      </c>
      <c r="O5" s="45">
        <f t="shared" si="0"/>
        <v>0</v>
      </c>
      <c r="P5" s="45">
        <f t="shared" si="0"/>
        <v>0</v>
      </c>
      <c r="Q5" s="45">
        <f t="shared" si="0"/>
        <v>0</v>
      </c>
      <c r="R5" s="45">
        <f t="shared" si="0"/>
        <v>0</v>
      </c>
      <c r="S5" s="45">
        <f t="shared" si="0"/>
        <v>0</v>
      </c>
      <c r="T5" s="45">
        <f t="shared" si="0"/>
        <v>0</v>
      </c>
      <c r="U5" s="45">
        <f t="shared" si="0"/>
        <v>0</v>
      </c>
      <c r="V5" s="45">
        <f t="shared" si="0"/>
        <v>0</v>
      </c>
      <c r="W5" s="45">
        <f t="shared" si="0"/>
        <v>0</v>
      </c>
      <c r="X5" s="45">
        <f t="shared" si="0"/>
        <v>0</v>
      </c>
      <c r="Y5" s="45">
        <f t="shared" si="0"/>
        <v>0</v>
      </c>
      <c r="Z5" s="45">
        <f t="shared" si="0"/>
        <v>0</v>
      </c>
      <c r="AA5" s="45">
        <f t="shared" si="0"/>
        <v>0</v>
      </c>
      <c r="AB5" s="45">
        <f t="shared" si="0"/>
        <v>0</v>
      </c>
      <c r="AC5" s="45" t="str">
        <f t="shared" si="7"/>
        <v/>
      </c>
      <c r="AE5" t="str">
        <f t="shared" si="4"/>
        <v/>
      </c>
      <c r="AF5" t="str">
        <f t="shared" si="5"/>
        <v/>
      </c>
      <c r="AG5" t="str">
        <f t="shared" si="6"/>
        <v/>
      </c>
    </row>
    <row r="6" spans="1:33" x14ac:dyDescent="0.3">
      <c r="A6" s="1">
        <f>IF(Main!F82="","",ROW()-1)</f>
        <v>5</v>
      </c>
      <c r="B6" s="1">
        <v>1234567</v>
      </c>
      <c r="C6" s="1">
        <f>VLOOKUP(Main!F82,'Vehicle Comp Data'!$B:$E,4,FALSE)</f>
        <v>1110</v>
      </c>
      <c r="D6" s="1">
        <f>VLOOKUP(E6,'Exp Tables'!$X$3:$Z$13,3,FALSE)</f>
        <v>32660</v>
      </c>
      <c r="E6" s="1">
        <f>Main!G82</f>
        <v>10</v>
      </c>
      <c r="F6" s="1">
        <v>0</v>
      </c>
      <c r="G6" s="1">
        <v>0</v>
      </c>
      <c r="H6" s="1" t="str">
        <f>IFERROR(Main!F83&amp;":"&amp;IF(Main!F83="skill",VLOOKUP(Main!G83,'Vehicle Substats'!$I$2:$J$50,2,FALSE),VLOOKUP(Main!F83,'Vehicle Substats'!$A$1:$F$16,6,FALSE)),"")</f>
        <v/>
      </c>
      <c r="I6" s="1" t="str">
        <f>IFERROR(Main!F84&amp;":"&amp;IF(Main!F84="skill",VLOOKUP(Main!G84,'Vehicle Substats'!$I$2:$J$50,2,FALSE),VLOOKUP(Main!F84,'Vehicle Substats'!$A$1:$F$16,6,FALSE)),"")</f>
        <v/>
      </c>
      <c r="J6" s="1" t="str">
        <f>IFERROR(Main!F85&amp;":"&amp;IF(Main!F85="skill",VLOOKUP(Main!G85,'Vehicle Substats'!$I$2:$J$50,2,FALSE),VLOOKUP(Main!F85,'Vehicle Substats'!$A$1:$F$16,6,FALSE)),"")</f>
        <v/>
      </c>
      <c r="K6" s="1"/>
      <c r="L6" s="1"/>
      <c r="M6" s="1" t="str">
        <f t="shared" si="2"/>
        <v/>
      </c>
      <c r="N6" s="1">
        <f t="shared" si="3"/>
        <v>0</v>
      </c>
      <c r="O6" s="1">
        <f t="shared" si="0"/>
        <v>0</v>
      </c>
      <c r="P6" s="1">
        <f t="shared" si="0"/>
        <v>0</v>
      </c>
      <c r="Q6" s="1">
        <f t="shared" si="0"/>
        <v>0</v>
      </c>
      <c r="R6" s="1">
        <f t="shared" si="0"/>
        <v>0</v>
      </c>
      <c r="S6" s="1">
        <f t="shared" si="0"/>
        <v>0</v>
      </c>
      <c r="T6" s="1">
        <f t="shared" si="0"/>
        <v>0</v>
      </c>
      <c r="U6" s="1">
        <f t="shared" si="0"/>
        <v>0</v>
      </c>
      <c r="V6" s="1">
        <f t="shared" si="0"/>
        <v>0</v>
      </c>
      <c r="W6" s="1">
        <f t="shared" si="0"/>
        <v>0</v>
      </c>
      <c r="X6" s="1">
        <f t="shared" si="0"/>
        <v>0</v>
      </c>
      <c r="Y6" s="1">
        <f t="shared" si="0"/>
        <v>0</v>
      </c>
      <c r="Z6" s="1">
        <f t="shared" si="0"/>
        <v>0</v>
      </c>
      <c r="AA6" s="1">
        <f t="shared" si="0"/>
        <v>0</v>
      </c>
      <c r="AB6" s="1">
        <f t="shared" si="0"/>
        <v>0</v>
      </c>
      <c r="AC6" s="1" t="str">
        <f t="shared" si="7"/>
        <v/>
      </c>
      <c r="AE6" t="str">
        <f t="shared" si="4"/>
        <v/>
      </c>
      <c r="AF6" t="str">
        <f t="shared" si="5"/>
        <v/>
      </c>
      <c r="AG6" t="str">
        <f t="shared" si="6"/>
        <v/>
      </c>
    </row>
    <row r="7" spans="1:33" x14ac:dyDescent="0.3">
      <c r="A7" s="45">
        <f>IF(Main!F89="","",ROW()-1)</f>
        <v>6</v>
      </c>
      <c r="B7" s="45">
        <v>1234567</v>
      </c>
      <c r="C7" s="45">
        <f>VLOOKUP(Main!F89,'Vehicle Comp Data'!$B:$E,4,FALSE)</f>
        <v>1107</v>
      </c>
      <c r="D7" s="45">
        <f>VLOOKUP(E7,'Exp Tables'!$X$3:$Z$13,3,FALSE)</f>
        <v>32660</v>
      </c>
      <c r="E7" s="45">
        <f>Main!G89</f>
        <v>10</v>
      </c>
      <c r="F7" s="45">
        <v>0</v>
      </c>
      <c r="G7" s="45">
        <v>0</v>
      </c>
      <c r="H7" s="45" t="str">
        <f>IFERROR(Main!F90&amp;":"&amp;IF(Main!F90="skill",VLOOKUP(Main!G90,'Vehicle Substats'!$I$2:$J$50,2,FALSE),VLOOKUP(Main!F90,'Vehicle Substats'!$A$1:$F$16,6,FALSE)),"")</f>
        <v/>
      </c>
      <c r="I7" s="45" t="str">
        <f>IFERROR(Main!F91&amp;":"&amp;IF(Main!F91="skill",VLOOKUP(Main!G91,'Vehicle Substats'!$I$2:$J$50,2,FALSE),VLOOKUP(Main!F91,'Vehicle Substats'!$A$1:$F$16,6,FALSE)),"")</f>
        <v/>
      </c>
      <c r="J7" s="45" t="str">
        <f>IFERROR(Main!F92&amp;":"&amp;IF(Main!F92="skill",VLOOKUP(Main!G92,'Vehicle Substats'!$I$2:$J$50,2,FALSE),VLOOKUP(Main!F92,'Vehicle Substats'!$A$1:$F$16,6,FALSE)),"")</f>
        <v/>
      </c>
      <c r="K7" s="45"/>
      <c r="L7" s="45"/>
      <c r="M7" s="45" t="str">
        <f t="shared" si="2"/>
        <v/>
      </c>
      <c r="N7" s="45">
        <f t="shared" si="3"/>
        <v>0</v>
      </c>
      <c r="O7" s="45">
        <f t="shared" si="0"/>
        <v>0</v>
      </c>
      <c r="P7" s="45">
        <f t="shared" si="0"/>
        <v>0</v>
      </c>
      <c r="Q7" s="45">
        <f t="shared" si="0"/>
        <v>0</v>
      </c>
      <c r="R7" s="45">
        <f t="shared" si="0"/>
        <v>0</v>
      </c>
      <c r="S7" s="45">
        <f t="shared" si="0"/>
        <v>0</v>
      </c>
      <c r="T7" s="45">
        <f t="shared" si="0"/>
        <v>0</v>
      </c>
      <c r="U7" s="45">
        <f t="shared" si="0"/>
        <v>0</v>
      </c>
      <c r="V7" s="45">
        <f t="shared" si="0"/>
        <v>0</v>
      </c>
      <c r="W7" s="45">
        <f t="shared" si="0"/>
        <v>0</v>
      </c>
      <c r="X7" s="45">
        <f t="shared" si="0"/>
        <v>0</v>
      </c>
      <c r="Y7" s="45">
        <f t="shared" si="0"/>
        <v>0</v>
      </c>
      <c r="Z7" s="45">
        <f t="shared" si="0"/>
        <v>0</v>
      </c>
      <c r="AA7" s="45">
        <f t="shared" si="0"/>
        <v>0</v>
      </c>
      <c r="AB7" s="45">
        <f t="shared" si="0"/>
        <v>0</v>
      </c>
      <c r="AC7" s="45" t="str">
        <f t="shared" si="7"/>
        <v/>
      </c>
      <c r="AE7" t="str">
        <f t="shared" si="4"/>
        <v/>
      </c>
      <c r="AF7" t="str">
        <f t="shared" si="5"/>
        <v/>
      </c>
      <c r="AG7" t="str">
        <f t="shared" si="6"/>
        <v/>
      </c>
    </row>
    <row r="8" spans="1:33" x14ac:dyDescent="0.3">
      <c r="A8" s="268">
        <f>IF(Main!H82="","",IF(Main!C75&lt;7,"",ROW()-1))</f>
        <v>7</v>
      </c>
      <c r="B8" s="1">
        <v>1234567</v>
      </c>
      <c r="C8" s="1">
        <f>VLOOKUP(Main!H82,'Vehicle Comp Data'!$B:$E,4,FALSE)</f>
        <v>1102</v>
      </c>
      <c r="D8" s="1">
        <f>VLOOKUP(E8,'Exp Tables'!$X$3:$Z$13,3,FALSE)</f>
        <v>32660</v>
      </c>
      <c r="E8" s="1">
        <f>Main!I82</f>
        <v>10</v>
      </c>
      <c r="F8" s="1">
        <v>0</v>
      </c>
      <c r="G8" s="1">
        <v>0</v>
      </c>
      <c r="H8" s="1" t="str">
        <f>IFERROR(Main!H83&amp;":"&amp;IF(Main!H83="skill",VLOOKUP(Main!I83,'Vehicle Substats'!$I$2:$J$50,2,FALSE),VLOOKUP(Main!H83,'Vehicle Substats'!$A$1:$F$16,6,FALSE)),"")</f>
        <v/>
      </c>
      <c r="I8" s="1" t="str">
        <f>IFERROR(Main!H84&amp;":"&amp;IF(Main!H84="skill",VLOOKUP(Main!I84,'Vehicle Substats'!$I$2:$J$50,2,FALSE),VLOOKUP(Main!H84,'Vehicle Substats'!$A$1:$F$16,6,FALSE)),"")</f>
        <v/>
      </c>
      <c r="J8" s="1" t="str">
        <f>IFERROR(Main!H85&amp;":"&amp;IF(Main!H85="skill",VLOOKUP(Main!I85,'Vehicle Substats'!$I$2:$J$50,2,FALSE),VLOOKUP(Main!H85,'Vehicle Substats'!$A$1:$F$16,6,FALSE)),"")</f>
        <v/>
      </c>
      <c r="K8" s="1"/>
      <c r="L8" s="1"/>
      <c r="M8" s="1" t="str">
        <f t="shared" si="2"/>
        <v/>
      </c>
      <c r="N8" s="1">
        <f t="shared" si="3"/>
        <v>0</v>
      </c>
      <c r="O8" s="1">
        <f t="shared" si="0"/>
        <v>0</v>
      </c>
      <c r="P8" s="1">
        <f t="shared" si="0"/>
        <v>0</v>
      </c>
      <c r="Q8" s="1">
        <f t="shared" si="0"/>
        <v>0</v>
      </c>
      <c r="R8" s="1">
        <f t="shared" si="0"/>
        <v>0</v>
      </c>
      <c r="S8" s="1">
        <f t="shared" si="0"/>
        <v>0</v>
      </c>
      <c r="T8" s="1">
        <f t="shared" si="0"/>
        <v>0</v>
      </c>
      <c r="U8" s="1">
        <f t="shared" si="0"/>
        <v>0</v>
      </c>
      <c r="V8" s="1">
        <f t="shared" si="0"/>
        <v>0</v>
      </c>
      <c r="W8" s="1">
        <f t="shared" si="0"/>
        <v>0</v>
      </c>
      <c r="X8" s="1">
        <f t="shared" si="0"/>
        <v>0</v>
      </c>
      <c r="Y8" s="1">
        <f t="shared" si="0"/>
        <v>0</v>
      </c>
      <c r="Z8" s="1">
        <f t="shared" si="0"/>
        <v>0</v>
      </c>
      <c r="AA8" s="1">
        <f t="shared" si="0"/>
        <v>0</v>
      </c>
      <c r="AB8" s="1">
        <f t="shared" si="0"/>
        <v>0</v>
      </c>
      <c r="AC8" s="1" t="str">
        <f t="shared" si="7"/>
        <v/>
      </c>
      <c r="AE8" t="str">
        <f t="shared" si="4"/>
        <v/>
      </c>
      <c r="AF8" t="str">
        <f t="shared" si="5"/>
        <v/>
      </c>
      <c r="AG8" t="str">
        <f t="shared" si="6"/>
        <v/>
      </c>
    </row>
    <row r="9" spans="1:33" x14ac:dyDescent="0.3">
      <c r="A9" s="269">
        <f>IF(Main!H89="","",IF(Main!C76&lt;7,"",ROW()-1))</f>
        <v>8</v>
      </c>
      <c r="B9" s="45">
        <v>1234567</v>
      </c>
      <c r="C9" s="45">
        <f>VLOOKUP(Main!H89,'Vehicle Comp Data'!$B:$E,4,FALSE)</f>
        <v>1127</v>
      </c>
      <c r="D9" s="45">
        <f>VLOOKUP(E9,'Exp Tables'!$X$3:$Z$13,3,FALSE)</f>
        <v>32660</v>
      </c>
      <c r="E9" s="45">
        <f>Main!I89</f>
        <v>10</v>
      </c>
      <c r="F9" s="45">
        <v>0</v>
      </c>
      <c r="G9" s="45">
        <v>0</v>
      </c>
      <c r="H9" s="45" t="str">
        <f>IFERROR(Main!H90&amp;":"&amp;IF(Main!H90="skill",VLOOKUP(Main!I90,'Vehicle Substats'!$I$2:$J$50,2,FALSE),VLOOKUP(Main!H90,'Vehicle Substats'!$A$1:$F$16,6,FALSE)),"")</f>
        <v/>
      </c>
      <c r="I9" s="45" t="str">
        <f>IFERROR(Main!H91&amp;":"&amp;IF(Main!H91="skill",VLOOKUP(Main!I91,'Vehicle Substats'!$I$2:$J$50,2,FALSE),VLOOKUP(Main!H91,'Vehicle Substats'!$A$1:$F$16,6,FALSE)),"")</f>
        <v/>
      </c>
      <c r="J9" s="45" t="str">
        <f>IFERROR(Main!H92&amp;":"&amp;IF(Main!H92="skill",VLOOKUP(Main!I92,'Vehicle Substats'!$I$2:$J$50,2,FALSE),VLOOKUP(Main!H92,'Vehicle Substats'!$A$1:$F$16,6,FALSE)),"")</f>
        <v/>
      </c>
      <c r="K9" s="45"/>
      <c r="L9" s="45"/>
      <c r="M9" s="45" t="str">
        <f t="shared" si="2"/>
        <v/>
      </c>
      <c r="N9" s="45">
        <f t="shared" si="3"/>
        <v>0</v>
      </c>
      <c r="O9" s="45">
        <f t="shared" si="0"/>
        <v>0</v>
      </c>
      <c r="P9" s="45">
        <f t="shared" si="0"/>
        <v>0</v>
      </c>
      <c r="Q9" s="45">
        <f t="shared" si="0"/>
        <v>0</v>
      </c>
      <c r="R9" s="45">
        <f t="shared" si="0"/>
        <v>0</v>
      </c>
      <c r="S9" s="45">
        <f t="shared" si="0"/>
        <v>0</v>
      </c>
      <c r="T9" s="45">
        <f t="shared" si="0"/>
        <v>0</v>
      </c>
      <c r="U9" s="45">
        <f t="shared" si="0"/>
        <v>0</v>
      </c>
      <c r="V9" s="45">
        <f t="shared" si="0"/>
        <v>0</v>
      </c>
      <c r="W9" s="45">
        <f t="shared" si="0"/>
        <v>0</v>
      </c>
      <c r="X9" s="45">
        <f t="shared" si="0"/>
        <v>0</v>
      </c>
      <c r="Y9" s="45">
        <f t="shared" si="0"/>
        <v>0</v>
      </c>
      <c r="Z9" s="45">
        <f t="shared" si="0"/>
        <v>0</v>
      </c>
      <c r="AA9" s="45">
        <f t="shared" si="0"/>
        <v>0</v>
      </c>
      <c r="AB9" s="45">
        <f t="shared" si="0"/>
        <v>0</v>
      </c>
      <c r="AC9" s="45" t="str">
        <f t="shared" si="7"/>
        <v/>
      </c>
      <c r="AE9" t="str">
        <f t="shared" si="4"/>
        <v/>
      </c>
      <c r="AF9" t="str">
        <f t="shared" si="5"/>
        <v/>
      </c>
      <c r="AG9" t="str">
        <f t="shared" si="6"/>
        <v/>
      </c>
    </row>
    <row r="10" spans="1:33" x14ac:dyDescent="0.3">
      <c r="A10" s="268">
        <f>IF(Main!J82="","",IF(Main!C75&lt;12,"",ROW()-1))</f>
        <v>9</v>
      </c>
      <c r="B10" s="1">
        <v>1234567</v>
      </c>
      <c r="C10" s="1">
        <f>VLOOKUP(Main!J82,'Vehicle Comp Data'!$B:$E,4,FALSE)</f>
        <v>1115</v>
      </c>
      <c r="D10" s="1">
        <f>VLOOKUP(E10,'Exp Tables'!$X$3:$Z$13,3,FALSE)</f>
        <v>32660</v>
      </c>
      <c r="E10" s="1">
        <f>Main!K82</f>
        <v>10</v>
      </c>
      <c r="F10" s="1">
        <v>0</v>
      </c>
      <c r="G10" s="1">
        <v>0</v>
      </c>
      <c r="H10" s="1" t="str">
        <f>IFERROR(Main!J83&amp;":"&amp;IF(Main!J83="skill",VLOOKUP(Main!K83,'Vehicle Substats'!$I$2:$J$50,2,FALSE),VLOOKUP(Main!J83,'Vehicle Substats'!$A$1:$F$16,6,FALSE)),"")</f>
        <v/>
      </c>
      <c r="I10" s="1" t="str">
        <f>IFERROR(Main!J84&amp;":"&amp;IF(Main!J84="skill",VLOOKUP(Main!K84,'Vehicle Substats'!$I$2:$J$50,2,FALSE),VLOOKUP(Main!J84,'Vehicle Substats'!$A$1:$F$16,6,FALSE)),"")</f>
        <v/>
      </c>
      <c r="J10" s="1" t="str">
        <f>IFERROR(Main!J85&amp;":"&amp;IF(Main!J85="skill",VLOOKUP(Main!K85,'Vehicle Substats'!$I$2:$J$50,2,FALSE),VLOOKUP(Main!J85,'Vehicle Substats'!$A$1:$F$16,6,FALSE)),"")</f>
        <v/>
      </c>
      <c r="K10" s="1"/>
      <c r="L10" s="1"/>
      <c r="M10" s="1" t="str">
        <f t="shared" si="2"/>
        <v/>
      </c>
      <c r="N10" s="1">
        <f t="shared" si="3"/>
        <v>0</v>
      </c>
      <c r="O10" s="1">
        <f t="shared" si="0"/>
        <v>0</v>
      </c>
      <c r="P10" s="1">
        <f t="shared" si="0"/>
        <v>0</v>
      </c>
      <c r="Q10" s="1">
        <f t="shared" si="0"/>
        <v>0</v>
      </c>
      <c r="R10" s="1">
        <f t="shared" si="0"/>
        <v>0</v>
      </c>
      <c r="S10" s="1">
        <f t="shared" si="0"/>
        <v>0</v>
      </c>
      <c r="T10" s="1">
        <f t="shared" si="0"/>
        <v>0</v>
      </c>
      <c r="U10" s="1">
        <f t="shared" si="0"/>
        <v>0</v>
      </c>
      <c r="V10" s="1">
        <f t="shared" si="0"/>
        <v>0</v>
      </c>
      <c r="W10" s="1">
        <f t="shared" si="0"/>
        <v>0</v>
      </c>
      <c r="X10" s="1">
        <f t="shared" si="0"/>
        <v>0</v>
      </c>
      <c r="Y10" s="1">
        <f t="shared" si="0"/>
        <v>0</v>
      </c>
      <c r="Z10" s="1">
        <f t="shared" si="0"/>
        <v>0</v>
      </c>
      <c r="AA10" s="1">
        <f t="shared" si="0"/>
        <v>0</v>
      </c>
      <c r="AB10" s="1">
        <f t="shared" si="0"/>
        <v>0</v>
      </c>
      <c r="AC10" s="1" t="str">
        <f t="shared" si="7"/>
        <v/>
      </c>
      <c r="AE10" t="str">
        <f t="shared" si="4"/>
        <v/>
      </c>
      <c r="AF10" t="str">
        <f t="shared" si="5"/>
        <v/>
      </c>
      <c r="AG10" t="str">
        <f t="shared" si="6"/>
        <v/>
      </c>
    </row>
    <row r="11" spans="1:33" x14ac:dyDescent="0.3">
      <c r="A11" s="269">
        <f>IF(Main!J89="","",IF(Main!C76&lt;12,"",ROW()-1))</f>
        <v>10</v>
      </c>
      <c r="B11" s="45">
        <v>1234567</v>
      </c>
      <c r="C11" s="45">
        <f>VLOOKUP(Main!J89,'Vehicle Comp Data'!$B:$E,4,FALSE)</f>
        <v>1115</v>
      </c>
      <c r="D11" s="45">
        <f>VLOOKUP(E11,'Exp Tables'!$X$3:$Z$13,3,FALSE)</f>
        <v>32660</v>
      </c>
      <c r="E11" s="45">
        <f>Main!K89</f>
        <v>10</v>
      </c>
      <c r="F11" s="45">
        <v>0</v>
      </c>
      <c r="G11" s="45">
        <v>0</v>
      </c>
      <c r="H11" s="124" t="str">
        <f>IFERROR(Main!J90&amp;":"&amp;IF(Main!J90="skill",VLOOKUP(Main!K90,'Vehicle Substats'!$I$2:$J$50,2,FALSE),VLOOKUP(Main!J90,'Vehicle Substats'!$A$1:$F$16,6,FALSE)),"")</f>
        <v/>
      </c>
      <c r="I11" s="124" t="str">
        <f>IFERROR(Main!J91&amp;":"&amp;IF(Main!J91="skill",VLOOKUP(Main!K91,'Vehicle Substats'!$I$2:$J$50,2,FALSE),VLOOKUP(Main!J91,'Vehicle Substats'!$A$1:$F$16,6,FALSE)),"")</f>
        <v/>
      </c>
      <c r="J11" s="124" t="str">
        <f>IFERROR(Main!J92&amp;":"&amp;IF(Main!J92="skill",VLOOKUP(Main!K92,'Vehicle Substats'!$I$2:$J$50,2,FALSE),VLOOKUP(Main!J92,'Vehicle Substats'!$A$1:$F$16,6,FALSE)),"")</f>
        <v/>
      </c>
      <c r="K11" s="124"/>
      <c r="L11" s="124"/>
      <c r="M11" s="124" t="str">
        <f t="shared" si="2"/>
        <v/>
      </c>
      <c r="N11" s="45">
        <f t="shared" si="3"/>
        <v>0</v>
      </c>
      <c r="O11" s="45">
        <f t="shared" si="0"/>
        <v>0</v>
      </c>
      <c r="P11" s="45">
        <f t="shared" si="0"/>
        <v>0</v>
      </c>
      <c r="Q11" s="45">
        <f t="shared" si="0"/>
        <v>0</v>
      </c>
      <c r="R11" s="45">
        <f t="shared" si="0"/>
        <v>0</v>
      </c>
      <c r="S11" s="45">
        <f t="shared" si="0"/>
        <v>0</v>
      </c>
      <c r="T11" s="45">
        <f t="shared" si="0"/>
        <v>0</v>
      </c>
      <c r="U11" s="45">
        <f t="shared" si="0"/>
        <v>0</v>
      </c>
      <c r="V11" s="45">
        <f t="shared" si="0"/>
        <v>0</v>
      </c>
      <c r="W11" s="45">
        <f t="shared" si="0"/>
        <v>0</v>
      </c>
      <c r="X11" s="45">
        <f t="shared" si="0"/>
        <v>0</v>
      </c>
      <c r="Y11" s="45">
        <f t="shared" si="0"/>
        <v>0</v>
      </c>
      <c r="Z11" s="45">
        <f t="shared" si="0"/>
        <v>0</v>
      </c>
      <c r="AA11" s="45">
        <f t="shared" si="0"/>
        <v>0</v>
      </c>
      <c r="AB11" s="45">
        <f t="shared" si="0"/>
        <v>0</v>
      </c>
      <c r="AC11" s="45" t="str">
        <f t="shared" si="7"/>
        <v/>
      </c>
      <c r="AE11" t="str">
        <f t="shared" si="4"/>
        <v/>
      </c>
      <c r="AF11" t="str">
        <f t="shared" si="5"/>
        <v/>
      </c>
      <c r="AG11" t="str">
        <f t="shared" si="6"/>
        <v/>
      </c>
    </row>
    <row r="12" spans="1:33" x14ac:dyDescent="0.3">
      <c r="A12" s="1">
        <f>IF(Main!L82="","",ROW()-1)</f>
        <v>11</v>
      </c>
      <c r="B12" s="1">
        <v>1234567</v>
      </c>
      <c r="C12" s="1">
        <f>VLOOKUP(Main!L82,'Vehicle Comp Data'!$B:$E,4,FALSE)</f>
        <v>1004</v>
      </c>
      <c r="D12" s="1">
        <f>VLOOKUP(E12,'Exp Tables'!$X$3:$Z$13,3,FALSE)</f>
        <v>32660</v>
      </c>
      <c r="E12" s="1">
        <f>Main!M82</f>
        <v>10</v>
      </c>
      <c r="F12" s="1">
        <v>0</v>
      </c>
      <c r="G12" s="1">
        <v>0</v>
      </c>
      <c r="H12" t="str">
        <f>IFERROR(Main!L83&amp;":"&amp;IF(Main!L83="skill",VLOOKUP(Main!M83,'Vehicle Substats'!$I$2:$J$50,2,FALSE),VLOOKUP(Main!L83,'Vehicle Substats'!$A$1:$F$16,6,FALSE)),"")</f>
        <v/>
      </c>
      <c r="I12" t="str">
        <f>IFERROR(Main!L84&amp;":"&amp;IF(Main!L84="skill",VLOOKUP(Main!M84,'Vehicle Substats'!$I$2:$J$50,2,FALSE),VLOOKUP(Main!L84,'Vehicle Substats'!$A$1:$F$16,6,FALSE)),"")</f>
        <v/>
      </c>
      <c r="J12" t="str">
        <f>IFERROR(Main!L85&amp;":"&amp;IF(Main!L85="skill",VLOOKUP(Main!M85,'Vehicle Substats'!$I$2:$J$50,2,FALSE),VLOOKUP(Main!L85,'Vehicle Substats'!$A$1:$F$16,6,FALSE)),"")</f>
        <v/>
      </c>
      <c r="M12" t="str">
        <f t="shared" si="2"/>
        <v/>
      </c>
      <c r="N12" s="1">
        <f t="shared" si="3"/>
        <v>0</v>
      </c>
      <c r="O12" s="1">
        <f t="shared" si="0"/>
        <v>0</v>
      </c>
      <c r="P12" s="1">
        <f t="shared" si="0"/>
        <v>0</v>
      </c>
      <c r="Q12" s="1">
        <f t="shared" si="0"/>
        <v>0</v>
      </c>
      <c r="R12" s="1">
        <f t="shared" si="0"/>
        <v>0</v>
      </c>
      <c r="S12" s="1">
        <f t="shared" si="0"/>
        <v>0</v>
      </c>
      <c r="T12" s="1">
        <f t="shared" si="0"/>
        <v>0</v>
      </c>
      <c r="U12" s="1">
        <f t="shared" si="0"/>
        <v>0</v>
      </c>
      <c r="V12" s="1">
        <f t="shared" si="0"/>
        <v>0</v>
      </c>
      <c r="W12" s="1">
        <f t="shared" si="0"/>
        <v>0</v>
      </c>
      <c r="X12" s="1">
        <f t="shared" si="0"/>
        <v>0</v>
      </c>
      <c r="Y12" s="1">
        <f t="shared" si="0"/>
        <v>0</v>
      </c>
      <c r="Z12" s="1">
        <f t="shared" si="0"/>
        <v>0</v>
      </c>
      <c r="AA12" s="1">
        <f t="shared" si="0"/>
        <v>0</v>
      </c>
      <c r="AB12" s="1">
        <f t="shared" si="0"/>
        <v>0</v>
      </c>
      <c r="AC12" s="1" t="str">
        <f t="shared" si="7"/>
        <v/>
      </c>
      <c r="AE12" t="str">
        <f t="shared" si="4"/>
        <v/>
      </c>
      <c r="AF12" t="str">
        <f t="shared" si="5"/>
        <v/>
      </c>
      <c r="AG12" t="str">
        <f t="shared" si="6"/>
        <v/>
      </c>
    </row>
    <row r="13" spans="1:33" x14ac:dyDescent="0.3">
      <c r="A13" s="45">
        <f>IF(Main!L89="","",ROW()-1)</f>
        <v>12</v>
      </c>
      <c r="B13" s="45">
        <v>1234567</v>
      </c>
      <c r="C13" s="45">
        <f>VLOOKUP(Main!L89,'Vehicle Comp Data'!$B:$E,4,FALSE)</f>
        <v>1004</v>
      </c>
      <c r="D13" s="45">
        <f>VLOOKUP(E13,'Exp Tables'!$X$3:$Z$13,3,FALSE)</f>
        <v>32660</v>
      </c>
      <c r="E13" s="45">
        <f>Main!M89</f>
        <v>10</v>
      </c>
      <c r="F13" s="45">
        <v>0</v>
      </c>
      <c r="G13" s="45">
        <v>0</v>
      </c>
      <c r="H13" s="124" t="str">
        <f>IFERROR(Main!L90&amp;":"&amp;IF(Main!L90="skill",VLOOKUP(Main!M90,'Vehicle Substats'!$I$2:$J$50,2,FALSE),VLOOKUP(Main!L90,'Vehicle Substats'!$A$1:$F$16,6,FALSE)),"")</f>
        <v/>
      </c>
      <c r="I13" s="124" t="str">
        <f>IFERROR(Main!L91&amp;":"&amp;IF(Main!L91="skill",VLOOKUP(Main!M91,'Vehicle Substats'!$I$2:$J$50,2,FALSE),VLOOKUP(Main!L91,'Vehicle Substats'!$A$1:$F$16,6,FALSE)),"")</f>
        <v/>
      </c>
      <c r="J13" s="124" t="str">
        <f>IFERROR(Main!L92&amp;":"&amp;IF(Main!L92="skill",VLOOKUP(Main!M92,'Vehicle Substats'!$I$2:$J$50,2,FALSE),VLOOKUP(Main!L92,'Vehicle Substats'!$A$1:$F$16,6,FALSE)),"")</f>
        <v/>
      </c>
      <c r="K13" s="124"/>
      <c r="L13" s="124"/>
      <c r="M13" s="124" t="str">
        <f t="shared" si="2"/>
        <v/>
      </c>
      <c r="N13" s="45">
        <f t="shared" si="3"/>
        <v>0</v>
      </c>
      <c r="O13" s="45">
        <f t="shared" si="0"/>
        <v>0</v>
      </c>
      <c r="P13" s="45">
        <f t="shared" si="0"/>
        <v>0</v>
      </c>
      <c r="Q13" s="45">
        <f t="shared" si="0"/>
        <v>0</v>
      </c>
      <c r="R13" s="45">
        <f t="shared" si="0"/>
        <v>0</v>
      </c>
      <c r="S13" s="45">
        <f t="shared" si="0"/>
        <v>0</v>
      </c>
      <c r="T13" s="45">
        <f t="shared" si="0"/>
        <v>0</v>
      </c>
      <c r="U13" s="45">
        <f t="shared" si="0"/>
        <v>0</v>
      </c>
      <c r="V13" s="45">
        <f t="shared" si="0"/>
        <v>0</v>
      </c>
      <c r="W13" s="45">
        <f t="shared" si="0"/>
        <v>0</v>
      </c>
      <c r="X13" s="45">
        <f t="shared" si="0"/>
        <v>0</v>
      </c>
      <c r="Y13" s="45">
        <f t="shared" si="0"/>
        <v>0</v>
      </c>
      <c r="Z13" s="45">
        <f t="shared" si="0"/>
        <v>0</v>
      </c>
      <c r="AA13" s="45">
        <f t="shared" si="0"/>
        <v>0</v>
      </c>
      <c r="AB13" s="45">
        <f t="shared" si="0"/>
        <v>0</v>
      </c>
      <c r="AC13" s="45" t="str">
        <f t="shared" si="7"/>
        <v/>
      </c>
      <c r="AE13" t="str">
        <f t="shared" si="4"/>
        <v/>
      </c>
      <c r="AF13" t="str">
        <f t="shared" si="5"/>
        <v/>
      </c>
      <c r="AG13" t="str">
        <f t="shared" si="6"/>
        <v/>
      </c>
    </row>
    <row r="14" spans="1:33" x14ac:dyDescent="0.3">
      <c r="A14" s="1">
        <f>IF(Main!N82="","",ROW()-1)</f>
        <v>13</v>
      </c>
      <c r="B14" s="1">
        <v>1234567</v>
      </c>
      <c r="C14" s="1">
        <f>VLOOKUP(Main!N82,'Vehicle Comp Data'!$B:$E,4,FALSE)</f>
        <v>1005</v>
      </c>
      <c r="D14" s="1">
        <f>VLOOKUP(E14,'Exp Tables'!$X$3:$Z$13,3,FALSE)</f>
        <v>32660</v>
      </c>
      <c r="E14" s="1">
        <f>Main!O82</f>
        <v>10</v>
      </c>
      <c r="F14" s="1">
        <v>0</v>
      </c>
      <c r="G14" s="1">
        <v>0</v>
      </c>
      <c r="H14" t="str">
        <f>IFERROR(Main!N83&amp;":"&amp;IF(Main!N83="skill",VLOOKUP(Main!O83,'Vehicle Substats'!$I$2:$J$50,2,FALSE),VLOOKUP(Main!N83,'Vehicle Substats'!$A$1:$F$16,6,FALSE)),"")</f>
        <v/>
      </c>
      <c r="I14" t="str">
        <f>IFERROR(Main!N84&amp;":"&amp;IF(Main!N84="skill",VLOOKUP(Main!O84,'Vehicle Substats'!$I$2:$J$50,2,FALSE),VLOOKUP(Main!N84,'Vehicle Substats'!$A$1:$F$16,6,FALSE)),"")</f>
        <v/>
      </c>
      <c r="J14" t="str">
        <f>IFERROR(Main!N85&amp;":"&amp;IF(Main!N85="skill",VLOOKUP(Main!O85,'Vehicle Substats'!$I$2:$J$50,2,FALSE),VLOOKUP(Main!N85,'Vehicle Substats'!$A$1:$F$16,6,FALSE)),"")</f>
        <v/>
      </c>
      <c r="M14" t="str">
        <f t="shared" si="2"/>
        <v/>
      </c>
      <c r="N14" s="1">
        <f t="shared" si="3"/>
        <v>0</v>
      </c>
      <c r="O14" s="1">
        <f t="shared" si="0"/>
        <v>0</v>
      </c>
      <c r="P14" s="1">
        <f t="shared" si="0"/>
        <v>0</v>
      </c>
      <c r="Q14" s="1">
        <f t="shared" si="0"/>
        <v>0</v>
      </c>
      <c r="R14" s="1">
        <f t="shared" si="0"/>
        <v>0</v>
      </c>
      <c r="S14" s="1">
        <f t="shared" si="0"/>
        <v>0</v>
      </c>
      <c r="T14" s="1">
        <f t="shared" si="0"/>
        <v>0</v>
      </c>
      <c r="U14" s="1">
        <f t="shared" si="0"/>
        <v>0</v>
      </c>
      <c r="V14" s="1">
        <f t="shared" si="0"/>
        <v>0</v>
      </c>
      <c r="W14" s="1">
        <f t="shared" si="0"/>
        <v>0</v>
      </c>
      <c r="X14" s="1">
        <f t="shared" si="0"/>
        <v>0</v>
      </c>
      <c r="Y14" s="1">
        <f t="shared" si="0"/>
        <v>0</v>
      </c>
      <c r="Z14" s="1">
        <f t="shared" si="0"/>
        <v>0</v>
      </c>
      <c r="AA14" s="1">
        <f t="shared" si="0"/>
        <v>0</v>
      </c>
      <c r="AB14" s="1">
        <f t="shared" si="0"/>
        <v>0</v>
      </c>
      <c r="AC14" s="1" t="str">
        <f t="shared" si="7"/>
        <v/>
      </c>
      <c r="AE14" t="str">
        <f t="shared" si="4"/>
        <v/>
      </c>
      <c r="AF14" t="str">
        <f t="shared" si="5"/>
        <v/>
      </c>
      <c r="AG14" t="str">
        <f t="shared" si="6"/>
        <v/>
      </c>
    </row>
    <row r="15" spans="1:33" x14ac:dyDescent="0.3">
      <c r="A15" s="45">
        <f>IF(Main!N89="","",ROW()-1)</f>
        <v>14</v>
      </c>
      <c r="B15" s="45">
        <v>1234567</v>
      </c>
      <c r="C15" s="45">
        <f>VLOOKUP(Main!N89,'Vehicle Comp Data'!$B:$E,4,FALSE)</f>
        <v>1005</v>
      </c>
      <c r="D15" s="45">
        <f>VLOOKUP(E15,'Exp Tables'!$X$3:$Z$13,3,FALSE)</f>
        <v>32660</v>
      </c>
      <c r="E15" s="45">
        <f>Main!O89</f>
        <v>10</v>
      </c>
      <c r="F15" s="45">
        <v>0</v>
      </c>
      <c r="G15" s="45">
        <v>0</v>
      </c>
      <c r="H15" s="124" t="str">
        <f>IFERROR(Main!N90&amp;":"&amp;IF(Main!N90="skill",VLOOKUP(Main!O90,'Vehicle Substats'!$I$2:$J$50,2,FALSE),VLOOKUP(Main!N90,'Vehicle Substats'!$A$1:$F$16,6,FALSE)),"")</f>
        <v/>
      </c>
      <c r="I15" s="124" t="str">
        <f>IFERROR(Main!N91&amp;":"&amp;IF(Main!N91="skill",VLOOKUP(Main!O91,'Vehicle Substats'!$I$2:$J$50,2,FALSE),VLOOKUP(Main!N91,'Vehicle Substats'!$A$1:$F$16,6,FALSE)),"")</f>
        <v/>
      </c>
      <c r="J15" s="124" t="str">
        <f>IFERROR(Main!N92&amp;":"&amp;IF(Main!N92="skill",VLOOKUP(Main!O92,'Vehicle Substats'!$I$2:$J$50,2,FALSE),VLOOKUP(Main!N92,'Vehicle Substats'!$A$1:$F$16,6,FALSE)),"")</f>
        <v/>
      </c>
      <c r="K15" s="124"/>
      <c r="L15" s="124"/>
      <c r="M15" s="124" t="str">
        <f t="shared" si="2"/>
        <v/>
      </c>
      <c r="N15" s="45">
        <f t="shared" si="3"/>
        <v>0</v>
      </c>
      <c r="O15" s="45">
        <f t="shared" si="0"/>
        <v>0</v>
      </c>
      <c r="P15" s="45">
        <f t="shared" si="0"/>
        <v>0</v>
      </c>
      <c r="Q15" s="45">
        <f t="shared" si="0"/>
        <v>0</v>
      </c>
      <c r="R15" s="45">
        <f t="shared" si="0"/>
        <v>0</v>
      </c>
      <c r="S15" s="45">
        <f t="shared" si="0"/>
        <v>0</v>
      </c>
      <c r="T15" s="45">
        <f t="shared" si="0"/>
        <v>0</v>
      </c>
      <c r="U15" s="45">
        <f t="shared" si="0"/>
        <v>0</v>
      </c>
      <c r="V15" s="45">
        <f t="shared" si="0"/>
        <v>0</v>
      </c>
      <c r="W15" s="45">
        <f t="shared" si="0"/>
        <v>0</v>
      </c>
      <c r="X15" s="45">
        <f t="shared" si="0"/>
        <v>0</v>
      </c>
      <c r="Y15" s="45">
        <f t="shared" si="0"/>
        <v>0</v>
      </c>
      <c r="Z15" s="45">
        <f t="shared" si="0"/>
        <v>0</v>
      </c>
      <c r="AA15" s="45">
        <f t="shared" si="0"/>
        <v>0</v>
      </c>
      <c r="AB15" s="45">
        <f t="shared" si="0"/>
        <v>0</v>
      </c>
      <c r="AC15" s="45" t="str">
        <f t="shared" si="7"/>
        <v/>
      </c>
      <c r="AE15" t="str">
        <f t="shared" si="4"/>
        <v/>
      </c>
      <c r="AF15" t="str">
        <f t="shared" si="5"/>
        <v/>
      </c>
      <c r="AG15" t="str">
        <f t="shared" si="6"/>
        <v/>
      </c>
    </row>
    <row r="16" spans="1:33" x14ac:dyDescent="0.3">
      <c r="A16" s="1">
        <f>IF(Main!P82="","",ROW()-1)</f>
        <v>15</v>
      </c>
      <c r="B16" s="1">
        <v>1234567</v>
      </c>
      <c r="C16" s="1">
        <f>VLOOKUP(Main!P82,'Vehicle Comp Data'!$B:$E,4,FALSE)</f>
        <v>1010</v>
      </c>
      <c r="D16" s="1">
        <f>VLOOKUP(E16,'Exp Tables'!$X$3:$Z$13,3,FALSE)</f>
        <v>32660</v>
      </c>
      <c r="E16" s="1">
        <f>Main!Q82</f>
        <v>10</v>
      </c>
      <c r="F16" s="1">
        <v>0</v>
      </c>
      <c r="G16" s="1">
        <v>0</v>
      </c>
      <c r="H16" t="str">
        <f>IFERROR(Main!P83&amp;":"&amp;IF(Main!P83="skill",VLOOKUP(Main!Q83,'Vehicle Substats'!$I$2:$J$50,2,FALSE),VLOOKUP(Main!P83,'Vehicle Substats'!$A$1:$F$16,6,FALSE)),"")</f>
        <v/>
      </c>
      <c r="I16" t="str">
        <f>IFERROR(Main!P84&amp;":"&amp;IF(Main!P84="skill",VLOOKUP(Main!Q84,'Vehicle Substats'!$I$2:$J$50,2,FALSE),VLOOKUP(Main!P84,'Vehicle Substats'!$A$1:$F$16,6,FALSE)),"")</f>
        <v/>
      </c>
      <c r="J16" t="str">
        <f>IFERROR(Main!P85&amp;":"&amp;IF(Main!P85="skill",VLOOKUP(Main!Q85,'Vehicle Substats'!$I$2:$J$50,2,FALSE),VLOOKUP(Main!P85,'Vehicle Substats'!$A$1:$F$16,6,FALSE)),"")</f>
        <v/>
      </c>
      <c r="M16" t="str">
        <f t="shared" si="2"/>
        <v/>
      </c>
      <c r="N16" s="1">
        <f t="shared" si="3"/>
        <v>0</v>
      </c>
      <c r="O16" s="1">
        <f t="shared" si="0"/>
        <v>0</v>
      </c>
      <c r="P16" s="1">
        <f t="shared" si="0"/>
        <v>0</v>
      </c>
      <c r="Q16" s="1">
        <f t="shared" si="0"/>
        <v>0</v>
      </c>
      <c r="R16" s="1">
        <f t="shared" si="0"/>
        <v>0</v>
      </c>
      <c r="S16" s="1">
        <f t="shared" si="0"/>
        <v>0</v>
      </c>
      <c r="T16" s="1">
        <f t="shared" si="0"/>
        <v>0</v>
      </c>
      <c r="U16" s="1">
        <f t="shared" si="0"/>
        <v>0</v>
      </c>
      <c r="V16" s="1">
        <f t="shared" si="0"/>
        <v>0</v>
      </c>
      <c r="W16" s="1">
        <f t="shared" si="0"/>
        <v>0</v>
      </c>
      <c r="X16" s="1">
        <f t="shared" si="0"/>
        <v>0</v>
      </c>
      <c r="Y16" s="1">
        <f t="shared" si="0"/>
        <v>0</v>
      </c>
      <c r="Z16" s="1">
        <f t="shared" si="0"/>
        <v>0</v>
      </c>
      <c r="AA16" s="1">
        <f t="shared" si="0"/>
        <v>0</v>
      </c>
      <c r="AB16" s="1">
        <f t="shared" si="0"/>
        <v>0</v>
      </c>
      <c r="AC16" s="1" t="str">
        <f t="shared" si="7"/>
        <v/>
      </c>
      <c r="AE16" t="str">
        <f t="shared" si="4"/>
        <v/>
      </c>
      <c r="AF16" t="str">
        <f t="shared" si="5"/>
        <v/>
      </c>
      <c r="AG16" t="str">
        <f t="shared" si="6"/>
        <v/>
      </c>
    </row>
    <row r="17" spans="1:33" x14ac:dyDescent="0.3">
      <c r="A17" s="45">
        <f>IF(Main!P89="","",ROW()-1)</f>
        <v>16</v>
      </c>
      <c r="B17" s="45">
        <v>1234567</v>
      </c>
      <c r="C17" s="45">
        <f>VLOOKUP(Main!P89,'Vehicle Comp Data'!$B:$E,4,FALSE)</f>
        <v>1010</v>
      </c>
      <c r="D17" s="45">
        <f>VLOOKUP(E17,'Exp Tables'!$X$3:$Z$13,3,FALSE)</f>
        <v>32660</v>
      </c>
      <c r="E17" s="45">
        <f>Main!Q89</f>
        <v>10</v>
      </c>
      <c r="F17" s="45">
        <v>0</v>
      </c>
      <c r="G17" s="45">
        <v>0</v>
      </c>
      <c r="H17" s="124" t="str">
        <f>IFERROR(Main!P90&amp;":"&amp;IF(Main!P90="skill",VLOOKUP(Main!Q90,'Vehicle Substats'!$I$2:$J$50,2,FALSE),VLOOKUP(Main!P90,'Vehicle Substats'!$A$1:$F$16,6,FALSE)),"")</f>
        <v/>
      </c>
      <c r="I17" s="124" t="str">
        <f>IFERROR(Main!P91&amp;":"&amp;IF(Main!P91="skill",VLOOKUP(Main!Q91,'Vehicle Substats'!$I$2:$J$50,2,FALSE),VLOOKUP(Main!P91,'Vehicle Substats'!$A$1:$F$16,6,FALSE)),"")</f>
        <v/>
      </c>
      <c r="J17" s="124" t="str">
        <f>IFERROR(Main!P92&amp;":"&amp;IF(Main!P92="skill",VLOOKUP(Main!Q92,'Vehicle Substats'!$I$2:$J$50,2,FALSE),VLOOKUP(Main!P92,'Vehicle Substats'!$A$1:$F$16,6,FALSE)),"")</f>
        <v/>
      </c>
      <c r="K17" s="124"/>
      <c r="L17" s="124"/>
      <c r="M17" s="124" t="str">
        <f t="shared" si="2"/>
        <v/>
      </c>
      <c r="N17" s="45">
        <f t="shared" si="3"/>
        <v>0</v>
      </c>
      <c r="O17" s="45">
        <f t="shared" si="0"/>
        <v>0</v>
      </c>
      <c r="P17" s="45">
        <f t="shared" si="0"/>
        <v>0</v>
      </c>
      <c r="Q17" s="45">
        <f t="shared" si="0"/>
        <v>0</v>
      </c>
      <c r="R17" s="45">
        <f t="shared" si="0"/>
        <v>0</v>
      </c>
      <c r="S17" s="45">
        <f t="shared" si="0"/>
        <v>0</v>
      </c>
      <c r="T17" s="45">
        <f t="shared" si="0"/>
        <v>0</v>
      </c>
      <c r="U17" s="45">
        <f t="shared" si="0"/>
        <v>0</v>
      </c>
      <c r="V17" s="45">
        <f t="shared" si="0"/>
        <v>0</v>
      </c>
      <c r="W17" s="45">
        <f t="shared" si="0"/>
        <v>0</v>
      </c>
      <c r="X17" s="45">
        <f t="shared" si="0"/>
        <v>0</v>
      </c>
      <c r="Y17" s="45">
        <f t="shared" si="0"/>
        <v>0</v>
      </c>
      <c r="Z17" s="45">
        <f t="shared" si="0"/>
        <v>0</v>
      </c>
      <c r="AA17" s="45">
        <f t="shared" si="0"/>
        <v>0</v>
      </c>
      <c r="AB17" s="45">
        <f t="shared" si="0"/>
        <v>0</v>
      </c>
      <c r="AC17" s="45" t="str">
        <f t="shared" si="7"/>
        <v/>
      </c>
      <c r="AE17" t="str">
        <f t="shared" si="4"/>
        <v/>
      </c>
      <c r="AF17" t="str">
        <f t="shared" si="5"/>
        <v/>
      </c>
      <c r="AG17" t="str">
        <f t="shared" si="6"/>
        <v/>
      </c>
    </row>
    <row r="18" spans="1:33" x14ac:dyDescent="0.3">
      <c r="A18" s="1">
        <f>IF(Main!R82="","",ROW()-1)</f>
        <v>17</v>
      </c>
      <c r="B18" s="1">
        <v>1234567</v>
      </c>
      <c r="C18" s="1">
        <f>VLOOKUP(Main!R82,'Vehicle Comp Data'!$B:$E,4,FALSE)</f>
        <v>1011</v>
      </c>
      <c r="D18" s="1">
        <f>VLOOKUP(E18,'Exp Tables'!$X$3:$Z$13,3,FALSE)</f>
        <v>32660</v>
      </c>
      <c r="E18" s="1">
        <f>Main!S82</f>
        <v>10</v>
      </c>
      <c r="F18" s="1">
        <v>0</v>
      </c>
      <c r="G18" s="1">
        <v>0</v>
      </c>
      <c r="H18" t="str">
        <f>IFERROR(Main!R83&amp;":"&amp;IF(Main!R83="skill",VLOOKUP(Main!S83,'Vehicle Substats'!$I$2:$J$50,2,FALSE),VLOOKUP(Main!R83,'Vehicle Substats'!$A$1:$F$16,6,FALSE)),"")</f>
        <v/>
      </c>
      <c r="I18" t="str">
        <f>IFERROR(Main!R84&amp;":"&amp;IF(Main!R84="skill",VLOOKUP(Main!S84,'Vehicle Substats'!$I$2:$J$50,2,FALSE),VLOOKUP(Main!R84,'Vehicle Substats'!$A$1:$F$16,6,FALSE)),"")</f>
        <v/>
      </c>
      <c r="J18" t="str">
        <f>IFERROR(Main!R85&amp;":"&amp;IF(Main!R85="skill",VLOOKUP(Main!S85,'Vehicle Substats'!$I$2:$J$50,2,FALSE),VLOOKUP(Main!R85,'Vehicle Substats'!$A$1:$F$16,6,FALSE)),"")</f>
        <v/>
      </c>
      <c r="M18" t="str">
        <f t="shared" si="2"/>
        <v/>
      </c>
      <c r="N18" s="1">
        <f t="shared" si="3"/>
        <v>0</v>
      </c>
      <c r="O18" s="1">
        <f t="shared" si="3"/>
        <v>0</v>
      </c>
      <c r="P18" s="1">
        <f t="shared" si="3"/>
        <v>0</v>
      </c>
      <c r="Q18" s="1">
        <f t="shared" si="3"/>
        <v>0</v>
      </c>
      <c r="R18" s="1">
        <f t="shared" si="3"/>
        <v>0</v>
      </c>
      <c r="S18" s="1">
        <f t="shared" si="3"/>
        <v>0</v>
      </c>
      <c r="T18" s="1">
        <f t="shared" si="3"/>
        <v>0</v>
      </c>
      <c r="U18" s="1">
        <f t="shared" si="3"/>
        <v>0</v>
      </c>
      <c r="V18" s="1">
        <f t="shared" si="3"/>
        <v>0</v>
      </c>
      <c r="W18" s="1">
        <f t="shared" si="3"/>
        <v>0</v>
      </c>
      <c r="X18" s="1">
        <f t="shared" si="3"/>
        <v>0</v>
      </c>
      <c r="Y18" s="1">
        <f t="shared" si="3"/>
        <v>0</v>
      </c>
      <c r="Z18" s="1">
        <f t="shared" si="3"/>
        <v>0</v>
      </c>
      <c r="AA18" s="1">
        <f t="shared" si="3"/>
        <v>0</v>
      </c>
      <c r="AB18" s="1">
        <f t="shared" si="3"/>
        <v>0</v>
      </c>
      <c r="AC18" s="1" t="str">
        <f t="shared" si="7"/>
        <v/>
      </c>
      <c r="AE18" t="str">
        <f t="shared" si="4"/>
        <v/>
      </c>
      <c r="AF18" t="str">
        <f t="shared" si="5"/>
        <v/>
      </c>
      <c r="AG18" t="str">
        <f t="shared" si="6"/>
        <v/>
      </c>
    </row>
    <row r="19" spans="1:33" x14ac:dyDescent="0.3">
      <c r="A19" s="45">
        <f>IF(Main!R89="","",ROW()-1)</f>
        <v>18</v>
      </c>
      <c r="B19" s="45">
        <v>1234567</v>
      </c>
      <c r="C19" s="45">
        <f>VLOOKUP(Main!R89,'Vehicle Comp Data'!$B:$E,4,FALSE)</f>
        <v>1011</v>
      </c>
      <c r="D19" s="45">
        <f>VLOOKUP(E19,'Exp Tables'!$X$3:$Z$13,3,FALSE)</f>
        <v>32660</v>
      </c>
      <c r="E19" s="45">
        <f>Main!S89</f>
        <v>10</v>
      </c>
      <c r="F19" s="45">
        <v>0</v>
      </c>
      <c r="G19" s="45">
        <v>0</v>
      </c>
      <c r="H19" s="124" t="str">
        <f>IFERROR(Main!R90&amp;":"&amp;IF(Main!R90="skill",VLOOKUP(Main!S90,'Vehicle Substats'!$I$2:$J$50,2,FALSE),VLOOKUP(Main!R90,'Vehicle Substats'!$A$1:$F$16,6,FALSE)),"")</f>
        <v/>
      </c>
      <c r="I19" s="124" t="str">
        <f>IFERROR(Main!R91&amp;":"&amp;IF(Main!R91="skill",VLOOKUP(Main!S91,'Vehicle Substats'!$I$2:$J$50,2,FALSE),VLOOKUP(Main!R91,'Vehicle Substats'!$A$1:$F$16,6,FALSE)),"")</f>
        <v/>
      </c>
      <c r="J19" s="124" t="str">
        <f>IFERROR(Main!R92&amp;":"&amp;IF(Main!R92="skill",VLOOKUP(Main!S92,'Vehicle Substats'!$I$2:$J$50,2,FALSE),VLOOKUP(Main!R92,'Vehicle Substats'!$A$1:$F$16,6,FALSE)),"")</f>
        <v/>
      </c>
      <c r="K19" s="124"/>
      <c r="L19" s="124"/>
      <c r="M19" s="124" t="str">
        <f t="shared" si="2"/>
        <v/>
      </c>
      <c r="N19" s="45">
        <f t="shared" ref="N19:AB19" si="8">IFERROR(IF(LEFT($H19,FIND(":",$H19)-1)=N$1,SUBSTITUTE($H19,N$1&amp;":",""),0)+
IF(LEFT($I19,FIND(":",$I19)-1)=N$1,SUBSTITUTE($I19,N$1&amp;":",""),0)+
IF(LEFT($J19,FIND(":",$J19)-1)=N$1,SUBSTITUTE($J19,N$1&amp;":",""),0),0)</f>
        <v>0</v>
      </c>
      <c r="O19" s="45">
        <f t="shared" si="8"/>
        <v>0</v>
      </c>
      <c r="P19" s="45">
        <f t="shared" si="8"/>
        <v>0</v>
      </c>
      <c r="Q19" s="45">
        <f t="shared" si="8"/>
        <v>0</v>
      </c>
      <c r="R19" s="45">
        <f t="shared" si="8"/>
        <v>0</v>
      </c>
      <c r="S19" s="45">
        <f t="shared" si="8"/>
        <v>0</v>
      </c>
      <c r="T19" s="45">
        <f t="shared" si="8"/>
        <v>0</v>
      </c>
      <c r="U19" s="45">
        <f t="shared" si="8"/>
        <v>0</v>
      </c>
      <c r="V19" s="45">
        <f t="shared" si="8"/>
        <v>0</v>
      </c>
      <c r="W19" s="45">
        <f t="shared" si="8"/>
        <v>0</v>
      </c>
      <c r="X19" s="45">
        <f t="shared" si="8"/>
        <v>0</v>
      </c>
      <c r="Y19" s="45">
        <f t="shared" si="8"/>
        <v>0</v>
      </c>
      <c r="Z19" s="45">
        <f t="shared" si="8"/>
        <v>0</v>
      </c>
      <c r="AA19" s="45">
        <f t="shared" si="8"/>
        <v>0</v>
      </c>
      <c r="AB19" s="45">
        <f t="shared" si="8"/>
        <v>0</v>
      </c>
      <c r="AC19" s="45" t="str">
        <f t="shared" si="7"/>
        <v/>
      </c>
      <c r="AE19" t="str">
        <f t="shared" si="4"/>
        <v/>
      </c>
      <c r="AF19" t="str">
        <f t="shared" si="5"/>
        <v/>
      </c>
      <c r="AG19" t="str">
        <f t="shared" si="6"/>
        <v/>
      </c>
    </row>
    <row r="21" spans="1:33" x14ac:dyDescent="0.3">
      <c r="G21" s="189"/>
    </row>
    <row r="27" spans="1:33" x14ac:dyDescent="0.3">
      <c r="A27" s="267"/>
      <c r="B27" s="267"/>
      <c r="C27" s="267"/>
      <c r="D27" s="267"/>
      <c r="E27" s="267"/>
    </row>
    <row r="28" spans="1:33" x14ac:dyDescent="0.3">
      <c r="A28" s="267"/>
      <c r="B28" s="267"/>
      <c r="C28" s="267"/>
      <c r="D28" s="267"/>
      <c r="E28" s="267"/>
    </row>
    <row r="29" spans="1:33" x14ac:dyDescent="0.3">
      <c r="A29" s="267"/>
      <c r="B29" s="267"/>
      <c r="C29" s="267"/>
      <c r="D29" s="267"/>
      <c r="E29" s="267"/>
    </row>
    <row r="30" spans="1:33" x14ac:dyDescent="0.3">
      <c r="A30" s="267"/>
      <c r="B30" s="267"/>
      <c r="C30" s="267"/>
      <c r="D30" s="267"/>
      <c r="E30" s="267"/>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DD996-A35B-43D4-A13C-B1EB3DD30D92}">
  <sheetPr codeName="Sheet18"/>
  <dimension ref="A1:AA17"/>
  <sheetViews>
    <sheetView workbookViewId="0">
      <selection activeCell="B2" sqref="B2:B17"/>
    </sheetView>
  </sheetViews>
  <sheetFormatPr defaultRowHeight="14.4" x14ac:dyDescent="0.3"/>
  <sheetData>
    <row r="1" spans="1:27" x14ac:dyDescent="0.3">
      <c r="A1" s="85" t="s">
        <v>25</v>
      </c>
      <c r="B1" s="85" t="s">
        <v>26</v>
      </c>
      <c r="C1" s="85" t="s">
        <v>1017</v>
      </c>
      <c r="D1" s="85" t="s">
        <v>1018</v>
      </c>
      <c r="E1" s="85" t="s">
        <v>1019</v>
      </c>
      <c r="F1" s="85" t="s">
        <v>1020</v>
      </c>
      <c r="G1" s="85" t="s">
        <v>1021</v>
      </c>
      <c r="H1" s="85" t="s">
        <v>1022</v>
      </c>
      <c r="I1" s="85" t="s">
        <v>1023</v>
      </c>
      <c r="J1" s="85" t="s">
        <v>1024</v>
      </c>
      <c r="K1" s="85" t="s">
        <v>41</v>
      </c>
      <c r="L1" s="85" t="s">
        <v>42</v>
      </c>
      <c r="M1" s="85" t="s">
        <v>879</v>
      </c>
      <c r="N1" s="85" t="s">
        <v>970</v>
      </c>
      <c r="O1" s="85" t="s">
        <v>1025</v>
      </c>
      <c r="P1" s="85" t="s">
        <v>1026</v>
      </c>
      <c r="Q1" s="85" t="s">
        <v>55</v>
      </c>
      <c r="R1" s="85" t="s">
        <v>50</v>
      </c>
      <c r="S1" s="85" t="s">
        <v>52</v>
      </c>
      <c r="T1" s="85" t="s">
        <v>51</v>
      </c>
      <c r="U1" s="85" t="s">
        <v>34</v>
      </c>
      <c r="V1" s="85" t="s">
        <v>1027</v>
      </c>
      <c r="W1" s="85" t="s">
        <v>53</v>
      </c>
      <c r="X1" s="85" t="s">
        <v>56</v>
      </c>
      <c r="Y1" s="85" t="s">
        <v>54</v>
      </c>
      <c r="Z1" s="85" t="s">
        <v>57</v>
      </c>
      <c r="AA1" s="85" t="s">
        <v>44</v>
      </c>
    </row>
    <row r="2" spans="1:27" x14ac:dyDescent="0.3">
      <c r="A2" s="226" t="str">
        <f>IF(Main!C59="","",1&amp;ROW()-1)</f>
        <v/>
      </c>
      <c r="B2" s="226">
        <v>1234567</v>
      </c>
      <c r="C2" s="226" t="e">
        <f>INDEX('SF Data'!$A:$A,MATCH(Main!C59,'SF Data'!$C:$C,0))</f>
        <v>#N/A</v>
      </c>
      <c r="D2" s="226" t="e">
        <f>VLOOKUP(E2,'Exp Tables'!$M$3:$O$102,3,FALSE)</f>
        <v>#N/A</v>
      </c>
      <c r="E2" s="226">
        <f>Main!D59</f>
        <v>0</v>
      </c>
      <c r="F2" s="226">
        <f>MAX(Main!B59,Main!E59)</f>
        <v>0</v>
      </c>
      <c r="G2" s="226">
        <f>Main!F59</f>
        <v>0</v>
      </c>
      <c r="H2" s="226">
        <v>100</v>
      </c>
      <c r="I2" s="226">
        <f>IF(Main!G59="XL",5,IF(Main!G59="L",4,IF(Main!G59="M",3,IF(Main!G59="S",2,IF(Main!G59="XS",1,0)))))</f>
        <v>0</v>
      </c>
      <c r="J2" s="226">
        <f>IF(I2=0,0,1)</f>
        <v>0</v>
      </c>
      <c r="K2" s="226">
        <f>IF(Main!B59=3,Main!I59,0)</f>
        <v>0</v>
      </c>
      <c r="L2" s="226">
        <f>IF(Main!B59=3,Main!J59,0)</f>
        <v>0</v>
      </c>
      <c r="M2" s="226">
        <f>IF(Main!B59=2,Main!I59,IF(Main!B59=3,Main!K59,0))</f>
        <v>0</v>
      </c>
      <c r="N2" s="226">
        <f>IF(AND(Main!B59=1,Main!E59&gt;=4),Main!I59,IF(AND(Main!B59=2,Main!E59&gt;=4),Main!J59,IF(AND(Main!B59=3,Main!E59&gt;=4),Main!L59,0)))</f>
        <v>0</v>
      </c>
      <c r="O2" s="226">
        <f>IF(OR(Main!M59="",Main!B59&lt;3),0,INDEX('SF Chip Data'!$A:$A,MATCH(Main!M59,'SF Chip Data'!$B:$B,0)))</f>
        <v>0</v>
      </c>
      <c r="P2" s="226">
        <f>IF(AND(Main!B59=3,Main!E59&gt;=4,Main!N59&lt;&gt;""),INDEX('SF Chip Data'!$A:$A,MATCH(Main!N59,'SF Chip Data'!$B:$B,0)),0)</f>
        <v>0</v>
      </c>
      <c r="Q2" s="226">
        <v>0</v>
      </c>
      <c r="R2" s="226">
        <f>Main!H59*10000</f>
        <v>0</v>
      </c>
      <c r="S2" s="226">
        <f>IF(Main!H59&lt;=100,1000000,1500000)</f>
        <v>1000000</v>
      </c>
      <c r="T2" s="226">
        <f>S2</f>
        <v>1000000</v>
      </c>
      <c r="U2" s="226" t="e">
        <f>IF(AND(UseSFCustomHP=TRUE,Main!Q59&lt;&gt;0),Main!Q59,'SF Stat Calc'!X3)</f>
        <v>#N/A</v>
      </c>
      <c r="V2" s="226">
        <v>0</v>
      </c>
      <c r="W2" s="226">
        <f>IF(Main!H59&gt;100,1,0)</f>
        <v>0</v>
      </c>
      <c r="X2" s="226">
        <v>0</v>
      </c>
      <c r="Y2" s="226">
        <v>0</v>
      </c>
      <c r="Z2" s="226">
        <v>0</v>
      </c>
      <c r="AA2" s="226">
        <v>1</v>
      </c>
    </row>
    <row r="3" spans="1:27" x14ac:dyDescent="0.3">
      <c r="A3" s="226" t="str">
        <f>IF(Main!C60="","",1&amp;ROW()-1)</f>
        <v/>
      </c>
      <c r="B3" s="226">
        <v>1234567</v>
      </c>
      <c r="C3" s="226" t="e">
        <f>INDEX('SF Data'!$A:$A,MATCH(Main!C60,'SF Data'!$C:$C,0))</f>
        <v>#N/A</v>
      </c>
      <c r="D3" s="226" t="e">
        <f>VLOOKUP(E3,'Exp Tables'!$M$3:$O$102,3,FALSE)</f>
        <v>#N/A</v>
      </c>
      <c r="E3" s="226">
        <f>Main!D60</f>
        <v>0</v>
      </c>
      <c r="F3" s="226">
        <f>MAX(Main!B60,Main!E60)</f>
        <v>0</v>
      </c>
      <c r="G3" s="226">
        <f>Main!F60</f>
        <v>0</v>
      </c>
      <c r="H3" s="226">
        <v>100</v>
      </c>
      <c r="I3" s="226">
        <f>IF(Main!G60="XL",5,IF(Main!G60="L",4,IF(Main!G60="M",3,IF(Main!G60="S",2,IF(Main!G60="XS",1,0)))))</f>
        <v>0</v>
      </c>
      <c r="J3" s="226">
        <f t="shared" ref="J3:J10" si="0">IF(I3=0,0,1)</f>
        <v>0</v>
      </c>
      <c r="K3" s="226">
        <f>IF(Main!B60=3,Main!I60,0)</f>
        <v>0</v>
      </c>
      <c r="L3" s="226">
        <f>IF(Main!B60=3,Main!J60,0)</f>
        <v>0</v>
      </c>
      <c r="M3" s="226">
        <f>IF(Main!B60=2,Main!I60,IF(Main!B60=3,Main!K60,0))</f>
        <v>0</v>
      </c>
      <c r="N3" s="226">
        <f>IF(AND(Main!B60=1,Main!E60&gt;=4),Main!I60,IF(AND(Main!B60=2,Main!E60&gt;=4),Main!J60,IF(AND(Main!B60=3,Main!E60&gt;=4),Main!L60,0)))</f>
        <v>0</v>
      </c>
      <c r="O3" s="226">
        <f>IF(OR(Main!M60="",Main!B60&lt;3),0,INDEX('SF Chip Data'!$A:$A,MATCH(Main!M60,'SF Chip Data'!$B:$B,0)))</f>
        <v>0</v>
      </c>
      <c r="P3" s="226">
        <f>IF(AND(Main!B60=3,Main!E60&gt;=4,Main!N60&lt;&gt;""),INDEX('SF Chip Data'!$A:$A,MATCH(Main!N60,'SF Chip Data'!$B:$B,0)),0)</f>
        <v>0</v>
      </c>
      <c r="Q3" s="226">
        <v>0</v>
      </c>
      <c r="R3" s="226">
        <f>Main!H60*10000</f>
        <v>0</v>
      </c>
      <c r="S3" s="226">
        <f>IF(Main!H60&lt;=100,1000000,1500000)</f>
        <v>1000000</v>
      </c>
      <c r="T3" s="226">
        <f t="shared" ref="T3:T10" si="1">S3</f>
        <v>1000000</v>
      </c>
      <c r="U3" s="226" t="e">
        <f>IF(AND(UseSFCustomHP=TRUE,Main!Q60&lt;&gt;0),Main!Q60,'SF Stat Calc'!X4)</f>
        <v>#N/A</v>
      </c>
      <c r="V3" s="226">
        <v>0</v>
      </c>
      <c r="W3" s="226">
        <f>IF(Main!H60&gt;100,1,0)</f>
        <v>0</v>
      </c>
      <c r="X3" s="226">
        <v>0</v>
      </c>
      <c r="Y3" s="226">
        <v>0</v>
      </c>
      <c r="Z3" s="226">
        <v>0</v>
      </c>
      <c r="AA3" s="226">
        <v>1</v>
      </c>
    </row>
    <row r="4" spans="1:27" x14ac:dyDescent="0.3">
      <c r="A4" s="226" t="str">
        <f>IF(Main!C61="","",1&amp;ROW()-1)</f>
        <v/>
      </c>
      <c r="B4" s="226">
        <v>1234567</v>
      </c>
      <c r="C4" s="226" t="e">
        <f>INDEX('SF Data'!$A:$A,MATCH(Main!C61,'SF Data'!$C:$C,0))</f>
        <v>#N/A</v>
      </c>
      <c r="D4" s="226" t="e">
        <f>VLOOKUP(E4,'Exp Tables'!$M$3:$O$102,3,FALSE)</f>
        <v>#N/A</v>
      </c>
      <c r="E4" s="226">
        <f>Main!D61</f>
        <v>0</v>
      </c>
      <c r="F4" s="226">
        <f>MAX(Main!B61,Main!E61)</f>
        <v>0</v>
      </c>
      <c r="G4" s="226">
        <f>Main!F61</f>
        <v>0</v>
      </c>
      <c r="H4" s="226">
        <v>100</v>
      </c>
      <c r="I4" s="226">
        <f>IF(Main!G61="XL",5,IF(Main!G61="L",4,IF(Main!G61="M",3,IF(Main!G61="S",2,IF(Main!G61="XS",1,0)))))</f>
        <v>0</v>
      </c>
      <c r="J4" s="226">
        <f t="shared" si="0"/>
        <v>0</v>
      </c>
      <c r="K4" s="226">
        <f>IF(Main!B61=3,Main!I61,0)</f>
        <v>0</v>
      </c>
      <c r="L4" s="226">
        <f>IF(Main!B61=3,Main!J61,0)</f>
        <v>0</v>
      </c>
      <c r="M4" s="226">
        <f>IF(Main!B61=2,Main!I61,IF(Main!B61=3,Main!K61,0))</f>
        <v>0</v>
      </c>
      <c r="N4" s="226">
        <f>IF(AND(Main!B61=1,Main!E61&gt;=4),Main!I61,IF(AND(Main!B61=2,Main!E61&gt;=4),Main!J61,IF(AND(Main!B61=3,Main!E61&gt;=4),Main!L61,0)))</f>
        <v>0</v>
      </c>
      <c r="O4" s="226">
        <f>IF(OR(Main!M61="",Main!B61&lt;3),0,INDEX('SF Chip Data'!$A:$A,MATCH(Main!M61,'SF Chip Data'!$B:$B,0)))</f>
        <v>0</v>
      </c>
      <c r="P4" s="226">
        <f>IF(AND(Main!B61=3,Main!E61&gt;=4,Main!N61&lt;&gt;""),INDEX('SF Chip Data'!$A:$A,MATCH(Main!N61,'SF Chip Data'!$B:$B,0)),0)</f>
        <v>0</v>
      </c>
      <c r="Q4" s="226">
        <v>0</v>
      </c>
      <c r="R4" s="226">
        <f>Main!H61*10000</f>
        <v>0</v>
      </c>
      <c r="S4" s="226">
        <f>IF(Main!H61&lt;=100,1000000,1500000)</f>
        <v>1000000</v>
      </c>
      <c r="T4" s="226">
        <f t="shared" si="1"/>
        <v>1000000</v>
      </c>
      <c r="U4" s="226" t="e">
        <f>IF(AND(UseSFCustomHP=TRUE,Main!Q61&lt;&gt;0),Main!Q61,'SF Stat Calc'!X5)</f>
        <v>#N/A</v>
      </c>
      <c r="V4" s="226">
        <v>0</v>
      </c>
      <c r="W4" s="226">
        <f>IF(Main!H61&gt;100,1,0)</f>
        <v>0</v>
      </c>
      <c r="X4" s="226">
        <v>0</v>
      </c>
      <c r="Y4" s="226">
        <v>0</v>
      </c>
      <c r="Z4" s="226">
        <v>0</v>
      </c>
      <c r="AA4" s="226">
        <v>1</v>
      </c>
    </row>
    <row r="5" spans="1:27" x14ac:dyDescent="0.3">
      <c r="A5" s="226" t="str">
        <f>IF(Main!C62="","",1&amp;ROW()-1)</f>
        <v/>
      </c>
      <c r="B5" s="226">
        <v>1234567</v>
      </c>
      <c r="C5" s="226" t="e">
        <f>INDEX('SF Data'!$A:$A,MATCH(Main!C62,'SF Data'!$C:$C,0))</f>
        <v>#N/A</v>
      </c>
      <c r="D5" s="226" t="e">
        <f>VLOOKUP(E5,'Exp Tables'!$M$3:$O$102,3,FALSE)</f>
        <v>#N/A</v>
      </c>
      <c r="E5" s="226">
        <f>Main!D62</f>
        <v>0</v>
      </c>
      <c r="F5" s="226">
        <f>MAX(Main!B62,Main!E62)</f>
        <v>0</v>
      </c>
      <c r="G5" s="226">
        <f>Main!F62</f>
        <v>0</v>
      </c>
      <c r="H5" s="226">
        <v>100</v>
      </c>
      <c r="I5" s="226">
        <f>IF(Main!G62="XL",5,IF(Main!G62="L",4,IF(Main!G62="M",3,IF(Main!G62="S",2,IF(Main!G62="XS",1,0)))))</f>
        <v>0</v>
      </c>
      <c r="J5" s="226">
        <f t="shared" si="0"/>
        <v>0</v>
      </c>
      <c r="K5" s="226">
        <f>IF(Main!B62=3,Main!I62,0)</f>
        <v>0</v>
      </c>
      <c r="L5" s="226">
        <f>IF(Main!B62=3,Main!J62,0)</f>
        <v>0</v>
      </c>
      <c r="M5" s="226">
        <f>IF(Main!B62=2,Main!I62,IF(Main!B62=3,Main!K62,0))</f>
        <v>0</v>
      </c>
      <c r="N5" s="226">
        <f>IF(AND(Main!B62=1,Main!E62&gt;=4),Main!I62,IF(AND(Main!B62=2,Main!E62&gt;=4),Main!J62,IF(AND(Main!B62=3,Main!E62&gt;=4),Main!L62,0)))</f>
        <v>0</v>
      </c>
      <c r="O5" s="226">
        <f>IF(OR(Main!M62="",Main!B62&lt;3),0,INDEX('SF Chip Data'!$A:$A,MATCH(Main!M62,'SF Chip Data'!$B:$B,0)))</f>
        <v>0</v>
      </c>
      <c r="P5" s="226">
        <f>IF(AND(Main!B62=3,Main!E62&gt;=4,Main!N62&lt;&gt;""),INDEX('SF Chip Data'!$A:$A,MATCH(Main!N62,'SF Chip Data'!$B:$B,0)),0)</f>
        <v>0</v>
      </c>
      <c r="Q5" s="226">
        <v>0</v>
      </c>
      <c r="R5" s="226">
        <f>Main!H62*10000</f>
        <v>0</v>
      </c>
      <c r="S5" s="226">
        <f>IF(Main!H62&lt;=100,1000000,1500000)</f>
        <v>1000000</v>
      </c>
      <c r="T5" s="226">
        <f t="shared" si="1"/>
        <v>1000000</v>
      </c>
      <c r="U5" s="226" t="e">
        <f>IF(AND(UseSFCustomHP=TRUE,Main!Q62&lt;&gt;0),Main!Q62,'SF Stat Calc'!X6)</f>
        <v>#N/A</v>
      </c>
      <c r="V5" s="226">
        <v>0</v>
      </c>
      <c r="W5" s="226">
        <f>IF(Main!H62&gt;100,1,0)</f>
        <v>0</v>
      </c>
      <c r="X5" s="226">
        <v>0</v>
      </c>
      <c r="Y5" s="226">
        <v>0</v>
      </c>
      <c r="Z5" s="226">
        <v>0</v>
      </c>
      <c r="AA5" s="226">
        <v>1</v>
      </c>
    </row>
    <row r="6" spans="1:27" x14ac:dyDescent="0.3">
      <c r="A6" s="226" t="str">
        <f>IF(Main!C63="","",1&amp;ROW()-1)</f>
        <v/>
      </c>
      <c r="B6" s="226">
        <v>1234567</v>
      </c>
      <c r="C6" s="226" t="e">
        <f>INDEX('SF Data'!$A:$A,MATCH(Main!C63,'SF Data'!$C:$C,0))</f>
        <v>#N/A</v>
      </c>
      <c r="D6" s="226" t="e">
        <f>VLOOKUP(E6,'Exp Tables'!$M$3:$O$102,3,FALSE)</f>
        <v>#N/A</v>
      </c>
      <c r="E6" s="226">
        <f>Main!D63</f>
        <v>0</v>
      </c>
      <c r="F6" s="226">
        <f>MAX(Main!B63,Main!E63)</f>
        <v>0</v>
      </c>
      <c r="G6" s="226">
        <f>Main!F63</f>
        <v>0</v>
      </c>
      <c r="H6" s="226">
        <v>100</v>
      </c>
      <c r="I6" s="226">
        <f>IF(Main!G63="XL",5,IF(Main!G63="L",4,IF(Main!G63="M",3,IF(Main!G63="S",2,IF(Main!G63="XS",1,0)))))</f>
        <v>0</v>
      </c>
      <c r="J6" s="226">
        <f t="shared" si="0"/>
        <v>0</v>
      </c>
      <c r="K6" s="226">
        <f>IF(Main!B63=3,Main!I63,0)</f>
        <v>0</v>
      </c>
      <c r="L6" s="226">
        <f>IF(Main!B63=3,Main!J63,0)</f>
        <v>0</v>
      </c>
      <c r="M6" s="226">
        <f>IF(Main!B63=2,Main!I63,IF(Main!B63=3,Main!K63,0))</f>
        <v>0</v>
      </c>
      <c r="N6" s="226">
        <f>IF(AND(Main!B63=1,Main!E63&gt;=4),Main!I63,IF(AND(Main!B63=2,Main!E63&gt;=4),Main!J63,IF(AND(Main!B63=3,Main!E63&gt;=4),Main!L63,0)))</f>
        <v>0</v>
      </c>
      <c r="O6" s="226">
        <f>IF(OR(Main!M63="",Main!B63&lt;3),0,INDEX('SF Chip Data'!$A:$A,MATCH(Main!M63,'SF Chip Data'!$B:$B,0)))</f>
        <v>0</v>
      </c>
      <c r="P6" s="226">
        <f>IF(AND(Main!B63=3,Main!E63&gt;=4,Main!N63&lt;&gt;""),INDEX('SF Chip Data'!$A:$A,MATCH(Main!N63,'SF Chip Data'!$B:$B,0)),0)</f>
        <v>0</v>
      </c>
      <c r="Q6" s="226">
        <v>0</v>
      </c>
      <c r="R6" s="226">
        <f>Main!H63*10000</f>
        <v>0</v>
      </c>
      <c r="S6" s="226">
        <f>IF(Main!H63&lt;=100,1000000,1500000)</f>
        <v>1000000</v>
      </c>
      <c r="T6" s="226">
        <f t="shared" si="1"/>
        <v>1000000</v>
      </c>
      <c r="U6" s="226" t="e">
        <f>IF(AND(UseSFCustomHP=TRUE,Main!Q63&lt;&gt;0),Main!Q63,'SF Stat Calc'!X7)</f>
        <v>#N/A</v>
      </c>
      <c r="V6" s="226">
        <v>0</v>
      </c>
      <c r="W6" s="226">
        <f>IF(Main!H63&gt;100,1,0)</f>
        <v>0</v>
      </c>
      <c r="X6" s="226">
        <v>0</v>
      </c>
      <c r="Y6" s="226">
        <v>0</v>
      </c>
      <c r="Z6" s="226">
        <v>0</v>
      </c>
      <c r="AA6" s="226">
        <v>1</v>
      </c>
    </row>
    <row r="7" spans="1:27" x14ac:dyDescent="0.3">
      <c r="A7" s="226" t="str">
        <f>IF(Main!C64="","",1&amp;ROW()-1)</f>
        <v/>
      </c>
      <c r="B7" s="226">
        <v>1234567</v>
      </c>
      <c r="C7" s="226" t="e">
        <f>INDEX('SF Data'!$A:$A,MATCH(Main!C64,'SF Data'!$C:$C,0))</f>
        <v>#N/A</v>
      </c>
      <c r="D7" s="226" t="e">
        <f>VLOOKUP(E7,'Exp Tables'!$M$3:$O$102,3,FALSE)</f>
        <v>#N/A</v>
      </c>
      <c r="E7" s="226">
        <f>Main!D64</f>
        <v>0</v>
      </c>
      <c r="F7" s="226">
        <f>MAX(Main!B64,Main!E64)</f>
        <v>0</v>
      </c>
      <c r="G7" s="226">
        <f>Main!F64</f>
        <v>0</v>
      </c>
      <c r="H7" s="226">
        <v>100</v>
      </c>
      <c r="I7" s="226">
        <f>IF(Main!G64="XL",5,IF(Main!G64="L",4,IF(Main!G64="M",3,IF(Main!G64="S",2,IF(Main!G64="XS",1,0)))))</f>
        <v>0</v>
      </c>
      <c r="J7" s="226">
        <f t="shared" si="0"/>
        <v>0</v>
      </c>
      <c r="K7" s="226">
        <f>IF(Main!B64=3,Main!I64,0)</f>
        <v>0</v>
      </c>
      <c r="L7" s="226">
        <f>IF(Main!B64=3,Main!J64,0)</f>
        <v>0</v>
      </c>
      <c r="M7" s="226">
        <f>IF(Main!B64=2,Main!I64,IF(Main!B64=3,Main!K64,0))</f>
        <v>0</v>
      </c>
      <c r="N7" s="226">
        <f>IF(AND(Main!B64=1,Main!E64&gt;=4),Main!I64,IF(AND(Main!B64=2,Main!E64&gt;=4),Main!J64,IF(AND(Main!B64=3,Main!E64&gt;=4),Main!L64,0)))</f>
        <v>0</v>
      </c>
      <c r="O7" s="226">
        <f>IF(OR(Main!M64="",Main!B64&lt;3),0,INDEX('SF Chip Data'!$A:$A,MATCH(Main!M64,'SF Chip Data'!$B:$B,0)))</f>
        <v>0</v>
      </c>
      <c r="P7" s="226">
        <f>IF(AND(Main!B64=3,Main!E64&gt;=4,Main!N64&lt;&gt;""),INDEX('SF Chip Data'!$A:$A,MATCH(Main!N64,'SF Chip Data'!$B:$B,0)),0)</f>
        <v>0</v>
      </c>
      <c r="Q7" s="226">
        <v>0</v>
      </c>
      <c r="R7" s="226">
        <f>Main!H64*10000</f>
        <v>0</v>
      </c>
      <c r="S7" s="226">
        <f>IF(Main!H64&lt;=100,1000000,1500000)</f>
        <v>1000000</v>
      </c>
      <c r="T7" s="226">
        <f t="shared" si="1"/>
        <v>1000000</v>
      </c>
      <c r="U7" s="226" t="e">
        <f>IF(AND(UseSFCustomHP=TRUE,Main!Q64&lt;&gt;0),Main!Q64,'SF Stat Calc'!X8)</f>
        <v>#N/A</v>
      </c>
      <c r="V7" s="226">
        <v>0</v>
      </c>
      <c r="W7" s="226">
        <f>IF(Main!H64&gt;100,1,0)</f>
        <v>0</v>
      </c>
      <c r="X7" s="226">
        <v>0</v>
      </c>
      <c r="Y7" s="226">
        <v>0</v>
      </c>
      <c r="Z7" s="226">
        <v>0</v>
      </c>
      <c r="AA7" s="226">
        <v>1</v>
      </c>
    </row>
    <row r="8" spans="1:27" x14ac:dyDescent="0.3">
      <c r="A8" s="226" t="str">
        <f>IF(Main!C65="","",1&amp;ROW()-1)</f>
        <v/>
      </c>
      <c r="B8" s="226">
        <v>1234567</v>
      </c>
      <c r="C8" s="226" t="e">
        <f>INDEX('SF Data'!$A:$A,MATCH(Main!C65,'SF Data'!$C:$C,0))</f>
        <v>#N/A</v>
      </c>
      <c r="D8" s="226" t="e">
        <f>VLOOKUP(E8,'Exp Tables'!$M$3:$O$102,3,FALSE)</f>
        <v>#N/A</v>
      </c>
      <c r="E8" s="226">
        <f>Main!D65</f>
        <v>0</v>
      </c>
      <c r="F8" s="226">
        <f>MAX(Main!B65,Main!E65)</f>
        <v>0</v>
      </c>
      <c r="G8" s="226">
        <f>Main!F65</f>
        <v>0</v>
      </c>
      <c r="H8" s="226">
        <v>100</v>
      </c>
      <c r="I8" s="226">
        <f>IF(Main!G65="XL",5,IF(Main!G65="L",4,IF(Main!G65="M",3,IF(Main!G65="S",2,IF(Main!G65="XS",1,0)))))</f>
        <v>0</v>
      </c>
      <c r="J8" s="226">
        <f t="shared" si="0"/>
        <v>0</v>
      </c>
      <c r="K8" s="226">
        <f>IF(Main!B65=3,Main!I65,0)</f>
        <v>0</v>
      </c>
      <c r="L8" s="226">
        <f>IF(Main!B65=3,Main!J65,0)</f>
        <v>0</v>
      </c>
      <c r="M8" s="226">
        <f>IF(Main!B65=2,Main!I65,IF(Main!B65=3,Main!K65,0))</f>
        <v>0</v>
      </c>
      <c r="N8" s="226">
        <f>IF(AND(Main!B65=1,Main!E65&gt;=4),Main!I65,IF(AND(Main!B65=2,Main!E65&gt;=4),Main!J65,IF(AND(Main!B65=3,Main!E65&gt;=4),Main!L65,0)))</f>
        <v>0</v>
      </c>
      <c r="O8" s="226">
        <f>IF(OR(Main!M65="",Main!B65&lt;3),0,INDEX('SF Chip Data'!$A:$A,MATCH(Main!M65,'SF Chip Data'!$B:$B,0)))</f>
        <v>0</v>
      </c>
      <c r="P8" s="226">
        <f>IF(AND(Main!B65=3,Main!E65&gt;=4,Main!N65&lt;&gt;""),INDEX('SF Chip Data'!$A:$A,MATCH(Main!N65,'SF Chip Data'!$B:$B,0)),0)</f>
        <v>0</v>
      </c>
      <c r="Q8" s="226">
        <v>0</v>
      </c>
      <c r="R8" s="226">
        <f>Main!H65*10000</f>
        <v>0</v>
      </c>
      <c r="S8" s="226">
        <f>IF(Main!H65&lt;=100,1000000,1500000)</f>
        <v>1000000</v>
      </c>
      <c r="T8" s="226">
        <f t="shared" si="1"/>
        <v>1000000</v>
      </c>
      <c r="U8" s="226" t="e">
        <f>IF(AND(UseSFCustomHP=TRUE,Main!Q65&lt;&gt;0),Main!Q65,'SF Stat Calc'!X9)</f>
        <v>#N/A</v>
      </c>
      <c r="V8" s="226">
        <v>0</v>
      </c>
      <c r="W8" s="226">
        <f>IF(Main!H65&gt;100,1,0)</f>
        <v>0</v>
      </c>
      <c r="X8" s="226">
        <v>0</v>
      </c>
      <c r="Y8" s="226">
        <v>0</v>
      </c>
      <c r="Z8" s="226">
        <v>0</v>
      </c>
      <c r="AA8" s="226">
        <v>1</v>
      </c>
    </row>
    <row r="9" spans="1:27" x14ac:dyDescent="0.3">
      <c r="A9" s="226" t="str">
        <f>IF(Main!C66="","",1&amp;ROW()-1)</f>
        <v/>
      </c>
      <c r="B9" s="226">
        <v>1234567</v>
      </c>
      <c r="C9" s="226" t="e">
        <f>INDEX('SF Data'!$A:$A,MATCH(Main!C66,'SF Data'!$C:$C,0))</f>
        <v>#N/A</v>
      </c>
      <c r="D9" s="226" t="e">
        <f>VLOOKUP(E9,'Exp Tables'!$M$3:$O$102,3,FALSE)</f>
        <v>#N/A</v>
      </c>
      <c r="E9" s="226">
        <f>Main!D66</f>
        <v>0</v>
      </c>
      <c r="F9" s="226">
        <f>MAX(Main!B66,Main!E66)</f>
        <v>0</v>
      </c>
      <c r="G9" s="226">
        <f>Main!F66</f>
        <v>0</v>
      </c>
      <c r="H9" s="226">
        <v>100</v>
      </c>
      <c r="I9" s="226">
        <f>IF(Main!G66="XL",5,IF(Main!G66="L",4,IF(Main!G66="M",3,IF(Main!G66="S",2,IF(Main!G66="XS",1,0)))))</f>
        <v>0</v>
      </c>
      <c r="J9" s="226">
        <f t="shared" si="0"/>
        <v>0</v>
      </c>
      <c r="K9" s="226">
        <f>IF(Main!B66=3,Main!I66,0)</f>
        <v>0</v>
      </c>
      <c r="L9" s="226">
        <f>IF(Main!B66=3,Main!J66,0)</f>
        <v>0</v>
      </c>
      <c r="M9" s="226">
        <f>IF(Main!B66=2,Main!I66,IF(Main!B66=3,Main!K66,0))</f>
        <v>0</v>
      </c>
      <c r="N9" s="226">
        <f>IF(AND(Main!B66=1,Main!E66&gt;=4),Main!I66,IF(AND(Main!B66=2,Main!E66&gt;=4),Main!J66,IF(AND(Main!B66=3,Main!E66&gt;=4),Main!L66,0)))</f>
        <v>0</v>
      </c>
      <c r="O9" s="226">
        <f>IF(OR(Main!M66="",Main!B66&lt;3),0,INDEX('SF Chip Data'!$A:$A,MATCH(Main!M66,'SF Chip Data'!$B:$B,0)))</f>
        <v>0</v>
      </c>
      <c r="P9" s="226">
        <f>IF(AND(Main!B66=3,Main!E66&gt;=4,Main!N66&lt;&gt;""),INDEX('SF Chip Data'!$A:$A,MATCH(Main!N66,'SF Chip Data'!$B:$B,0)),0)</f>
        <v>0</v>
      </c>
      <c r="Q9" s="226">
        <v>0</v>
      </c>
      <c r="R9" s="226">
        <f>Main!H66*10000</f>
        <v>0</v>
      </c>
      <c r="S9" s="226">
        <f>IF(Main!H66&lt;=100,1000000,1500000)</f>
        <v>1000000</v>
      </c>
      <c r="T9" s="226">
        <f t="shared" si="1"/>
        <v>1000000</v>
      </c>
      <c r="U9" s="226" t="e">
        <f>IF(AND(UseSFCustomHP=TRUE,Main!Q66&lt;&gt;0),Main!Q66,'SF Stat Calc'!X10)</f>
        <v>#N/A</v>
      </c>
      <c r="V9" s="226">
        <v>0</v>
      </c>
      <c r="W9" s="226">
        <f>IF(Main!H66&gt;100,1,0)</f>
        <v>0</v>
      </c>
      <c r="X9" s="226">
        <v>0</v>
      </c>
      <c r="Y9" s="226">
        <v>0</v>
      </c>
      <c r="Z9" s="226">
        <v>0</v>
      </c>
      <c r="AA9" s="226">
        <v>1</v>
      </c>
    </row>
    <row r="10" spans="1:27" x14ac:dyDescent="0.3">
      <c r="A10" s="228" t="str">
        <f>IF(Main!C67="","",1&amp;ROW()-1)</f>
        <v/>
      </c>
      <c r="B10" s="228">
        <v>1234567</v>
      </c>
      <c r="C10" s="228" t="e">
        <f>INDEX('SF Data'!$A:$A,MATCH(Main!C67,'SF Data'!$C:$C,0))</f>
        <v>#N/A</v>
      </c>
      <c r="D10" s="228" t="e">
        <f>VLOOKUP(E10,'Exp Tables'!$M$3:$O$102,3,FALSE)</f>
        <v>#N/A</v>
      </c>
      <c r="E10" s="228">
        <f>Main!D67</f>
        <v>0</v>
      </c>
      <c r="F10" s="228">
        <f>MAX(Main!B67,Main!E67)</f>
        <v>0</v>
      </c>
      <c r="G10" s="228">
        <f>Main!F67</f>
        <v>0</v>
      </c>
      <c r="H10" s="228">
        <v>100</v>
      </c>
      <c r="I10" s="228">
        <f>IF(Main!G67="XL",5,IF(Main!G67="L",4,IF(Main!G67="M",3,IF(Main!G67="S",2,IF(Main!G67="XS",1,0)))))</f>
        <v>0</v>
      </c>
      <c r="J10" s="228">
        <f t="shared" si="0"/>
        <v>0</v>
      </c>
      <c r="K10" s="228">
        <f>IF(Main!B67=3,Main!I67,0)</f>
        <v>0</v>
      </c>
      <c r="L10" s="228">
        <f>IF(Main!B67=3,Main!J67,0)</f>
        <v>0</v>
      </c>
      <c r="M10" s="228">
        <f>IF(Main!B67=2,Main!I67,IF(Main!B67=3,Main!K67,0))</f>
        <v>0</v>
      </c>
      <c r="N10" s="228">
        <f>IF(AND(Main!B67=1,Main!E67&gt;=4),Main!I67,IF(AND(Main!B67=2,Main!E67&gt;=4),Main!J67,IF(AND(Main!B67=3,Main!E67&gt;=4),Main!L67,0)))</f>
        <v>0</v>
      </c>
      <c r="O10" s="228">
        <f>IF(OR(Main!M67="",Main!B67&lt;3),0,INDEX('SF Chip Data'!$A:$A,MATCH(Main!M67,'SF Chip Data'!$B:$B,0)))</f>
        <v>0</v>
      </c>
      <c r="P10" s="228">
        <f>IF(AND(Main!B67=3,Main!E67&gt;=4,Main!N67&lt;&gt;""),INDEX('SF Chip Data'!$A:$A,MATCH(Main!N67,'SF Chip Data'!$B:$B,0)),0)</f>
        <v>0</v>
      </c>
      <c r="Q10" s="228">
        <v>0</v>
      </c>
      <c r="R10" s="228">
        <f>Main!H67*10000</f>
        <v>0</v>
      </c>
      <c r="S10" s="228">
        <f>IF(Main!H67&lt;=100,1000000,1500000)</f>
        <v>1000000</v>
      </c>
      <c r="T10" s="228">
        <f t="shared" si="1"/>
        <v>1000000</v>
      </c>
      <c r="U10" s="228" t="e">
        <f>IF(AND(UseSFCustomHP=TRUE,Main!Q67&lt;&gt;0),Main!Q67,'SF Stat Calc'!X11)</f>
        <v>#N/A</v>
      </c>
      <c r="V10" s="228">
        <v>0</v>
      </c>
      <c r="W10" s="228">
        <f>IF(Main!H67&gt;100,1,0)</f>
        <v>0</v>
      </c>
      <c r="X10" s="228">
        <v>0</v>
      </c>
      <c r="Y10" s="228">
        <v>0</v>
      </c>
      <c r="Z10" s="228">
        <v>0</v>
      </c>
      <c r="AA10" s="228">
        <v>1</v>
      </c>
    </row>
    <row r="11" spans="1:27" x14ac:dyDescent="0.3">
      <c r="A11" s="230" t="str">
        <f>IF(Main!A115="X",2&amp;Main!B115,"")</f>
        <v/>
      </c>
      <c r="B11" s="230">
        <v>1234567</v>
      </c>
      <c r="C11" s="230">
        <f>INDEX('SF Data'!$A:$A,MATCH(Main!C115,'SF Data'!$C:$C,0))</f>
        <v>1006</v>
      </c>
      <c r="D11" s="230">
        <f>VLOOKUP(E11,'Exp Tables'!$M$3:$O$102,3,FALSE)</f>
        <v>3255500</v>
      </c>
      <c r="E11" s="230">
        <f>Main!D115</f>
        <v>100</v>
      </c>
      <c r="F11" s="230">
        <f>Main!E115</f>
        <v>5</v>
      </c>
      <c r="G11" s="230">
        <f>Main!F115</f>
        <v>4</v>
      </c>
      <c r="H11" s="230">
        <v>100</v>
      </c>
      <c r="I11" s="230">
        <v>0</v>
      </c>
      <c r="J11" s="230">
        <v>0</v>
      </c>
      <c r="K11" s="230">
        <f>Main!H115</f>
        <v>10</v>
      </c>
      <c r="L11" s="230">
        <f>Main!I115</f>
        <v>10</v>
      </c>
      <c r="M11" s="230">
        <f>Main!J115</f>
        <v>5</v>
      </c>
      <c r="N11" s="230">
        <f>IF(Main!E115&gt;=4,Main!K115,0)</f>
        <v>5</v>
      </c>
      <c r="O11" s="230">
        <f>IF(Main!L115="",0,INDEX('SF Chip Data'!$A:$A,MATCH(Main!L115,'SF Chip Data'!$B:$B,0)))</f>
        <v>0</v>
      </c>
      <c r="P11" s="230">
        <f>IF(AND(Main!E115&gt;=4,Main!M115&lt;&gt;""),INDEX('SF Chip Data'!$A:$A,MATCH(Main!M115,'SF Chip Data'!$B:$B,0)),0)</f>
        <v>0</v>
      </c>
      <c r="Q11" s="230">
        <v>0</v>
      </c>
      <c r="R11" s="230">
        <f>Main!G115*10000</f>
        <v>1000000</v>
      </c>
      <c r="S11" s="230">
        <f>IF(Main!G115&lt;=100,1000000,1500000)</f>
        <v>1000000</v>
      </c>
      <c r="T11" s="230">
        <f t="shared" ref="T11:T15" si="2">S11</f>
        <v>1000000</v>
      </c>
      <c r="U11" s="230">
        <f>'SF Stat Calc'!X12</f>
        <v>1263</v>
      </c>
      <c r="V11" s="230">
        <v>0</v>
      </c>
      <c r="W11" s="230">
        <f>IF(Main!G115&gt;100,1,0)</f>
        <v>0</v>
      </c>
      <c r="X11" s="230">
        <v>0</v>
      </c>
      <c r="Y11" s="230">
        <v>0</v>
      </c>
      <c r="Z11" s="230">
        <v>0</v>
      </c>
      <c r="AA11" s="230">
        <v>1</v>
      </c>
    </row>
    <row r="12" spans="1:27" x14ac:dyDescent="0.3">
      <c r="A12" s="230" t="str">
        <f>IF(Main!A116="X",2&amp;Main!B116,"")</f>
        <v/>
      </c>
      <c r="B12" s="230">
        <v>1234567</v>
      </c>
      <c r="C12" s="230">
        <f>INDEX('SF Data'!$A:$A,MATCH(Main!C116,'SF Data'!$C:$C,0))</f>
        <v>1005</v>
      </c>
      <c r="D12" s="230">
        <f>VLOOKUP(E12,'Exp Tables'!$M$3:$O$102,3,FALSE)</f>
        <v>3255500</v>
      </c>
      <c r="E12" s="230">
        <f>Main!D116</f>
        <v>100</v>
      </c>
      <c r="F12" s="230">
        <f>Main!E116</f>
        <v>5</v>
      </c>
      <c r="G12" s="230">
        <f>Main!F116</f>
        <v>4</v>
      </c>
      <c r="H12" s="230">
        <v>100</v>
      </c>
      <c r="I12" s="230">
        <v>0</v>
      </c>
      <c r="J12" s="230">
        <v>0</v>
      </c>
      <c r="K12" s="230">
        <f>Main!H116</f>
        <v>10</v>
      </c>
      <c r="L12" s="230">
        <f>Main!I116</f>
        <v>10</v>
      </c>
      <c r="M12" s="230">
        <f>Main!J116</f>
        <v>5</v>
      </c>
      <c r="N12" s="230">
        <f>IF(Main!E116&gt;=4,Main!K116,0)</f>
        <v>5</v>
      </c>
      <c r="O12" s="230">
        <f>IF(Main!L116="",0,INDEX('SF Chip Data'!$A:$A,MATCH(Main!L116,'SF Chip Data'!$B:$B,0)))</f>
        <v>0</v>
      </c>
      <c r="P12" s="230">
        <f>IF(AND(Main!E116&gt;=4,Main!M116&lt;&gt;""),INDEX('SF Chip Data'!$A:$A,MATCH(Main!M116,'SF Chip Data'!$B:$B,0)),0)</f>
        <v>0</v>
      </c>
      <c r="Q12" s="230">
        <v>0</v>
      </c>
      <c r="R12" s="230">
        <f>Main!G116*10000</f>
        <v>1000000</v>
      </c>
      <c r="S12" s="230">
        <f>IF(Main!G116&lt;=100,1000000,1500000)</f>
        <v>1000000</v>
      </c>
      <c r="T12" s="230">
        <f t="shared" si="2"/>
        <v>1000000</v>
      </c>
      <c r="U12" s="230">
        <f>'SF Stat Calc'!X13</f>
        <v>1263</v>
      </c>
      <c r="V12" s="230">
        <v>0</v>
      </c>
      <c r="W12" s="230">
        <f>IF(Main!G116&gt;100,1,0)</f>
        <v>0</v>
      </c>
      <c r="X12" s="230">
        <v>0</v>
      </c>
      <c r="Y12" s="230">
        <v>0</v>
      </c>
      <c r="Z12" s="230">
        <v>0</v>
      </c>
      <c r="AA12" s="230">
        <v>1</v>
      </c>
    </row>
    <row r="13" spans="1:27" x14ac:dyDescent="0.3">
      <c r="A13" s="230" t="str">
        <f>IF(Main!A117="X",2&amp;Main!B117,"")</f>
        <v/>
      </c>
      <c r="B13" s="230">
        <v>1234567</v>
      </c>
      <c r="C13" s="230">
        <f>INDEX('SF Data'!$A:$A,MATCH(Main!C117,'SF Data'!$C:$C,0))</f>
        <v>1009</v>
      </c>
      <c r="D13" s="230">
        <f>VLOOKUP(E13,'Exp Tables'!$M$3:$O$102,3,FALSE)</f>
        <v>3255500</v>
      </c>
      <c r="E13" s="230">
        <f>Main!D117</f>
        <v>100</v>
      </c>
      <c r="F13" s="230">
        <f>Main!E117</f>
        <v>5</v>
      </c>
      <c r="G13" s="230">
        <f>Main!F117</f>
        <v>4</v>
      </c>
      <c r="H13" s="230">
        <v>100</v>
      </c>
      <c r="I13" s="230">
        <v>0</v>
      </c>
      <c r="J13" s="230">
        <v>0</v>
      </c>
      <c r="K13" s="230">
        <f>Main!H117</f>
        <v>10</v>
      </c>
      <c r="L13" s="230">
        <f>Main!I117</f>
        <v>10</v>
      </c>
      <c r="M13" s="230">
        <f>Main!J117</f>
        <v>5</v>
      </c>
      <c r="N13" s="230">
        <f>IF(Main!E117&gt;=4,Main!K117,0)</f>
        <v>5</v>
      </c>
      <c r="O13" s="230">
        <f>IF(Main!L117="",0,INDEX('SF Chip Data'!$A:$A,MATCH(Main!L117,'SF Chip Data'!$B:$B,0)))</f>
        <v>0</v>
      </c>
      <c r="P13" s="230">
        <f>IF(AND(Main!E117&gt;=4,Main!M117&lt;&gt;""),INDEX('SF Chip Data'!$A:$A,MATCH(Main!M117,'SF Chip Data'!$B:$B,0)),0)</f>
        <v>0</v>
      </c>
      <c r="Q13" s="230">
        <v>0</v>
      </c>
      <c r="R13" s="230">
        <f>Main!G117*10000</f>
        <v>1000000</v>
      </c>
      <c r="S13" s="230">
        <f>IF(Main!G117&lt;=100,1000000,1500000)</f>
        <v>1000000</v>
      </c>
      <c r="T13" s="230">
        <f t="shared" si="2"/>
        <v>1000000</v>
      </c>
      <c r="U13" s="230">
        <f>'SF Stat Calc'!X14</f>
        <v>1091</v>
      </c>
      <c r="V13" s="230">
        <v>0</v>
      </c>
      <c r="W13" s="230">
        <f>IF(Main!G117&gt;100,1,0)</f>
        <v>0</v>
      </c>
      <c r="X13" s="230">
        <v>0</v>
      </c>
      <c r="Y13" s="230">
        <v>0</v>
      </c>
      <c r="Z13" s="230">
        <v>0</v>
      </c>
      <c r="AA13" s="230">
        <v>1</v>
      </c>
    </row>
    <row r="14" spans="1:27" x14ac:dyDescent="0.3">
      <c r="A14" s="230" t="str">
        <f>IF(Main!A118="X",2&amp;Main!B118,"")</f>
        <v/>
      </c>
      <c r="B14" s="230">
        <v>1234567</v>
      </c>
      <c r="C14" s="230">
        <f>INDEX('SF Data'!$A:$A,MATCH(Main!C118,'SF Data'!$C:$C,0))</f>
        <v>1014</v>
      </c>
      <c r="D14" s="230">
        <f>VLOOKUP(E14,'Exp Tables'!$M$3:$O$102,3,FALSE)</f>
        <v>3255500</v>
      </c>
      <c r="E14" s="230">
        <f>Main!D118</f>
        <v>100</v>
      </c>
      <c r="F14" s="230">
        <f>Main!E118</f>
        <v>5</v>
      </c>
      <c r="G14" s="230">
        <f>Main!F118</f>
        <v>4</v>
      </c>
      <c r="H14" s="230">
        <v>100</v>
      </c>
      <c r="I14" s="230">
        <v>0</v>
      </c>
      <c r="J14" s="230">
        <v>0</v>
      </c>
      <c r="K14" s="230">
        <f>Main!H118</f>
        <v>10</v>
      </c>
      <c r="L14" s="230">
        <f>Main!I118</f>
        <v>10</v>
      </c>
      <c r="M14" s="230">
        <f>Main!J118</f>
        <v>5</v>
      </c>
      <c r="N14" s="230">
        <f>IF(Main!E118&gt;=4,Main!K118,0)</f>
        <v>5</v>
      </c>
      <c r="O14" s="230">
        <f>IF(Main!L118="",0,INDEX('SF Chip Data'!$A:$A,MATCH(Main!L118,'SF Chip Data'!$B:$B,0)))</f>
        <v>0</v>
      </c>
      <c r="P14" s="230">
        <f>IF(AND(Main!E118&gt;=4,Main!M118&lt;&gt;""),INDEX('SF Chip Data'!$A:$A,MATCH(Main!M118,'SF Chip Data'!$B:$B,0)),0)</f>
        <v>0</v>
      </c>
      <c r="Q14" s="230">
        <v>0</v>
      </c>
      <c r="R14" s="230">
        <f>Main!G118*10000</f>
        <v>1000000</v>
      </c>
      <c r="S14" s="230">
        <f>IF(Main!G118&lt;=100,1000000,1500000)</f>
        <v>1000000</v>
      </c>
      <c r="T14" s="230">
        <f t="shared" si="2"/>
        <v>1000000</v>
      </c>
      <c r="U14" s="230">
        <f>'SF Stat Calc'!X15</f>
        <v>1205</v>
      </c>
      <c r="V14" s="230">
        <v>0</v>
      </c>
      <c r="W14" s="230">
        <f>IF(Main!G118&gt;100,1,0)</f>
        <v>0</v>
      </c>
      <c r="X14" s="230">
        <v>0</v>
      </c>
      <c r="Y14" s="230">
        <v>0</v>
      </c>
      <c r="Z14" s="230">
        <v>0</v>
      </c>
      <c r="AA14" s="230">
        <v>1</v>
      </c>
    </row>
    <row r="15" spans="1:27" x14ac:dyDescent="0.3">
      <c r="A15" s="230" t="str">
        <f>IF(Main!A119="X",2&amp;Main!B119,"")</f>
        <v/>
      </c>
      <c r="B15" s="230">
        <v>1234567</v>
      </c>
      <c r="C15" s="230">
        <f>INDEX('SF Data'!$A:$A,MATCH(Main!C119,'SF Data'!$C:$C,0))</f>
        <v>1013</v>
      </c>
      <c r="D15" s="230">
        <f>VLOOKUP(E15,'Exp Tables'!$M$3:$O$102,3,FALSE)</f>
        <v>3255500</v>
      </c>
      <c r="E15" s="230">
        <f>Main!D119</f>
        <v>100</v>
      </c>
      <c r="F15" s="230">
        <f>Main!E119</f>
        <v>5</v>
      </c>
      <c r="G15" s="230">
        <f>Main!F119</f>
        <v>4</v>
      </c>
      <c r="H15" s="230">
        <v>100</v>
      </c>
      <c r="I15" s="230">
        <v>0</v>
      </c>
      <c r="J15" s="230">
        <v>0</v>
      </c>
      <c r="K15" s="230">
        <f>Main!H119</f>
        <v>10</v>
      </c>
      <c r="L15" s="230">
        <f>Main!I119</f>
        <v>10</v>
      </c>
      <c r="M15" s="230">
        <f>Main!J119</f>
        <v>5</v>
      </c>
      <c r="N15" s="230">
        <f>IF(Main!E119&gt;=4,Main!K119,0)</f>
        <v>5</v>
      </c>
      <c r="O15" s="230">
        <f>IF(Main!L119="",0,INDEX('SF Chip Data'!$A:$A,MATCH(Main!L119,'SF Chip Data'!$B:$B,0)))</f>
        <v>0</v>
      </c>
      <c r="P15" s="230">
        <f>IF(AND(Main!E119&gt;=4,Main!M119&lt;&gt;""),INDEX('SF Chip Data'!$A:$A,MATCH(Main!M119,'SF Chip Data'!$B:$B,0)),0)</f>
        <v>0</v>
      </c>
      <c r="Q15" s="230">
        <v>0</v>
      </c>
      <c r="R15" s="230">
        <f>Main!G119*10000</f>
        <v>1000000</v>
      </c>
      <c r="S15" s="230">
        <f>IF(Main!G119&lt;=100,1000000,1500000)</f>
        <v>1000000</v>
      </c>
      <c r="T15" s="230">
        <f t="shared" si="2"/>
        <v>1000000</v>
      </c>
      <c r="U15" s="230">
        <f>'SF Stat Calc'!X16</f>
        <v>1033</v>
      </c>
      <c r="V15" s="230">
        <v>0</v>
      </c>
      <c r="W15" s="230">
        <f>IF(Main!G119&gt;100,1,0)</f>
        <v>0</v>
      </c>
      <c r="X15" s="230">
        <v>0</v>
      </c>
      <c r="Y15" s="230">
        <v>0</v>
      </c>
      <c r="Z15" s="230">
        <v>0</v>
      </c>
      <c r="AA15" s="230">
        <v>1</v>
      </c>
    </row>
    <row r="16" spans="1:27" x14ac:dyDescent="0.3">
      <c r="A16" s="234" t="str">
        <f>IF(Main!A120="X",2&amp;Main!B120,"")</f>
        <v/>
      </c>
      <c r="B16" s="234">
        <v>1234567</v>
      </c>
      <c r="C16" s="234">
        <f>INDEX('SF Data'!$A:$A,MATCH(Main!C120,'SF Data'!$C:$C,0))</f>
        <v>1022</v>
      </c>
      <c r="D16" s="234">
        <f>VLOOKUP(E16,'Exp Tables'!$M$3:$O$102,3,FALSE)</f>
        <v>3255500</v>
      </c>
      <c r="E16" s="234">
        <f>Main!D120</f>
        <v>100</v>
      </c>
      <c r="F16" s="234">
        <f>Main!E120</f>
        <v>5</v>
      </c>
      <c r="G16" s="234">
        <f>Main!F120</f>
        <v>4</v>
      </c>
      <c r="H16" s="234">
        <v>100</v>
      </c>
      <c r="I16" s="234">
        <v>0</v>
      </c>
      <c r="J16" s="234">
        <v>0</v>
      </c>
      <c r="K16" s="234">
        <f>Main!H120</f>
        <v>10</v>
      </c>
      <c r="L16" s="234">
        <f>Main!I120</f>
        <v>10</v>
      </c>
      <c r="M16" s="234">
        <f>Main!J120</f>
        <v>5</v>
      </c>
      <c r="N16" s="234">
        <f>IF(Main!E120&gt;=4,Main!K120,0)</f>
        <v>5</v>
      </c>
      <c r="O16" s="234">
        <f>IF(Main!L120="",0,INDEX('SF Chip Data'!$A:$A,MATCH(Main!L120,'SF Chip Data'!$B:$B,0)))</f>
        <v>0</v>
      </c>
      <c r="P16" s="234">
        <f>IF(AND(Main!E120&gt;=4,Main!M120&lt;&gt;""),INDEX('SF Chip Data'!$A:$A,MATCH(Main!M120,'SF Chip Data'!$B:$B,0)),0)</f>
        <v>0</v>
      </c>
      <c r="Q16" s="234">
        <v>0</v>
      </c>
      <c r="R16" s="234">
        <f>Main!G120*10000</f>
        <v>1000000</v>
      </c>
      <c r="S16" s="234">
        <f>IF(Main!G120&lt;=100,1000000,1500000)</f>
        <v>1000000</v>
      </c>
      <c r="T16" s="234">
        <f t="shared" ref="T16" si="3">S16</f>
        <v>1000000</v>
      </c>
      <c r="U16" s="234">
        <f>'SF Stat Calc'!X17</f>
        <v>2295</v>
      </c>
      <c r="V16" s="234">
        <v>0</v>
      </c>
      <c r="W16" s="234">
        <f>IF(Main!G120&gt;100,1,0)</f>
        <v>0</v>
      </c>
      <c r="X16" s="234">
        <v>0</v>
      </c>
      <c r="Y16" s="234">
        <v>0</v>
      </c>
      <c r="Z16" s="234">
        <v>0</v>
      </c>
      <c r="AA16" s="234">
        <v>1</v>
      </c>
    </row>
    <row r="17" spans="1:27" x14ac:dyDescent="0.3">
      <c r="A17" s="243" t="str">
        <f>IF(OR(Main!J75&lt;&gt;"SF",Main!K75="",Main!M75=""),"",31)</f>
        <v/>
      </c>
      <c r="B17" s="243">
        <v>1234567</v>
      </c>
      <c r="C17" s="243">
        <v>90001</v>
      </c>
      <c r="D17" s="243">
        <f>VLOOKUP(E17,'Exp Tables'!$M$3:$O$102,3,FALSE)</f>
        <v>3255500</v>
      </c>
      <c r="E17" s="243">
        <f>Main!K75</f>
        <v>100</v>
      </c>
      <c r="F17" s="243">
        <f>Main!M75</f>
        <v>5</v>
      </c>
      <c r="G17" s="243">
        <v>0</v>
      </c>
      <c r="H17" s="243">
        <v>100</v>
      </c>
      <c r="I17" s="243">
        <v>0</v>
      </c>
      <c r="J17" s="243">
        <v>0</v>
      </c>
      <c r="K17" s="243">
        <v>10</v>
      </c>
      <c r="L17" s="243">
        <v>10</v>
      </c>
      <c r="M17" s="243">
        <v>5</v>
      </c>
      <c r="N17" s="243">
        <v>5</v>
      </c>
      <c r="O17" s="243">
        <v>0</v>
      </c>
      <c r="P17" s="243">
        <v>0</v>
      </c>
      <c r="Q17" s="243">
        <v>0</v>
      </c>
      <c r="R17" s="243">
        <v>1000000</v>
      </c>
      <c r="S17" s="243">
        <v>1000000</v>
      </c>
      <c r="T17" s="243">
        <f>S17</f>
        <v>1000000</v>
      </c>
      <c r="U17" s="243">
        <v>1</v>
      </c>
      <c r="V17" s="243">
        <v>0</v>
      </c>
      <c r="W17" s="243">
        <v>0</v>
      </c>
      <c r="X17" s="243">
        <v>0</v>
      </c>
      <c r="Y17" s="243">
        <v>0</v>
      </c>
      <c r="Z17" s="243">
        <v>0</v>
      </c>
      <c r="AA17" s="243">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122B-DAE5-4C60-9B1E-32E91BC4CEF9}">
  <sheetPr codeName="Sheet24"/>
  <dimension ref="A1:E31"/>
  <sheetViews>
    <sheetView workbookViewId="0"/>
  </sheetViews>
  <sheetFormatPr defaultRowHeight="14.4" x14ac:dyDescent="0.3"/>
  <sheetData>
    <row r="1" spans="1:5" x14ac:dyDescent="0.3">
      <c r="A1" s="85" t="s">
        <v>26</v>
      </c>
      <c r="B1" s="85" t="s">
        <v>1101</v>
      </c>
      <c r="C1" s="85" t="s">
        <v>1016</v>
      </c>
      <c r="D1" s="85" t="s">
        <v>1102</v>
      </c>
      <c r="E1" s="85" t="s">
        <v>1103</v>
      </c>
    </row>
    <row r="2" spans="1:5" x14ac:dyDescent="0.3">
      <c r="A2" s="1" t="str">
        <f>IF(B2="","",1234567)</f>
        <v/>
      </c>
      <c r="B2" s="1" t="str">
        <f>IFERROR(INDEX('SF Chip Data'!A:A,MATCH(Main!M59,'SF Chip Data'!B:B,0)),"")</f>
        <v/>
      </c>
      <c r="C2" s="1">
        <v>0</v>
      </c>
      <c r="D2" s="1" t="str">
        <f>SF!A2</f>
        <v/>
      </c>
      <c r="E2" s="1">
        <v>1</v>
      </c>
    </row>
    <row r="3" spans="1:5" x14ac:dyDescent="0.3">
      <c r="A3" s="1" t="str">
        <f t="shared" ref="A3:A31" si="0">IF(B3="","",1234567)</f>
        <v/>
      </c>
      <c r="B3" s="1" t="str">
        <f>IFERROR(INDEX('SF Chip Data'!A:A,MATCH(Main!M60,'SF Chip Data'!B:B,0)),"")</f>
        <v/>
      </c>
      <c r="C3" s="1">
        <v>0</v>
      </c>
      <c r="D3" s="1" t="str">
        <f>SF!A3</f>
        <v/>
      </c>
      <c r="E3" s="1">
        <v>1</v>
      </c>
    </row>
    <row r="4" spans="1:5" x14ac:dyDescent="0.3">
      <c r="A4" s="1" t="str">
        <f t="shared" si="0"/>
        <v/>
      </c>
      <c r="B4" s="1" t="str">
        <f>IFERROR(INDEX('SF Chip Data'!A:A,MATCH(Main!M61,'SF Chip Data'!B:B,0)),"")</f>
        <v/>
      </c>
      <c r="C4" s="1">
        <v>0</v>
      </c>
      <c r="D4" s="1" t="str">
        <f>SF!A4</f>
        <v/>
      </c>
      <c r="E4" s="1">
        <v>1</v>
      </c>
    </row>
    <row r="5" spans="1:5" x14ac:dyDescent="0.3">
      <c r="A5" s="1" t="str">
        <f t="shared" si="0"/>
        <v/>
      </c>
      <c r="B5" s="1" t="str">
        <f>IFERROR(INDEX('SF Chip Data'!A:A,MATCH(Main!M62,'SF Chip Data'!B:B,0)),"")</f>
        <v/>
      </c>
      <c r="C5" s="1">
        <v>0</v>
      </c>
      <c r="D5" s="1" t="str">
        <f>SF!A5</f>
        <v/>
      </c>
      <c r="E5" s="1">
        <v>1</v>
      </c>
    </row>
    <row r="6" spans="1:5" x14ac:dyDescent="0.3">
      <c r="A6" s="1" t="str">
        <f t="shared" si="0"/>
        <v/>
      </c>
      <c r="B6" s="1" t="str">
        <f>IFERROR(INDEX('SF Chip Data'!A:A,MATCH(Main!M63,'SF Chip Data'!B:B,0)),"")</f>
        <v/>
      </c>
      <c r="C6" s="1">
        <v>0</v>
      </c>
      <c r="D6" s="1" t="str">
        <f>SF!A6</f>
        <v/>
      </c>
      <c r="E6" s="1">
        <v>1</v>
      </c>
    </row>
    <row r="7" spans="1:5" x14ac:dyDescent="0.3">
      <c r="A7" s="1" t="str">
        <f t="shared" si="0"/>
        <v/>
      </c>
      <c r="B7" s="1" t="str">
        <f>IFERROR(INDEX('SF Chip Data'!A:A,MATCH(Main!M64,'SF Chip Data'!B:B,0)),"")</f>
        <v/>
      </c>
      <c r="C7" s="1">
        <v>0</v>
      </c>
      <c r="D7" s="1" t="str">
        <f>SF!A7</f>
        <v/>
      </c>
      <c r="E7" s="1">
        <v>1</v>
      </c>
    </row>
    <row r="8" spans="1:5" x14ac:dyDescent="0.3">
      <c r="A8" s="1" t="str">
        <f t="shared" si="0"/>
        <v/>
      </c>
      <c r="B8" s="1" t="str">
        <f>IFERROR(INDEX('SF Chip Data'!A:A,MATCH(Main!M65,'SF Chip Data'!B:B,0)),"")</f>
        <v/>
      </c>
      <c r="C8" s="1">
        <v>0</v>
      </c>
      <c r="D8" s="1" t="str">
        <f>SF!A8</f>
        <v/>
      </c>
      <c r="E8" s="1">
        <v>1</v>
      </c>
    </row>
    <row r="9" spans="1:5" x14ac:dyDescent="0.3">
      <c r="A9" s="1" t="str">
        <f t="shared" si="0"/>
        <v/>
      </c>
      <c r="B9" s="1" t="str">
        <f>IFERROR(INDEX('SF Chip Data'!A:A,MATCH(Main!M66,'SF Chip Data'!B:B,0)),"")</f>
        <v/>
      </c>
      <c r="C9" s="1">
        <v>0</v>
      </c>
      <c r="D9" s="1" t="str">
        <f>SF!A9</f>
        <v/>
      </c>
      <c r="E9" s="1">
        <v>1</v>
      </c>
    </row>
    <row r="10" spans="1:5" x14ac:dyDescent="0.3">
      <c r="A10" s="45" t="str">
        <f t="shared" si="0"/>
        <v/>
      </c>
      <c r="B10" s="45" t="str">
        <f>IFERROR(INDEX('SF Chip Data'!A:A,MATCH(Main!M67,'SF Chip Data'!B:B,0)),"")</f>
        <v/>
      </c>
      <c r="C10" s="45">
        <v>0</v>
      </c>
      <c r="D10" s="45" t="str">
        <f>SF!A10</f>
        <v/>
      </c>
      <c r="E10" s="45">
        <v>1</v>
      </c>
    </row>
    <row r="11" spans="1:5" x14ac:dyDescent="0.3">
      <c r="A11" s="1" t="str">
        <f t="shared" si="0"/>
        <v/>
      </c>
      <c r="B11" s="1" t="str">
        <f>IFERROR(INDEX('SF Chip Data'!A:A,MATCH(Main!N59,'SF Chip Data'!B:B,0)),"")</f>
        <v/>
      </c>
      <c r="C11" s="1">
        <v>0</v>
      </c>
      <c r="D11" s="1" t="str">
        <f>D2</f>
        <v/>
      </c>
      <c r="E11" s="1">
        <v>2</v>
      </c>
    </row>
    <row r="12" spans="1:5" x14ac:dyDescent="0.3">
      <c r="A12" s="1" t="str">
        <f t="shared" si="0"/>
        <v/>
      </c>
      <c r="B12" s="1" t="str">
        <f>IFERROR(INDEX('SF Chip Data'!A:A,MATCH(Main!N60,'SF Chip Data'!B:B,0)),"")</f>
        <v/>
      </c>
      <c r="C12" s="1">
        <v>0</v>
      </c>
      <c r="D12" s="1" t="str">
        <f t="shared" ref="D12:D19" si="1">D3</f>
        <v/>
      </c>
      <c r="E12" s="1">
        <v>2</v>
      </c>
    </row>
    <row r="13" spans="1:5" x14ac:dyDescent="0.3">
      <c r="A13" s="1" t="str">
        <f t="shared" si="0"/>
        <v/>
      </c>
      <c r="B13" s="1" t="str">
        <f>IFERROR(INDEX('SF Chip Data'!A:A,MATCH(Main!N61,'SF Chip Data'!B:B,0)),"")</f>
        <v/>
      </c>
      <c r="C13" s="1">
        <v>0</v>
      </c>
      <c r="D13" s="1" t="str">
        <f t="shared" si="1"/>
        <v/>
      </c>
      <c r="E13" s="1">
        <v>2</v>
      </c>
    </row>
    <row r="14" spans="1:5" x14ac:dyDescent="0.3">
      <c r="A14" s="1" t="str">
        <f t="shared" si="0"/>
        <v/>
      </c>
      <c r="B14" s="1" t="str">
        <f>IFERROR(INDEX('SF Chip Data'!A:A,MATCH(Main!N62,'SF Chip Data'!B:B,0)),"")</f>
        <v/>
      </c>
      <c r="C14" s="1">
        <v>0</v>
      </c>
      <c r="D14" s="1" t="str">
        <f t="shared" si="1"/>
        <v/>
      </c>
      <c r="E14" s="1">
        <v>2</v>
      </c>
    </row>
    <row r="15" spans="1:5" x14ac:dyDescent="0.3">
      <c r="A15" s="1" t="str">
        <f t="shared" si="0"/>
        <v/>
      </c>
      <c r="B15" s="1" t="str">
        <f>IFERROR(INDEX('SF Chip Data'!A:A,MATCH(Main!N63,'SF Chip Data'!B:B,0)),"")</f>
        <v/>
      </c>
      <c r="C15" s="1">
        <v>0</v>
      </c>
      <c r="D15" s="1" t="str">
        <f t="shared" si="1"/>
        <v/>
      </c>
      <c r="E15" s="1">
        <v>2</v>
      </c>
    </row>
    <row r="16" spans="1:5" x14ac:dyDescent="0.3">
      <c r="A16" s="1" t="str">
        <f t="shared" si="0"/>
        <v/>
      </c>
      <c r="B16" s="1" t="str">
        <f>IFERROR(INDEX('SF Chip Data'!A:A,MATCH(Main!N64,'SF Chip Data'!B:B,0)),"")</f>
        <v/>
      </c>
      <c r="C16" s="1">
        <v>0</v>
      </c>
      <c r="D16" s="1" t="str">
        <f t="shared" si="1"/>
        <v/>
      </c>
      <c r="E16" s="1">
        <v>2</v>
      </c>
    </row>
    <row r="17" spans="1:5" x14ac:dyDescent="0.3">
      <c r="A17" s="1" t="str">
        <f t="shared" si="0"/>
        <v/>
      </c>
      <c r="B17" s="1" t="str">
        <f>IFERROR(INDEX('SF Chip Data'!A:A,MATCH(Main!N65,'SF Chip Data'!B:B,0)),"")</f>
        <v/>
      </c>
      <c r="C17" s="1">
        <v>0</v>
      </c>
      <c r="D17" s="1" t="str">
        <f t="shared" si="1"/>
        <v/>
      </c>
      <c r="E17" s="1">
        <v>2</v>
      </c>
    </row>
    <row r="18" spans="1:5" x14ac:dyDescent="0.3">
      <c r="A18" s="1" t="str">
        <f t="shared" si="0"/>
        <v/>
      </c>
      <c r="B18" s="1" t="str">
        <f>IFERROR(INDEX('SF Chip Data'!A:A,MATCH(Main!N66,'SF Chip Data'!B:B,0)),"")</f>
        <v/>
      </c>
      <c r="C18" s="1">
        <v>0</v>
      </c>
      <c r="D18" s="1" t="str">
        <f t="shared" si="1"/>
        <v/>
      </c>
      <c r="E18" s="1">
        <v>2</v>
      </c>
    </row>
    <row r="19" spans="1:5" x14ac:dyDescent="0.3">
      <c r="A19" s="45" t="str">
        <f t="shared" si="0"/>
        <v/>
      </c>
      <c r="B19" s="45" t="str">
        <f>IFERROR(INDEX('SF Chip Data'!A:A,MATCH(Main!N67,'SF Chip Data'!B:B,0)),"")</f>
        <v/>
      </c>
      <c r="C19" s="45">
        <v>0</v>
      </c>
      <c r="D19" s="45" t="str">
        <f t="shared" si="1"/>
        <v/>
      </c>
      <c r="E19" s="45">
        <v>2</v>
      </c>
    </row>
    <row r="20" spans="1:5" x14ac:dyDescent="0.3">
      <c r="A20" s="1" t="str">
        <f t="shared" si="0"/>
        <v/>
      </c>
      <c r="B20" s="181" t="str">
        <f>IFERROR(INDEX('SF Chip Data'!A:A,MATCH(Main!L115,'SF Chip Data'!B:B,0)),"")</f>
        <v/>
      </c>
      <c r="C20" s="1">
        <v>0</v>
      </c>
      <c r="D20" s="181" t="str">
        <f>SF!A11</f>
        <v/>
      </c>
      <c r="E20" s="1">
        <v>1</v>
      </c>
    </row>
    <row r="21" spans="1:5" x14ac:dyDescent="0.3">
      <c r="A21" s="1" t="str">
        <f t="shared" si="0"/>
        <v/>
      </c>
      <c r="B21" s="1" t="str">
        <f>IFERROR(INDEX('SF Chip Data'!A:A,MATCH(Main!L116,'SF Chip Data'!B:B,0)),"")</f>
        <v/>
      </c>
      <c r="C21" s="1">
        <v>0</v>
      </c>
      <c r="D21" s="1" t="str">
        <f>SF!A12</f>
        <v/>
      </c>
      <c r="E21" s="1">
        <v>1</v>
      </c>
    </row>
    <row r="22" spans="1:5" x14ac:dyDescent="0.3">
      <c r="A22" s="1" t="str">
        <f t="shared" si="0"/>
        <v/>
      </c>
      <c r="B22" s="1" t="str">
        <f>IFERROR(INDEX('SF Chip Data'!A:A,MATCH(Main!L117,'SF Chip Data'!B:B,0)),"")</f>
        <v/>
      </c>
      <c r="C22" s="1">
        <v>0</v>
      </c>
      <c r="D22" s="1" t="str">
        <f>SF!A13</f>
        <v/>
      </c>
      <c r="E22" s="1">
        <v>1</v>
      </c>
    </row>
    <row r="23" spans="1:5" x14ac:dyDescent="0.3">
      <c r="A23" s="1" t="str">
        <f t="shared" si="0"/>
        <v/>
      </c>
      <c r="B23" s="1" t="str">
        <f>IFERROR(INDEX('SF Chip Data'!A:A,MATCH(Main!L118,'SF Chip Data'!B:B,0)),"")</f>
        <v/>
      </c>
      <c r="C23" s="1">
        <v>0</v>
      </c>
      <c r="D23" s="1" t="str">
        <f>SF!A14</f>
        <v/>
      </c>
      <c r="E23" s="1">
        <v>1</v>
      </c>
    </row>
    <row r="24" spans="1:5" x14ac:dyDescent="0.3">
      <c r="A24" s="1" t="str">
        <f t="shared" si="0"/>
        <v/>
      </c>
      <c r="B24" s="1" t="str">
        <f>IFERROR(INDEX('SF Chip Data'!A:A,MATCH(Main!L119,'SF Chip Data'!B:B,0)),"")</f>
        <v/>
      </c>
      <c r="C24" s="1">
        <v>0</v>
      </c>
      <c r="D24" s="1" t="str">
        <f>SF!A15</f>
        <v/>
      </c>
      <c r="E24" s="1">
        <v>1</v>
      </c>
    </row>
    <row r="25" spans="1:5" x14ac:dyDescent="0.3">
      <c r="A25" s="45" t="str">
        <f t="shared" si="0"/>
        <v/>
      </c>
      <c r="B25" s="45" t="str">
        <f>IFERROR(INDEX('SF Chip Data'!A:A,MATCH(Main!L120,'SF Chip Data'!B:B,0)),"")</f>
        <v/>
      </c>
      <c r="C25" s="45">
        <v>0</v>
      </c>
      <c r="D25" s="45" t="str">
        <f>SF!A16</f>
        <v/>
      </c>
      <c r="E25" s="45">
        <v>1</v>
      </c>
    </row>
    <row r="26" spans="1:5" x14ac:dyDescent="0.3">
      <c r="A26" s="181" t="str">
        <f t="shared" si="0"/>
        <v/>
      </c>
      <c r="B26" s="181" t="str">
        <f>IFERROR(INDEX('SF Chip Data'!A:A,MATCH(Main!M115,'SF Chip Data'!B:B,0)),"")</f>
        <v/>
      </c>
      <c r="C26" s="181">
        <v>0</v>
      </c>
      <c r="D26" s="181" t="str">
        <f t="shared" ref="D26:D31" si="2">D20</f>
        <v/>
      </c>
      <c r="E26" s="181">
        <v>2</v>
      </c>
    </row>
    <row r="27" spans="1:5" x14ac:dyDescent="0.3">
      <c r="A27" s="1" t="str">
        <f t="shared" si="0"/>
        <v/>
      </c>
      <c r="B27" s="1" t="str">
        <f>IFERROR(INDEX('SF Chip Data'!A:A,MATCH(Main!M116,'SF Chip Data'!B:B,0)),"")</f>
        <v/>
      </c>
      <c r="C27" s="1">
        <v>0</v>
      </c>
      <c r="D27" s="1" t="str">
        <f t="shared" si="2"/>
        <v/>
      </c>
      <c r="E27" s="1">
        <v>2</v>
      </c>
    </row>
    <row r="28" spans="1:5" x14ac:dyDescent="0.3">
      <c r="A28" s="1" t="str">
        <f t="shared" si="0"/>
        <v/>
      </c>
      <c r="B28" s="1" t="str">
        <f>IFERROR(INDEX('SF Chip Data'!A:A,MATCH(Main!M117,'SF Chip Data'!B:B,0)),"")</f>
        <v/>
      </c>
      <c r="C28" s="1">
        <v>0</v>
      </c>
      <c r="D28" s="1" t="str">
        <f t="shared" si="2"/>
        <v/>
      </c>
      <c r="E28" s="1">
        <v>2</v>
      </c>
    </row>
    <row r="29" spans="1:5" x14ac:dyDescent="0.3">
      <c r="A29" s="1" t="str">
        <f t="shared" si="0"/>
        <v/>
      </c>
      <c r="B29" s="1" t="str">
        <f>IFERROR(INDEX('SF Chip Data'!A:A,MATCH(Main!M118,'SF Chip Data'!B:B,0)),"")</f>
        <v/>
      </c>
      <c r="C29" s="1">
        <v>0</v>
      </c>
      <c r="D29" s="1" t="str">
        <f t="shared" si="2"/>
        <v/>
      </c>
      <c r="E29" s="1">
        <v>2</v>
      </c>
    </row>
    <row r="30" spans="1:5" x14ac:dyDescent="0.3">
      <c r="A30" s="1" t="str">
        <f t="shared" si="0"/>
        <v/>
      </c>
      <c r="B30" s="1" t="str">
        <f>IFERROR(INDEX('SF Chip Data'!A:A,MATCH(Main!M119,'SF Chip Data'!B:B,0)),"")</f>
        <v/>
      </c>
      <c r="C30" s="1">
        <v>0</v>
      </c>
      <c r="D30" s="1" t="str">
        <f t="shared" si="2"/>
        <v/>
      </c>
      <c r="E30" s="1">
        <v>2</v>
      </c>
    </row>
    <row r="31" spans="1:5" x14ac:dyDescent="0.3">
      <c r="A31" s="45" t="str">
        <f t="shared" si="0"/>
        <v/>
      </c>
      <c r="B31" s="45" t="str">
        <f>IFERROR(INDEX('SF Chip Data'!A:A,MATCH(Main!M120,'SF Chip Data'!B:B,0)),"")</f>
        <v/>
      </c>
      <c r="C31" s="45">
        <v>0</v>
      </c>
      <c r="D31" s="45" t="str">
        <f t="shared" si="2"/>
        <v/>
      </c>
      <c r="E31" s="45">
        <v>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AFB9D-E836-4441-87FA-B732A0788EFD}">
  <sheetPr codeName="Sheet25"/>
  <dimension ref="A1:K23"/>
  <sheetViews>
    <sheetView workbookViewId="0">
      <selection activeCell="B2" sqref="B2:B9"/>
    </sheetView>
  </sheetViews>
  <sheetFormatPr defaultRowHeight="14.4" x14ac:dyDescent="0.3"/>
  <sheetData>
    <row r="1" spans="1:11" x14ac:dyDescent="0.3">
      <c r="A1" s="85" t="s">
        <v>25</v>
      </c>
      <c r="B1" s="85" t="s">
        <v>26</v>
      </c>
      <c r="C1" s="85" t="s">
        <v>1028</v>
      </c>
      <c r="D1" s="85" t="s">
        <v>30</v>
      </c>
      <c r="E1" s="85" t="s">
        <v>35</v>
      </c>
      <c r="F1" s="85" t="s">
        <v>36</v>
      </c>
      <c r="G1" s="85" t="s">
        <v>1029</v>
      </c>
      <c r="J1" s="85" t="s">
        <v>1102</v>
      </c>
      <c r="K1" s="85" t="s">
        <v>33</v>
      </c>
    </row>
    <row r="2" spans="1:11" x14ac:dyDescent="0.3">
      <c r="A2" s="257">
        <f>IF(COUNTA(SF!A2:A10)=0,"",2)</f>
        <v>2</v>
      </c>
      <c r="B2" s="257">
        <v>1234567</v>
      </c>
      <c r="C2" s="257">
        <f>A2</f>
        <v>2</v>
      </c>
      <c r="D2" s="257">
        <f>IF(EchType="SF",1,2)</f>
        <v>2</v>
      </c>
      <c r="E2" s="257">
        <v>10</v>
      </c>
      <c r="F2" s="257">
        <v>10</v>
      </c>
      <c r="G2" s="257" t="s">
        <v>1104</v>
      </c>
      <c r="J2" s="226">
        <f>IF(SF!A2="",0,1&amp;ROW()-1)</f>
        <v>0</v>
      </c>
      <c r="K2" s="226">
        <f t="array" ref="K2">IF(J2=0,0,SUMPRODUCT((Main!$S$60:$U$62=RIGHT(J2,1)*1)*'Misc Inputs'!$B$3:$D$5))</f>
        <v>0</v>
      </c>
    </row>
    <row r="3" spans="1:11" x14ac:dyDescent="0.3">
      <c r="A3" s="230" t="str">
        <f>IF(Main!A115="X",ROW(),"")</f>
        <v/>
      </c>
      <c r="B3" s="230">
        <v>1234567</v>
      </c>
      <c r="C3" s="230" t="str">
        <f t="shared" ref="C3:C7" si="0">A3</f>
        <v/>
      </c>
      <c r="D3" s="230" t="str">
        <f>A3</f>
        <v/>
      </c>
      <c r="E3" s="230">
        <v>10</v>
      </c>
      <c r="F3" s="230">
        <v>10</v>
      </c>
      <c r="G3" s="230" t="s">
        <v>1104</v>
      </c>
      <c r="J3" s="226">
        <f>IF(SF!A3="",0,1&amp;ROW()-1)</f>
        <v>0</v>
      </c>
      <c r="K3" s="226">
        <f t="array" ref="K3">IF(J3=0,0,SUMPRODUCT((Main!$S$60:$U$62=RIGHT(J3,1)*1)*'Misc Inputs'!$B$3:$D$5))</f>
        <v>0</v>
      </c>
    </row>
    <row r="4" spans="1:11" x14ac:dyDescent="0.3">
      <c r="A4" s="230" t="str">
        <f>IF(Main!A116="X",ROW(),"")</f>
        <v/>
      </c>
      <c r="B4" s="230">
        <v>1234567</v>
      </c>
      <c r="C4" s="230" t="str">
        <f t="shared" si="0"/>
        <v/>
      </c>
      <c r="D4" s="230" t="str">
        <f t="shared" ref="D4:D7" si="1">A4</f>
        <v/>
      </c>
      <c r="E4" s="230">
        <v>10</v>
      </c>
      <c r="F4" s="230">
        <v>10</v>
      </c>
      <c r="G4" s="230" t="s">
        <v>1104</v>
      </c>
      <c r="J4" s="226">
        <f>IF(SF!A4="",0,1&amp;ROW()-1)</f>
        <v>0</v>
      </c>
      <c r="K4" s="226">
        <f t="array" ref="K4">IF(J4=0,0,SUMPRODUCT((Main!$S$60:$U$62=RIGHT(J4,1)*1)*'Misc Inputs'!$B$3:$D$5))</f>
        <v>0</v>
      </c>
    </row>
    <row r="5" spans="1:11" x14ac:dyDescent="0.3">
      <c r="A5" s="230" t="str">
        <f>IF(Main!A117="X",ROW(),"")</f>
        <v/>
      </c>
      <c r="B5" s="230">
        <v>1234567</v>
      </c>
      <c r="C5" s="230" t="str">
        <f t="shared" si="0"/>
        <v/>
      </c>
      <c r="D5" s="230" t="str">
        <f t="shared" si="1"/>
        <v/>
      </c>
      <c r="E5" s="230">
        <v>10</v>
      </c>
      <c r="F5" s="230">
        <v>10</v>
      </c>
      <c r="G5" s="230" t="s">
        <v>1104</v>
      </c>
      <c r="J5" s="226">
        <f>IF(SF!A5="",0,1&amp;ROW()-1)</f>
        <v>0</v>
      </c>
      <c r="K5" s="226">
        <f t="array" ref="K5">IF(J5=0,0,SUMPRODUCT((Main!$S$60:$U$62=RIGHT(J5,1)*1)*'Misc Inputs'!$B$3:$D$5))</f>
        <v>0</v>
      </c>
    </row>
    <row r="6" spans="1:11" x14ac:dyDescent="0.3">
      <c r="A6" s="230" t="str">
        <f>IF(Main!A118="X",ROW(),"")</f>
        <v/>
      </c>
      <c r="B6" s="230">
        <v>1234567</v>
      </c>
      <c r="C6" s="230" t="str">
        <f t="shared" si="0"/>
        <v/>
      </c>
      <c r="D6" s="230" t="str">
        <f t="shared" si="1"/>
        <v/>
      </c>
      <c r="E6" s="230">
        <v>10</v>
      </c>
      <c r="F6" s="230">
        <v>10</v>
      </c>
      <c r="G6" s="230" t="s">
        <v>1104</v>
      </c>
      <c r="J6" s="226">
        <f>IF(SF!A6="",0,1&amp;ROW()-1)</f>
        <v>0</v>
      </c>
      <c r="K6" s="226">
        <f t="array" ref="K6">IF(J6=0,0,SUMPRODUCT((Main!$S$60:$U$62=RIGHT(J6,1)*1)*'Misc Inputs'!$B$3:$D$5))</f>
        <v>0</v>
      </c>
    </row>
    <row r="7" spans="1:11" x14ac:dyDescent="0.3">
      <c r="A7" s="230" t="str">
        <f>IF(Main!A119="X",ROW(),"")</f>
        <v/>
      </c>
      <c r="B7" s="230">
        <v>1234567</v>
      </c>
      <c r="C7" s="230" t="str">
        <f t="shared" si="0"/>
        <v/>
      </c>
      <c r="D7" s="230" t="str">
        <f t="shared" si="1"/>
        <v/>
      </c>
      <c r="E7" s="230">
        <v>10</v>
      </c>
      <c r="F7" s="230">
        <v>10</v>
      </c>
      <c r="G7" s="230" t="s">
        <v>1104</v>
      </c>
      <c r="J7" s="226">
        <f>IF(SF!A7="",0,1&amp;ROW()-1)</f>
        <v>0</v>
      </c>
      <c r="K7" s="226">
        <f t="array" ref="K7">IF(J7=0,0,SUMPRODUCT((Main!$S$60:$U$62=RIGHT(J7,1)*1)*'Misc Inputs'!$B$3:$D$5))</f>
        <v>0</v>
      </c>
    </row>
    <row r="8" spans="1:11" x14ac:dyDescent="0.3">
      <c r="A8" s="234" t="str">
        <f>IF(Main!A120="X",ROW(),"")</f>
        <v/>
      </c>
      <c r="B8" s="234">
        <v>1234567</v>
      </c>
      <c r="C8" s="234" t="str">
        <f t="shared" ref="C8" si="2">A8</f>
        <v/>
      </c>
      <c r="D8" s="234" t="str">
        <f t="shared" ref="D8" si="3">A8</f>
        <v/>
      </c>
      <c r="E8" s="234">
        <v>10</v>
      </c>
      <c r="F8" s="234">
        <v>10</v>
      </c>
      <c r="G8" s="234" t="s">
        <v>1104</v>
      </c>
      <c r="J8" s="226">
        <f>IF(SF!A8="",0,1&amp;ROW()-1)</f>
        <v>0</v>
      </c>
      <c r="K8" s="226">
        <f t="array" ref="K8">IF(J8=0,0,SUMPRODUCT((Main!$S$60:$U$62=RIGHT(J8,1)*1)*'Misc Inputs'!$B$3:$D$5))</f>
        <v>0</v>
      </c>
    </row>
    <row r="9" spans="1:11" x14ac:dyDescent="0.3">
      <c r="A9" s="243" t="str">
        <f>IF(Main!J75="SF",ROW(),"")</f>
        <v/>
      </c>
      <c r="B9" s="243">
        <v>1234567</v>
      </c>
      <c r="C9" s="243" t="str">
        <f>A9</f>
        <v/>
      </c>
      <c r="D9" s="243" t="str">
        <f>A9</f>
        <v/>
      </c>
      <c r="E9" s="243">
        <v>10</v>
      </c>
      <c r="F9" s="243">
        <v>10</v>
      </c>
      <c r="G9" s="243" t="s">
        <v>1104</v>
      </c>
      <c r="J9" s="226">
        <f>IF(SF!A9="",0,1&amp;ROW()-1)</f>
        <v>0</v>
      </c>
      <c r="K9" s="226">
        <f t="array" ref="K9">IF(J9=0,0,SUMPRODUCT((Main!$S$60:$U$62=RIGHT(J9,1)*1)*'Misc Inputs'!$B$3:$D$5))</f>
        <v>0</v>
      </c>
    </row>
    <row r="10" spans="1:11" x14ac:dyDescent="0.3">
      <c r="A10" s="1"/>
      <c r="B10" s="1"/>
      <c r="C10" s="1"/>
      <c r="D10" s="1"/>
      <c r="E10" s="1"/>
      <c r="F10" s="1"/>
      <c r="G10" s="1"/>
      <c r="J10" s="226">
        <f>IF(SF!A10="",0,1&amp;ROW()-1)</f>
        <v>0</v>
      </c>
      <c r="K10" s="226">
        <f t="array" ref="K10">IF(J10=0,0,SUMPRODUCT((Main!$S$60:$U$62=RIGHT(J10,1)*1)*'Misc Inputs'!$B$3:$D$5))</f>
        <v>0</v>
      </c>
    </row>
    <row r="11" spans="1:11" x14ac:dyDescent="0.3">
      <c r="A11" s="1"/>
      <c r="B11" s="1"/>
      <c r="C11" s="1"/>
      <c r="D11" s="1"/>
      <c r="E11" s="1"/>
      <c r="F11" s="1"/>
      <c r="G11" s="1"/>
      <c r="J11" s="232">
        <f>IF(SF!A11="",0,SF!A11)</f>
        <v>0</v>
      </c>
      <c r="K11" s="232">
        <v>8</v>
      </c>
    </row>
    <row r="12" spans="1:11" x14ac:dyDescent="0.3">
      <c r="A12" s="1"/>
      <c r="B12" s="1"/>
      <c r="C12" s="1"/>
      <c r="D12" s="1"/>
      <c r="E12" s="1"/>
      <c r="F12" s="1"/>
      <c r="G12" s="1"/>
      <c r="J12" s="230">
        <f>IF(SF!A12="",0,SF!A12)</f>
        <v>0</v>
      </c>
      <c r="K12" s="230">
        <v>8</v>
      </c>
    </row>
    <row r="13" spans="1:11" x14ac:dyDescent="0.3">
      <c r="A13" s="1"/>
      <c r="B13" s="1"/>
      <c r="C13" s="1"/>
      <c r="D13" s="1"/>
      <c r="E13" s="1"/>
      <c r="F13" s="1"/>
      <c r="G13" s="1"/>
      <c r="J13" s="230">
        <f>IF(SF!A13="",0,SF!A13)</f>
        <v>0</v>
      </c>
      <c r="K13" s="230">
        <v>8</v>
      </c>
    </row>
    <row r="14" spans="1:11" x14ac:dyDescent="0.3">
      <c r="A14" s="1"/>
      <c r="B14" s="1"/>
      <c r="C14" s="1"/>
      <c r="D14" s="1"/>
      <c r="E14" s="1"/>
      <c r="F14" s="1"/>
      <c r="G14" s="1"/>
      <c r="J14" s="230">
        <f>IF(SF!A14="",0,SF!A14)</f>
        <v>0</v>
      </c>
      <c r="K14" s="230">
        <v>8</v>
      </c>
    </row>
    <row r="15" spans="1:11" x14ac:dyDescent="0.3">
      <c r="A15" s="1"/>
      <c r="B15" s="1"/>
      <c r="C15" s="1"/>
      <c r="D15" s="1"/>
      <c r="E15" s="1"/>
      <c r="F15" s="1"/>
      <c r="G15" s="1"/>
      <c r="J15" s="230">
        <f>IF(SF!A15="",0,SF!A15)</f>
        <v>0</v>
      </c>
      <c r="K15" s="230">
        <v>8</v>
      </c>
    </row>
    <row r="16" spans="1:11" x14ac:dyDescent="0.3">
      <c r="A16" s="1"/>
      <c r="B16" s="1"/>
      <c r="C16" s="1"/>
      <c r="D16" s="1"/>
      <c r="E16" s="1"/>
      <c r="F16" s="1"/>
      <c r="G16" s="1"/>
      <c r="J16" s="234">
        <f>IF(SF!A16="",0,SF!A16)</f>
        <v>0</v>
      </c>
      <c r="K16" s="234">
        <v>8</v>
      </c>
    </row>
    <row r="17" spans="1:11" x14ac:dyDescent="0.3">
      <c r="A17" s="1"/>
      <c r="B17" s="1"/>
      <c r="C17" s="1"/>
      <c r="D17" s="1"/>
      <c r="E17" s="1"/>
      <c r="F17" s="1"/>
      <c r="G17" s="1"/>
      <c r="J17" s="251">
        <f>IF(SF!A17="",0,SF!A17)</f>
        <v>0</v>
      </c>
      <c r="K17" s="251">
        <v>8</v>
      </c>
    </row>
    <row r="18" spans="1:11" x14ac:dyDescent="0.3">
      <c r="A18" s="1"/>
      <c r="B18" s="1"/>
      <c r="C18" s="1"/>
      <c r="D18" s="1"/>
      <c r="E18" s="1"/>
      <c r="F18" s="1"/>
      <c r="G18" s="1"/>
    </row>
    <row r="19" spans="1:11" x14ac:dyDescent="0.3">
      <c r="A19" s="1"/>
      <c r="B19" s="1"/>
      <c r="C19" s="1"/>
      <c r="D19" s="1"/>
      <c r="E19" s="1"/>
      <c r="F19" s="1"/>
      <c r="G19" s="1"/>
    </row>
    <row r="20" spans="1:11" x14ac:dyDescent="0.3">
      <c r="B20" s="1"/>
      <c r="C20" s="9"/>
    </row>
    <row r="21" spans="1:11" x14ac:dyDescent="0.3">
      <c r="B21" s="1"/>
      <c r="C21" s="9"/>
    </row>
    <row r="22" spans="1:11" x14ac:dyDescent="0.3">
      <c r="B22" s="1"/>
      <c r="C22" s="9"/>
    </row>
    <row r="23" spans="1:11" x14ac:dyDescent="0.3">
      <c r="B23" s="1"/>
      <c r="C23" s="9"/>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048A-9341-4AC0-A9AB-1A4DD05C41A1}">
  <sheetPr codeName="Sheet14"/>
  <dimension ref="A1:C8"/>
  <sheetViews>
    <sheetView workbookViewId="0">
      <selection activeCell="C8" sqref="C8"/>
    </sheetView>
  </sheetViews>
  <sheetFormatPr defaultRowHeight="14.4" x14ac:dyDescent="0.3"/>
  <cols>
    <col min="1" max="1" width="20.33203125" bestFit="1" customWidth="1"/>
    <col min="6" max="6" width="20" bestFit="1" customWidth="1"/>
    <col min="7" max="7" width="13.33203125" bestFit="1" customWidth="1"/>
  </cols>
  <sheetData>
    <row r="1" spans="1:3" x14ac:dyDescent="0.3">
      <c r="A1" s="38" t="s">
        <v>779</v>
      </c>
      <c r="B1" s="38" t="s">
        <v>775</v>
      </c>
      <c r="C1" s="38" t="s">
        <v>780</v>
      </c>
    </row>
    <row r="2" spans="1:3" x14ac:dyDescent="0.3">
      <c r="A2" t="s">
        <v>777</v>
      </c>
      <c r="B2" s="1">
        <f>IF(DayNight="Day",25,25)</f>
        <v>25</v>
      </c>
      <c r="C2" s="9" t="str">
        <f>IF(DayNight="TargetTrain",'Misc Inputs'!C21,'Misc Inputs'!C25)</f>
        <v>"fairy_skill_on_enemy":"[]",</v>
      </c>
    </row>
    <row r="3" spans="1:3" x14ac:dyDescent="0.3">
      <c r="A3" t="s">
        <v>6458</v>
      </c>
      <c r="B3" s="1">
        <f>IF(DayNight="Day",26,28)</f>
        <v>28</v>
      </c>
      <c r="C3" s="9" t="str">
        <f>IF(EchType="SF",SUBSTITUTE('Misc Inputs'!C18,"on_team","on_sangvis"),SUBSTITUTE('Misc Inputs'!C8,"on_team","on_sangvis"))</f>
        <v>"fairy_skill_on_sangvis": "[]",</v>
      </c>
    </row>
    <row r="4" spans="1:3" x14ac:dyDescent="0.3">
      <c r="A4" t="s">
        <v>776</v>
      </c>
      <c r="B4" s="1">
        <f>IF(DayNight="Day",29,31)</f>
        <v>31</v>
      </c>
      <c r="C4" s="9" t="str">
        <f>IF(EchType="G&amp;K",'Misc Inputs'!C18,'Misc Inputs'!C8)</f>
        <v>"fairy_skill_on_team": "[]",</v>
      </c>
    </row>
    <row r="5" spans="1:3" x14ac:dyDescent="0.3">
      <c r="A5" t="s">
        <v>7088</v>
      </c>
      <c r="B5" s="1">
        <f>IF(DayNight="Day",7,5)</f>
        <v>5</v>
      </c>
      <c r="C5" s="9" t="str">
        <f>'Misc Inputs'!$C$31</f>
        <v>"building_info": "{}",</v>
      </c>
    </row>
    <row r="6" spans="1:3" x14ac:dyDescent="0.3">
      <c r="A6" t="s">
        <v>778</v>
      </c>
      <c r="B6" s="1">
        <f>IF(DayNight="Day",64,77)</f>
        <v>77</v>
      </c>
      <c r="C6" s="9" t="str">
        <f>CHAR(34)&amp;A6&amp;CHAR(34)&amp;": "&amp;CHAR(34)&amp;IF(VehicleMode="RangeCombat",1,TurnNum)&amp;CHAR(34)&amp;","</f>
        <v>"turn": "1",</v>
      </c>
    </row>
    <row r="7" spans="1:3" x14ac:dyDescent="0.3">
      <c r="A7" t="s">
        <v>7310</v>
      </c>
      <c r="B7" s="1">
        <f>IF(DayNight="Day",83,79)</f>
        <v>79</v>
      </c>
      <c r="C7" s="9" t="str">
        <f>CHAR(34)&amp;A7&amp;CHAR(34)&amp;": "&amp;CHAR(34)&amp;INDEX('Mapwide Buffs'!H:H,COUNTA('Mapwide Buffs'!A:A))&amp;CHAR(34)</f>
        <v>"fight_environment_group": ""</v>
      </c>
    </row>
    <row r="8" spans="1:3" x14ac:dyDescent="0.3">
      <c r="A8" t="s">
        <v>8553</v>
      </c>
      <c r="B8" s="1">
        <f>IF(DayNight="Day",2,2)</f>
        <v>2</v>
      </c>
      <c r="C8" t="str">
        <f>'Misc Inputs'!$C$37</f>
        <v>"ally_instance_info": "[]",</v>
      </c>
    </row>
  </sheetData>
  <pageMargins left="0.7" right="0.7" top="0.75" bottom="0.75" header="0.3" footer="0.3"/>
  <pageSetup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03BD4-BE4C-49FB-912B-52774826C8B7}">
  <sheetPr codeName="Sheet19"/>
  <dimension ref="A1:F18"/>
  <sheetViews>
    <sheetView workbookViewId="0">
      <selection activeCell="B11" sqref="B11:B18"/>
    </sheetView>
  </sheetViews>
  <sheetFormatPr defaultRowHeight="14.4" x14ac:dyDescent="0.3"/>
  <cols>
    <col min="1" max="2" width="9.109375" style="1"/>
    <col min="3" max="3" width="22.109375" style="9" bestFit="1" customWidth="1"/>
    <col min="4" max="4" width="15.88671875" style="1" bestFit="1" customWidth="1"/>
    <col min="5" max="5" width="9.109375" style="1"/>
  </cols>
  <sheetData>
    <row r="1" spans="1:6" x14ac:dyDescent="0.3">
      <c r="A1" s="38" t="s">
        <v>1767</v>
      </c>
      <c r="B1" s="38" t="s">
        <v>775</v>
      </c>
      <c r="C1" s="38" t="s">
        <v>1770</v>
      </c>
      <c r="D1" s="38" t="s">
        <v>779</v>
      </c>
      <c r="E1" s="38" t="s">
        <v>1769</v>
      </c>
      <c r="F1" s="10"/>
    </row>
    <row r="2" spans="1:6" x14ac:dyDescent="0.3">
      <c r="A2" s="1">
        <v>100</v>
      </c>
      <c r="B2" s="1">
        <v>15</v>
      </c>
      <c r="C2" s="9" t="str">
        <f t="shared" ref="C2:C10" si="0">CHAR(34)&amp;D2&amp;CHAR(34)&amp;": "&amp;CHAR(34)&amp;E2&amp;CHAR(34)&amp;","</f>
        <v>"sangvis_team_id": "0",</v>
      </c>
      <c r="D2" s="1" t="s">
        <v>1768</v>
      </c>
      <c r="E2" s="1">
        <f>SUMPRODUCT('SF Team'!$D$3:$D$8,--(Main!$A$115:$A$120="X"),--(Main!$N$115:$N$120=A2))</f>
        <v>0</v>
      </c>
    </row>
    <row r="3" spans="1:6" x14ac:dyDescent="0.3">
      <c r="A3" s="1">
        <v>101</v>
      </c>
      <c r="B3" s="1">
        <v>39</v>
      </c>
      <c r="C3" s="9" t="str">
        <f t="shared" si="0"/>
        <v>"sangvis_team_id": "0",</v>
      </c>
      <c r="D3" s="1" t="s">
        <v>1768</v>
      </c>
      <c r="E3" s="1">
        <f>SUMPRODUCT('SF Team'!$D$3:$D$8,--(Main!$A$115:$A$120="X"),--(Main!$N$115:$N$120=A3))</f>
        <v>0</v>
      </c>
    </row>
    <row r="4" spans="1:6" x14ac:dyDescent="0.3">
      <c r="A4" s="1">
        <v>102</v>
      </c>
      <c r="B4" s="1">
        <v>63</v>
      </c>
      <c r="C4" s="9" t="str">
        <f t="shared" si="0"/>
        <v>"sangvis_team_id": "0",</v>
      </c>
      <c r="D4" s="1" t="s">
        <v>1768</v>
      </c>
      <c r="E4" s="1">
        <f>SUMPRODUCT('SF Team'!$D$3:$D$8,--(Main!$A$115:$A$120="X"),--(Main!$N$115:$N$120=A4))</f>
        <v>0</v>
      </c>
    </row>
    <row r="5" spans="1:6" x14ac:dyDescent="0.3">
      <c r="A5" s="1">
        <v>104</v>
      </c>
      <c r="B5" s="1">
        <v>111</v>
      </c>
      <c r="C5" s="9" t="str">
        <f t="shared" si="0"/>
        <v>"sangvis_team_id": "0",</v>
      </c>
      <c r="D5" s="1" t="s">
        <v>1768</v>
      </c>
      <c r="E5" s="1">
        <f>SUMPRODUCT('SF Team'!$D$3:$D$8,--(Main!$A$115:$A$120="X"),--(Main!$N$115:$N$120=A5))</f>
        <v>0</v>
      </c>
    </row>
    <row r="6" spans="1:6" x14ac:dyDescent="0.3">
      <c r="A6" s="1">
        <v>105</v>
      </c>
      <c r="B6" s="1">
        <v>135</v>
      </c>
      <c r="C6" s="9" t="str">
        <f t="shared" si="0"/>
        <v>"sangvis_team_id": "0",</v>
      </c>
      <c r="D6" s="1" t="s">
        <v>1768</v>
      </c>
      <c r="E6" s="1">
        <f>SUMPRODUCT('SF Team'!$D$3:$D$8,--(Main!$A$115:$A$120="X"),--(Main!$N$115:$N$120=A6))</f>
        <v>0</v>
      </c>
    </row>
    <row r="7" spans="1:6" x14ac:dyDescent="0.3">
      <c r="A7" s="1">
        <v>106</v>
      </c>
      <c r="B7" s="1">
        <v>159</v>
      </c>
      <c r="C7" s="9" t="str">
        <f t="shared" si="0"/>
        <v>"sangvis_team_id": "0",</v>
      </c>
      <c r="D7" s="1" t="s">
        <v>1768</v>
      </c>
      <c r="E7" s="1">
        <f>SUMPRODUCT('SF Team'!$D$3:$D$8,--(Main!$A$115:$A$120="X"),--(Main!$N$115:$N$120=A7))</f>
        <v>0</v>
      </c>
    </row>
    <row r="8" spans="1:6" x14ac:dyDescent="0.3">
      <c r="A8" s="1">
        <v>107</v>
      </c>
      <c r="B8" s="1">
        <v>183</v>
      </c>
      <c r="C8" s="9" t="str">
        <f t="shared" si="0"/>
        <v>"sangvis_team_id": "0",</v>
      </c>
      <c r="D8" s="1" t="s">
        <v>1768</v>
      </c>
      <c r="E8" s="1">
        <f>SUMPRODUCT('SF Team'!$D$3:$D$8,--(Main!$A$115:$A$120="X"),--(Main!$N$115:$N$120=A8))</f>
        <v>0</v>
      </c>
    </row>
    <row r="9" spans="1:6" x14ac:dyDescent="0.3">
      <c r="A9" s="1">
        <v>99</v>
      </c>
      <c r="B9" s="1">
        <v>202</v>
      </c>
      <c r="C9" s="9" t="str">
        <f t="shared" si="0"/>
        <v>"sangvis_team_id": "0",</v>
      </c>
      <c r="D9" s="1" t="s">
        <v>1768</v>
      </c>
      <c r="E9" s="1">
        <f>SUMPRODUCT('SF Team'!$D$3:$D$8,--(Main!$A$115:$A$120="X"),--(Main!$N$115:$N$120=A9))</f>
        <v>0</v>
      </c>
    </row>
    <row r="10" spans="1:6" x14ac:dyDescent="0.3">
      <c r="A10" s="1">
        <v>103</v>
      </c>
      <c r="B10" s="1">
        <v>85</v>
      </c>
      <c r="C10" s="9" t="str">
        <f t="shared" si="0"/>
        <v>"seed": "1234",</v>
      </c>
      <c r="D10" s="1" t="s">
        <v>6514</v>
      </c>
      <c r="E10" s="1">
        <f>SeedNum</f>
        <v>1234</v>
      </c>
    </row>
    <row r="11" spans="1:6" x14ac:dyDescent="0.3">
      <c r="A11" s="1">
        <f>A2</f>
        <v>100</v>
      </c>
      <c r="B11" s="1">
        <f>B2+1</f>
        <v>16</v>
      </c>
      <c r="C11" s="9" t="str">
        <f t="shared" ref="C11" si="1">CHAR(34)&amp;D11&amp;CHAR(34)&amp;": ["&amp;E11&amp;"],"</f>
        <v>"ally_instance_ids": [],</v>
      </c>
      <c r="D11" s="1" t="s">
        <v>8554</v>
      </c>
      <c r="E11" s="1" t="str">
        <f>IF(DayNight&lt;&gt;"Day","",_xlfn.IFNA(MATCH(A11,Main!$I$126:$I$128,0),""))</f>
        <v/>
      </c>
    </row>
    <row r="12" spans="1:6" x14ac:dyDescent="0.3">
      <c r="A12" s="1">
        <f t="shared" ref="A12" si="2">A3</f>
        <v>101</v>
      </c>
      <c r="B12" s="1">
        <f t="shared" ref="B12:B18" si="3">B3+1</f>
        <v>40</v>
      </c>
      <c r="C12" s="9" t="str">
        <f t="shared" ref="C12:C18" si="4">CHAR(34)&amp;D12&amp;CHAR(34)&amp;": ["&amp;E12&amp;"],"</f>
        <v>"ally_instance_ids": [],</v>
      </c>
      <c r="D12" s="1" t="s">
        <v>8554</v>
      </c>
      <c r="E12" s="1" t="str">
        <f>IF(DayNight&lt;&gt;"Day","",_xlfn.IFNA(MATCH(A12,Main!$I$126:$I$128,0),""))</f>
        <v/>
      </c>
    </row>
    <row r="13" spans="1:6" x14ac:dyDescent="0.3">
      <c r="A13" s="1">
        <f t="shared" ref="A13" si="5">A4</f>
        <v>102</v>
      </c>
      <c r="B13" s="1">
        <f t="shared" si="3"/>
        <v>64</v>
      </c>
      <c r="C13" s="9" t="str">
        <f t="shared" si="4"/>
        <v>"ally_instance_ids": [],</v>
      </c>
      <c r="D13" s="1" t="s">
        <v>8554</v>
      </c>
      <c r="E13" s="1" t="str">
        <f>IF(DayNight&lt;&gt;"Day","",_xlfn.IFNA(MATCH(A13,Main!$I$126:$I$128,0),""))</f>
        <v/>
      </c>
    </row>
    <row r="14" spans="1:6" x14ac:dyDescent="0.3">
      <c r="A14" s="1">
        <f t="shared" ref="A14" si="6">A5</f>
        <v>104</v>
      </c>
      <c r="B14" s="1">
        <f t="shared" si="3"/>
        <v>112</v>
      </c>
      <c r="C14" s="9" t="str">
        <f t="shared" si="4"/>
        <v>"ally_instance_ids": [],</v>
      </c>
      <c r="D14" s="1" t="s">
        <v>8554</v>
      </c>
      <c r="E14" s="1" t="str">
        <f>IF(DayNight&lt;&gt;"Day","",_xlfn.IFNA(MATCH(A14,Main!$I$126:$I$128,0),""))</f>
        <v/>
      </c>
    </row>
    <row r="15" spans="1:6" x14ac:dyDescent="0.3">
      <c r="A15" s="1">
        <f t="shared" ref="A15" si="7">A6</f>
        <v>105</v>
      </c>
      <c r="B15" s="1">
        <f t="shared" si="3"/>
        <v>136</v>
      </c>
      <c r="C15" s="9" t="str">
        <f t="shared" si="4"/>
        <v>"ally_instance_ids": [],</v>
      </c>
      <c r="D15" s="1" t="s">
        <v>8554</v>
      </c>
      <c r="E15" s="1" t="str">
        <f>IF(DayNight&lt;&gt;"Day","",_xlfn.IFNA(MATCH(A15,Main!$I$126:$I$128,0),""))</f>
        <v/>
      </c>
    </row>
    <row r="16" spans="1:6" x14ac:dyDescent="0.3">
      <c r="A16" s="1">
        <f t="shared" ref="A16" si="8">A7</f>
        <v>106</v>
      </c>
      <c r="B16" s="1">
        <f t="shared" si="3"/>
        <v>160</v>
      </c>
      <c r="C16" s="9" t="str">
        <f t="shared" si="4"/>
        <v>"ally_instance_ids": [],</v>
      </c>
      <c r="D16" s="1" t="s">
        <v>8554</v>
      </c>
      <c r="E16" s="1" t="str">
        <f>IF(DayNight&lt;&gt;"Day","",_xlfn.IFNA(MATCH(A16,Main!$I$126:$I$128,0),""))</f>
        <v/>
      </c>
    </row>
    <row r="17" spans="1:5" x14ac:dyDescent="0.3">
      <c r="A17" s="1">
        <f t="shared" ref="A17" si="9">A8</f>
        <v>107</v>
      </c>
      <c r="B17" s="1">
        <f t="shared" si="3"/>
        <v>184</v>
      </c>
      <c r="C17" s="9" t="str">
        <f t="shared" si="4"/>
        <v>"ally_instance_ids": [],</v>
      </c>
      <c r="D17" s="1" t="s">
        <v>8554</v>
      </c>
      <c r="E17" s="1" t="str">
        <f>IF(DayNight&lt;&gt;"Day","",_xlfn.IFNA(MATCH(A17,Main!$I$126:$I$128,0),""))</f>
        <v/>
      </c>
    </row>
    <row r="18" spans="1:5" x14ac:dyDescent="0.3">
      <c r="A18" s="1">
        <f t="shared" ref="A18" si="10">A9</f>
        <v>99</v>
      </c>
      <c r="B18" s="1">
        <f t="shared" si="3"/>
        <v>203</v>
      </c>
      <c r="C18" s="9" t="str">
        <f t="shared" si="4"/>
        <v>"ally_instance_ids": [],</v>
      </c>
      <c r="D18" s="1" t="s">
        <v>8554</v>
      </c>
      <c r="E18" s="1" t="str">
        <f>IF(DayNight&lt;&gt;"Day","",_xlfn.IFNA(MATCH(A18,Main!$I$126:$I$128,0),""))</f>
        <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48B47-01E4-49D2-A508-5F8FCBBD87A0}">
  <sheetPr codeName="Sheet26"/>
  <dimension ref="A1:T62"/>
  <sheetViews>
    <sheetView topLeftCell="A37" workbookViewId="0">
      <selection activeCell="B33" sqref="B33:B62"/>
    </sheetView>
  </sheetViews>
  <sheetFormatPr defaultRowHeight="14.4" x14ac:dyDescent="0.3"/>
  <cols>
    <col min="1" max="2" width="9.109375" style="1"/>
    <col min="3" max="3" width="22.109375" style="9" bestFit="1" customWidth="1"/>
    <col min="4" max="4" width="16.33203125" style="1" bestFit="1" customWidth="1"/>
    <col min="5" max="5" width="9.109375" style="1"/>
  </cols>
  <sheetData>
    <row r="1" spans="1:20" x14ac:dyDescent="0.3">
      <c r="A1" s="38" t="s">
        <v>1767</v>
      </c>
      <c r="B1" s="38" t="s">
        <v>775</v>
      </c>
      <c r="C1" s="38" t="s">
        <v>1770</v>
      </c>
      <c r="D1" s="38" t="s">
        <v>779</v>
      </c>
      <c r="E1" s="38" t="s">
        <v>1769</v>
      </c>
      <c r="F1" s="10"/>
      <c r="M1" s="1"/>
      <c r="T1" s="10"/>
    </row>
    <row r="2" spans="1:20" x14ac:dyDescent="0.3">
      <c r="A2" s="1">
        <v>7117</v>
      </c>
      <c r="B2" s="1">
        <v>15</v>
      </c>
      <c r="C2" s="9" t="str">
        <f t="shared" ref="C2:C32" si="0">CHAR(34)&amp;D2&amp;CHAR(34)&amp;": "&amp;CHAR(34)&amp;E2&amp;CHAR(34)&amp;","</f>
        <v>"sangvis_team_id": "0",</v>
      </c>
      <c r="D2" s="1" t="s">
        <v>1768</v>
      </c>
      <c r="E2" s="1">
        <f>SUMPRODUCT('SF Team'!$D$3:$D$7,--(Main!$A$115:$A$119="X"),--(Main!$N$115:$N$119=A2))</f>
        <v>0</v>
      </c>
      <c r="F2" s="1"/>
      <c r="M2" s="1"/>
    </row>
    <row r="3" spans="1:20" x14ac:dyDescent="0.3">
      <c r="A3" s="1">
        <v>7118</v>
      </c>
      <c r="B3" s="1">
        <v>39</v>
      </c>
      <c r="C3" s="9" t="str">
        <f t="shared" si="0"/>
        <v>"sangvis_team_id": "0",</v>
      </c>
      <c r="D3" s="1" t="s">
        <v>1768</v>
      </c>
      <c r="E3" s="1">
        <f>SUMPRODUCT('SF Team'!$D$3:$D$7,--(Main!$A$115:$A$119="X"),--(Main!$N$115:$N$119=A3))</f>
        <v>0</v>
      </c>
      <c r="F3" s="1"/>
      <c r="M3" s="1"/>
    </row>
    <row r="4" spans="1:20" x14ac:dyDescent="0.3">
      <c r="A4" s="1">
        <v>7119</v>
      </c>
      <c r="B4" s="1">
        <v>63</v>
      </c>
      <c r="C4" s="9" t="str">
        <f t="shared" si="0"/>
        <v>"sangvis_team_id": "0",</v>
      </c>
      <c r="D4" s="1" t="s">
        <v>1768</v>
      </c>
      <c r="E4" s="1">
        <f>SUMPRODUCT('SF Team'!$D$3:$D$7,--(Main!$A$115:$A$119="X"),--(Main!$N$115:$N$119=A4))</f>
        <v>0</v>
      </c>
      <c r="F4" s="1"/>
      <c r="M4" s="1"/>
    </row>
    <row r="5" spans="1:20" x14ac:dyDescent="0.3">
      <c r="A5" s="1">
        <v>7120</v>
      </c>
      <c r="B5" s="1">
        <v>87</v>
      </c>
      <c r="C5" s="9" t="str">
        <f t="shared" si="0"/>
        <v>"sangvis_team_id": "0",</v>
      </c>
      <c r="D5" s="1" t="s">
        <v>1768</v>
      </c>
      <c r="E5" s="1">
        <f>SUMPRODUCT('SF Team'!$D$3:$D$7,--(Main!$A$115:$A$119="X"),--(Main!$N$115:$N$119=A5))</f>
        <v>0</v>
      </c>
      <c r="F5" s="1"/>
      <c r="M5" s="1"/>
    </row>
    <row r="6" spans="1:20" x14ac:dyDescent="0.3">
      <c r="A6" s="1">
        <v>7121</v>
      </c>
      <c r="B6" s="1">
        <v>111</v>
      </c>
      <c r="C6" s="9" t="str">
        <f t="shared" si="0"/>
        <v>"sangvis_team_id": "0",</v>
      </c>
      <c r="D6" s="1" t="s">
        <v>1768</v>
      </c>
      <c r="E6" s="1">
        <f>SUMPRODUCT('SF Team'!$D$3:$D$7,--(Main!$A$115:$A$119="X"),--(Main!$N$115:$N$119=A6))</f>
        <v>0</v>
      </c>
      <c r="F6" s="1"/>
      <c r="M6" s="1"/>
    </row>
    <row r="7" spans="1:20" x14ac:dyDescent="0.3">
      <c r="A7" s="1">
        <v>7122</v>
      </c>
      <c r="B7" s="1">
        <v>135</v>
      </c>
      <c r="C7" s="9" t="str">
        <f t="shared" si="0"/>
        <v>"sangvis_team_id": "0",</v>
      </c>
      <c r="D7" s="1" t="s">
        <v>1768</v>
      </c>
      <c r="E7" s="1">
        <f>SUMPRODUCT('SF Team'!$D$3:$D$7,--(Main!$A$115:$A$119="X"),--(Main!$N$115:$N$119=A7))</f>
        <v>0</v>
      </c>
      <c r="F7" s="1"/>
      <c r="M7" s="1"/>
    </row>
    <row r="8" spans="1:20" x14ac:dyDescent="0.3">
      <c r="A8" s="1">
        <v>7123</v>
      </c>
      <c r="B8" s="1">
        <v>159</v>
      </c>
      <c r="C8" s="9" t="str">
        <f t="shared" si="0"/>
        <v>"sangvis_team_id": "0",</v>
      </c>
      <c r="D8" s="1" t="s">
        <v>1768</v>
      </c>
      <c r="E8" s="1">
        <f>SUMPRODUCT('SF Team'!$D$3:$D$7,--(Main!$A$115:$A$119="X"),--(Main!$N$115:$N$119=A8))</f>
        <v>0</v>
      </c>
      <c r="F8" s="1"/>
      <c r="M8" s="1"/>
    </row>
    <row r="9" spans="1:20" x14ac:dyDescent="0.3">
      <c r="A9" s="1">
        <v>7124</v>
      </c>
      <c r="B9" s="1">
        <v>183</v>
      </c>
      <c r="C9" s="9" t="str">
        <f t="shared" si="0"/>
        <v>"sangvis_team_id": "0",</v>
      </c>
      <c r="D9" s="1" t="s">
        <v>1768</v>
      </c>
      <c r="E9" s="1">
        <f>SUMPRODUCT('SF Team'!$D$3:$D$7,--(Main!$A$115:$A$119="X"),--(Main!$N$115:$N$119=A9))</f>
        <v>0</v>
      </c>
      <c r="F9" s="1"/>
      <c r="M9" s="1"/>
    </row>
    <row r="10" spans="1:20" x14ac:dyDescent="0.3">
      <c r="A10" s="1">
        <v>7126</v>
      </c>
      <c r="B10" s="1">
        <v>207</v>
      </c>
      <c r="C10" s="9" t="str">
        <f t="shared" si="0"/>
        <v>"sangvis_team_id": "0",</v>
      </c>
      <c r="D10" s="1" t="s">
        <v>1768</v>
      </c>
      <c r="E10" s="1">
        <f>SUMPRODUCT('SF Team'!$D$3:$D$7,--(Main!$A$115:$A$119="X"),--(Main!$N$115:$N$119=A10))</f>
        <v>0</v>
      </c>
      <c r="F10" s="1"/>
    </row>
    <row r="11" spans="1:20" x14ac:dyDescent="0.3">
      <c r="A11" s="1">
        <v>7127</v>
      </c>
      <c r="B11" s="1">
        <v>231</v>
      </c>
      <c r="C11" s="9" t="str">
        <f t="shared" si="0"/>
        <v>"sangvis_team_id": "0",</v>
      </c>
      <c r="D11" s="1" t="s">
        <v>1768</v>
      </c>
      <c r="E11" s="1">
        <f>SUMPRODUCT('SF Team'!$D$3:$D$7,--(Main!$A$115:$A$119="X"),--(Main!$N$115:$N$119=A11))</f>
        <v>0</v>
      </c>
      <c r="F11" s="1"/>
    </row>
    <row r="12" spans="1:20" x14ac:dyDescent="0.3">
      <c r="A12" s="1">
        <v>7128</v>
      </c>
      <c r="B12" s="1">
        <v>255</v>
      </c>
      <c r="C12" s="9" t="str">
        <f t="shared" si="0"/>
        <v>"sangvis_team_id": "0",</v>
      </c>
      <c r="D12" s="1" t="s">
        <v>1768</v>
      </c>
      <c r="E12" s="1">
        <f>SUMPRODUCT('SF Team'!$D$3:$D$7,--(Main!$A$115:$A$119="X"),--(Main!$N$115:$N$119=A12))</f>
        <v>0</v>
      </c>
      <c r="F12" s="1"/>
    </row>
    <row r="13" spans="1:20" x14ac:dyDescent="0.3">
      <c r="A13" s="1">
        <v>7129</v>
      </c>
      <c r="B13" s="1">
        <v>279</v>
      </c>
      <c r="C13" s="9" t="str">
        <f t="shared" si="0"/>
        <v>"sangvis_team_id": "0",</v>
      </c>
      <c r="D13" s="1" t="s">
        <v>1768</v>
      </c>
      <c r="E13" s="1">
        <f>SUMPRODUCT('SF Team'!$D$3:$D$7,--(Main!$A$115:$A$119="X"),--(Main!$N$115:$N$119=A13))</f>
        <v>0</v>
      </c>
      <c r="F13" s="1"/>
    </row>
    <row r="14" spans="1:20" x14ac:dyDescent="0.3">
      <c r="A14" s="1">
        <v>7130</v>
      </c>
      <c r="B14" s="1">
        <v>303</v>
      </c>
      <c r="C14" s="9" t="str">
        <f t="shared" si="0"/>
        <v>"sangvis_team_id": "0",</v>
      </c>
      <c r="D14" s="1" t="s">
        <v>1768</v>
      </c>
      <c r="E14" s="1">
        <f>SUMPRODUCT('SF Team'!$D$3:$D$7,--(Main!$A$115:$A$119="X"),--(Main!$N$115:$N$119=A14))</f>
        <v>0</v>
      </c>
      <c r="F14" s="1"/>
    </row>
    <row r="15" spans="1:20" x14ac:dyDescent="0.3">
      <c r="A15" s="1">
        <v>7131</v>
      </c>
      <c r="B15" s="1">
        <v>327</v>
      </c>
      <c r="C15" s="9" t="str">
        <f t="shared" si="0"/>
        <v>"sangvis_team_id": "0",</v>
      </c>
      <c r="D15" s="1" t="s">
        <v>1768</v>
      </c>
      <c r="E15" s="1">
        <f>SUMPRODUCT('SF Team'!$D$3:$D$7,--(Main!$A$115:$A$119="X"),--(Main!$N$115:$N$119=A15))</f>
        <v>0</v>
      </c>
      <c r="F15" s="1"/>
    </row>
    <row r="16" spans="1:20" x14ac:dyDescent="0.3">
      <c r="A16" s="1">
        <v>7132</v>
      </c>
      <c r="B16" s="1">
        <v>351</v>
      </c>
      <c r="C16" s="9" t="str">
        <f t="shared" si="0"/>
        <v>"sangvis_team_id": "0",</v>
      </c>
      <c r="D16" s="1" t="s">
        <v>1768</v>
      </c>
      <c r="E16" s="1">
        <f>SUMPRODUCT('SF Team'!$D$3:$D$7,--(Main!$A$115:$A$119="X"),--(Main!$N$115:$N$119=A16))</f>
        <v>0</v>
      </c>
      <c r="F16" s="1"/>
    </row>
    <row r="17" spans="1:6" x14ac:dyDescent="0.3">
      <c r="A17" s="1">
        <v>7133</v>
      </c>
      <c r="B17" s="1">
        <v>375</v>
      </c>
      <c r="C17" s="9" t="str">
        <f t="shared" si="0"/>
        <v>"sangvis_team_id": "0",</v>
      </c>
      <c r="D17" s="1" t="s">
        <v>1768</v>
      </c>
      <c r="E17" s="1">
        <f>SUMPRODUCT('SF Team'!$D$3:$D$7,--(Main!$A$115:$A$119="X"),--(Main!$N$115:$N$119=A17))</f>
        <v>0</v>
      </c>
      <c r="F17" s="1"/>
    </row>
    <row r="18" spans="1:6" x14ac:dyDescent="0.3">
      <c r="A18" s="1">
        <v>7134</v>
      </c>
      <c r="B18" s="1">
        <v>399</v>
      </c>
      <c r="C18" s="9" t="str">
        <f t="shared" si="0"/>
        <v>"sangvis_team_id": "0",</v>
      </c>
      <c r="D18" s="1" t="s">
        <v>1768</v>
      </c>
      <c r="E18" s="1">
        <f>SUMPRODUCT('SF Team'!$D$3:$D$7,--(Main!$A$115:$A$119="X"),--(Main!$N$115:$N$119=A18))</f>
        <v>0</v>
      </c>
      <c r="F18" s="1"/>
    </row>
    <row r="19" spans="1:6" x14ac:dyDescent="0.3">
      <c r="A19" s="1">
        <v>7135</v>
      </c>
      <c r="B19" s="1">
        <v>423</v>
      </c>
      <c r="C19" s="9" t="str">
        <f t="shared" si="0"/>
        <v>"sangvis_team_id": "0",</v>
      </c>
      <c r="D19" s="1" t="s">
        <v>1768</v>
      </c>
      <c r="E19" s="1">
        <f>SUMPRODUCT('SF Team'!$D$3:$D$7,--(Main!$A$115:$A$119="X"),--(Main!$N$115:$N$119=A19))</f>
        <v>0</v>
      </c>
      <c r="F19" s="1"/>
    </row>
    <row r="20" spans="1:6" x14ac:dyDescent="0.3">
      <c r="A20" s="1">
        <v>7136</v>
      </c>
      <c r="B20" s="1">
        <v>447</v>
      </c>
      <c r="C20" s="9" t="str">
        <f t="shared" si="0"/>
        <v>"sangvis_team_id": "0",</v>
      </c>
      <c r="D20" s="1" t="s">
        <v>1768</v>
      </c>
      <c r="E20" s="1">
        <f>SUMPRODUCT('SF Team'!$D$3:$D$7,--(Main!$A$115:$A$119="X"),--(Main!$N$115:$N$119=A20))</f>
        <v>0</v>
      </c>
      <c r="F20" s="1"/>
    </row>
    <row r="21" spans="1:6" x14ac:dyDescent="0.3">
      <c r="A21" s="1">
        <v>7137</v>
      </c>
      <c r="B21" s="1">
        <v>471</v>
      </c>
      <c r="C21" s="9" t="str">
        <f t="shared" si="0"/>
        <v>"sangvis_team_id": "0",</v>
      </c>
      <c r="D21" s="1" t="s">
        <v>1768</v>
      </c>
      <c r="E21" s="1">
        <f>SUMPRODUCT('SF Team'!$D$3:$D$7,--(Main!$A$115:$A$119="X"),--(Main!$N$115:$N$119=A21))</f>
        <v>0</v>
      </c>
      <c r="F21" s="1"/>
    </row>
    <row r="22" spans="1:6" x14ac:dyDescent="0.3">
      <c r="A22" s="1">
        <v>7138</v>
      </c>
      <c r="B22" s="1">
        <v>495</v>
      </c>
      <c r="C22" s="9" t="str">
        <f t="shared" si="0"/>
        <v>"sangvis_team_id": "0",</v>
      </c>
      <c r="D22" s="1" t="s">
        <v>1768</v>
      </c>
      <c r="E22" s="1">
        <f>SUMPRODUCT('SF Team'!$D$3:$D$7,--(Main!$A$115:$A$119="X"),--(Main!$N$115:$N$119=A22))</f>
        <v>0</v>
      </c>
      <c r="F22" s="1"/>
    </row>
    <row r="23" spans="1:6" x14ac:dyDescent="0.3">
      <c r="A23" s="1">
        <v>7139</v>
      </c>
      <c r="B23" s="1">
        <v>519</v>
      </c>
      <c r="C23" s="9" t="str">
        <f t="shared" si="0"/>
        <v>"sangvis_team_id": "0",</v>
      </c>
      <c r="D23" s="1" t="s">
        <v>1768</v>
      </c>
      <c r="E23" s="1">
        <f>SUMPRODUCT('SF Team'!$D$3:$D$7,--(Main!$A$115:$A$119="X"),--(Main!$N$115:$N$119=A23))</f>
        <v>0</v>
      </c>
      <c r="F23" s="1"/>
    </row>
    <row r="24" spans="1:6" x14ac:dyDescent="0.3">
      <c r="A24" s="1">
        <v>7140</v>
      </c>
      <c r="B24" s="1">
        <v>543</v>
      </c>
      <c r="C24" s="9" t="str">
        <f t="shared" si="0"/>
        <v>"sangvis_team_id": "0",</v>
      </c>
      <c r="D24" s="1" t="s">
        <v>1768</v>
      </c>
      <c r="E24" s="1">
        <f>SUMPRODUCT('SF Team'!$D$3:$D$7,--(Main!$A$115:$A$119="X"),--(Main!$N$115:$N$119=A24))</f>
        <v>0</v>
      </c>
      <c r="F24" s="1"/>
    </row>
    <row r="25" spans="1:6" x14ac:dyDescent="0.3">
      <c r="A25" s="1">
        <v>7141</v>
      </c>
      <c r="B25" s="1">
        <v>567</v>
      </c>
      <c r="C25" s="9" t="str">
        <f t="shared" si="0"/>
        <v>"sangvis_team_id": "0",</v>
      </c>
      <c r="D25" s="1" t="s">
        <v>1768</v>
      </c>
      <c r="E25" s="1">
        <f>SUMPRODUCT('SF Team'!$D$3:$D$7,--(Main!$A$115:$A$119="X"),--(Main!$N$115:$N$119=A25))</f>
        <v>0</v>
      </c>
      <c r="F25" s="1"/>
    </row>
    <row r="26" spans="1:6" x14ac:dyDescent="0.3">
      <c r="A26" s="1">
        <v>7142</v>
      </c>
      <c r="B26" s="1">
        <v>591</v>
      </c>
      <c r="C26" s="9" t="str">
        <f t="shared" si="0"/>
        <v>"sangvis_team_id": "0",</v>
      </c>
      <c r="D26" s="1" t="s">
        <v>1768</v>
      </c>
      <c r="E26" s="1">
        <f>SUMPRODUCT('SF Team'!$D$3:$D$7,--(Main!$A$115:$A$119="X"),--(Main!$N$115:$N$119=A26))</f>
        <v>0</v>
      </c>
      <c r="F26" s="1"/>
    </row>
    <row r="27" spans="1:6" x14ac:dyDescent="0.3">
      <c r="A27" s="1">
        <v>7143</v>
      </c>
      <c r="B27" s="1">
        <v>615</v>
      </c>
      <c r="C27" s="9" t="str">
        <f t="shared" si="0"/>
        <v>"sangvis_team_id": "0",</v>
      </c>
      <c r="D27" s="1" t="s">
        <v>1768</v>
      </c>
      <c r="E27" s="1">
        <f>SUMPRODUCT('SF Team'!$D$3:$D$7,--(Main!$A$115:$A$119="X"),--(Main!$N$115:$N$119=A27))</f>
        <v>0</v>
      </c>
      <c r="F27" s="1"/>
    </row>
    <row r="28" spans="1:6" x14ac:dyDescent="0.3">
      <c r="A28" s="1">
        <v>7144</v>
      </c>
      <c r="B28" s="1">
        <v>639</v>
      </c>
      <c r="C28" s="9" t="str">
        <f t="shared" si="0"/>
        <v>"sangvis_team_id": "0",</v>
      </c>
      <c r="D28" s="1" t="s">
        <v>1768</v>
      </c>
      <c r="E28" s="1">
        <f>SUMPRODUCT('SF Team'!$D$3:$D$7,--(Main!$A$115:$A$119="X"),--(Main!$N$115:$N$119=A28))</f>
        <v>0</v>
      </c>
      <c r="F28" s="1"/>
    </row>
    <row r="29" spans="1:6" x14ac:dyDescent="0.3">
      <c r="A29" s="1">
        <v>7145</v>
      </c>
      <c r="B29" s="1">
        <v>663</v>
      </c>
      <c r="C29" s="9" t="str">
        <f t="shared" si="0"/>
        <v>"sangvis_team_id": "0",</v>
      </c>
      <c r="D29" s="1" t="s">
        <v>1768</v>
      </c>
      <c r="E29" s="1">
        <f>SUMPRODUCT('SF Team'!$D$3:$D$7,--(Main!$A$115:$A$119="X"),--(Main!$N$115:$N$119=A29))</f>
        <v>0</v>
      </c>
      <c r="F29" s="1"/>
    </row>
    <row r="30" spans="1:6" x14ac:dyDescent="0.3">
      <c r="A30" s="1">
        <v>7146</v>
      </c>
      <c r="B30" s="1">
        <v>687</v>
      </c>
      <c r="C30" s="9" t="str">
        <f t="shared" si="0"/>
        <v>"sangvis_team_id": "0",</v>
      </c>
      <c r="D30" s="1" t="s">
        <v>1768</v>
      </c>
      <c r="E30" s="1">
        <f>SUMPRODUCT('SF Team'!$D$3:$D$7,--(Main!$A$115:$A$119="X"),--(Main!$N$115:$N$119=A30))</f>
        <v>0</v>
      </c>
      <c r="F30" s="1"/>
    </row>
    <row r="31" spans="1:6" x14ac:dyDescent="0.3">
      <c r="A31" s="1">
        <v>7125</v>
      </c>
      <c r="B31" s="1">
        <v>711</v>
      </c>
      <c r="C31" s="9" t="str">
        <f t="shared" si="0"/>
        <v>"sangvis_team_id": "0",</v>
      </c>
      <c r="D31" s="1" t="s">
        <v>1768</v>
      </c>
      <c r="E31" s="1">
        <f>SUMPRODUCT('SF Team'!$D$3:$D$7,--(Main!$A$115:$A$119="X"),--(Main!$N$115:$N$119=A31))</f>
        <v>0</v>
      </c>
      <c r="F31" s="1"/>
    </row>
    <row r="32" spans="1:6" x14ac:dyDescent="0.3">
      <c r="A32" s="1">
        <v>7123</v>
      </c>
      <c r="B32" s="1">
        <v>157</v>
      </c>
      <c r="C32" s="9" t="str">
        <f t="shared" si="0"/>
        <v>"seed": "1234",</v>
      </c>
      <c r="D32" s="1" t="s">
        <v>6514</v>
      </c>
      <c r="E32" s="1">
        <f>SeedNum</f>
        <v>1234</v>
      </c>
      <c r="F32" s="1"/>
    </row>
    <row r="33" spans="1:5" x14ac:dyDescent="0.3">
      <c r="A33" s="1">
        <f>A2</f>
        <v>7117</v>
      </c>
      <c r="B33" s="1">
        <f>B2+1</f>
        <v>16</v>
      </c>
      <c r="C33" s="9" t="str">
        <f>CHAR(34)&amp;D33&amp;CHAR(34)&amp;": ["&amp;E33&amp;"],"</f>
        <v>"ally_instance_ids": [],</v>
      </c>
      <c r="D33" s="1" t="s">
        <v>8554</v>
      </c>
      <c r="E33" s="1" t="str">
        <f>IF(DayNight&lt;&gt;"Night","",_xlfn.IFNA(MATCH(A33,Main!$I$126:$I$128,0),""))</f>
        <v/>
      </c>
    </row>
    <row r="34" spans="1:5" x14ac:dyDescent="0.3">
      <c r="A34" s="1">
        <f t="shared" ref="A34" si="1">A3</f>
        <v>7118</v>
      </c>
      <c r="B34" s="1">
        <f t="shared" ref="B34:B62" si="2">B3+1</f>
        <v>40</v>
      </c>
      <c r="C34" s="9" t="str">
        <f t="shared" ref="C34:C62" si="3">CHAR(34)&amp;D34&amp;CHAR(34)&amp;": ["&amp;E34&amp;"],"</f>
        <v>"ally_instance_ids": [],</v>
      </c>
      <c r="D34" s="1" t="s">
        <v>8554</v>
      </c>
      <c r="E34" s="1" t="str">
        <f>IF(DayNight&lt;&gt;"Night","",_xlfn.IFNA(MATCH(A34,Main!$I$126:$I$128,0),""))</f>
        <v/>
      </c>
    </row>
    <row r="35" spans="1:5" x14ac:dyDescent="0.3">
      <c r="A35" s="1">
        <f t="shared" ref="A35" si="4">A4</f>
        <v>7119</v>
      </c>
      <c r="B35" s="1">
        <f t="shared" si="2"/>
        <v>64</v>
      </c>
      <c r="C35" s="9" t="str">
        <f t="shared" si="3"/>
        <v>"ally_instance_ids": [],</v>
      </c>
      <c r="D35" s="1" t="s">
        <v>8554</v>
      </c>
      <c r="E35" s="1" t="str">
        <f>IF(DayNight&lt;&gt;"Night","",_xlfn.IFNA(MATCH(A35,Main!$I$126:$I$128,0),""))</f>
        <v/>
      </c>
    </row>
    <row r="36" spans="1:5" x14ac:dyDescent="0.3">
      <c r="A36" s="1">
        <f t="shared" ref="A36" si="5">A5</f>
        <v>7120</v>
      </c>
      <c r="B36" s="1">
        <f t="shared" si="2"/>
        <v>88</v>
      </c>
      <c r="C36" s="9" t="str">
        <f t="shared" si="3"/>
        <v>"ally_instance_ids": [],</v>
      </c>
      <c r="D36" s="1" t="s">
        <v>8554</v>
      </c>
      <c r="E36" s="1" t="str">
        <f>IF(DayNight&lt;&gt;"Night","",_xlfn.IFNA(MATCH(A36,Main!$I$126:$I$128,0),""))</f>
        <v/>
      </c>
    </row>
    <row r="37" spans="1:5" x14ac:dyDescent="0.3">
      <c r="A37" s="1">
        <f t="shared" ref="A37" si="6">A6</f>
        <v>7121</v>
      </c>
      <c r="B37" s="1">
        <f t="shared" si="2"/>
        <v>112</v>
      </c>
      <c r="C37" s="9" t="str">
        <f t="shared" si="3"/>
        <v>"ally_instance_ids": [],</v>
      </c>
      <c r="D37" s="1" t="s">
        <v>8554</v>
      </c>
      <c r="E37" s="1" t="str">
        <f>IF(DayNight&lt;&gt;"Night","",_xlfn.IFNA(MATCH(A37,Main!$I$126:$I$128,0),""))</f>
        <v/>
      </c>
    </row>
    <row r="38" spans="1:5" x14ac:dyDescent="0.3">
      <c r="A38" s="1">
        <f t="shared" ref="A38" si="7">A7</f>
        <v>7122</v>
      </c>
      <c r="B38" s="1">
        <f t="shared" si="2"/>
        <v>136</v>
      </c>
      <c r="C38" s="9" t="str">
        <f t="shared" si="3"/>
        <v>"ally_instance_ids": [],</v>
      </c>
      <c r="D38" s="1" t="s">
        <v>8554</v>
      </c>
      <c r="E38" s="1" t="str">
        <f>IF(DayNight&lt;&gt;"Night","",_xlfn.IFNA(MATCH(A38,Main!$I$126:$I$128,0),""))</f>
        <v/>
      </c>
    </row>
    <row r="39" spans="1:5" x14ac:dyDescent="0.3">
      <c r="A39" s="1">
        <f t="shared" ref="A39" si="8">A8</f>
        <v>7123</v>
      </c>
      <c r="B39" s="1">
        <f t="shared" si="2"/>
        <v>160</v>
      </c>
      <c r="C39" s="9" t="str">
        <f t="shared" si="3"/>
        <v>"ally_instance_ids": [],</v>
      </c>
      <c r="D39" s="1" t="s">
        <v>8554</v>
      </c>
      <c r="E39" s="1" t="str">
        <f>IF(DayNight&lt;&gt;"Night","",_xlfn.IFNA(MATCH(A39,Main!$I$126:$I$128,0),""))</f>
        <v/>
      </c>
    </row>
    <row r="40" spans="1:5" x14ac:dyDescent="0.3">
      <c r="A40" s="1">
        <f t="shared" ref="A40" si="9">A9</f>
        <v>7124</v>
      </c>
      <c r="B40" s="1">
        <f t="shared" si="2"/>
        <v>184</v>
      </c>
      <c r="C40" s="9" t="str">
        <f t="shared" si="3"/>
        <v>"ally_instance_ids": [],</v>
      </c>
      <c r="D40" s="1" t="s">
        <v>8554</v>
      </c>
      <c r="E40" s="1" t="str">
        <f>IF(DayNight&lt;&gt;"Night","",_xlfn.IFNA(MATCH(A40,Main!$I$126:$I$128,0),""))</f>
        <v/>
      </c>
    </row>
    <row r="41" spans="1:5" x14ac:dyDescent="0.3">
      <c r="A41" s="1">
        <f t="shared" ref="A41" si="10">A10</f>
        <v>7126</v>
      </c>
      <c r="B41" s="1">
        <f t="shared" si="2"/>
        <v>208</v>
      </c>
      <c r="C41" s="9" t="str">
        <f t="shared" si="3"/>
        <v>"ally_instance_ids": [],</v>
      </c>
      <c r="D41" s="1" t="s">
        <v>8554</v>
      </c>
      <c r="E41" s="1" t="str">
        <f>IF(DayNight&lt;&gt;"Night","",_xlfn.IFNA(MATCH(A41,Main!$I$126:$I$128,0),""))</f>
        <v/>
      </c>
    </row>
    <row r="42" spans="1:5" x14ac:dyDescent="0.3">
      <c r="A42" s="1">
        <f t="shared" ref="A42" si="11">A11</f>
        <v>7127</v>
      </c>
      <c r="B42" s="1">
        <f t="shared" si="2"/>
        <v>232</v>
      </c>
      <c r="C42" s="9" t="str">
        <f t="shared" si="3"/>
        <v>"ally_instance_ids": [],</v>
      </c>
      <c r="D42" s="1" t="s">
        <v>8554</v>
      </c>
      <c r="E42" s="1" t="str">
        <f>IF(DayNight&lt;&gt;"Night","",_xlfn.IFNA(MATCH(A42,Main!$I$126:$I$128,0),""))</f>
        <v/>
      </c>
    </row>
    <row r="43" spans="1:5" x14ac:dyDescent="0.3">
      <c r="A43" s="1">
        <f t="shared" ref="A43" si="12">A12</f>
        <v>7128</v>
      </c>
      <c r="B43" s="1">
        <f t="shared" si="2"/>
        <v>256</v>
      </c>
      <c r="C43" s="9" t="str">
        <f t="shared" si="3"/>
        <v>"ally_instance_ids": [],</v>
      </c>
      <c r="D43" s="1" t="s">
        <v>8554</v>
      </c>
      <c r="E43" s="1" t="str">
        <f>IF(DayNight&lt;&gt;"Night","",_xlfn.IFNA(MATCH(A43,Main!$I$126:$I$128,0),""))</f>
        <v/>
      </c>
    </row>
    <row r="44" spans="1:5" x14ac:dyDescent="0.3">
      <c r="A44" s="1">
        <f t="shared" ref="A44" si="13">A13</f>
        <v>7129</v>
      </c>
      <c r="B44" s="1">
        <f t="shared" si="2"/>
        <v>280</v>
      </c>
      <c r="C44" s="9" t="str">
        <f t="shared" si="3"/>
        <v>"ally_instance_ids": [],</v>
      </c>
      <c r="D44" s="1" t="s">
        <v>8554</v>
      </c>
      <c r="E44" s="1" t="str">
        <f>IF(DayNight&lt;&gt;"Night","",_xlfn.IFNA(MATCH(A44,Main!$I$126:$I$128,0),""))</f>
        <v/>
      </c>
    </row>
    <row r="45" spans="1:5" x14ac:dyDescent="0.3">
      <c r="A45" s="1">
        <f t="shared" ref="A45" si="14">A14</f>
        <v>7130</v>
      </c>
      <c r="B45" s="1">
        <f t="shared" si="2"/>
        <v>304</v>
      </c>
      <c r="C45" s="9" t="str">
        <f t="shared" si="3"/>
        <v>"ally_instance_ids": [],</v>
      </c>
      <c r="D45" s="1" t="s">
        <v>8554</v>
      </c>
      <c r="E45" s="1" t="str">
        <f>IF(DayNight&lt;&gt;"Night","",_xlfn.IFNA(MATCH(A45,Main!$I$126:$I$128,0),""))</f>
        <v/>
      </c>
    </row>
    <row r="46" spans="1:5" x14ac:dyDescent="0.3">
      <c r="A46" s="1">
        <f t="shared" ref="A46" si="15">A15</f>
        <v>7131</v>
      </c>
      <c r="B46" s="1">
        <f t="shared" si="2"/>
        <v>328</v>
      </c>
      <c r="C46" s="9" t="str">
        <f t="shared" si="3"/>
        <v>"ally_instance_ids": [],</v>
      </c>
      <c r="D46" s="1" t="s">
        <v>8554</v>
      </c>
      <c r="E46" s="1" t="str">
        <f>IF(DayNight&lt;&gt;"Night","",_xlfn.IFNA(MATCH(A46,Main!$I$126:$I$128,0),""))</f>
        <v/>
      </c>
    </row>
    <row r="47" spans="1:5" x14ac:dyDescent="0.3">
      <c r="A47" s="1">
        <f t="shared" ref="A47" si="16">A16</f>
        <v>7132</v>
      </c>
      <c r="B47" s="1">
        <f t="shared" si="2"/>
        <v>352</v>
      </c>
      <c r="C47" s="9" t="str">
        <f t="shared" si="3"/>
        <v>"ally_instance_ids": [],</v>
      </c>
      <c r="D47" s="1" t="s">
        <v>8554</v>
      </c>
      <c r="E47" s="1" t="str">
        <f>IF(DayNight&lt;&gt;"Night","",_xlfn.IFNA(MATCH(A47,Main!$I$126:$I$128,0),""))</f>
        <v/>
      </c>
    </row>
    <row r="48" spans="1:5" x14ac:dyDescent="0.3">
      <c r="A48" s="1">
        <f t="shared" ref="A48" si="17">A17</f>
        <v>7133</v>
      </c>
      <c r="B48" s="1">
        <f t="shared" si="2"/>
        <v>376</v>
      </c>
      <c r="C48" s="9" t="str">
        <f t="shared" si="3"/>
        <v>"ally_instance_ids": [],</v>
      </c>
      <c r="D48" s="1" t="s">
        <v>8554</v>
      </c>
      <c r="E48" s="1" t="str">
        <f>IF(DayNight&lt;&gt;"Night","",_xlfn.IFNA(MATCH(A48,Main!$I$126:$I$128,0),""))</f>
        <v/>
      </c>
    </row>
    <row r="49" spans="1:5" x14ac:dyDescent="0.3">
      <c r="A49" s="1">
        <f t="shared" ref="A49" si="18">A18</f>
        <v>7134</v>
      </c>
      <c r="B49" s="1">
        <f t="shared" si="2"/>
        <v>400</v>
      </c>
      <c r="C49" s="9" t="str">
        <f t="shared" si="3"/>
        <v>"ally_instance_ids": [],</v>
      </c>
      <c r="D49" s="1" t="s">
        <v>8554</v>
      </c>
      <c r="E49" s="1" t="str">
        <f>IF(DayNight&lt;&gt;"Night","",_xlfn.IFNA(MATCH(A49,Main!$I$126:$I$128,0),""))</f>
        <v/>
      </c>
    </row>
    <row r="50" spans="1:5" x14ac:dyDescent="0.3">
      <c r="A50" s="1">
        <f t="shared" ref="A50" si="19">A19</f>
        <v>7135</v>
      </c>
      <c r="B50" s="1">
        <f t="shared" si="2"/>
        <v>424</v>
      </c>
      <c r="C50" s="9" t="str">
        <f t="shared" si="3"/>
        <v>"ally_instance_ids": [],</v>
      </c>
      <c r="D50" s="1" t="s">
        <v>8554</v>
      </c>
      <c r="E50" s="1" t="str">
        <f>IF(DayNight&lt;&gt;"Night","",_xlfn.IFNA(MATCH(A50,Main!$I$126:$I$128,0),""))</f>
        <v/>
      </c>
    </row>
    <row r="51" spans="1:5" x14ac:dyDescent="0.3">
      <c r="A51" s="1">
        <f t="shared" ref="A51" si="20">A20</f>
        <v>7136</v>
      </c>
      <c r="B51" s="1">
        <f t="shared" si="2"/>
        <v>448</v>
      </c>
      <c r="C51" s="9" t="str">
        <f t="shared" si="3"/>
        <v>"ally_instance_ids": [],</v>
      </c>
      <c r="D51" s="1" t="s">
        <v>8554</v>
      </c>
      <c r="E51" s="1" t="str">
        <f>IF(DayNight&lt;&gt;"Night","",_xlfn.IFNA(MATCH(A51,Main!$I$126:$I$128,0),""))</f>
        <v/>
      </c>
    </row>
    <row r="52" spans="1:5" x14ac:dyDescent="0.3">
      <c r="A52" s="1">
        <f t="shared" ref="A52" si="21">A21</f>
        <v>7137</v>
      </c>
      <c r="B52" s="1">
        <f t="shared" si="2"/>
        <v>472</v>
      </c>
      <c r="C52" s="9" t="str">
        <f t="shared" si="3"/>
        <v>"ally_instance_ids": [],</v>
      </c>
      <c r="D52" s="1" t="s">
        <v>8554</v>
      </c>
      <c r="E52" s="1" t="str">
        <f>IF(DayNight&lt;&gt;"Night","",_xlfn.IFNA(MATCH(A52,Main!$I$126:$I$128,0),""))</f>
        <v/>
      </c>
    </row>
    <row r="53" spans="1:5" x14ac:dyDescent="0.3">
      <c r="A53" s="1">
        <f t="shared" ref="A53" si="22">A22</f>
        <v>7138</v>
      </c>
      <c r="B53" s="1">
        <f t="shared" si="2"/>
        <v>496</v>
      </c>
      <c r="C53" s="9" t="str">
        <f t="shared" si="3"/>
        <v>"ally_instance_ids": [],</v>
      </c>
      <c r="D53" s="1" t="s">
        <v>8554</v>
      </c>
      <c r="E53" s="1" t="str">
        <f>IF(DayNight&lt;&gt;"Night","",_xlfn.IFNA(MATCH(A53,Main!$I$126:$I$128,0),""))</f>
        <v/>
      </c>
    </row>
    <row r="54" spans="1:5" x14ac:dyDescent="0.3">
      <c r="A54" s="1">
        <f t="shared" ref="A54" si="23">A23</f>
        <v>7139</v>
      </c>
      <c r="B54" s="1">
        <f t="shared" si="2"/>
        <v>520</v>
      </c>
      <c r="C54" s="9" t="str">
        <f t="shared" si="3"/>
        <v>"ally_instance_ids": [],</v>
      </c>
      <c r="D54" s="1" t="s">
        <v>8554</v>
      </c>
      <c r="E54" s="1" t="str">
        <f>IF(DayNight&lt;&gt;"Night","",_xlfn.IFNA(MATCH(A54,Main!$I$126:$I$128,0),""))</f>
        <v/>
      </c>
    </row>
    <row r="55" spans="1:5" x14ac:dyDescent="0.3">
      <c r="A55" s="1">
        <f t="shared" ref="A55" si="24">A24</f>
        <v>7140</v>
      </c>
      <c r="B55" s="1">
        <f t="shared" si="2"/>
        <v>544</v>
      </c>
      <c r="C55" s="9" t="str">
        <f t="shared" si="3"/>
        <v>"ally_instance_ids": [],</v>
      </c>
      <c r="D55" s="1" t="s">
        <v>8554</v>
      </c>
      <c r="E55" s="1" t="str">
        <f>IF(DayNight&lt;&gt;"Night","",_xlfn.IFNA(MATCH(A55,Main!$I$126:$I$128,0),""))</f>
        <v/>
      </c>
    </row>
    <row r="56" spans="1:5" x14ac:dyDescent="0.3">
      <c r="A56" s="1">
        <f t="shared" ref="A56" si="25">A25</f>
        <v>7141</v>
      </c>
      <c r="B56" s="1">
        <f t="shared" si="2"/>
        <v>568</v>
      </c>
      <c r="C56" s="9" t="str">
        <f t="shared" si="3"/>
        <v>"ally_instance_ids": [],</v>
      </c>
      <c r="D56" s="1" t="s">
        <v>8554</v>
      </c>
      <c r="E56" s="1" t="str">
        <f>IF(DayNight&lt;&gt;"Night","",_xlfn.IFNA(MATCH(A56,Main!$I$126:$I$128,0),""))</f>
        <v/>
      </c>
    </row>
    <row r="57" spans="1:5" x14ac:dyDescent="0.3">
      <c r="A57" s="1">
        <f t="shared" ref="A57" si="26">A26</f>
        <v>7142</v>
      </c>
      <c r="B57" s="1">
        <f t="shared" si="2"/>
        <v>592</v>
      </c>
      <c r="C57" s="9" t="str">
        <f t="shared" si="3"/>
        <v>"ally_instance_ids": [],</v>
      </c>
      <c r="D57" s="1" t="s">
        <v>8554</v>
      </c>
      <c r="E57" s="1" t="str">
        <f>IF(DayNight&lt;&gt;"Night","",_xlfn.IFNA(MATCH(A57,Main!$I$126:$I$128,0),""))</f>
        <v/>
      </c>
    </row>
    <row r="58" spans="1:5" x14ac:dyDescent="0.3">
      <c r="A58" s="1">
        <f t="shared" ref="A58" si="27">A27</f>
        <v>7143</v>
      </c>
      <c r="B58" s="1">
        <f t="shared" si="2"/>
        <v>616</v>
      </c>
      <c r="C58" s="9" t="str">
        <f t="shared" si="3"/>
        <v>"ally_instance_ids": [],</v>
      </c>
      <c r="D58" s="1" t="s">
        <v>8554</v>
      </c>
      <c r="E58" s="1" t="str">
        <f>IF(DayNight&lt;&gt;"Night","",_xlfn.IFNA(MATCH(A58,Main!$I$126:$I$128,0),""))</f>
        <v/>
      </c>
    </row>
    <row r="59" spans="1:5" x14ac:dyDescent="0.3">
      <c r="A59" s="1">
        <f t="shared" ref="A59" si="28">A28</f>
        <v>7144</v>
      </c>
      <c r="B59" s="1">
        <f t="shared" si="2"/>
        <v>640</v>
      </c>
      <c r="C59" s="9" t="str">
        <f t="shared" si="3"/>
        <v>"ally_instance_ids": [],</v>
      </c>
      <c r="D59" s="1" t="s">
        <v>8554</v>
      </c>
      <c r="E59" s="1" t="str">
        <f>IF(DayNight&lt;&gt;"Night","",_xlfn.IFNA(MATCH(A59,Main!$I$126:$I$128,0),""))</f>
        <v/>
      </c>
    </row>
    <row r="60" spans="1:5" x14ac:dyDescent="0.3">
      <c r="A60" s="1">
        <f t="shared" ref="A60" si="29">A29</f>
        <v>7145</v>
      </c>
      <c r="B60" s="1">
        <f t="shared" si="2"/>
        <v>664</v>
      </c>
      <c r="C60" s="9" t="str">
        <f t="shared" si="3"/>
        <v>"ally_instance_ids": [],</v>
      </c>
      <c r="D60" s="1" t="s">
        <v>8554</v>
      </c>
      <c r="E60" s="1" t="str">
        <f>IF(DayNight&lt;&gt;"Night","",_xlfn.IFNA(MATCH(A60,Main!$I$126:$I$128,0),""))</f>
        <v/>
      </c>
    </row>
    <row r="61" spans="1:5" x14ac:dyDescent="0.3">
      <c r="A61" s="1">
        <f t="shared" ref="A61" si="30">A30</f>
        <v>7146</v>
      </c>
      <c r="B61" s="1">
        <f t="shared" si="2"/>
        <v>688</v>
      </c>
      <c r="C61" s="9" t="str">
        <f t="shared" si="3"/>
        <v>"ally_instance_ids": [],</v>
      </c>
      <c r="D61" s="1" t="s">
        <v>8554</v>
      </c>
      <c r="E61" s="1" t="str">
        <f>IF(DayNight&lt;&gt;"Night","",_xlfn.IFNA(MATCH(A61,Main!$I$126:$I$128,0),""))</f>
        <v/>
      </c>
    </row>
    <row r="62" spans="1:5" x14ac:dyDescent="0.3">
      <c r="A62" s="1">
        <f t="shared" ref="A62" si="31">A31</f>
        <v>7125</v>
      </c>
      <c r="B62" s="1">
        <f t="shared" si="2"/>
        <v>712</v>
      </c>
      <c r="C62" s="9" t="str">
        <f t="shared" si="3"/>
        <v>"ally_instance_ids": [],</v>
      </c>
      <c r="D62" s="1" t="s">
        <v>8554</v>
      </c>
      <c r="E62" s="1" t="str">
        <f>IF(DayNight&lt;&gt;"Night","",_xlfn.IFNA(MATCH(A62,Main!$I$126:$I$128,0),""))</f>
        <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78DF4-224F-42D0-9398-285140D500BA}">
  <sheetPr codeName="Sheet17"/>
  <dimension ref="A1:C11"/>
  <sheetViews>
    <sheetView workbookViewId="0"/>
  </sheetViews>
  <sheetFormatPr defaultRowHeight="14.4" x14ac:dyDescent="0.3"/>
  <cols>
    <col min="1" max="1" width="20.33203125" bestFit="1" customWidth="1"/>
  </cols>
  <sheetData>
    <row r="1" spans="1:3" x14ac:dyDescent="0.3">
      <c r="A1" s="38" t="s">
        <v>779</v>
      </c>
      <c r="B1" s="38" t="s">
        <v>775</v>
      </c>
      <c r="C1" s="38" t="s">
        <v>780</v>
      </c>
    </row>
    <row r="2" spans="1:3" x14ac:dyDescent="0.3">
      <c r="A2" t="s">
        <v>61</v>
      </c>
      <c r="B2" s="1">
        <v>5</v>
      </c>
      <c r="C2" s="9" t="str">
        <f>CHAR(34)&amp;A2&amp;CHAR(34)&amp;": "&amp;CHAR(34)&amp;DayNight&amp;CHAR(34)&amp;","</f>
        <v>"type": "TargetTrain",</v>
      </c>
    </row>
    <row r="3" spans="1:3" x14ac:dyDescent="0.3">
      <c r="A3" t="s">
        <v>844</v>
      </c>
      <c r="B3" s="1">
        <v>6</v>
      </c>
      <c r="C3" s="9" t="str">
        <f>CHAR(34)&amp;A3&amp;CHAR(34)&amp;": "&amp;IF(NodeColor="Yellow",0,IF(NodeColor="Blue",1,IF(NodeColor="Red",2,3)))&amp;","</f>
        <v>"spot_belong": 3,</v>
      </c>
    </row>
    <row r="4" spans="1:3" x14ac:dyDescent="0.3">
      <c r="A4" t="s">
        <v>842</v>
      </c>
      <c r="B4" s="1">
        <v>7</v>
      </c>
      <c r="C4" s="9" t="str">
        <f>CHAR(34)&amp;A4&amp;CHAR(34)&amp;": "&amp;IF(DayNight="TargetTrain","0",EnemyID)&amp;","</f>
        <v>"enemy_team_id": 0,</v>
      </c>
    </row>
    <row r="5" spans="1:3" x14ac:dyDescent="0.3">
      <c r="A5" t="s">
        <v>843</v>
      </c>
      <c r="B5" s="1">
        <v>8</v>
      </c>
      <c r="C5" s="9" t="str">
        <f>CHAR(34)&amp;A5&amp;CHAR(34)&amp;": "&amp;CHAR(34)&amp;BossHP&amp;CHAR(34)&amp;","</f>
        <v>"boss_hp": "220000",</v>
      </c>
    </row>
    <row r="6" spans="1:3" x14ac:dyDescent="0.3">
      <c r="A6" t="s">
        <v>845</v>
      </c>
      <c r="B6" s="1">
        <v>9</v>
      </c>
      <c r="C6" s="9" t="str">
        <f>CHAR(34)&amp;A6&amp;CHAR(34)&amp;": "&amp;LOWER(FairySkill)&amp;","</f>
        <v>"fairy_skill": true,</v>
      </c>
    </row>
    <row r="7" spans="1:3" x14ac:dyDescent="0.3">
      <c r="A7" t="s">
        <v>846</v>
      </c>
      <c r="B7" s="1">
        <v>10</v>
      </c>
      <c r="C7" s="9" t="str">
        <f>CHAR(34)&amp;A7&amp;CHAR(34)&amp;": "&amp;LOWER(HOCSupport)&amp;","</f>
        <v>"squad_skill": true,</v>
      </c>
    </row>
    <row r="8" spans="1:3" x14ac:dyDescent="0.3">
      <c r="A8" t="s">
        <v>1776</v>
      </c>
      <c r="B8" s="1">
        <v>13</v>
      </c>
      <c r="C8" s="9" t="str">
        <f>CHAR(34)&amp;A8&amp;CHAR(34)&amp;": ["&amp;EnemyID&amp;"]"&amp;","</f>
        <v>"target_train_teams": [10004],</v>
      </c>
    </row>
    <row r="9" spans="1:3" x14ac:dyDescent="0.3">
      <c r="A9" t="s">
        <v>7310</v>
      </c>
      <c r="B9" s="1">
        <v>14</v>
      </c>
      <c r="C9" s="9" t="str">
        <f>CHAR(34)&amp;A9&amp;CHAR(34)&amp;": "&amp;CHAR(34)&amp;INDEX('Mapwide Buffs'!H:H,COUNTA('Mapwide Buffs'!A:A))&amp;CHAR(34)&amp;","</f>
        <v>"fight_environment_group": "",</v>
      </c>
    </row>
    <row r="10" spans="1:3" x14ac:dyDescent="0.3">
      <c r="A10" t="s">
        <v>7311</v>
      </c>
      <c r="B10" s="1">
        <v>15</v>
      </c>
      <c r="C10" s="9" t="str">
        <f>CHAR(34)&amp;A10&amp;CHAR(34)&amp;": "&amp;EnemyHPPercent/100&amp;","</f>
        <v>"enemy_hp_percent": 1,</v>
      </c>
    </row>
    <row r="11" spans="1:3" x14ac:dyDescent="0.3">
      <c r="A11" t="s">
        <v>8267</v>
      </c>
      <c r="B11" s="1">
        <v>16</v>
      </c>
      <c r="C11" s="9" t="str">
        <f>CHAR(34)&amp;A11&amp;CHAR(34)&amp;": "&amp;CHAR(34)&amp;VehicleMode&amp;CHAR(34)</f>
        <v>"vehicle": "Off"</v>
      </c>
    </row>
  </sheetData>
  <pageMargins left="0.7" right="0.7" top="0.75" bottom="0.75" header="0.3" footer="0.3"/>
  <pageSetup orientation="portrait" horizontalDpi="0"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7408A-2F12-4F8C-AA06-35AC4C58510A}">
  <sheetPr codeName="Sheet34"/>
  <dimension ref="A1:C11"/>
  <sheetViews>
    <sheetView workbookViewId="0">
      <selection activeCell="F27" sqref="F27"/>
    </sheetView>
  </sheetViews>
  <sheetFormatPr defaultRowHeight="14.4" x14ac:dyDescent="0.3"/>
  <cols>
    <col min="1" max="1" width="12.88671875" bestFit="1" customWidth="1"/>
    <col min="2" max="2" width="6.109375" bestFit="1" customWidth="1"/>
    <col min="3" max="3" width="29.44140625" bestFit="1" customWidth="1"/>
  </cols>
  <sheetData>
    <row r="1" spans="1:3" x14ac:dyDescent="0.3">
      <c r="A1" s="38" t="s">
        <v>779</v>
      </c>
      <c r="B1" s="38" t="s">
        <v>775</v>
      </c>
      <c r="C1" s="38" t="s">
        <v>780</v>
      </c>
    </row>
    <row r="2" spans="1:3" x14ac:dyDescent="0.3">
      <c r="A2" t="s">
        <v>8271</v>
      </c>
      <c r="B2" s="1">
        <v>10</v>
      </c>
      <c r="C2" s="9" t="str">
        <f>CHAR(34)&amp;A2&amp;CHAR(34)&amp;": "&amp;CHAR(34)&amp;IF(DayNight="Day",107,7173)&amp;CHAR(34)&amp;","</f>
        <v>"from_spot_id": "7173",</v>
      </c>
    </row>
    <row r="3" spans="1:3" x14ac:dyDescent="0.3">
      <c r="A3" t="s">
        <v>8272</v>
      </c>
      <c r="B3" s="1">
        <v>11</v>
      </c>
      <c r="C3" s="9" t="str">
        <f>CHAR(34)&amp;A3&amp;CHAR(34)&amp;": "&amp;CHAR(34)&amp;IF(DayNight="Day",103,7123)&amp;CHAR(34)&amp;","</f>
        <v>"to_spot_id": "7123",</v>
      </c>
    </row>
    <row r="4" spans="1:3" x14ac:dyDescent="0.3">
      <c r="B4" s="1"/>
      <c r="C4" s="9"/>
    </row>
    <row r="5" spans="1:3" x14ac:dyDescent="0.3">
      <c r="B5" s="1"/>
      <c r="C5" s="9"/>
    </row>
    <row r="6" spans="1:3" x14ac:dyDescent="0.3">
      <c r="B6" s="1"/>
      <c r="C6" s="9"/>
    </row>
    <row r="7" spans="1:3" x14ac:dyDescent="0.3">
      <c r="B7" s="1"/>
      <c r="C7" s="9"/>
    </row>
    <row r="8" spans="1:3" x14ac:dyDescent="0.3">
      <c r="B8" s="1"/>
      <c r="C8" s="9"/>
    </row>
    <row r="9" spans="1:3" x14ac:dyDescent="0.3">
      <c r="B9" s="1"/>
      <c r="C9" s="9"/>
    </row>
    <row r="10" spans="1:3" x14ac:dyDescent="0.3">
      <c r="B10" s="1"/>
      <c r="C10" s="9"/>
    </row>
    <row r="11" spans="1:3" x14ac:dyDescent="0.3">
      <c r="B11" s="1"/>
      <c r="C11" s="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869C4-8846-429C-8B5F-6198D66F9753}">
  <sheetPr codeName="Sheet5">
    <tabColor theme="9" tint="0.79998168889431442"/>
  </sheetPr>
  <dimension ref="A1:EC42"/>
  <sheetViews>
    <sheetView topLeftCell="I1" zoomScale="90" zoomScaleNormal="90" workbookViewId="0">
      <selection activeCell="DY1" sqref="DY1:EC12"/>
    </sheetView>
  </sheetViews>
  <sheetFormatPr defaultRowHeight="14.4" outlineLevelCol="1" x14ac:dyDescent="0.3"/>
  <cols>
    <col min="1" max="1" width="12.88671875" bestFit="1" customWidth="1"/>
    <col min="9" max="9" width="52.88671875" bestFit="1" customWidth="1"/>
    <col min="10" max="16" width="9.109375" hidden="1" customWidth="1" outlineLevel="1"/>
    <col min="17" max="17" width="3.33203125" hidden="1" customWidth="1" outlineLevel="1"/>
    <col min="18" max="32" width="9.109375" hidden="1" customWidth="1" outlineLevel="1"/>
    <col min="33" max="33" width="3.33203125" hidden="1" customWidth="1" outlineLevel="1"/>
    <col min="34" max="40" width="9.109375" hidden="1" customWidth="1" outlineLevel="1"/>
    <col min="41" max="41" width="3.33203125" hidden="1" customWidth="1" outlineLevel="1"/>
    <col min="42" max="48" width="9.109375" hidden="1" customWidth="1" outlineLevel="1"/>
    <col min="49" max="49" width="3.33203125" hidden="1" customWidth="1" outlineLevel="1"/>
    <col min="50" max="57" width="9.109375" hidden="1" customWidth="1" outlineLevel="1"/>
    <col min="58" max="58" width="9.109375" collapsed="1"/>
    <col min="59" max="59" width="40.6640625" bestFit="1" customWidth="1"/>
    <col min="60" max="66" width="0" hidden="1" customWidth="1" outlineLevel="1"/>
    <col min="67" max="67" width="3.33203125" hidden="1" customWidth="1" outlineLevel="1"/>
    <col min="68" max="74" width="0" hidden="1" customWidth="1" outlineLevel="1"/>
    <col min="75" max="75" width="3.33203125" hidden="1" customWidth="1" outlineLevel="1"/>
    <col min="76" max="82" width="0" hidden="1" customWidth="1" outlineLevel="1"/>
    <col min="83" max="83" width="3.33203125" hidden="1" customWidth="1" outlineLevel="1"/>
    <col min="84" max="90" width="0" hidden="1" customWidth="1" outlineLevel="1"/>
    <col min="91" max="91" width="3.33203125" hidden="1" customWidth="1" outlineLevel="1"/>
    <col min="92" max="98" width="0" hidden="1" customWidth="1" outlineLevel="1"/>
    <col min="99" max="99" width="9.109375" collapsed="1"/>
    <col min="100" max="100" width="14" bestFit="1" customWidth="1"/>
    <col min="101" max="126" width="9.109375" hidden="1" customWidth="1" outlineLevel="1"/>
    <col min="127" max="127" width="9.109375" collapsed="1"/>
    <col min="128" max="128" width="18.109375" bestFit="1" customWidth="1"/>
    <col min="130" max="130" width="11.5546875" bestFit="1" customWidth="1"/>
    <col min="131" max="131" width="9.6640625" bestFit="1" customWidth="1"/>
    <col min="132" max="132" width="12.44140625" bestFit="1" customWidth="1"/>
  </cols>
  <sheetData>
    <row r="1" spans="1:133" x14ac:dyDescent="0.3">
      <c r="A1" s="10" t="s">
        <v>273</v>
      </c>
      <c r="I1" s="10" t="s">
        <v>850</v>
      </c>
      <c r="BG1" s="10" t="s">
        <v>851</v>
      </c>
      <c r="CV1" s="10" t="s">
        <v>8161</v>
      </c>
      <c r="DD1" s="10"/>
      <c r="DX1" s="10" t="s">
        <v>880</v>
      </c>
      <c r="DY1" s="87" t="s">
        <v>8</v>
      </c>
      <c r="DZ1" s="88" t="s">
        <v>865</v>
      </c>
      <c r="EA1" s="88" t="s">
        <v>867</v>
      </c>
      <c r="EB1" s="88" t="s">
        <v>866</v>
      </c>
      <c r="EC1" s="89" t="s">
        <v>864</v>
      </c>
    </row>
    <row r="2" spans="1:133" x14ac:dyDescent="0.3">
      <c r="A2" s="51" t="s">
        <v>15</v>
      </c>
      <c r="B2" s="51" t="s">
        <v>9</v>
      </c>
      <c r="C2" s="54" t="s">
        <v>10</v>
      </c>
      <c r="D2" s="54" t="s">
        <v>11</v>
      </c>
      <c r="E2" s="54" t="s">
        <v>12</v>
      </c>
      <c r="F2" s="54" t="s">
        <v>13</v>
      </c>
      <c r="G2" s="55" t="s">
        <v>14</v>
      </c>
      <c r="J2" s="51" t="s">
        <v>15</v>
      </c>
      <c r="K2" s="51" t="s">
        <v>9</v>
      </c>
      <c r="L2" s="54" t="s">
        <v>10</v>
      </c>
      <c r="M2" s="54" t="s">
        <v>11</v>
      </c>
      <c r="N2" s="54" t="s">
        <v>12</v>
      </c>
      <c r="O2" s="54" t="s">
        <v>13</v>
      </c>
      <c r="P2" s="55" t="s">
        <v>14</v>
      </c>
      <c r="Q2" s="78"/>
      <c r="R2" s="51" t="s">
        <v>269</v>
      </c>
      <c r="S2" s="51" t="s">
        <v>9</v>
      </c>
      <c r="T2" s="54" t="s">
        <v>10</v>
      </c>
      <c r="U2" s="54" t="s">
        <v>11</v>
      </c>
      <c r="V2" s="54" t="s">
        <v>12</v>
      </c>
      <c r="W2" s="54" t="s">
        <v>13</v>
      </c>
      <c r="X2" s="55" t="s">
        <v>14</v>
      </c>
      <c r="Z2" s="51" t="s">
        <v>270</v>
      </c>
      <c r="AA2" s="74" t="s">
        <v>9</v>
      </c>
      <c r="AB2" s="75" t="s">
        <v>10</v>
      </c>
      <c r="AC2" s="75" t="s">
        <v>11</v>
      </c>
      <c r="AD2" s="75" t="s">
        <v>12</v>
      </c>
      <c r="AE2" s="75" t="s">
        <v>13</v>
      </c>
      <c r="AF2" s="76" t="s">
        <v>14</v>
      </c>
      <c r="AG2" s="78"/>
      <c r="AH2" s="51" t="s">
        <v>271</v>
      </c>
      <c r="AI2" s="74" t="s">
        <v>9</v>
      </c>
      <c r="AJ2" s="75" t="s">
        <v>10</v>
      </c>
      <c r="AK2" s="75" t="s">
        <v>11</v>
      </c>
      <c r="AL2" s="75" t="s">
        <v>12</v>
      </c>
      <c r="AM2" s="75" t="s">
        <v>13</v>
      </c>
      <c r="AN2" s="76" t="s">
        <v>14</v>
      </c>
      <c r="AO2" s="78"/>
      <c r="AP2" s="15" t="s">
        <v>272</v>
      </c>
      <c r="AQ2" s="2" t="s">
        <v>9</v>
      </c>
      <c r="AR2" s="3" t="s">
        <v>10</v>
      </c>
      <c r="AS2" s="3" t="s">
        <v>11</v>
      </c>
      <c r="AT2" s="3" t="s">
        <v>12</v>
      </c>
      <c r="AU2" s="3" t="s">
        <v>13</v>
      </c>
      <c r="AV2" s="4" t="s">
        <v>14</v>
      </c>
      <c r="AW2" s="78"/>
      <c r="AX2" s="15" t="s">
        <v>276</v>
      </c>
      <c r="AY2" s="2" t="s">
        <v>1106</v>
      </c>
      <c r="AZ2" s="3" t="s">
        <v>1107</v>
      </c>
      <c r="BA2" s="3" t="s">
        <v>1108</v>
      </c>
      <c r="BB2" s="3" t="s">
        <v>1109</v>
      </c>
      <c r="BC2" s="3" t="s">
        <v>1110</v>
      </c>
      <c r="BD2" s="3" t="s">
        <v>1111</v>
      </c>
      <c r="BE2" s="4" t="s">
        <v>1112</v>
      </c>
      <c r="BH2" s="51" t="s">
        <v>15</v>
      </c>
      <c r="BI2" s="51" t="s">
        <v>9</v>
      </c>
      <c r="BJ2" s="54" t="s">
        <v>10</v>
      </c>
      <c r="BK2" s="54" t="s">
        <v>11</v>
      </c>
      <c r="BL2" s="54" t="s">
        <v>12</v>
      </c>
      <c r="BM2" s="54" t="s">
        <v>13</v>
      </c>
      <c r="BN2" s="55" t="s">
        <v>14</v>
      </c>
      <c r="BO2" s="78"/>
      <c r="BP2" s="51" t="s">
        <v>269</v>
      </c>
      <c r="BQ2" s="51" t="s">
        <v>9</v>
      </c>
      <c r="BR2" s="54" t="s">
        <v>10</v>
      </c>
      <c r="BS2" s="54" t="s">
        <v>11</v>
      </c>
      <c r="BT2" s="54" t="s">
        <v>12</v>
      </c>
      <c r="BU2" s="54" t="s">
        <v>13</v>
      </c>
      <c r="BV2" s="55" t="s">
        <v>14</v>
      </c>
      <c r="BW2" s="78"/>
      <c r="BX2" s="51" t="s">
        <v>270</v>
      </c>
      <c r="BY2" s="74" t="s">
        <v>9</v>
      </c>
      <c r="BZ2" s="75" t="s">
        <v>10</v>
      </c>
      <c r="CA2" s="75" t="s">
        <v>11</v>
      </c>
      <c r="CB2" s="75" t="s">
        <v>12</v>
      </c>
      <c r="CC2" s="75" t="s">
        <v>13</v>
      </c>
      <c r="CD2" s="76" t="s">
        <v>14</v>
      </c>
      <c r="CE2" s="78"/>
      <c r="CF2" s="51" t="s">
        <v>271</v>
      </c>
      <c r="CG2" s="74" t="s">
        <v>9</v>
      </c>
      <c r="CH2" s="75" t="s">
        <v>10</v>
      </c>
      <c r="CI2" s="75" t="s">
        <v>11</v>
      </c>
      <c r="CJ2" s="75" t="s">
        <v>12</v>
      </c>
      <c r="CK2" s="75" t="s">
        <v>13</v>
      </c>
      <c r="CL2" s="76" t="s">
        <v>14</v>
      </c>
      <c r="CM2" s="78"/>
      <c r="CN2" s="15" t="s">
        <v>272</v>
      </c>
      <c r="CO2" s="2" t="s">
        <v>9</v>
      </c>
      <c r="CP2" s="3" t="s">
        <v>10</v>
      </c>
      <c r="CQ2" s="3" t="s">
        <v>11</v>
      </c>
      <c r="CR2" s="3" t="s">
        <v>12</v>
      </c>
      <c r="CS2" s="3" t="s">
        <v>13</v>
      </c>
      <c r="CT2" s="4" t="s">
        <v>14</v>
      </c>
      <c r="CW2" s="51" t="s">
        <v>278</v>
      </c>
      <c r="CX2" s="51" t="s">
        <v>18</v>
      </c>
      <c r="CY2" s="54" t="s">
        <v>9</v>
      </c>
      <c r="CZ2" s="54" t="s">
        <v>10</v>
      </c>
      <c r="DA2" s="54" t="s">
        <v>11</v>
      </c>
      <c r="DB2" s="54" t="s">
        <v>12</v>
      </c>
      <c r="DC2" s="54" t="s">
        <v>13</v>
      </c>
      <c r="DD2" s="55" t="s">
        <v>14</v>
      </c>
      <c r="DF2" s="51" t="s">
        <v>279</v>
      </c>
      <c r="DG2" s="51" t="s">
        <v>18</v>
      </c>
      <c r="DH2" s="54" t="s">
        <v>9</v>
      </c>
      <c r="DI2" s="54" t="s">
        <v>10</v>
      </c>
      <c r="DJ2" s="54" t="s">
        <v>11</v>
      </c>
      <c r="DK2" s="54" t="s">
        <v>12</v>
      </c>
      <c r="DL2" s="54" t="s">
        <v>13</v>
      </c>
      <c r="DM2" s="61" t="s">
        <v>14</v>
      </c>
      <c r="DO2" s="51" t="s">
        <v>762</v>
      </c>
      <c r="DP2" s="51" t="s">
        <v>18</v>
      </c>
      <c r="DQ2" s="54" t="s">
        <v>9</v>
      </c>
      <c r="DR2" s="54" t="s">
        <v>10</v>
      </c>
      <c r="DS2" s="54" t="s">
        <v>11</v>
      </c>
      <c r="DT2" s="54" t="s">
        <v>12</v>
      </c>
      <c r="DU2" s="54" t="s">
        <v>13</v>
      </c>
      <c r="DV2" s="61" t="s">
        <v>14</v>
      </c>
      <c r="DY2" s="42" t="s">
        <v>856</v>
      </c>
      <c r="DZ2" s="91">
        <v>52</v>
      </c>
      <c r="EA2" s="92">
        <v>28</v>
      </c>
      <c r="EB2" s="92">
        <v>118</v>
      </c>
      <c r="EC2" s="93">
        <v>135</v>
      </c>
    </row>
    <row r="3" spans="1:133" x14ac:dyDescent="0.3">
      <c r="A3" s="51" t="s">
        <v>3</v>
      </c>
      <c r="B3" s="100">
        <v>0.6</v>
      </c>
      <c r="C3" s="101">
        <v>0.6</v>
      </c>
      <c r="D3" s="101">
        <v>0.8</v>
      </c>
      <c r="E3" s="101">
        <v>1.2</v>
      </c>
      <c r="F3" s="101">
        <v>1.8</v>
      </c>
      <c r="G3" s="102">
        <v>0</v>
      </c>
      <c r="J3" s="51">
        <v>1</v>
      </c>
      <c r="K3" s="56">
        <f>INDEX($B$3:$G$8,MATCH(Main!$C21,$A$3:$A$8,0),MATCH(K$2,$B$2:$G$2,0))</f>
        <v>1</v>
      </c>
      <c r="L3" s="57">
        <f>INDEX($B$3:$G$8,MATCH(Main!$C21,$A$3:$A$8,0),MATCH(L$2,$B$2:$G$2,0))</f>
        <v>1</v>
      </c>
      <c r="M3" s="57">
        <f>INDEX($B$3:$G$8,MATCH(Main!$C21,$A$3:$A$8,0),MATCH(M$2,$B$2:$G$2,0))</f>
        <v>1</v>
      </c>
      <c r="N3" s="57">
        <f>INDEX($B$3:$G$8,MATCH(Main!$C21,$A$3:$A$8,0),MATCH(N$2,$B$2:$G$2,0))</f>
        <v>1</v>
      </c>
      <c r="O3" s="57">
        <f>INDEX($B$3:$G$8,MATCH(Main!$C21,$A$3:$A$8,0),MATCH(O$2,$B$2:$G$2,0))</f>
        <v>1</v>
      </c>
      <c r="P3" s="58">
        <f>INDEX($B$3:$G$8,MATCH(Main!$C21,$A$3:$A$8,0),MATCH(P$2,$B$2:$G$2,0))</f>
        <v>0</v>
      </c>
      <c r="Q3" s="78"/>
      <c r="R3" s="51">
        <v>1</v>
      </c>
      <c r="S3" s="74">
        <f>IF(Main!$I21&gt;0,B$11,B$19)</f>
        <v>96.283000000000001</v>
      </c>
      <c r="T3" s="75">
        <f>IF(Main!$I21&gt;0,C$11,C$19)</f>
        <v>16</v>
      </c>
      <c r="U3" s="75">
        <f>IF(Main!$I21&gt;0,D$11,D$19)</f>
        <v>45</v>
      </c>
      <c r="V3" s="75">
        <f>IF(Main!$I21&gt;0,E$11,E$19)</f>
        <v>5</v>
      </c>
      <c r="W3" s="75">
        <f>IF(Main!$I21&gt;0,F$11,F$19)</f>
        <v>5</v>
      </c>
      <c r="X3" s="76">
        <f>IF(Main!$I21&gt;0,G$11,G$19)</f>
        <v>13.978999999999999</v>
      </c>
      <c r="Z3" s="51">
        <v>1</v>
      </c>
      <c r="AA3" s="74">
        <f>IF(Main!$I21&gt;0,B$12,B$20)</f>
        <v>0.13800000000000001</v>
      </c>
      <c r="AB3" s="75">
        <f>IF(Main!$I21&gt;0,C$12,C$20)</f>
        <v>16</v>
      </c>
      <c r="AC3" s="75">
        <f>IF(Main!$I21&gt;0,D$12,D$20)</f>
        <v>45</v>
      </c>
      <c r="AD3" s="75">
        <f>IF(Main!$I21&gt;0,E$12,E$20)</f>
        <v>5</v>
      </c>
      <c r="AE3" s="75">
        <f>IF(Main!$I21&gt;0,F$12,F$20)</f>
        <v>5</v>
      </c>
      <c r="AF3" s="76">
        <f>IF(Main!$I21&gt;0,G$12,G$20)</f>
        <v>0.04</v>
      </c>
      <c r="AG3" s="78"/>
      <c r="AH3" s="51">
        <v>1</v>
      </c>
      <c r="AI3" s="74">
        <f>IF(Main!$I21&gt;0,B$15,B$23)</f>
        <v>0</v>
      </c>
      <c r="AJ3" s="75">
        <f>IF(Main!$I21&gt;0,C$15,C$23)</f>
        <v>0.06</v>
      </c>
      <c r="AK3" s="75">
        <f>IF(Main!$I21&gt;0,D$15,D$23)</f>
        <v>2.1999999999999999E-2</v>
      </c>
      <c r="AL3" s="75">
        <f>IF(Main!$I21&gt;0,E$15,E$23)</f>
        <v>7.4999999999999997E-2</v>
      </c>
      <c r="AM3" s="75">
        <f>IF(Main!$I21&gt;0,F$15,F$23)</f>
        <v>7.4999999999999997E-2</v>
      </c>
      <c r="AN3" s="76">
        <f>IF(Main!$I21&gt;0,G$15,G$23)</f>
        <v>0</v>
      </c>
      <c r="AO3" s="78"/>
      <c r="AP3" s="15">
        <v>1</v>
      </c>
      <c r="AQ3" s="2">
        <f>IF(Main!$I21&gt;0,B$16,B$24)</f>
        <v>0</v>
      </c>
      <c r="AR3" s="3">
        <f>IF(Main!$I21&gt;0,C$16,C$24)</f>
        <v>18.018000000000001</v>
      </c>
      <c r="AS3" s="3">
        <f>IF(Main!$I21&gt;0,D$16,D$24)</f>
        <v>15.741</v>
      </c>
      <c r="AT3" s="3">
        <f>IF(Main!$I21&gt;0,E$16,E$24)</f>
        <v>22.571999999999999</v>
      </c>
      <c r="AU3" s="3">
        <f>IF(Main!$I21&gt;0,F$16,F$24)</f>
        <v>22.571999999999999</v>
      </c>
      <c r="AV3" s="4">
        <f>IF(Main!$I21&gt;0,G$16,G$24)</f>
        <v>0</v>
      </c>
      <c r="AW3" s="78"/>
      <c r="AX3" s="15">
        <v>1</v>
      </c>
      <c r="AY3" s="17">
        <f>INDEX('Doll Data'!$U$2:$AE$1048576,MATCH(Main!$D21,'Doll Data'!$C$2:$C$1048576,0),MATCH(AY$2,'Doll Data'!$U$1:$AE$1,0))</f>
        <v>100</v>
      </c>
      <c r="AZ3" s="18">
        <f>INDEX('Doll Data'!$U$2:$AE$1048576,MATCH(Main!$D21,'Doll Data'!$C$2:$C$1048576,0),MATCH(AZ$2,'Doll Data'!$U$1:$AE$1,0))</f>
        <v>110</v>
      </c>
      <c r="BA3" s="18">
        <f>INDEX('Doll Data'!$U$2:$AE$1048576,MATCH(Main!$D21,'Doll Data'!$C$2:$C$1048576,0),MATCH(BA$2,'Doll Data'!$U$1:$AE$1,0))</f>
        <v>120</v>
      </c>
      <c r="BB3" s="18">
        <f>INDEX('Doll Data'!$U$2:$AE$1048576,MATCH(Main!$D21,'Doll Data'!$C$2:$C$1048576,0),MATCH(BB$2,'Doll Data'!$U$1:$AE$1,0))</f>
        <v>120</v>
      </c>
      <c r="BC3" s="18">
        <f>INDEX('Doll Data'!$U$2:$AE$1048576,MATCH(Main!$D21,'Doll Data'!$C$2:$C$1048576,0),MATCH(BC$2,'Doll Data'!$U$1:$AE$1,0))</f>
        <v>120</v>
      </c>
      <c r="BD3" s="18">
        <f>INDEX('Doll Data'!$U$2:$AE$1048576,MATCH(Main!$D21,'Doll Data'!$C$2:$C$1048576,0),MATCH(BD$2,'Doll Data'!$U$1:$AE$1,0))</f>
        <v>0</v>
      </c>
      <c r="BE3" s="19">
        <f>INDEX('Doll Data'!$U$2:$AE$1048576,MATCH(Main!$D21,'Doll Data'!$C$2:$C$1048576,0),MATCH(BE$2,'Doll Data'!$U$1:$AE$1,0))</f>
        <v>115</v>
      </c>
      <c r="BH3" s="51">
        <v>1</v>
      </c>
      <c r="BI3" s="56">
        <f t="shared" ref="BI3:BN7" si="0">K3</f>
        <v>1</v>
      </c>
      <c r="BJ3" s="57">
        <f t="shared" si="0"/>
        <v>1</v>
      </c>
      <c r="BK3" s="57">
        <f t="shared" si="0"/>
        <v>1</v>
      </c>
      <c r="BL3" s="57">
        <f t="shared" si="0"/>
        <v>1</v>
      </c>
      <c r="BM3" s="57">
        <f t="shared" si="0"/>
        <v>1</v>
      </c>
      <c r="BN3" s="58">
        <f t="shared" si="0"/>
        <v>0</v>
      </c>
      <c r="BO3" s="78"/>
      <c r="BP3" s="51">
        <v>1</v>
      </c>
      <c r="BQ3" s="74">
        <f t="shared" ref="BQ3:BV5" si="1">B$19</f>
        <v>55</v>
      </c>
      <c r="BR3" s="75">
        <f t="shared" si="1"/>
        <v>16</v>
      </c>
      <c r="BS3" s="75">
        <f t="shared" si="1"/>
        <v>45</v>
      </c>
      <c r="BT3" s="75">
        <f t="shared" si="1"/>
        <v>5</v>
      </c>
      <c r="BU3" s="75">
        <f t="shared" si="1"/>
        <v>5</v>
      </c>
      <c r="BV3" s="76">
        <f t="shared" si="1"/>
        <v>2</v>
      </c>
      <c r="BW3" s="78"/>
      <c r="BX3" s="51">
        <v>1</v>
      </c>
      <c r="BY3" s="74">
        <f t="shared" ref="BY3:CD7" si="2">B$20</f>
        <v>0.55500000000000005</v>
      </c>
      <c r="BZ3" s="75">
        <f t="shared" si="2"/>
        <v>16</v>
      </c>
      <c r="CA3" s="75">
        <f t="shared" si="2"/>
        <v>45</v>
      </c>
      <c r="CB3" s="75">
        <f t="shared" si="2"/>
        <v>5</v>
      </c>
      <c r="CC3" s="75">
        <f t="shared" si="2"/>
        <v>5</v>
      </c>
      <c r="CD3" s="76">
        <f t="shared" si="2"/>
        <v>0.161</v>
      </c>
      <c r="CE3" s="78"/>
      <c r="CF3" s="51">
        <v>1</v>
      </c>
      <c r="CG3" s="74">
        <f t="shared" ref="CG3:CL6" si="3">B$23</f>
        <v>0</v>
      </c>
      <c r="CH3" s="75">
        <f t="shared" si="3"/>
        <v>0.24199999999999999</v>
      </c>
      <c r="CI3" s="75">
        <f t="shared" si="3"/>
        <v>0.18099999999999999</v>
      </c>
      <c r="CJ3" s="75">
        <f t="shared" si="3"/>
        <v>0.30299999999999999</v>
      </c>
      <c r="CK3" s="75">
        <f t="shared" si="3"/>
        <v>0.30299999999999999</v>
      </c>
      <c r="CL3" s="76">
        <f t="shared" si="3"/>
        <v>0</v>
      </c>
      <c r="CM3" s="78"/>
      <c r="CN3" s="51">
        <v>1</v>
      </c>
      <c r="CO3" s="2">
        <f t="shared" ref="CO3:CT7" si="4">B$24</f>
        <v>0</v>
      </c>
      <c r="CP3" s="3">
        <f t="shared" si="4"/>
        <v>0</v>
      </c>
      <c r="CQ3" s="3">
        <f t="shared" si="4"/>
        <v>0</v>
      </c>
      <c r="CR3" s="3">
        <f t="shared" si="4"/>
        <v>0</v>
      </c>
      <c r="CS3" s="3">
        <f t="shared" si="4"/>
        <v>0</v>
      </c>
      <c r="CT3" s="4">
        <f t="shared" si="4"/>
        <v>0</v>
      </c>
      <c r="CW3" s="51">
        <v>1</v>
      </c>
      <c r="CX3" s="59">
        <f>Main!E21</f>
        <v>115</v>
      </c>
      <c r="CY3" s="115">
        <f>IF(AND(UseCustomStats,Main!Y21&lt;&gt;""),Main!Y21,_xlfn.CEILING.MATH((S3+($CX3-1)*AA3)*K3*AY3/100))</f>
        <v>113</v>
      </c>
      <c r="CZ3" s="115">
        <f>IF(AND(UseCustomStats,Main!Z21&lt;&gt;""),Main!Z21,_xlfn.CEILING.MATH(T3*L3*AZ3/100)+_xlfn.CEILING.MATH((AR3+($CX3-1)*AJ3)*L3*AZ3*$BE3/100/100))</f>
        <v>50</v>
      </c>
      <c r="DA3" s="115">
        <f>IF(AND(UseCustomStats,Main!AA21&lt;&gt;""),Main!AA21,_xlfn.CEILING.MATH(U3*M3*BA3/100)+_xlfn.CEILING.MATH((AS3+($CX3-1)*AK3)*M3*BA3*$BE3/100/100))</f>
        <v>80</v>
      </c>
      <c r="DB3" s="60">
        <f>IF(AND(UseCustomStats,Main!AB21&lt;&gt;""),Main!AB21,_xlfn.CEILING.MATH(V3*N3*BB3/100)+_xlfn.CEILING.MATH((AT3+($CX3-1)*AL3)*N3*BB3*$BE3/100/100))</f>
        <v>49</v>
      </c>
      <c r="DC3" s="60">
        <f>IF(AND(UseCustomStats,Main!AC21&lt;&gt;""),Main!AC21,_xlfn.CEILING.MATH(W3*O3*BC3/100)+_xlfn.CEILING.MATH((AU3+($CX3-1)*AM3)*O3*BC3*$BE3/100/100))</f>
        <v>49</v>
      </c>
      <c r="DD3" s="61">
        <f t="shared" ref="DD3:DD8" si="5">_xlfn.CEILING.MATH((X3+($CX3-1)*AF3)*P3*BD3/100)</f>
        <v>0</v>
      </c>
      <c r="DF3" s="51">
        <v>1</v>
      </c>
      <c r="DG3" s="59">
        <v>1</v>
      </c>
      <c r="DH3" s="60">
        <f>_xlfn.CEILING.MATH((BQ3+($DG3-1)*BY3)*BI3*AY3/100)</f>
        <v>55</v>
      </c>
      <c r="DI3" s="60">
        <f t="shared" ref="DI3:DL7" si="6">_xlfn.CEILING.MATH(BR3*BJ3*AZ3/100)+_xlfn.CEILING.MATH((CP3+($DG3-1)*CH3)*BJ3*AZ3*$BE3/100/100)</f>
        <v>18</v>
      </c>
      <c r="DJ3" s="60">
        <f t="shared" si="6"/>
        <v>54</v>
      </c>
      <c r="DK3" s="60">
        <f t="shared" si="6"/>
        <v>6</v>
      </c>
      <c r="DL3" s="60">
        <f t="shared" si="6"/>
        <v>6</v>
      </c>
      <c r="DM3" s="61">
        <f>_xlfn.CEILING.MATH((BV3+($DG3-1)*CD3)*BN3*BD3/100)</f>
        <v>0</v>
      </c>
      <c r="DO3" s="51">
        <v>1</v>
      </c>
      <c r="DP3" s="26"/>
      <c r="DQ3" s="27"/>
      <c r="DR3" s="60">
        <f t="shared" ref="DR3:DU7" si="7">CZ3-DI3</f>
        <v>32</v>
      </c>
      <c r="DS3" s="60">
        <f t="shared" si="7"/>
        <v>26</v>
      </c>
      <c r="DT3" s="60">
        <f t="shared" si="7"/>
        <v>43</v>
      </c>
      <c r="DU3" s="60">
        <f t="shared" si="7"/>
        <v>43</v>
      </c>
      <c r="DV3" s="32"/>
      <c r="DY3" s="42" t="s">
        <v>857</v>
      </c>
      <c r="DZ3" s="94">
        <v>27</v>
      </c>
      <c r="EA3" s="95">
        <v>130</v>
      </c>
      <c r="EB3" s="95">
        <v>67</v>
      </c>
      <c r="EC3" s="96">
        <v>49</v>
      </c>
    </row>
    <row r="4" spans="1:133" x14ac:dyDescent="0.3">
      <c r="A4" s="52" t="s">
        <v>7</v>
      </c>
      <c r="B4" s="103">
        <v>1.6</v>
      </c>
      <c r="C4" s="104">
        <v>0.6</v>
      </c>
      <c r="D4" s="104">
        <v>1.2</v>
      </c>
      <c r="E4" s="104">
        <v>0.3</v>
      </c>
      <c r="F4" s="104">
        <v>1.6</v>
      </c>
      <c r="G4" s="105">
        <v>0</v>
      </c>
      <c r="J4" s="52">
        <f>J3+1</f>
        <v>2</v>
      </c>
      <c r="K4" s="62">
        <f>INDEX($B$3:$G$8,MATCH(Main!$C22,$A$3:$A$8,0),MATCH(K$2,$B$2:$G$2,0))</f>
        <v>0.6</v>
      </c>
      <c r="L4" s="63">
        <f>INDEX($B$3:$G$8,MATCH(Main!$C22,$A$3:$A$8,0),MATCH(L$2,$B$2:$G$2,0))</f>
        <v>0.6</v>
      </c>
      <c r="M4" s="63">
        <f>INDEX($B$3:$G$8,MATCH(Main!$C22,$A$3:$A$8,0),MATCH(M$2,$B$2:$G$2,0))</f>
        <v>0.8</v>
      </c>
      <c r="N4" s="63">
        <f>INDEX($B$3:$G$8,MATCH(Main!$C22,$A$3:$A$8,0),MATCH(N$2,$B$2:$G$2,0))</f>
        <v>1.2</v>
      </c>
      <c r="O4" s="63">
        <f>INDEX($B$3:$G$8,MATCH(Main!$C22,$A$3:$A$8,0),MATCH(O$2,$B$2:$G$2,0))</f>
        <v>1.8</v>
      </c>
      <c r="P4" s="64">
        <f>INDEX($B$3:$G$8,MATCH(Main!$C22,$A$3:$A$8,0),MATCH(P$2,$B$2:$G$2,0))</f>
        <v>0</v>
      </c>
      <c r="Q4" s="78"/>
      <c r="R4" s="52">
        <f>R3+1</f>
        <v>2</v>
      </c>
      <c r="S4" s="77">
        <f>IF(Main!$I22&gt;0,B$11,B$19)</f>
        <v>55</v>
      </c>
      <c r="T4" s="78">
        <f>IF(Main!$I22&gt;0,C$11,C$19)</f>
        <v>16</v>
      </c>
      <c r="U4" s="78">
        <f>IF(Main!$I22&gt;0,D$11,D$19)</f>
        <v>45</v>
      </c>
      <c r="V4" s="78">
        <f>IF(Main!$I22&gt;0,E$11,E$19)</f>
        <v>5</v>
      </c>
      <c r="W4" s="78">
        <f>IF(Main!$I22&gt;0,F$11,F$19)</f>
        <v>5</v>
      </c>
      <c r="X4" s="79">
        <f>IF(Main!$I22&gt;0,G$11,G$19)</f>
        <v>2</v>
      </c>
      <c r="Z4" s="52">
        <f>Z3+1</f>
        <v>2</v>
      </c>
      <c r="AA4" s="77">
        <f>IF(Main!$I22&gt;0,B$12,B$20)</f>
        <v>0.55500000000000005</v>
      </c>
      <c r="AB4" s="78">
        <f>IF(Main!$I22&gt;0,C$12,C$20)</f>
        <v>16</v>
      </c>
      <c r="AC4" s="78">
        <f>IF(Main!$I22&gt;0,D$12,D$20)</f>
        <v>45</v>
      </c>
      <c r="AD4" s="78">
        <f>IF(Main!$I22&gt;0,E$12,E$20)</f>
        <v>5</v>
      </c>
      <c r="AE4" s="78">
        <f>IF(Main!$I22&gt;0,F$12,F$20)</f>
        <v>5</v>
      </c>
      <c r="AF4" s="79">
        <f>IF(Main!$I22&gt;0,G$12,G$20)</f>
        <v>0.161</v>
      </c>
      <c r="AG4" s="78"/>
      <c r="AH4" s="52">
        <f>AH3+1</f>
        <v>2</v>
      </c>
      <c r="AI4" s="77">
        <f>IF(Main!$I22&gt;0,B$15,B$23)</f>
        <v>0</v>
      </c>
      <c r="AJ4" s="78">
        <f>IF(Main!$I22&gt;0,C$15,C$23)</f>
        <v>0.24199999999999999</v>
      </c>
      <c r="AK4" s="78">
        <f>IF(Main!$I22&gt;0,D$15,D$23)</f>
        <v>0.18099999999999999</v>
      </c>
      <c r="AL4" s="78">
        <f>IF(Main!$I22&gt;0,E$15,E$23)</f>
        <v>0.30299999999999999</v>
      </c>
      <c r="AM4" s="78">
        <f>IF(Main!$I22&gt;0,F$15,F$23)</f>
        <v>0.30299999999999999</v>
      </c>
      <c r="AN4" s="79">
        <f>IF(Main!$I22&gt;0,G$15,G$23)</f>
        <v>0</v>
      </c>
      <c r="AO4" s="78"/>
      <c r="AP4" s="52">
        <f>AP3+1</f>
        <v>2</v>
      </c>
      <c r="AQ4" s="12">
        <f>IF(Main!$I22&gt;0,B$16,B$24)</f>
        <v>0</v>
      </c>
      <c r="AR4" s="13">
        <f>IF(Main!$I22&gt;0,C$16,C$24)</f>
        <v>0</v>
      </c>
      <c r="AS4" s="13">
        <f>IF(Main!$I22&gt;0,D$16,D$24)</f>
        <v>0</v>
      </c>
      <c r="AT4" s="13">
        <f>IF(Main!$I22&gt;0,E$16,E$24)</f>
        <v>0</v>
      </c>
      <c r="AU4" s="13">
        <f>IF(Main!$I22&gt;0,F$16,F$24)</f>
        <v>0</v>
      </c>
      <c r="AV4" s="14">
        <f>IF(Main!$I22&gt;0,G$16,G$24)</f>
        <v>0</v>
      </c>
      <c r="AW4" s="78"/>
      <c r="AX4" s="52">
        <f>AX3+1</f>
        <v>2</v>
      </c>
      <c r="AY4" s="20">
        <f>INDEX('Doll Data'!$U$2:$AE$1048576,MATCH(Main!$D22,'Doll Data'!$C$2:$C$1048576,0),MATCH(AY$2,'Doll Data'!$U$1:$AE$1,0))</f>
        <v>100</v>
      </c>
      <c r="AZ4" s="16">
        <f>INDEX('Doll Data'!$U$2:$AE$1048576,MATCH(Main!$D22,'Doll Data'!$C$2:$C$1048576,0),MATCH(AZ$2,'Doll Data'!$U$1:$AE$1,0))</f>
        <v>50</v>
      </c>
      <c r="BA4" s="16">
        <f>INDEX('Doll Data'!$U$2:$AE$1048576,MATCH(Main!$D22,'Doll Data'!$C$2:$C$1048576,0),MATCH(BA$2,'Doll Data'!$U$1:$AE$1,0))</f>
        <v>105</v>
      </c>
      <c r="BB4" s="16">
        <f>INDEX('Doll Data'!$U$2:$AE$1048576,MATCH(Main!$D22,'Doll Data'!$C$2:$C$1048576,0),MATCH(BB$2,'Doll Data'!$U$1:$AE$1,0))</f>
        <v>110</v>
      </c>
      <c r="BC4" s="16">
        <f>INDEX('Doll Data'!$U$2:$AE$1048576,MATCH(Main!$D22,'Doll Data'!$C$2:$C$1048576,0),MATCH(BC$2,'Doll Data'!$U$1:$AE$1,0))</f>
        <v>160</v>
      </c>
      <c r="BD4" s="16">
        <f>INDEX('Doll Data'!$U$2:$AE$1048576,MATCH(Main!$D22,'Doll Data'!$C$2:$C$1048576,0),MATCH(BD$2,'Doll Data'!$U$1:$AE$1,0))</f>
        <v>0</v>
      </c>
      <c r="BE4" s="21">
        <f>INDEX('Doll Data'!$U$2:$AE$1048576,MATCH(Main!$D22,'Doll Data'!$C$2:$C$1048576,0),MATCH(BE$2,'Doll Data'!$U$1:$AE$1,0))</f>
        <v>130</v>
      </c>
      <c r="BH4" s="52">
        <f>BH3+1</f>
        <v>2</v>
      </c>
      <c r="BI4" s="62">
        <f t="shared" si="0"/>
        <v>0.6</v>
      </c>
      <c r="BJ4" s="63">
        <f t="shared" si="0"/>
        <v>0.6</v>
      </c>
      <c r="BK4" s="63">
        <f t="shared" si="0"/>
        <v>0.8</v>
      </c>
      <c r="BL4" s="63">
        <f t="shared" si="0"/>
        <v>1.2</v>
      </c>
      <c r="BM4" s="63">
        <f t="shared" si="0"/>
        <v>1.8</v>
      </c>
      <c r="BN4" s="64">
        <f t="shared" si="0"/>
        <v>0</v>
      </c>
      <c r="BO4" s="78"/>
      <c r="BP4" s="52">
        <f>BP3+1</f>
        <v>2</v>
      </c>
      <c r="BQ4" s="77">
        <f t="shared" si="1"/>
        <v>55</v>
      </c>
      <c r="BR4" s="78">
        <f t="shared" si="1"/>
        <v>16</v>
      </c>
      <c r="BS4" s="78">
        <f t="shared" si="1"/>
        <v>45</v>
      </c>
      <c r="BT4" s="78">
        <f t="shared" si="1"/>
        <v>5</v>
      </c>
      <c r="BU4" s="78">
        <f t="shared" si="1"/>
        <v>5</v>
      </c>
      <c r="BV4" s="79">
        <f t="shared" si="1"/>
        <v>2</v>
      </c>
      <c r="BW4" s="78"/>
      <c r="BX4" s="52">
        <f>BX3+1</f>
        <v>2</v>
      </c>
      <c r="BY4" s="77">
        <f t="shared" si="2"/>
        <v>0.55500000000000005</v>
      </c>
      <c r="BZ4" s="78">
        <f t="shared" si="2"/>
        <v>16</v>
      </c>
      <c r="CA4" s="78">
        <f t="shared" si="2"/>
        <v>45</v>
      </c>
      <c r="CB4" s="78">
        <f t="shared" si="2"/>
        <v>5</v>
      </c>
      <c r="CC4" s="78">
        <f t="shared" si="2"/>
        <v>5</v>
      </c>
      <c r="CD4" s="79">
        <f t="shared" si="2"/>
        <v>0.161</v>
      </c>
      <c r="CE4" s="78"/>
      <c r="CF4" s="52">
        <f>CF3+1</f>
        <v>2</v>
      </c>
      <c r="CG4" s="77">
        <f t="shared" si="3"/>
        <v>0</v>
      </c>
      <c r="CH4" s="78">
        <f t="shared" si="3"/>
        <v>0.24199999999999999</v>
      </c>
      <c r="CI4" s="78">
        <f t="shared" si="3"/>
        <v>0.18099999999999999</v>
      </c>
      <c r="CJ4" s="78">
        <f t="shared" si="3"/>
        <v>0.30299999999999999</v>
      </c>
      <c r="CK4" s="78">
        <f t="shared" si="3"/>
        <v>0.30299999999999999</v>
      </c>
      <c r="CL4" s="79">
        <f t="shared" si="3"/>
        <v>0</v>
      </c>
      <c r="CM4" s="78"/>
      <c r="CN4" s="52">
        <f>CN3+1</f>
        <v>2</v>
      </c>
      <c r="CO4" s="12">
        <f t="shared" si="4"/>
        <v>0</v>
      </c>
      <c r="CP4" s="13">
        <f t="shared" si="4"/>
        <v>0</v>
      </c>
      <c r="CQ4" s="13">
        <f t="shared" si="4"/>
        <v>0</v>
      </c>
      <c r="CR4" s="13">
        <f t="shared" si="4"/>
        <v>0</v>
      </c>
      <c r="CS4" s="13">
        <f t="shared" si="4"/>
        <v>0</v>
      </c>
      <c r="CT4" s="14">
        <f t="shared" si="4"/>
        <v>0</v>
      </c>
      <c r="CW4" s="52">
        <f>CW3+1</f>
        <v>2</v>
      </c>
      <c r="CX4" s="65">
        <f>Main!E22</f>
        <v>100</v>
      </c>
      <c r="CY4" s="66">
        <f>IF(AND(UseCustomStats,Main!Y22&lt;&gt;""),Main!Y22,_xlfn.CEILING.MATH((S4+($CX4-1)*AA4)*K4*AY4/100))</f>
        <v>66</v>
      </c>
      <c r="CZ4" s="66">
        <f>IF(AND(UseCustomStats,Main!Z22&lt;&gt;""),Main!Z22,_xlfn.CEILING.MATH(T4*L4*AZ4/100)+_xlfn.CEILING.MATH((AR4+($CX4-1)*AJ4)*L4*AZ4*$BE4/100/100))</f>
        <v>15</v>
      </c>
      <c r="DA4" s="66">
        <f>IF(AND(UseCustomStats,Main!AA22&lt;&gt;""),Main!AA22,_xlfn.CEILING.MATH(U4*M4*BA4/100)+_xlfn.CEILING.MATH((AS4+($CX4-1)*AK4)*M4*BA4*$BE4/100/100))</f>
        <v>58</v>
      </c>
      <c r="DB4" s="66">
        <f>IF(AND(UseCustomStats,Main!AB22&lt;&gt;""),Main!AB22,_xlfn.CEILING.MATH(V4*N4*BB4/100)+_xlfn.CEILING.MATH((AT4+($CX4-1)*AL4)*N4*BB4*$BE4/100/100))</f>
        <v>59</v>
      </c>
      <c r="DC4" s="66">
        <f>IF(AND(UseCustomStats,Main!AC22&lt;&gt;""),Main!AC22,_xlfn.CEILING.MATH(W4*O4*BC4/100)+_xlfn.CEILING.MATH((AU4+($CX4-1)*AM4)*O4*BC4*$BE4/100/100))</f>
        <v>128</v>
      </c>
      <c r="DD4" s="67">
        <f t="shared" si="5"/>
        <v>0</v>
      </c>
      <c r="DF4" s="52">
        <f>DF3+1</f>
        <v>2</v>
      </c>
      <c r="DG4" s="65">
        <v>1</v>
      </c>
      <c r="DH4" s="66">
        <f>_xlfn.CEILING.MATH((BQ4+($DG4-1)*BY4)*BI4*AY4/100)</f>
        <v>33</v>
      </c>
      <c r="DI4" s="66">
        <f t="shared" si="6"/>
        <v>5</v>
      </c>
      <c r="DJ4" s="66">
        <f t="shared" si="6"/>
        <v>38</v>
      </c>
      <c r="DK4" s="66">
        <f t="shared" si="6"/>
        <v>7</v>
      </c>
      <c r="DL4" s="66">
        <f t="shared" si="6"/>
        <v>15</v>
      </c>
      <c r="DM4" s="67">
        <f>_xlfn.CEILING.MATH((BV4+($DG4-1)*CD4)*BN4*BD4/100)</f>
        <v>0</v>
      </c>
      <c r="DO4" s="52">
        <f>DO3+1</f>
        <v>2</v>
      </c>
      <c r="DP4" s="28"/>
      <c r="DQ4" s="29"/>
      <c r="DR4" s="66">
        <f t="shared" si="7"/>
        <v>10</v>
      </c>
      <c r="DS4" s="66">
        <f t="shared" si="7"/>
        <v>20</v>
      </c>
      <c r="DT4" s="66">
        <f t="shared" si="7"/>
        <v>52</v>
      </c>
      <c r="DU4" s="66">
        <f t="shared" si="7"/>
        <v>113</v>
      </c>
      <c r="DV4" s="33"/>
      <c r="DY4" s="42" t="s">
        <v>858</v>
      </c>
      <c r="DZ4" s="94">
        <v>51</v>
      </c>
      <c r="EA4" s="95">
        <v>54</v>
      </c>
      <c r="EB4" s="95">
        <v>46</v>
      </c>
      <c r="EC4" s="96">
        <v>20</v>
      </c>
    </row>
    <row r="5" spans="1:133" x14ac:dyDescent="0.3">
      <c r="A5" s="52" t="s">
        <v>6</v>
      </c>
      <c r="B5" s="103">
        <v>0.8</v>
      </c>
      <c r="C5" s="104">
        <v>2.4</v>
      </c>
      <c r="D5" s="104">
        <v>0.5</v>
      </c>
      <c r="E5" s="104">
        <v>1.6</v>
      </c>
      <c r="F5" s="104">
        <v>0.8</v>
      </c>
      <c r="G5" s="105">
        <v>0</v>
      </c>
      <c r="J5" s="52">
        <f t="shared" ref="J5:J22" si="8">J4+1</f>
        <v>3</v>
      </c>
      <c r="K5" s="62">
        <f>INDEX($B$3:$G$8,MATCH(Main!$C23,$A$3:$A$8,0),MATCH(K$2,$B$2:$G$2,0))</f>
        <v>0.6</v>
      </c>
      <c r="L5" s="63">
        <f>INDEX($B$3:$G$8,MATCH(Main!$C23,$A$3:$A$8,0),MATCH(L$2,$B$2:$G$2,0))</f>
        <v>0.6</v>
      </c>
      <c r="M5" s="63">
        <f>INDEX($B$3:$G$8,MATCH(Main!$C23,$A$3:$A$8,0),MATCH(M$2,$B$2:$G$2,0))</f>
        <v>0.8</v>
      </c>
      <c r="N5" s="63">
        <f>INDEX($B$3:$G$8,MATCH(Main!$C23,$A$3:$A$8,0),MATCH(N$2,$B$2:$G$2,0))</f>
        <v>1.2</v>
      </c>
      <c r="O5" s="63">
        <f>INDEX($B$3:$G$8,MATCH(Main!$C23,$A$3:$A$8,0),MATCH(O$2,$B$2:$G$2,0))</f>
        <v>1.8</v>
      </c>
      <c r="P5" s="64">
        <f>INDEX($B$3:$G$8,MATCH(Main!$C23,$A$3:$A$8,0),MATCH(P$2,$B$2:$G$2,0))</f>
        <v>0</v>
      </c>
      <c r="Q5" s="78"/>
      <c r="R5" s="52">
        <f t="shared" ref="R5:R7" si="9">R4+1</f>
        <v>3</v>
      </c>
      <c r="S5" s="77">
        <f>IF(Main!$I23&gt;0,B$11,B$19)</f>
        <v>96.283000000000001</v>
      </c>
      <c r="T5" s="78">
        <f>IF(Main!$I23&gt;0,C$11,C$19)</f>
        <v>16</v>
      </c>
      <c r="U5" s="78">
        <f>IF(Main!$I23&gt;0,D$11,D$19)</f>
        <v>45</v>
      </c>
      <c r="V5" s="78">
        <f>IF(Main!$I23&gt;0,E$11,E$19)</f>
        <v>5</v>
      </c>
      <c r="W5" s="78">
        <f>IF(Main!$I23&gt;0,F$11,F$19)</f>
        <v>5</v>
      </c>
      <c r="X5" s="79">
        <f>IF(Main!$I23&gt;0,G$11,G$19)</f>
        <v>13.978999999999999</v>
      </c>
      <c r="Z5" s="52">
        <f t="shared" ref="Z5:Z7" si="10">Z4+1</f>
        <v>3</v>
      </c>
      <c r="AA5" s="77">
        <f>IF(Main!$I23&gt;0,B$12,B$20)</f>
        <v>0.13800000000000001</v>
      </c>
      <c r="AB5" s="78">
        <f>IF(Main!$I23&gt;0,C$12,C$20)</f>
        <v>16</v>
      </c>
      <c r="AC5" s="78">
        <f>IF(Main!$I23&gt;0,D$12,D$20)</f>
        <v>45</v>
      </c>
      <c r="AD5" s="78">
        <f>IF(Main!$I23&gt;0,E$12,E$20)</f>
        <v>5</v>
      </c>
      <c r="AE5" s="78">
        <f>IF(Main!$I23&gt;0,F$12,F$20)</f>
        <v>5</v>
      </c>
      <c r="AF5" s="79">
        <f>IF(Main!$I23&gt;0,G$12,G$20)</f>
        <v>0.04</v>
      </c>
      <c r="AG5" s="78"/>
      <c r="AH5" s="52">
        <f t="shared" ref="AH5:AH7" si="11">AH4+1</f>
        <v>3</v>
      </c>
      <c r="AI5" s="77">
        <f>IF(Main!$I23&gt;0,B$15,B$23)</f>
        <v>0</v>
      </c>
      <c r="AJ5" s="78">
        <f>IF(Main!$I23&gt;0,C$15,C$23)</f>
        <v>0.06</v>
      </c>
      <c r="AK5" s="78">
        <f>IF(Main!$I23&gt;0,D$15,D$23)</f>
        <v>2.1999999999999999E-2</v>
      </c>
      <c r="AL5" s="78">
        <f>IF(Main!$I23&gt;0,E$15,E$23)</f>
        <v>7.4999999999999997E-2</v>
      </c>
      <c r="AM5" s="78">
        <f>IF(Main!$I23&gt;0,F$15,F$23)</f>
        <v>7.4999999999999997E-2</v>
      </c>
      <c r="AN5" s="79">
        <f>IF(Main!$I23&gt;0,G$15,G$23)</f>
        <v>0</v>
      </c>
      <c r="AO5" s="78"/>
      <c r="AP5" s="52">
        <f t="shared" ref="AP5:AP7" si="12">AP4+1</f>
        <v>3</v>
      </c>
      <c r="AQ5" s="12">
        <f>IF(Main!$I23&gt;0,B$16,B$24)</f>
        <v>0</v>
      </c>
      <c r="AR5" s="13">
        <f>IF(Main!$I23&gt;0,C$16,C$24)</f>
        <v>18.018000000000001</v>
      </c>
      <c r="AS5" s="13">
        <f>IF(Main!$I23&gt;0,D$16,D$24)</f>
        <v>15.741</v>
      </c>
      <c r="AT5" s="13">
        <f>IF(Main!$I23&gt;0,E$16,E$24)</f>
        <v>22.571999999999999</v>
      </c>
      <c r="AU5" s="13">
        <f>IF(Main!$I23&gt;0,F$16,F$24)</f>
        <v>22.571999999999999</v>
      </c>
      <c r="AV5" s="14">
        <f>IF(Main!$I23&gt;0,G$16,G$24)</f>
        <v>0</v>
      </c>
      <c r="AW5" s="78"/>
      <c r="AX5" s="52">
        <f t="shared" ref="AX5:AX22" si="13">AX4+1</f>
        <v>3</v>
      </c>
      <c r="AY5" s="20">
        <f>INDEX('Doll Data'!$U$2:$AE$1048576,MATCH(Main!$D23,'Doll Data'!$C$2:$C$1048576,0),MATCH(AY$2,'Doll Data'!$U$1:$AE$1,0))</f>
        <v>118</v>
      </c>
      <c r="AZ5" s="16">
        <f>INDEX('Doll Data'!$U$2:$AE$1048576,MATCH(Main!$D23,'Doll Data'!$C$2:$C$1048576,0),MATCH(AZ$2,'Doll Data'!$U$1:$AE$1,0))</f>
        <v>116</v>
      </c>
      <c r="BA5" s="16">
        <f>INDEX('Doll Data'!$U$2:$AE$1048576,MATCH(Main!$D23,'Doll Data'!$C$2:$C$1048576,0),MATCH(BA$2,'Doll Data'!$U$1:$AE$1,0))</f>
        <v>135</v>
      </c>
      <c r="BB5" s="16">
        <f>INDEX('Doll Data'!$U$2:$AE$1048576,MATCH(Main!$D23,'Doll Data'!$C$2:$C$1048576,0),MATCH(BB$2,'Doll Data'!$U$1:$AE$1,0))</f>
        <v>115</v>
      </c>
      <c r="BC5" s="16">
        <f>INDEX('Doll Data'!$U$2:$AE$1048576,MATCH(Main!$D23,'Doll Data'!$C$2:$C$1048576,0),MATCH(BC$2,'Doll Data'!$U$1:$AE$1,0))</f>
        <v>102</v>
      </c>
      <c r="BD5" s="16">
        <f>INDEX('Doll Data'!$U$2:$AE$1048576,MATCH(Main!$D23,'Doll Data'!$C$2:$C$1048576,0),MATCH(BD$2,'Doll Data'!$U$1:$AE$1,0))</f>
        <v>0</v>
      </c>
      <c r="BE5" s="21">
        <f>INDEX('Doll Data'!$U$2:$AE$1048576,MATCH(Main!$D23,'Doll Data'!$C$2:$C$1048576,0),MATCH(BE$2,'Doll Data'!$U$1:$AE$1,0))</f>
        <v>115</v>
      </c>
      <c r="BH5" s="52">
        <f t="shared" ref="BH5:BH7" si="14">BH4+1</f>
        <v>3</v>
      </c>
      <c r="BI5" s="62">
        <f t="shared" si="0"/>
        <v>0.6</v>
      </c>
      <c r="BJ5" s="63">
        <f t="shared" si="0"/>
        <v>0.6</v>
      </c>
      <c r="BK5" s="63">
        <f t="shared" si="0"/>
        <v>0.8</v>
      </c>
      <c r="BL5" s="63">
        <f t="shared" si="0"/>
        <v>1.2</v>
      </c>
      <c r="BM5" s="63">
        <f t="shared" si="0"/>
        <v>1.8</v>
      </c>
      <c r="BN5" s="64">
        <f t="shared" si="0"/>
        <v>0</v>
      </c>
      <c r="BO5" s="78"/>
      <c r="BP5" s="52">
        <f t="shared" ref="BP5:BP22" si="15">BP4+1</f>
        <v>3</v>
      </c>
      <c r="BQ5" s="77">
        <f t="shared" si="1"/>
        <v>55</v>
      </c>
      <c r="BR5" s="78">
        <f t="shared" si="1"/>
        <v>16</v>
      </c>
      <c r="BS5" s="78">
        <f t="shared" si="1"/>
        <v>45</v>
      </c>
      <c r="BT5" s="78">
        <f t="shared" si="1"/>
        <v>5</v>
      </c>
      <c r="BU5" s="78">
        <f t="shared" si="1"/>
        <v>5</v>
      </c>
      <c r="BV5" s="79">
        <f t="shared" si="1"/>
        <v>2</v>
      </c>
      <c r="BW5" s="78"/>
      <c r="BX5" s="52">
        <f t="shared" ref="BX5:BX22" si="16">BX4+1</f>
        <v>3</v>
      </c>
      <c r="BY5" s="77">
        <f t="shared" si="2"/>
        <v>0.55500000000000005</v>
      </c>
      <c r="BZ5" s="78">
        <f t="shared" si="2"/>
        <v>16</v>
      </c>
      <c r="CA5" s="78">
        <f t="shared" si="2"/>
        <v>45</v>
      </c>
      <c r="CB5" s="78">
        <f t="shared" si="2"/>
        <v>5</v>
      </c>
      <c r="CC5" s="78">
        <f t="shared" si="2"/>
        <v>5</v>
      </c>
      <c r="CD5" s="79">
        <f t="shared" si="2"/>
        <v>0.161</v>
      </c>
      <c r="CE5" s="78"/>
      <c r="CF5" s="52">
        <f t="shared" ref="CF5:CF6" si="17">CF4+1</f>
        <v>3</v>
      </c>
      <c r="CG5" s="77">
        <f t="shared" si="3"/>
        <v>0</v>
      </c>
      <c r="CH5" s="78">
        <f t="shared" si="3"/>
        <v>0.24199999999999999</v>
      </c>
      <c r="CI5" s="78">
        <f t="shared" si="3"/>
        <v>0.18099999999999999</v>
      </c>
      <c r="CJ5" s="78">
        <f t="shared" si="3"/>
        <v>0.30299999999999999</v>
      </c>
      <c r="CK5" s="78">
        <f t="shared" si="3"/>
        <v>0.30299999999999999</v>
      </c>
      <c r="CL5" s="79">
        <f t="shared" si="3"/>
        <v>0</v>
      </c>
      <c r="CM5" s="78"/>
      <c r="CN5" s="52">
        <f t="shared" ref="CN5:CN22" si="18">CN4+1</f>
        <v>3</v>
      </c>
      <c r="CO5" s="12">
        <f t="shared" si="4"/>
        <v>0</v>
      </c>
      <c r="CP5" s="13">
        <f t="shared" si="4"/>
        <v>0</v>
      </c>
      <c r="CQ5" s="13">
        <f t="shared" si="4"/>
        <v>0</v>
      </c>
      <c r="CR5" s="13">
        <f t="shared" si="4"/>
        <v>0</v>
      </c>
      <c r="CS5" s="13">
        <f t="shared" si="4"/>
        <v>0</v>
      </c>
      <c r="CT5" s="14">
        <f t="shared" si="4"/>
        <v>0</v>
      </c>
      <c r="CW5" s="52">
        <f t="shared" ref="CW5:CW22" si="19">CW4+1</f>
        <v>3</v>
      </c>
      <c r="CX5" s="65">
        <f>Main!E23</f>
        <v>110</v>
      </c>
      <c r="CY5" s="66">
        <f>IF(AND(UseCustomStats,Main!Y23&lt;&gt;""),Main!Y23,_xlfn.CEILING.MATH((S5+($CX5-1)*AA5)*K5*AY5/100))</f>
        <v>79</v>
      </c>
      <c r="CZ5" s="66">
        <f>IF(AND(UseCustomStats,Main!Z23&lt;&gt;""),Main!Z23,_xlfn.CEILING.MATH(T5*L5*AZ5/100)+_xlfn.CEILING.MATH((AR5+($CX5-1)*AJ5)*L5*AZ5*$BE5/100/100))</f>
        <v>32</v>
      </c>
      <c r="DA5" s="66">
        <f>IF(AND(UseCustomStats,Main!AA23&lt;&gt;""),Main!AA23,_xlfn.CEILING.MATH(U5*M5*BA5/100)+_xlfn.CEILING.MATH((AS5+($CX5-1)*AK5)*M5*BA5*$BE5/100/100))</f>
        <v>72</v>
      </c>
      <c r="DB5" s="66">
        <f>IF(AND(UseCustomStats,Main!AB23&lt;&gt;""),Main!AB23,_xlfn.CEILING.MATH(V5*N5*BB5/100)+_xlfn.CEILING.MATH((AT5+($CX5-1)*AL5)*N5*BB5*$BE5/100/100))</f>
        <v>56</v>
      </c>
      <c r="DC5" s="66">
        <f>IF(AND(UseCustomStats,Main!AC23&lt;&gt;""),Main!AC23,_xlfn.CEILING.MATH(W5*O5*BC5/100)+_xlfn.CEILING.MATH((AU5+($CX5-1)*AM5)*O5*BC5*$BE5/100/100))</f>
        <v>75</v>
      </c>
      <c r="DD5" s="67">
        <f t="shared" si="5"/>
        <v>0</v>
      </c>
      <c r="DF5" s="52">
        <f t="shared" ref="DF5:DF22" si="20">DF4+1</f>
        <v>3</v>
      </c>
      <c r="DG5" s="65">
        <v>1</v>
      </c>
      <c r="DH5" s="66">
        <f>_xlfn.CEILING.MATH((BQ5+($DG5-1)*BY5)*BI5*AY5/100)</f>
        <v>39</v>
      </c>
      <c r="DI5" s="66">
        <f t="shared" si="6"/>
        <v>12</v>
      </c>
      <c r="DJ5" s="66">
        <f t="shared" si="6"/>
        <v>49</v>
      </c>
      <c r="DK5" s="66">
        <f t="shared" si="6"/>
        <v>7</v>
      </c>
      <c r="DL5" s="66">
        <f t="shared" si="6"/>
        <v>10</v>
      </c>
      <c r="DM5" s="67">
        <f>_xlfn.CEILING.MATH((BV5+($DG5-1)*CD5)*BN5*BD5/100)</f>
        <v>0</v>
      </c>
      <c r="DO5" s="52">
        <f t="shared" ref="DO5:DO22" si="21">DO4+1</f>
        <v>3</v>
      </c>
      <c r="DP5" s="28"/>
      <c r="DQ5" s="29"/>
      <c r="DR5" s="66">
        <f t="shared" si="7"/>
        <v>20</v>
      </c>
      <c r="DS5" s="66">
        <f t="shared" si="7"/>
        <v>23</v>
      </c>
      <c r="DT5" s="66">
        <f t="shared" si="7"/>
        <v>49</v>
      </c>
      <c r="DU5" s="66">
        <f t="shared" si="7"/>
        <v>65</v>
      </c>
      <c r="DV5" s="33"/>
      <c r="DY5" s="42" t="s">
        <v>859</v>
      </c>
      <c r="DZ5" s="94">
        <v>38</v>
      </c>
      <c r="EA5" s="95">
        <v>61</v>
      </c>
      <c r="EB5" s="95">
        <v>40</v>
      </c>
      <c r="EC5" s="96">
        <v>17</v>
      </c>
    </row>
    <row r="6" spans="1:133" x14ac:dyDescent="0.3">
      <c r="A6" s="52" t="s">
        <v>2</v>
      </c>
      <c r="B6" s="103">
        <v>1</v>
      </c>
      <c r="C6" s="104">
        <v>1</v>
      </c>
      <c r="D6" s="104">
        <v>1</v>
      </c>
      <c r="E6" s="104">
        <v>1</v>
      </c>
      <c r="F6" s="104">
        <v>1</v>
      </c>
      <c r="G6" s="105">
        <v>0</v>
      </c>
      <c r="J6" s="52">
        <f t="shared" si="8"/>
        <v>4</v>
      </c>
      <c r="K6" s="62">
        <f>INDEX($B$3:$G$8,MATCH(Main!$C24,$A$3:$A$8,0),MATCH(K$2,$B$2:$G$2,0))</f>
        <v>0.6</v>
      </c>
      <c r="L6" s="63">
        <f>INDEX($B$3:$G$8,MATCH(Main!$C24,$A$3:$A$8,0),MATCH(L$2,$B$2:$G$2,0))</f>
        <v>0.6</v>
      </c>
      <c r="M6" s="63">
        <f>INDEX($B$3:$G$8,MATCH(Main!$C24,$A$3:$A$8,0),MATCH(M$2,$B$2:$G$2,0))</f>
        <v>0.8</v>
      </c>
      <c r="N6" s="63">
        <f>INDEX($B$3:$G$8,MATCH(Main!$C24,$A$3:$A$8,0),MATCH(N$2,$B$2:$G$2,0))</f>
        <v>1.2</v>
      </c>
      <c r="O6" s="63">
        <f>INDEX($B$3:$G$8,MATCH(Main!$C24,$A$3:$A$8,0),MATCH(O$2,$B$2:$G$2,0))</f>
        <v>1.8</v>
      </c>
      <c r="P6" s="64">
        <f>INDEX($B$3:$G$8,MATCH(Main!$C24,$A$3:$A$8,0),MATCH(P$2,$B$2:$G$2,0))</f>
        <v>0</v>
      </c>
      <c r="Q6" s="78"/>
      <c r="R6" s="52">
        <f t="shared" si="9"/>
        <v>4</v>
      </c>
      <c r="S6" s="77">
        <f>IF(Main!$I24&gt;0,B$11,B$19)</f>
        <v>55</v>
      </c>
      <c r="T6" s="78">
        <f>IF(Main!$I24&gt;0,C$11,C$19)</f>
        <v>16</v>
      </c>
      <c r="U6" s="78">
        <f>IF(Main!$I24&gt;0,D$11,D$19)</f>
        <v>45</v>
      </c>
      <c r="V6" s="78">
        <f>IF(Main!$I24&gt;0,E$11,E$19)</f>
        <v>5</v>
      </c>
      <c r="W6" s="78">
        <f>IF(Main!$I24&gt;0,F$11,F$19)</f>
        <v>5</v>
      </c>
      <c r="X6" s="79">
        <f>IF(Main!$I24&gt;0,G$11,G$19)</f>
        <v>2</v>
      </c>
      <c r="Z6" s="52">
        <f t="shared" si="10"/>
        <v>4</v>
      </c>
      <c r="AA6" s="77">
        <f>IF(Main!$I24&gt;0,B$12,B$20)</f>
        <v>0.55500000000000005</v>
      </c>
      <c r="AB6" s="78">
        <f>IF(Main!$I24&gt;0,C$12,C$20)</f>
        <v>16</v>
      </c>
      <c r="AC6" s="78">
        <f>IF(Main!$I24&gt;0,D$12,D$20)</f>
        <v>45</v>
      </c>
      <c r="AD6" s="78">
        <f>IF(Main!$I24&gt;0,E$12,E$20)</f>
        <v>5</v>
      </c>
      <c r="AE6" s="78">
        <f>IF(Main!$I24&gt;0,F$12,F$20)</f>
        <v>5</v>
      </c>
      <c r="AF6" s="79">
        <f>IF(Main!$I24&gt;0,G$12,G$20)</f>
        <v>0.161</v>
      </c>
      <c r="AG6" s="78"/>
      <c r="AH6" s="52">
        <f t="shared" si="11"/>
        <v>4</v>
      </c>
      <c r="AI6" s="77">
        <f>IF(Main!$I24&gt;0,B$15,B$23)</f>
        <v>0</v>
      </c>
      <c r="AJ6" s="78">
        <f>IF(Main!$I24&gt;0,C$15,C$23)</f>
        <v>0.24199999999999999</v>
      </c>
      <c r="AK6" s="78">
        <f>IF(Main!$I24&gt;0,D$15,D$23)</f>
        <v>0.18099999999999999</v>
      </c>
      <c r="AL6" s="78">
        <f>IF(Main!$I24&gt;0,E$15,E$23)</f>
        <v>0.30299999999999999</v>
      </c>
      <c r="AM6" s="78">
        <f>IF(Main!$I24&gt;0,F$15,F$23)</f>
        <v>0.30299999999999999</v>
      </c>
      <c r="AN6" s="79">
        <f>IF(Main!$I24&gt;0,G$15,G$23)</f>
        <v>0</v>
      </c>
      <c r="AO6" s="78"/>
      <c r="AP6" s="52">
        <f t="shared" si="12"/>
        <v>4</v>
      </c>
      <c r="AQ6" s="12">
        <f>IF(Main!$I24&gt;0,B$16,B$24)</f>
        <v>0</v>
      </c>
      <c r="AR6" s="13">
        <f>IF(Main!$I24&gt;0,C$16,C$24)</f>
        <v>0</v>
      </c>
      <c r="AS6" s="13">
        <f>IF(Main!$I24&gt;0,D$16,D$24)</f>
        <v>0</v>
      </c>
      <c r="AT6" s="13">
        <f>IF(Main!$I24&gt;0,E$16,E$24)</f>
        <v>0</v>
      </c>
      <c r="AU6" s="13">
        <f>IF(Main!$I24&gt;0,F$16,F$24)</f>
        <v>0</v>
      </c>
      <c r="AV6" s="14">
        <f>IF(Main!$I24&gt;0,G$16,G$24)</f>
        <v>0</v>
      </c>
      <c r="AW6" s="78"/>
      <c r="AX6" s="52">
        <f t="shared" si="13"/>
        <v>4</v>
      </c>
      <c r="AY6" s="20">
        <f>INDEX('Doll Data'!$U$2:$AE$1048576,MATCH(Main!$D24,'Doll Data'!$C$2:$C$1048576,0),MATCH(AY$2,'Doll Data'!$U$1:$AE$1,0))</f>
        <v>130</v>
      </c>
      <c r="AZ6" s="16">
        <f>INDEX('Doll Data'!$U$2:$AE$1048576,MATCH(Main!$D24,'Doll Data'!$C$2:$C$1048576,0),MATCH(AZ$2,'Doll Data'!$U$1:$AE$1,0))</f>
        <v>98</v>
      </c>
      <c r="BA6" s="16">
        <f>INDEX('Doll Data'!$U$2:$AE$1048576,MATCH(Main!$D24,'Doll Data'!$C$2:$C$1048576,0),MATCH(BA$2,'Doll Data'!$U$1:$AE$1,0))</f>
        <v>102</v>
      </c>
      <c r="BB6" s="16">
        <f>INDEX('Doll Data'!$U$2:$AE$1048576,MATCH(Main!$D24,'Doll Data'!$C$2:$C$1048576,0),MATCH(BB$2,'Doll Data'!$U$1:$AE$1,0))</f>
        <v>120</v>
      </c>
      <c r="BC6" s="16">
        <f>INDEX('Doll Data'!$U$2:$AE$1048576,MATCH(Main!$D24,'Doll Data'!$C$2:$C$1048576,0),MATCH(BC$2,'Doll Data'!$U$1:$AE$1,0))</f>
        <v>100</v>
      </c>
      <c r="BD6" s="16">
        <f>INDEX('Doll Data'!$U$2:$AE$1048576,MATCH(Main!$D24,'Doll Data'!$C$2:$C$1048576,0),MATCH(BD$2,'Doll Data'!$U$1:$AE$1,0))</f>
        <v>0</v>
      </c>
      <c r="BE6" s="21">
        <f>INDEX('Doll Data'!$U$2:$AE$1048576,MATCH(Main!$D24,'Doll Data'!$C$2:$C$1048576,0),MATCH(BE$2,'Doll Data'!$U$1:$AE$1,0))</f>
        <v>132</v>
      </c>
      <c r="BH6" s="52">
        <f t="shared" si="14"/>
        <v>4</v>
      </c>
      <c r="BI6" s="62">
        <f t="shared" si="0"/>
        <v>0.6</v>
      </c>
      <c r="BJ6" s="63">
        <f t="shared" si="0"/>
        <v>0.6</v>
      </c>
      <c r="BK6" s="63">
        <f t="shared" si="0"/>
        <v>0.8</v>
      </c>
      <c r="BL6" s="63">
        <f t="shared" si="0"/>
        <v>1.2</v>
      </c>
      <c r="BM6" s="63">
        <f t="shared" si="0"/>
        <v>1.8</v>
      </c>
      <c r="BN6" s="64">
        <f t="shared" si="0"/>
        <v>0</v>
      </c>
      <c r="BO6" s="78"/>
      <c r="BP6" s="52">
        <f t="shared" si="15"/>
        <v>4</v>
      </c>
      <c r="BQ6" s="77">
        <f t="shared" ref="BQ6:BQ22" si="22">B$19</f>
        <v>55</v>
      </c>
      <c r="BR6" s="78">
        <f t="shared" ref="BR6:BR22" si="23">C$19</f>
        <v>16</v>
      </c>
      <c r="BS6" s="78">
        <f t="shared" ref="BS6:BS22" si="24">D$19</f>
        <v>45</v>
      </c>
      <c r="BT6" s="78">
        <f t="shared" ref="BT6:BT22" si="25">E$19</f>
        <v>5</v>
      </c>
      <c r="BU6" s="78">
        <f t="shared" ref="BU6:BU22" si="26">F$19</f>
        <v>5</v>
      </c>
      <c r="BV6" s="79">
        <f t="shared" ref="BV6:BV22" si="27">G$19</f>
        <v>2</v>
      </c>
      <c r="BW6" s="78"/>
      <c r="BX6" s="52">
        <f t="shared" si="16"/>
        <v>4</v>
      </c>
      <c r="BY6" s="77">
        <f t="shared" si="2"/>
        <v>0.55500000000000005</v>
      </c>
      <c r="BZ6" s="78">
        <f t="shared" si="2"/>
        <v>16</v>
      </c>
      <c r="CA6" s="78">
        <f t="shared" si="2"/>
        <v>45</v>
      </c>
      <c r="CB6" s="78">
        <f t="shared" si="2"/>
        <v>5</v>
      </c>
      <c r="CC6" s="78">
        <f t="shared" si="2"/>
        <v>5</v>
      </c>
      <c r="CD6" s="79">
        <f t="shared" si="2"/>
        <v>0.161</v>
      </c>
      <c r="CE6" s="78"/>
      <c r="CF6" s="52">
        <f t="shared" si="17"/>
        <v>4</v>
      </c>
      <c r="CG6" s="77">
        <f t="shared" si="3"/>
        <v>0</v>
      </c>
      <c r="CH6" s="78">
        <f t="shared" si="3"/>
        <v>0.24199999999999999</v>
      </c>
      <c r="CI6" s="78">
        <f t="shared" si="3"/>
        <v>0.18099999999999999</v>
      </c>
      <c r="CJ6" s="78">
        <f t="shared" si="3"/>
        <v>0.30299999999999999</v>
      </c>
      <c r="CK6" s="78">
        <f t="shared" si="3"/>
        <v>0.30299999999999999</v>
      </c>
      <c r="CL6" s="79">
        <f t="shared" si="3"/>
        <v>0</v>
      </c>
      <c r="CM6" s="78"/>
      <c r="CN6" s="52">
        <f t="shared" si="18"/>
        <v>4</v>
      </c>
      <c r="CO6" s="12">
        <f t="shared" si="4"/>
        <v>0</v>
      </c>
      <c r="CP6" s="13">
        <f t="shared" si="4"/>
        <v>0</v>
      </c>
      <c r="CQ6" s="13">
        <f t="shared" si="4"/>
        <v>0</v>
      </c>
      <c r="CR6" s="13">
        <f t="shared" si="4"/>
        <v>0</v>
      </c>
      <c r="CS6" s="13">
        <f t="shared" si="4"/>
        <v>0</v>
      </c>
      <c r="CT6" s="14">
        <f t="shared" si="4"/>
        <v>0</v>
      </c>
      <c r="CW6" s="52">
        <f t="shared" si="19"/>
        <v>4</v>
      </c>
      <c r="CX6" s="65">
        <f>Main!E24</f>
        <v>100</v>
      </c>
      <c r="CY6" s="66">
        <f>IF(AND(UseCustomStats,Main!Y24&lt;&gt;""),Main!Y24,_xlfn.CEILING.MATH((S6+($CX6-1)*AA6)*K6*AY6/100))</f>
        <v>86</v>
      </c>
      <c r="CZ6" s="66">
        <f>IF(AND(UseCustomStats,Main!Z24&lt;&gt;""),Main!Z24,_xlfn.CEILING.MATH(T6*L6*AZ6/100)+_xlfn.CEILING.MATH((AR6+($CX6-1)*AJ6)*L6*AZ6*$BE6/100/100))</f>
        <v>29</v>
      </c>
      <c r="DA6" s="66">
        <f>IF(AND(UseCustomStats,Main!AA24&lt;&gt;""),Main!AA24,_xlfn.CEILING.MATH(U6*M6*BA6/100)+_xlfn.CEILING.MATH((AS6+($CX6-1)*AK6)*M6*BA6*$BE6/100/100))</f>
        <v>57</v>
      </c>
      <c r="DB6" s="66">
        <f>IF(AND(UseCustomStats,Main!AB24&lt;&gt;""),Main!AB24,_xlfn.CEILING.MATH(V6*N6*BB6/100)+_xlfn.CEILING.MATH((AT6+($CX6-1)*AL6)*N6*BB6*$BE6/100/100))</f>
        <v>66</v>
      </c>
      <c r="DC6" s="66">
        <f>IF(AND(UseCustomStats,Main!AC24&lt;&gt;""),Main!AC24,_xlfn.CEILING.MATH(W6*O6*BC6/100)+_xlfn.CEILING.MATH((AU6+($CX6-1)*AM6)*O6*BC6*$BE6/100/100))</f>
        <v>81</v>
      </c>
      <c r="DD6" s="67">
        <f t="shared" si="5"/>
        <v>0</v>
      </c>
      <c r="DF6" s="52">
        <f t="shared" si="20"/>
        <v>4</v>
      </c>
      <c r="DG6" s="65">
        <v>1</v>
      </c>
      <c r="DH6" s="66">
        <f>_xlfn.CEILING.MATH((BQ6+($DG6-1)*BY6)*BI6*AY6/100)</f>
        <v>43</v>
      </c>
      <c r="DI6" s="66">
        <f t="shared" si="6"/>
        <v>10</v>
      </c>
      <c r="DJ6" s="66">
        <f t="shared" si="6"/>
        <v>37</v>
      </c>
      <c r="DK6" s="66">
        <f t="shared" si="6"/>
        <v>8</v>
      </c>
      <c r="DL6" s="66">
        <f t="shared" si="6"/>
        <v>9</v>
      </c>
      <c r="DM6" s="67">
        <f>_xlfn.CEILING.MATH((BV6+($DG6-1)*CD6)*BN6*BD6/100)</f>
        <v>0</v>
      </c>
      <c r="DO6" s="52">
        <f t="shared" si="21"/>
        <v>4</v>
      </c>
      <c r="DP6" s="28"/>
      <c r="DQ6" s="29"/>
      <c r="DR6" s="66">
        <f t="shared" si="7"/>
        <v>19</v>
      </c>
      <c r="DS6" s="66">
        <f t="shared" si="7"/>
        <v>20</v>
      </c>
      <c r="DT6" s="66">
        <f t="shared" si="7"/>
        <v>58</v>
      </c>
      <c r="DU6" s="66">
        <f t="shared" si="7"/>
        <v>72</v>
      </c>
      <c r="DV6" s="33"/>
      <c r="DY6" s="42" t="s">
        <v>860</v>
      </c>
      <c r="DZ6" s="94">
        <v>38</v>
      </c>
      <c r="EA6" s="95">
        <v>45</v>
      </c>
      <c r="EB6" s="95">
        <v>96</v>
      </c>
      <c r="EC6" s="96">
        <v>88</v>
      </c>
    </row>
    <row r="7" spans="1:133" x14ac:dyDescent="0.3">
      <c r="A7" s="52" t="s">
        <v>4</v>
      </c>
      <c r="B7" s="103">
        <v>1.5</v>
      </c>
      <c r="C7" s="104">
        <v>1.8</v>
      </c>
      <c r="D7" s="104">
        <v>1.6</v>
      </c>
      <c r="E7" s="104">
        <v>0.6</v>
      </c>
      <c r="F7" s="104">
        <v>0.6</v>
      </c>
      <c r="G7" s="105">
        <v>0</v>
      </c>
      <c r="J7" s="52">
        <f t="shared" si="8"/>
        <v>5</v>
      </c>
      <c r="K7" s="62">
        <f>INDEX($B$3:$G$8,MATCH(Main!$C25,$A$3:$A$8,0),MATCH(K$2,$B$2:$G$2,0))</f>
        <v>2</v>
      </c>
      <c r="L7" s="63">
        <f>INDEX($B$3:$G$8,MATCH(Main!$C25,$A$3:$A$8,0),MATCH(L$2,$B$2:$G$2,0))</f>
        <v>0.7</v>
      </c>
      <c r="M7" s="63">
        <f>INDEX($B$3:$G$8,MATCH(Main!$C25,$A$3:$A$8,0),MATCH(M$2,$B$2:$G$2,0))</f>
        <v>0.4</v>
      </c>
      <c r="N7" s="63">
        <f>INDEX($B$3:$G$8,MATCH(Main!$C25,$A$3:$A$8,0),MATCH(N$2,$B$2:$G$2,0))</f>
        <v>0.3</v>
      </c>
      <c r="O7" s="63">
        <f>INDEX($B$3:$G$8,MATCH(Main!$C25,$A$3:$A$8,0),MATCH(O$2,$B$2:$G$2,0))</f>
        <v>0.3</v>
      </c>
      <c r="P7" s="64">
        <f>INDEX($B$3:$G$8,MATCH(Main!$C25,$A$3:$A$8,0),MATCH(P$2,$B$2:$G$2,0))</f>
        <v>1</v>
      </c>
      <c r="Q7" s="78"/>
      <c r="R7" s="52">
        <f t="shared" si="9"/>
        <v>5</v>
      </c>
      <c r="S7" s="77">
        <f>IF(Main!$I25&gt;0,B$11,B$19)</f>
        <v>55</v>
      </c>
      <c r="T7" s="78">
        <f>IF(Main!$I25&gt;0,C$11,C$19)</f>
        <v>16</v>
      </c>
      <c r="U7" s="78">
        <f>IF(Main!$I25&gt;0,D$11,D$19)</f>
        <v>45</v>
      </c>
      <c r="V7" s="78">
        <f>IF(Main!$I25&gt;0,E$11,E$19)</f>
        <v>5</v>
      </c>
      <c r="W7" s="78">
        <f>IF(Main!$I25&gt;0,F$11,F$19)</f>
        <v>5</v>
      </c>
      <c r="X7" s="79">
        <f>IF(Main!$I25&gt;0,G$11,G$19)</f>
        <v>2</v>
      </c>
      <c r="Z7" s="52">
        <f t="shared" si="10"/>
        <v>5</v>
      </c>
      <c r="AA7" s="77">
        <f>IF(Main!$I25&gt;0,B$12,B$20)</f>
        <v>0.55500000000000005</v>
      </c>
      <c r="AB7" s="78">
        <f>IF(Main!$I25&gt;0,C$12,C$20)</f>
        <v>16</v>
      </c>
      <c r="AC7" s="78">
        <f>IF(Main!$I25&gt;0,D$12,D$20)</f>
        <v>45</v>
      </c>
      <c r="AD7" s="78">
        <f>IF(Main!$I25&gt;0,E$12,E$20)</f>
        <v>5</v>
      </c>
      <c r="AE7" s="78">
        <f>IF(Main!$I25&gt;0,F$12,F$20)</f>
        <v>5</v>
      </c>
      <c r="AF7" s="79">
        <f>IF(Main!$I25&gt;0,G$12,G$20)</f>
        <v>0.161</v>
      </c>
      <c r="AG7" s="78"/>
      <c r="AH7" s="52">
        <f t="shared" si="11"/>
        <v>5</v>
      </c>
      <c r="AI7" s="77">
        <f>IF(Main!$I25&gt;0,B$15,B$23)</f>
        <v>0</v>
      </c>
      <c r="AJ7" s="78">
        <f>IF(Main!$I25&gt;0,C$15,C$23)</f>
        <v>0.24199999999999999</v>
      </c>
      <c r="AK7" s="78">
        <f>IF(Main!$I25&gt;0,D$15,D$23)</f>
        <v>0.18099999999999999</v>
      </c>
      <c r="AL7" s="78">
        <f>IF(Main!$I25&gt;0,E$15,E$23)</f>
        <v>0.30299999999999999</v>
      </c>
      <c r="AM7" s="78">
        <f>IF(Main!$I25&gt;0,F$15,F$23)</f>
        <v>0.30299999999999999</v>
      </c>
      <c r="AN7" s="79">
        <f>IF(Main!$I25&gt;0,G$15,G$23)</f>
        <v>0</v>
      </c>
      <c r="AO7" s="78"/>
      <c r="AP7" s="52">
        <f t="shared" si="12"/>
        <v>5</v>
      </c>
      <c r="AQ7" s="12">
        <f>IF(Main!$I25&gt;0,B$16,B$24)</f>
        <v>0</v>
      </c>
      <c r="AR7" s="13">
        <f>IF(Main!$I25&gt;0,C$16,C$24)</f>
        <v>0</v>
      </c>
      <c r="AS7" s="13">
        <f>IF(Main!$I25&gt;0,D$16,D$24)</f>
        <v>0</v>
      </c>
      <c r="AT7" s="13">
        <f>IF(Main!$I25&gt;0,E$16,E$24)</f>
        <v>0</v>
      </c>
      <c r="AU7" s="13">
        <f>IF(Main!$I25&gt;0,F$16,F$24)</f>
        <v>0</v>
      </c>
      <c r="AV7" s="14">
        <f>IF(Main!$I25&gt;0,G$16,G$24)</f>
        <v>0</v>
      </c>
      <c r="AW7" s="78"/>
      <c r="AX7" s="52">
        <f t="shared" si="13"/>
        <v>5</v>
      </c>
      <c r="AY7" s="20">
        <f>INDEX('Doll Data'!$U$2:$AE$1048576,MATCH(Main!$D25,'Doll Data'!$C$2:$C$1048576,0),MATCH(AY$2,'Doll Data'!$U$1:$AE$1,0))</f>
        <v>125</v>
      </c>
      <c r="AZ7" s="16">
        <f>INDEX('Doll Data'!$U$2:$AE$1048576,MATCH(Main!$D25,'Doll Data'!$C$2:$C$1048576,0),MATCH(AZ$2,'Doll Data'!$U$1:$AE$1,0))</f>
        <v>80</v>
      </c>
      <c r="BA7" s="16">
        <f>INDEX('Doll Data'!$U$2:$AE$1048576,MATCH(Main!$D25,'Doll Data'!$C$2:$C$1048576,0),MATCH(BA$2,'Doll Data'!$U$1:$AE$1,0))</f>
        <v>110</v>
      </c>
      <c r="BB7" s="16">
        <f>INDEX('Doll Data'!$U$2:$AE$1048576,MATCH(Main!$D25,'Doll Data'!$C$2:$C$1048576,0),MATCH(BB$2,'Doll Data'!$U$1:$AE$1,0))</f>
        <v>130</v>
      </c>
      <c r="BC7" s="16">
        <f>INDEX('Doll Data'!$U$2:$AE$1048576,MATCH(Main!$D25,'Doll Data'!$C$2:$C$1048576,0),MATCH(BC$2,'Doll Data'!$U$1:$AE$1,0))</f>
        <v>95</v>
      </c>
      <c r="BD7" s="16">
        <f>INDEX('Doll Data'!$U$2:$AE$1048576,MATCH(Main!$D25,'Doll Data'!$C$2:$C$1048576,0),MATCH(BD$2,'Doll Data'!$U$1:$AE$1,0))</f>
        <v>135</v>
      </c>
      <c r="BE7" s="21">
        <f>INDEX('Doll Data'!$U$2:$AE$1048576,MATCH(Main!$D25,'Doll Data'!$C$2:$C$1048576,0),MATCH(BE$2,'Doll Data'!$U$1:$AE$1,0))</f>
        <v>100</v>
      </c>
      <c r="BH7" s="52">
        <f t="shared" si="14"/>
        <v>5</v>
      </c>
      <c r="BI7" s="62">
        <f t="shared" si="0"/>
        <v>2</v>
      </c>
      <c r="BJ7" s="63">
        <f t="shared" si="0"/>
        <v>0.7</v>
      </c>
      <c r="BK7" s="63">
        <f t="shared" si="0"/>
        <v>0.4</v>
      </c>
      <c r="BL7" s="63">
        <f t="shared" si="0"/>
        <v>0.3</v>
      </c>
      <c r="BM7" s="63">
        <f t="shared" si="0"/>
        <v>0.3</v>
      </c>
      <c r="BN7" s="64">
        <f t="shared" si="0"/>
        <v>1</v>
      </c>
      <c r="BO7" s="78"/>
      <c r="BP7" s="52">
        <f t="shared" si="15"/>
        <v>5</v>
      </c>
      <c r="BQ7" s="77">
        <f t="shared" si="22"/>
        <v>55</v>
      </c>
      <c r="BR7" s="78">
        <f t="shared" si="23"/>
        <v>16</v>
      </c>
      <c r="BS7" s="78">
        <f t="shared" si="24"/>
        <v>45</v>
      </c>
      <c r="BT7" s="78">
        <f t="shared" si="25"/>
        <v>5</v>
      </c>
      <c r="BU7" s="78">
        <f t="shared" si="26"/>
        <v>5</v>
      </c>
      <c r="BV7" s="79">
        <f t="shared" si="27"/>
        <v>2</v>
      </c>
      <c r="BW7" s="78"/>
      <c r="BX7" s="52">
        <f t="shared" si="16"/>
        <v>5</v>
      </c>
      <c r="BY7" s="77">
        <f t="shared" si="2"/>
        <v>0.55500000000000005</v>
      </c>
      <c r="BZ7" s="78">
        <f t="shared" si="2"/>
        <v>16</v>
      </c>
      <c r="CA7" s="78">
        <f t="shared" si="2"/>
        <v>45</v>
      </c>
      <c r="CB7" s="78">
        <f t="shared" si="2"/>
        <v>5</v>
      </c>
      <c r="CC7" s="78">
        <f t="shared" si="2"/>
        <v>5</v>
      </c>
      <c r="CD7" s="79">
        <f t="shared" si="2"/>
        <v>0.161</v>
      </c>
      <c r="CE7" s="78"/>
      <c r="CF7" s="52">
        <f t="shared" ref="CF7:CF22" si="28">CF6+1</f>
        <v>5</v>
      </c>
      <c r="CG7" s="77">
        <f t="shared" ref="CG7:CG22" si="29">B$23</f>
        <v>0</v>
      </c>
      <c r="CH7" s="78">
        <f t="shared" ref="CH7:CH22" si="30">C$23</f>
        <v>0.24199999999999999</v>
      </c>
      <c r="CI7" s="78">
        <f t="shared" ref="CI7:CI22" si="31">D$23</f>
        <v>0.18099999999999999</v>
      </c>
      <c r="CJ7" s="78">
        <f t="shared" ref="CJ7:CJ22" si="32">E$23</f>
        <v>0.30299999999999999</v>
      </c>
      <c r="CK7" s="78">
        <f t="shared" ref="CK7:CK22" si="33">F$23</f>
        <v>0.30299999999999999</v>
      </c>
      <c r="CL7" s="79">
        <f t="shared" ref="CL7:CL22" si="34">G$23</f>
        <v>0</v>
      </c>
      <c r="CM7" s="78"/>
      <c r="CN7" s="52">
        <f t="shared" si="18"/>
        <v>5</v>
      </c>
      <c r="CO7" s="12">
        <f t="shared" si="4"/>
        <v>0</v>
      </c>
      <c r="CP7" s="13">
        <f t="shared" si="4"/>
        <v>0</v>
      </c>
      <c r="CQ7" s="13">
        <f t="shared" si="4"/>
        <v>0</v>
      </c>
      <c r="CR7" s="13">
        <f t="shared" si="4"/>
        <v>0</v>
      </c>
      <c r="CS7" s="13">
        <f t="shared" si="4"/>
        <v>0</v>
      </c>
      <c r="CT7" s="14">
        <f t="shared" si="4"/>
        <v>0</v>
      </c>
      <c r="CW7" s="52">
        <f t="shared" si="19"/>
        <v>5</v>
      </c>
      <c r="CX7" s="65">
        <f>Main!E25</f>
        <v>100</v>
      </c>
      <c r="CY7" s="66">
        <f>IF(AND(UseCustomStats,Main!Y25&lt;&gt;""),Main!Y25,_xlfn.CEILING.MATH((S7+($CX7-1)*AA7)*K7*AY7/100))</f>
        <v>275</v>
      </c>
      <c r="CZ7" s="66">
        <f>IF(AND(UseCustomStats,Main!Z25&lt;&gt;""),Main!Z25,_xlfn.CEILING.MATH(T7*L7*AZ7/100)+_xlfn.CEILING.MATH((AR7+($CX7-1)*AJ7)*L7*AZ7*$BE7/100/100))</f>
        <v>23</v>
      </c>
      <c r="DA7" s="66">
        <f>IF(AND(UseCustomStats,Main!AA25&lt;&gt;""),Main!AA25,_xlfn.CEILING.MATH(U7*M7*BA7/100)+_xlfn.CEILING.MATH((AS7+($CX7-1)*AK7)*M7*BA7*$BE7/100/100))</f>
        <v>28</v>
      </c>
      <c r="DB7" s="66">
        <f>IF(AND(UseCustomStats,Main!AB25&lt;&gt;""),Main!AB25,_xlfn.CEILING.MATH(V7*N7*BB7/100)+_xlfn.CEILING.MATH((AT7+($CX7-1)*AL7)*N7*BB7*$BE7/100/100))</f>
        <v>14</v>
      </c>
      <c r="DC7" s="66">
        <f>IF(AND(UseCustomStats,Main!AC25&lt;&gt;""),Main!AC25,_xlfn.CEILING.MATH(W7*O7*BC7/100)+_xlfn.CEILING.MATH((AU7+($CX7-1)*AM7)*O7*BC7*$BE7/100/100))</f>
        <v>11</v>
      </c>
      <c r="DD7" s="67">
        <f t="shared" si="5"/>
        <v>25</v>
      </c>
      <c r="DF7" s="52">
        <f t="shared" si="20"/>
        <v>5</v>
      </c>
      <c r="DG7" s="65">
        <v>1</v>
      </c>
      <c r="DH7" s="66">
        <f>_xlfn.CEILING.MATH((BQ7+($DG7-1)*BY7)*BI7*AY7/100)</f>
        <v>138</v>
      </c>
      <c r="DI7" s="66">
        <f t="shared" si="6"/>
        <v>9</v>
      </c>
      <c r="DJ7" s="66">
        <f t="shared" si="6"/>
        <v>20</v>
      </c>
      <c r="DK7" s="66">
        <f t="shared" si="6"/>
        <v>2</v>
      </c>
      <c r="DL7" s="66">
        <f t="shared" si="6"/>
        <v>2</v>
      </c>
      <c r="DM7" s="67">
        <f>_xlfn.CEILING.MATH((BV7+($DG7-1)*CD7)*BN7*BD7/100)</f>
        <v>3</v>
      </c>
      <c r="DO7" s="52">
        <f t="shared" si="21"/>
        <v>5</v>
      </c>
      <c r="DP7" s="28"/>
      <c r="DQ7" s="29"/>
      <c r="DR7" s="66">
        <f t="shared" si="7"/>
        <v>14</v>
      </c>
      <c r="DS7" s="66">
        <f t="shared" si="7"/>
        <v>8</v>
      </c>
      <c r="DT7" s="66">
        <f t="shared" si="7"/>
        <v>12</v>
      </c>
      <c r="DU7" s="66">
        <f t="shared" si="7"/>
        <v>9</v>
      </c>
      <c r="DV7" s="33"/>
      <c r="DY7" s="42" t="s">
        <v>861</v>
      </c>
      <c r="DZ7" s="94">
        <v>26</v>
      </c>
      <c r="EA7" s="95">
        <v>112</v>
      </c>
      <c r="EB7" s="95">
        <v>63</v>
      </c>
      <c r="EC7" s="96">
        <v>46</v>
      </c>
    </row>
    <row r="8" spans="1:133" x14ac:dyDescent="0.3">
      <c r="A8" s="53" t="s">
        <v>5</v>
      </c>
      <c r="B8" s="106">
        <v>2</v>
      </c>
      <c r="C8" s="107">
        <v>0.7</v>
      </c>
      <c r="D8" s="107">
        <v>0.4</v>
      </c>
      <c r="E8" s="107">
        <v>0.3</v>
      </c>
      <c r="F8" s="107">
        <v>0.3</v>
      </c>
      <c r="G8" s="108">
        <v>1</v>
      </c>
      <c r="J8" s="51">
        <f t="shared" ref="J8" si="35">J7+1</f>
        <v>6</v>
      </c>
      <c r="K8" s="56" t="e">
        <f>INDEX($B$3:$G$8,MATCH(Main!$C35,$A$3:$A$8,0),MATCH(K$2,$B$2:$G$2,0))</f>
        <v>#N/A</v>
      </c>
      <c r="L8" s="57" t="e">
        <f>INDEX($B$3:$G$8,MATCH(Main!$C35,$A$3:$A$8,0),MATCH(L$2,$B$2:$G$2,0))</f>
        <v>#N/A</v>
      </c>
      <c r="M8" s="57" t="e">
        <f>INDEX($B$3:$G$8,MATCH(Main!$C35,$A$3:$A$8,0),MATCH(M$2,$B$2:$G$2,0))</f>
        <v>#N/A</v>
      </c>
      <c r="N8" s="57" t="e">
        <f>INDEX($B$3:$G$8,MATCH(Main!$C35,$A$3:$A$8,0),MATCH(N$2,$B$2:$G$2,0))</f>
        <v>#N/A</v>
      </c>
      <c r="O8" s="57" t="e">
        <f>INDEX($B$3:$G$8,MATCH(Main!$C35,$A$3:$A$8,0),MATCH(O$2,$B$2:$G$2,0))</f>
        <v>#N/A</v>
      </c>
      <c r="P8" s="58" t="e">
        <f>INDEX($B$3:$G$8,MATCH(Main!$C35,$A$3:$A$8,0),MATCH(P$2,$B$2:$G$2,0))</f>
        <v>#N/A</v>
      </c>
      <c r="Q8" s="78"/>
      <c r="R8" s="51">
        <f t="shared" ref="R8" si="36">R7+1</f>
        <v>6</v>
      </c>
      <c r="S8" s="74">
        <f>IF(Main!$I35&gt;0,B$11,B$19)</f>
        <v>55</v>
      </c>
      <c r="T8" s="75">
        <f>IF(Main!$I35&gt;0,C$11,C$19)</f>
        <v>16</v>
      </c>
      <c r="U8" s="75">
        <f>IF(Main!$I35&gt;0,D$11,D$19)</f>
        <v>45</v>
      </c>
      <c r="V8" s="75">
        <f>IF(Main!$I35&gt;0,E$11,E$19)</f>
        <v>5</v>
      </c>
      <c r="W8" s="75">
        <f>IF(Main!$I35&gt;0,F$11,F$19)</f>
        <v>5</v>
      </c>
      <c r="X8" s="76">
        <f>IF(Main!$I35&gt;0,G$11,G$19)</f>
        <v>2</v>
      </c>
      <c r="Z8" s="51">
        <f t="shared" ref="Z8" si="37">Z7+1</f>
        <v>6</v>
      </c>
      <c r="AA8" s="74">
        <f>IF(Main!$I35&gt;0,B$12,B$20)</f>
        <v>0.55500000000000005</v>
      </c>
      <c r="AB8" s="75">
        <f>IF(Main!$I35&gt;0,C$12,C$20)</f>
        <v>16</v>
      </c>
      <c r="AC8" s="75">
        <f>IF(Main!$I35&gt;0,D$12,D$20)</f>
        <v>45</v>
      </c>
      <c r="AD8" s="75">
        <f>IF(Main!$I35&gt;0,E$12,E$20)</f>
        <v>5</v>
      </c>
      <c r="AE8" s="75">
        <f>IF(Main!$I35&gt;0,F$12,F$20)</f>
        <v>5</v>
      </c>
      <c r="AF8" s="76">
        <f>IF(Main!$I35&gt;0,G$12,G$20)</f>
        <v>0.161</v>
      </c>
      <c r="AG8" s="78"/>
      <c r="AH8" s="51">
        <f t="shared" ref="AH8" si="38">AH7+1</f>
        <v>6</v>
      </c>
      <c r="AI8" s="74">
        <f>IF(Main!$I35&gt;0,B$15,B$23)</f>
        <v>0</v>
      </c>
      <c r="AJ8" s="75">
        <f>IF(Main!$I35&gt;0,C$15,C$23)</f>
        <v>0.24199999999999999</v>
      </c>
      <c r="AK8" s="75">
        <f>IF(Main!$I35&gt;0,D$15,D$23)</f>
        <v>0.18099999999999999</v>
      </c>
      <c r="AL8" s="75">
        <f>IF(Main!$I35&gt;0,E$15,E$23)</f>
        <v>0.30299999999999999</v>
      </c>
      <c r="AM8" s="75">
        <f>IF(Main!$I35&gt;0,F$15,F$23)</f>
        <v>0.30299999999999999</v>
      </c>
      <c r="AN8" s="76">
        <f>IF(Main!$I35&gt;0,G$15,G$23)</f>
        <v>0</v>
      </c>
      <c r="AO8" s="78"/>
      <c r="AP8" s="51">
        <f t="shared" ref="AP8" si="39">AP7+1</f>
        <v>6</v>
      </c>
      <c r="AQ8" s="2">
        <f>IF(Main!$I35&gt;0,B$16,B$24)</f>
        <v>0</v>
      </c>
      <c r="AR8" s="3">
        <f>IF(Main!$I35&gt;0,C$16,C$24)</f>
        <v>0</v>
      </c>
      <c r="AS8" s="3">
        <f>IF(Main!$I35&gt;0,D$16,D$24)</f>
        <v>0</v>
      </c>
      <c r="AT8" s="3">
        <f>IF(Main!$I35&gt;0,E$16,E$24)</f>
        <v>0</v>
      </c>
      <c r="AU8" s="3">
        <f>IF(Main!$I35&gt;0,F$16,F$24)</f>
        <v>0</v>
      </c>
      <c r="AV8" s="4">
        <f>IF(Main!$I35&gt;0,G$16,G$24)</f>
        <v>0</v>
      </c>
      <c r="AW8" s="78"/>
      <c r="AX8" s="51">
        <f t="shared" ref="AX8" si="40">AX7+1</f>
        <v>6</v>
      </c>
      <c r="AY8" s="17" t="e">
        <f>INDEX('Doll Data'!$U$2:$AE$1048576,MATCH(Main!$D35,'Doll Data'!$C$2:$C$1048576,0),MATCH(AY$2,'Doll Data'!$U$1:$AE$1,0))</f>
        <v>#N/A</v>
      </c>
      <c r="AZ8" s="18" t="e">
        <f>INDEX('Doll Data'!$U$2:$AE$1048576,MATCH(Main!$D35,'Doll Data'!$C$2:$C$1048576,0),MATCH(AZ$2,'Doll Data'!$U$1:$AE$1,0))</f>
        <v>#N/A</v>
      </c>
      <c r="BA8" s="18" t="e">
        <f>INDEX('Doll Data'!$U$2:$AE$1048576,MATCH(Main!$D35,'Doll Data'!$C$2:$C$1048576,0),MATCH(BA$2,'Doll Data'!$U$1:$AE$1,0))</f>
        <v>#N/A</v>
      </c>
      <c r="BB8" s="18" t="e">
        <f>INDEX('Doll Data'!$U$2:$AE$1048576,MATCH(Main!$D35,'Doll Data'!$C$2:$C$1048576,0),MATCH(BB$2,'Doll Data'!$U$1:$AE$1,0))</f>
        <v>#N/A</v>
      </c>
      <c r="BC8" s="18" t="e">
        <f>INDEX('Doll Data'!$U$2:$AE$1048576,MATCH(Main!$D35,'Doll Data'!$C$2:$C$1048576,0),MATCH(BC$2,'Doll Data'!$U$1:$AE$1,0))</f>
        <v>#N/A</v>
      </c>
      <c r="BD8" s="18" t="e">
        <f>INDEX('Doll Data'!$U$2:$AE$1048576,MATCH(Main!$D35,'Doll Data'!$C$2:$C$1048576,0),MATCH(BD$2,'Doll Data'!$U$1:$AE$1,0))</f>
        <v>#N/A</v>
      </c>
      <c r="BE8" s="19" t="e">
        <f>INDEX('Doll Data'!$U$2:$AE$1048576,MATCH(Main!$D35,'Doll Data'!$C$2:$C$1048576,0),MATCH(BE$2,'Doll Data'!$U$1:$AE$1,0))</f>
        <v>#N/A</v>
      </c>
      <c r="BH8" s="51">
        <f t="shared" ref="BH8:BH22" si="41">BH7+1</f>
        <v>6</v>
      </c>
      <c r="BI8" s="56" t="e">
        <f t="shared" ref="BI8:BI22" si="42">K8</f>
        <v>#N/A</v>
      </c>
      <c r="BJ8" s="57" t="e">
        <f t="shared" ref="BJ8:BJ22" si="43">L8</f>
        <v>#N/A</v>
      </c>
      <c r="BK8" s="57" t="e">
        <f t="shared" ref="BK8:BK22" si="44">M8</f>
        <v>#N/A</v>
      </c>
      <c r="BL8" s="57" t="e">
        <f t="shared" ref="BL8:BL22" si="45">N8</f>
        <v>#N/A</v>
      </c>
      <c r="BM8" s="57" t="e">
        <f t="shared" ref="BM8:BM22" si="46">O8</f>
        <v>#N/A</v>
      </c>
      <c r="BN8" s="58" t="e">
        <f t="shared" ref="BN8:BN22" si="47">P8</f>
        <v>#N/A</v>
      </c>
      <c r="BO8" s="78"/>
      <c r="BP8" s="51">
        <f t="shared" si="15"/>
        <v>6</v>
      </c>
      <c r="BQ8" s="74">
        <f t="shared" si="22"/>
        <v>55</v>
      </c>
      <c r="BR8" s="75">
        <f t="shared" si="23"/>
        <v>16</v>
      </c>
      <c r="BS8" s="75">
        <f t="shared" si="24"/>
        <v>45</v>
      </c>
      <c r="BT8" s="75">
        <f t="shared" si="25"/>
        <v>5</v>
      </c>
      <c r="BU8" s="75">
        <f t="shared" si="26"/>
        <v>5</v>
      </c>
      <c r="BV8" s="76">
        <f t="shared" si="27"/>
        <v>2</v>
      </c>
      <c r="BW8" s="78"/>
      <c r="BX8" s="51">
        <f t="shared" si="16"/>
        <v>6</v>
      </c>
      <c r="BY8" s="74">
        <f t="shared" ref="BY8:BY22" si="48">B$20</f>
        <v>0.55500000000000005</v>
      </c>
      <c r="BZ8" s="75">
        <f t="shared" ref="BZ8:BZ22" si="49">C$20</f>
        <v>16</v>
      </c>
      <c r="CA8" s="75">
        <f t="shared" ref="CA8:CA22" si="50">D$20</f>
        <v>45</v>
      </c>
      <c r="CB8" s="75">
        <f t="shared" ref="CB8:CB22" si="51">E$20</f>
        <v>5</v>
      </c>
      <c r="CC8" s="75">
        <f t="shared" ref="CC8:CC22" si="52">F$20</f>
        <v>5</v>
      </c>
      <c r="CD8" s="76">
        <f t="shared" ref="CD8:CD22" si="53">G$20</f>
        <v>0.161</v>
      </c>
      <c r="CE8" s="78"/>
      <c r="CF8" s="51">
        <f t="shared" si="28"/>
        <v>6</v>
      </c>
      <c r="CG8" s="74">
        <f t="shared" si="29"/>
        <v>0</v>
      </c>
      <c r="CH8" s="75">
        <f t="shared" si="30"/>
        <v>0.24199999999999999</v>
      </c>
      <c r="CI8" s="75">
        <f t="shared" si="31"/>
        <v>0.18099999999999999</v>
      </c>
      <c r="CJ8" s="75">
        <f t="shared" si="32"/>
        <v>0.30299999999999999</v>
      </c>
      <c r="CK8" s="75">
        <f t="shared" si="33"/>
        <v>0.30299999999999999</v>
      </c>
      <c r="CL8" s="76">
        <f t="shared" si="34"/>
        <v>0</v>
      </c>
      <c r="CM8" s="78"/>
      <c r="CN8" s="51">
        <f t="shared" si="18"/>
        <v>6</v>
      </c>
      <c r="CO8" s="2">
        <f t="shared" ref="CO8:CO22" si="54">B$24</f>
        <v>0</v>
      </c>
      <c r="CP8" s="3">
        <f t="shared" ref="CP8:CP22" si="55">C$24</f>
        <v>0</v>
      </c>
      <c r="CQ8" s="3">
        <f t="shared" ref="CQ8:CQ22" si="56">D$24</f>
        <v>0</v>
      </c>
      <c r="CR8" s="3">
        <f t="shared" ref="CR8:CR22" si="57">E$24</f>
        <v>0</v>
      </c>
      <c r="CS8" s="3">
        <f t="shared" ref="CS8:CS22" si="58">F$24</f>
        <v>0</v>
      </c>
      <c r="CT8" s="4">
        <f t="shared" ref="CT8:CT22" si="59">G$24</f>
        <v>0</v>
      </c>
      <c r="CW8" s="51">
        <f t="shared" si="19"/>
        <v>6</v>
      </c>
      <c r="CX8" s="59">
        <f>Main!E35</f>
        <v>0</v>
      </c>
      <c r="CY8" s="60" t="e">
        <f>IF(AND(UseCustomStats,Main!Y35&lt;&gt;""),Main!Y35,_xlfn.CEILING.MATH((S8+($CX8-1)*AA8)*K8*AY8/100))</f>
        <v>#N/A</v>
      </c>
      <c r="CZ8" s="60" t="e">
        <f>IF(AND(UseCustomStats,Main!Z35&lt;&gt;""),Main!Z35,_xlfn.CEILING.MATH(T8*L8*AZ8/100)+_xlfn.CEILING.MATH((AR8+($CX8-1)*AJ8)*L8*AZ8*$BE8/100/100))</f>
        <v>#N/A</v>
      </c>
      <c r="DA8" s="60" t="e">
        <f>IF(AND(UseCustomStats,Main!AA35&lt;&gt;""),Main!AA35,_xlfn.CEILING.MATH(U8*M8*BA8/100)+_xlfn.CEILING.MATH((AS8+($CX8-1)*AK8)*M8*BA8*$BE8/100/100))</f>
        <v>#N/A</v>
      </c>
      <c r="DB8" s="60" t="e">
        <f>IF(AND(UseCustomStats,Main!AB35&lt;&gt;""),Main!AB35,_xlfn.CEILING.MATH(V8*N8*BB8/100)+_xlfn.CEILING.MATH((AT8+($CX8-1)*AL8)*N8*BB8*$BE8/100/100))</f>
        <v>#N/A</v>
      </c>
      <c r="DC8" s="60" t="e">
        <f>IF(AND(UseCustomStats,Main!AC35&lt;&gt;""),Main!AC35,_xlfn.CEILING.MATH(W8*O8*BC8/100)+_xlfn.CEILING.MATH((AU8+($CX8-1)*AM8)*O8*BC8*$BE8/100/100))</f>
        <v>#N/A</v>
      </c>
      <c r="DD8" s="61" t="e">
        <f t="shared" si="5"/>
        <v>#N/A</v>
      </c>
      <c r="DE8" s="16"/>
      <c r="DF8" s="51">
        <f t="shared" si="20"/>
        <v>6</v>
      </c>
      <c r="DG8" s="59">
        <v>1</v>
      </c>
      <c r="DH8" s="60" t="e">
        <f t="shared" ref="DH8:DH22" si="60">_xlfn.CEILING.MATH((BQ8+($DG8-1)*BY8)*BI8*AY8/100)</f>
        <v>#N/A</v>
      </c>
      <c r="DI8" s="60" t="e">
        <f t="shared" ref="DI8:DI22" si="61">_xlfn.CEILING.MATH(BR8*BJ8*AZ8/100)+_xlfn.CEILING.MATH((CP8+($DG8-1)*CH8)*BJ8*AZ8*$BE8/100/100)</f>
        <v>#N/A</v>
      </c>
      <c r="DJ8" s="60" t="e">
        <f t="shared" ref="DJ8:DJ22" si="62">_xlfn.CEILING.MATH(BS8*BK8*BA8/100)+_xlfn.CEILING.MATH((CQ8+($DG8-1)*CI8)*BK8*BA8*$BE8/100/100)</f>
        <v>#N/A</v>
      </c>
      <c r="DK8" s="60" t="e">
        <f t="shared" ref="DK8:DK22" si="63">_xlfn.CEILING.MATH(BT8*BL8*BB8/100)+_xlfn.CEILING.MATH((CR8+($DG8-1)*CJ8)*BL8*BB8*$BE8/100/100)</f>
        <v>#N/A</v>
      </c>
      <c r="DL8" s="60" t="e">
        <f t="shared" ref="DL8:DL22" si="64">_xlfn.CEILING.MATH(BU8*BM8*BC8/100)+_xlfn.CEILING.MATH((CS8+($DG8-1)*CK8)*BM8*BC8*$BE8/100/100)</f>
        <v>#N/A</v>
      </c>
      <c r="DM8" s="61" t="e">
        <f t="shared" ref="DM8:DM22" si="65">_xlfn.CEILING.MATH((BV8+($DG8-1)*CD8)*BN8*BD8/100)</f>
        <v>#N/A</v>
      </c>
      <c r="DO8" s="51">
        <f t="shared" si="21"/>
        <v>6</v>
      </c>
      <c r="DP8" s="26"/>
      <c r="DQ8" s="27"/>
      <c r="DR8" s="60" t="e">
        <f t="shared" ref="DR8:DR22" si="66">CZ8-DI8</f>
        <v>#N/A</v>
      </c>
      <c r="DS8" s="60" t="e">
        <f t="shared" ref="DS8:DS22" si="67">DA8-DJ8</f>
        <v>#N/A</v>
      </c>
      <c r="DT8" s="60" t="e">
        <f t="shared" ref="DT8:DT22" si="68">DB8-DK8</f>
        <v>#N/A</v>
      </c>
      <c r="DU8" s="60" t="e">
        <f t="shared" ref="DU8:DU22" si="69">DC8-DL8</f>
        <v>#N/A</v>
      </c>
      <c r="DV8" s="32"/>
      <c r="DY8" s="42" t="s">
        <v>862</v>
      </c>
      <c r="DZ8" s="94">
        <v>36</v>
      </c>
      <c r="EA8" s="95">
        <v>36</v>
      </c>
      <c r="EB8" s="95">
        <v>79</v>
      </c>
      <c r="EC8" s="96">
        <v>75</v>
      </c>
    </row>
    <row r="9" spans="1:133" x14ac:dyDescent="0.3">
      <c r="J9" s="52">
        <f t="shared" si="8"/>
        <v>7</v>
      </c>
      <c r="K9" s="62" t="e">
        <f>INDEX($B$3:$G$8,MATCH(Main!$C36,$A$3:$A$8,0),MATCH(K$2,$B$2:$G$2,0))</f>
        <v>#N/A</v>
      </c>
      <c r="L9" s="63" t="e">
        <f>INDEX($B$3:$G$8,MATCH(Main!$C36,$A$3:$A$8,0),MATCH(L$2,$B$2:$G$2,0))</f>
        <v>#N/A</v>
      </c>
      <c r="M9" s="63" t="e">
        <f>INDEX($B$3:$G$8,MATCH(Main!$C36,$A$3:$A$8,0),MATCH(M$2,$B$2:$G$2,0))</f>
        <v>#N/A</v>
      </c>
      <c r="N9" s="63" t="e">
        <f>INDEX($B$3:$G$8,MATCH(Main!$C36,$A$3:$A$8,0),MATCH(N$2,$B$2:$G$2,0))</f>
        <v>#N/A</v>
      </c>
      <c r="O9" s="63" t="e">
        <f>INDEX($B$3:$G$8,MATCH(Main!$C36,$A$3:$A$8,0),MATCH(O$2,$B$2:$G$2,0))</f>
        <v>#N/A</v>
      </c>
      <c r="P9" s="64" t="e">
        <f>INDEX($B$3:$G$8,MATCH(Main!$C36,$A$3:$A$8,0),MATCH(P$2,$B$2:$G$2,0))</f>
        <v>#N/A</v>
      </c>
      <c r="Q9" s="78"/>
      <c r="R9" s="52">
        <f t="shared" ref="R9:R22" si="70">R8+1</f>
        <v>7</v>
      </c>
      <c r="S9" s="77">
        <f>IF(Main!$I36&gt;0,B$11,B$19)</f>
        <v>55</v>
      </c>
      <c r="T9" s="78">
        <f>IF(Main!$I36&gt;0,C$11,C$19)</f>
        <v>16</v>
      </c>
      <c r="U9" s="78">
        <f>IF(Main!$I36&gt;0,D$11,D$19)</f>
        <v>45</v>
      </c>
      <c r="V9" s="78">
        <f>IF(Main!$I36&gt;0,E$11,E$19)</f>
        <v>5</v>
      </c>
      <c r="W9" s="78">
        <f>IF(Main!$I36&gt;0,F$11,F$19)</f>
        <v>5</v>
      </c>
      <c r="X9" s="79">
        <f>IF(Main!$I36&gt;0,G$11,G$19)</f>
        <v>2</v>
      </c>
      <c r="Z9" s="52">
        <f t="shared" ref="Z9:Z22" si="71">Z8+1</f>
        <v>7</v>
      </c>
      <c r="AA9" s="77">
        <f>IF(Main!$I36&gt;0,B$12,B$20)</f>
        <v>0.55500000000000005</v>
      </c>
      <c r="AB9" s="78">
        <f>IF(Main!$I36&gt;0,C$12,C$20)</f>
        <v>16</v>
      </c>
      <c r="AC9" s="78">
        <f>IF(Main!$I36&gt;0,D$12,D$20)</f>
        <v>45</v>
      </c>
      <c r="AD9" s="78">
        <f>IF(Main!$I36&gt;0,E$12,E$20)</f>
        <v>5</v>
      </c>
      <c r="AE9" s="78">
        <f>IF(Main!$I36&gt;0,F$12,F$20)</f>
        <v>5</v>
      </c>
      <c r="AF9" s="79">
        <f>IF(Main!$I36&gt;0,G$12,G$20)</f>
        <v>0.161</v>
      </c>
      <c r="AG9" s="78"/>
      <c r="AH9" s="52">
        <f t="shared" ref="AH9:AH22" si="72">AH8+1</f>
        <v>7</v>
      </c>
      <c r="AI9" s="77">
        <f>IF(Main!$I36&gt;0,B$15,B$23)</f>
        <v>0</v>
      </c>
      <c r="AJ9" s="78">
        <f>IF(Main!$I36&gt;0,C$15,C$23)</f>
        <v>0.24199999999999999</v>
      </c>
      <c r="AK9" s="78">
        <f>IF(Main!$I36&gt;0,D$15,D$23)</f>
        <v>0.18099999999999999</v>
      </c>
      <c r="AL9" s="78">
        <f>IF(Main!$I36&gt;0,E$15,E$23)</f>
        <v>0.30299999999999999</v>
      </c>
      <c r="AM9" s="78">
        <f>IF(Main!$I36&gt;0,F$15,F$23)</f>
        <v>0.30299999999999999</v>
      </c>
      <c r="AN9" s="79">
        <f>IF(Main!$I36&gt;0,G$15,G$23)</f>
        <v>0</v>
      </c>
      <c r="AO9" s="78"/>
      <c r="AP9" s="52">
        <f t="shared" ref="AP9:AP22" si="73">AP8+1</f>
        <v>7</v>
      </c>
      <c r="AQ9" s="12">
        <f>IF(Main!$I36&gt;0,B$16,B$24)</f>
        <v>0</v>
      </c>
      <c r="AR9" s="13">
        <f>IF(Main!$I36&gt;0,C$16,C$24)</f>
        <v>0</v>
      </c>
      <c r="AS9" s="13">
        <f>IF(Main!$I36&gt;0,D$16,D$24)</f>
        <v>0</v>
      </c>
      <c r="AT9" s="13">
        <f>IF(Main!$I36&gt;0,E$16,E$24)</f>
        <v>0</v>
      </c>
      <c r="AU9" s="13">
        <f>IF(Main!$I36&gt;0,F$16,F$24)</f>
        <v>0</v>
      </c>
      <c r="AV9" s="14">
        <f>IF(Main!$I36&gt;0,G$16,G$24)</f>
        <v>0</v>
      </c>
      <c r="AW9" s="78"/>
      <c r="AX9" s="52">
        <f t="shared" si="13"/>
        <v>7</v>
      </c>
      <c r="AY9" s="20" t="e">
        <f>INDEX('Doll Data'!$U$2:$AE$1048576,MATCH(Main!$D36,'Doll Data'!$C$2:$C$1048576,0),MATCH(AY$2,'Doll Data'!$U$1:$AE$1,0))</f>
        <v>#N/A</v>
      </c>
      <c r="AZ9" s="16" t="e">
        <f>INDEX('Doll Data'!$U$2:$AE$1048576,MATCH(Main!$D36,'Doll Data'!$C$2:$C$1048576,0),MATCH(AZ$2,'Doll Data'!$U$1:$AE$1,0))</f>
        <v>#N/A</v>
      </c>
      <c r="BA9" s="16" t="e">
        <f>INDEX('Doll Data'!$U$2:$AE$1048576,MATCH(Main!$D36,'Doll Data'!$C$2:$C$1048576,0),MATCH(BA$2,'Doll Data'!$U$1:$AE$1,0))</f>
        <v>#N/A</v>
      </c>
      <c r="BB9" s="16" t="e">
        <f>INDEX('Doll Data'!$U$2:$AE$1048576,MATCH(Main!$D36,'Doll Data'!$C$2:$C$1048576,0),MATCH(BB$2,'Doll Data'!$U$1:$AE$1,0))</f>
        <v>#N/A</v>
      </c>
      <c r="BC9" s="16" t="e">
        <f>INDEX('Doll Data'!$U$2:$AE$1048576,MATCH(Main!$D36,'Doll Data'!$C$2:$C$1048576,0),MATCH(BC$2,'Doll Data'!$U$1:$AE$1,0))</f>
        <v>#N/A</v>
      </c>
      <c r="BD9" s="16" t="e">
        <f>INDEX('Doll Data'!$U$2:$AE$1048576,MATCH(Main!$D36,'Doll Data'!$C$2:$C$1048576,0),MATCH(BD$2,'Doll Data'!$U$1:$AE$1,0))</f>
        <v>#N/A</v>
      </c>
      <c r="BE9" s="21" t="e">
        <f>INDEX('Doll Data'!$U$2:$AE$1048576,MATCH(Main!$D36,'Doll Data'!$C$2:$C$1048576,0),MATCH(BE$2,'Doll Data'!$U$1:$AE$1,0))</f>
        <v>#N/A</v>
      </c>
      <c r="BH9" s="52">
        <f t="shared" si="41"/>
        <v>7</v>
      </c>
      <c r="BI9" s="62" t="e">
        <f t="shared" si="42"/>
        <v>#N/A</v>
      </c>
      <c r="BJ9" s="63" t="e">
        <f t="shared" si="43"/>
        <v>#N/A</v>
      </c>
      <c r="BK9" s="63" t="e">
        <f t="shared" si="44"/>
        <v>#N/A</v>
      </c>
      <c r="BL9" s="63" t="e">
        <f t="shared" si="45"/>
        <v>#N/A</v>
      </c>
      <c r="BM9" s="63" t="e">
        <f t="shared" si="46"/>
        <v>#N/A</v>
      </c>
      <c r="BN9" s="64" t="e">
        <f t="shared" si="47"/>
        <v>#N/A</v>
      </c>
      <c r="BO9" s="78"/>
      <c r="BP9" s="52">
        <f t="shared" si="15"/>
        <v>7</v>
      </c>
      <c r="BQ9" s="77">
        <f t="shared" si="22"/>
        <v>55</v>
      </c>
      <c r="BR9" s="78">
        <f t="shared" si="23"/>
        <v>16</v>
      </c>
      <c r="BS9" s="78">
        <f t="shared" si="24"/>
        <v>45</v>
      </c>
      <c r="BT9" s="78">
        <f t="shared" si="25"/>
        <v>5</v>
      </c>
      <c r="BU9" s="78">
        <f t="shared" si="26"/>
        <v>5</v>
      </c>
      <c r="BV9" s="79">
        <f t="shared" si="27"/>
        <v>2</v>
      </c>
      <c r="BW9" s="78"/>
      <c r="BX9" s="52">
        <f t="shared" si="16"/>
        <v>7</v>
      </c>
      <c r="BY9" s="77">
        <f t="shared" si="48"/>
        <v>0.55500000000000005</v>
      </c>
      <c r="BZ9" s="78">
        <f t="shared" si="49"/>
        <v>16</v>
      </c>
      <c r="CA9" s="78">
        <f t="shared" si="50"/>
        <v>45</v>
      </c>
      <c r="CB9" s="78">
        <f t="shared" si="51"/>
        <v>5</v>
      </c>
      <c r="CC9" s="78">
        <f t="shared" si="52"/>
        <v>5</v>
      </c>
      <c r="CD9" s="79">
        <f t="shared" si="53"/>
        <v>0.161</v>
      </c>
      <c r="CE9" s="78"/>
      <c r="CF9" s="52">
        <f t="shared" si="28"/>
        <v>7</v>
      </c>
      <c r="CG9" s="77">
        <f t="shared" si="29"/>
        <v>0</v>
      </c>
      <c r="CH9" s="78">
        <f t="shared" si="30"/>
        <v>0.24199999999999999</v>
      </c>
      <c r="CI9" s="78">
        <f t="shared" si="31"/>
        <v>0.18099999999999999</v>
      </c>
      <c r="CJ9" s="78">
        <f t="shared" si="32"/>
        <v>0.30299999999999999</v>
      </c>
      <c r="CK9" s="78">
        <f t="shared" si="33"/>
        <v>0.30299999999999999</v>
      </c>
      <c r="CL9" s="79">
        <f t="shared" si="34"/>
        <v>0</v>
      </c>
      <c r="CM9" s="78"/>
      <c r="CN9" s="52">
        <f t="shared" si="18"/>
        <v>7</v>
      </c>
      <c r="CO9" s="12">
        <f t="shared" si="54"/>
        <v>0</v>
      </c>
      <c r="CP9" s="13">
        <f t="shared" si="55"/>
        <v>0</v>
      </c>
      <c r="CQ9" s="13">
        <f t="shared" si="56"/>
        <v>0</v>
      </c>
      <c r="CR9" s="13">
        <f t="shared" si="57"/>
        <v>0</v>
      </c>
      <c r="CS9" s="13">
        <f t="shared" si="58"/>
        <v>0</v>
      </c>
      <c r="CT9" s="14">
        <f t="shared" si="59"/>
        <v>0</v>
      </c>
      <c r="CW9" s="52">
        <f t="shared" si="19"/>
        <v>7</v>
      </c>
      <c r="CX9" s="65">
        <f>Main!E36</f>
        <v>0</v>
      </c>
      <c r="CY9" s="66" t="e">
        <f>IF(AND(UseCustomStats,Main!Y36&lt;&gt;""),Main!Y36,_xlfn.CEILING.MATH((S9+($CX9-1)*AA9)*K9*AY9/100))</f>
        <v>#N/A</v>
      </c>
      <c r="CZ9" s="66" t="e">
        <f>IF(AND(UseCustomStats,Main!Z36&lt;&gt;""),Main!Z36,_xlfn.CEILING.MATH(T9*L9*AZ9/100)+_xlfn.CEILING.MATH((AR9+($CX9-1)*AJ9)*L9*AZ9*$BE9/100/100))</f>
        <v>#N/A</v>
      </c>
      <c r="DA9" s="66" t="e">
        <f>IF(AND(UseCustomStats,Main!AA36&lt;&gt;""),Main!AA36,_xlfn.CEILING.MATH(U9*M9*BA9/100)+_xlfn.CEILING.MATH((AS9+($CX9-1)*AK9)*M9*BA9*$BE9/100/100))</f>
        <v>#N/A</v>
      </c>
      <c r="DB9" s="66" t="e">
        <f>IF(AND(UseCustomStats,Main!AB36&lt;&gt;""),Main!AB36,_xlfn.CEILING.MATH(V9*N9*BB9/100)+_xlfn.CEILING.MATH((AT9+($CX9-1)*AL9)*N9*BB9*$BE9/100/100))</f>
        <v>#N/A</v>
      </c>
      <c r="DC9" s="66" t="e">
        <f>IF(AND(UseCustomStats,Main!AC36&lt;&gt;""),Main!AC36,_xlfn.CEILING.MATH(W9*O9*BC9/100)+_xlfn.CEILING.MATH((AU9+($CX9-1)*AM9)*O9*BC9*$BE9/100/100))</f>
        <v>#N/A</v>
      </c>
      <c r="DD9" s="67" t="e">
        <f t="shared" ref="DD9:DD22" si="74">_xlfn.CEILING.MATH((X9+($CX9-1)*AF9)*P9*BD9/100)</f>
        <v>#N/A</v>
      </c>
      <c r="DF9" s="52">
        <f t="shared" si="20"/>
        <v>7</v>
      </c>
      <c r="DG9" s="65">
        <v>1</v>
      </c>
      <c r="DH9" s="66" t="e">
        <f t="shared" si="60"/>
        <v>#N/A</v>
      </c>
      <c r="DI9" s="66" t="e">
        <f t="shared" si="61"/>
        <v>#N/A</v>
      </c>
      <c r="DJ9" s="66" t="e">
        <f t="shared" si="62"/>
        <v>#N/A</v>
      </c>
      <c r="DK9" s="66" t="e">
        <f t="shared" si="63"/>
        <v>#N/A</v>
      </c>
      <c r="DL9" s="66" t="e">
        <f t="shared" si="64"/>
        <v>#N/A</v>
      </c>
      <c r="DM9" s="67" t="e">
        <f t="shared" si="65"/>
        <v>#N/A</v>
      </c>
      <c r="DO9" s="52">
        <f t="shared" si="21"/>
        <v>7</v>
      </c>
      <c r="DP9" s="28"/>
      <c r="DQ9" s="29"/>
      <c r="DR9" s="66" t="e">
        <f t="shared" si="66"/>
        <v>#N/A</v>
      </c>
      <c r="DS9" s="66" t="e">
        <f t="shared" si="67"/>
        <v>#N/A</v>
      </c>
      <c r="DT9" s="66" t="e">
        <f t="shared" si="68"/>
        <v>#N/A</v>
      </c>
      <c r="DU9" s="66" t="e">
        <f t="shared" si="69"/>
        <v>#N/A</v>
      </c>
      <c r="DV9" s="33"/>
      <c r="DY9" s="42" t="s">
        <v>1741</v>
      </c>
      <c r="DZ9" s="94">
        <v>47</v>
      </c>
      <c r="EA9" s="95">
        <v>56</v>
      </c>
      <c r="EB9" s="95">
        <v>61</v>
      </c>
      <c r="EC9" s="96">
        <v>23</v>
      </c>
    </row>
    <row r="10" spans="1:133" x14ac:dyDescent="0.3">
      <c r="A10" s="51" t="s">
        <v>16</v>
      </c>
      <c r="B10" s="51" t="s">
        <v>9</v>
      </c>
      <c r="C10" s="54" t="s">
        <v>10</v>
      </c>
      <c r="D10" s="54" t="s">
        <v>11</v>
      </c>
      <c r="E10" s="54" t="s">
        <v>12</v>
      </c>
      <c r="F10" s="54" t="s">
        <v>13</v>
      </c>
      <c r="G10" s="55" t="s">
        <v>14</v>
      </c>
      <c r="J10" s="52">
        <f t="shared" si="8"/>
        <v>8</v>
      </c>
      <c r="K10" s="62" t="e">
        <f>INDEX($B$3:$G$8,MATCH(Main!$C37,$A$3:$A$8,0),MATCH(K$2,$B$2:$G$2,0))</f>
        <v>#N/A</v>
      </c>
      <c r="L10" s="63" t="e">
        <f>INDEX($B$3:$G$8,MATCH(Main!$C37,$A$3:$A$8,0),MATCH(L$2,$B$2:$G$2,0))</f>
        <v>#N/A</v>
      </c>
      <c r="M10" s="63" t="e">
        <f>INDEX($B$3:$G$8,MATCH(Main!$C37,$A$3:$A$8,0),MATCH(M$2,$B$2:$G$2,0))</f>
        <v>#N/A</v>
      </c>
      <c r="N10" s="63" t="e">
        <f>INDEX($B$3:$G$8,MATCH(Main!$C37,$A$3:$A$8,0),MATCH(N$2,$B$2:$G$2,0))</f>
        <v>#N/A</v>
      </c>
      <c r="O10" s="63" t="e">
        <f>INDEX($B$3:$G$8,MATCH(Main!$C37,$A$3:$A$8,0),MATCH(O$2,$B$2:$G$2,0))</f>
        <v>#N/A</v>
      </c>
      <c r="P10" s="64" t="e">
        <f>INDEX($B$3:$G$8,MATCH(Main!$C37,$A$3:$A$8,0),MATCH(P$2,$B$2:$G$2,0))</f>
        <v>#N/A</v>
      </c>
      <c r="Q10" s="78"/>
      <c r="R10" s="52">
        <f t="shared" si="70"/>
        <v>8</v>
      </c>
      <c r="S10" s="77">
        <f>IF(Main!$I37&gt;0,B$11,B$19)</f>
        <v>55</v>
      </c>
      <c r="T10" s="78">
        <f>IF(Main!$I37&gt;0,C$11,C$19)</f>
        <v>16</v>
      </c>
      <c r="U10" s="78">
        <f>IF(Main!$I37&gt;0,D$11,D$19)</f>
        <v>45</v>
      </c>
      <c r="V10" s="78">
        <f>IF(Main!$I37&gt;0,E$11,E$19)</f>
        <v>5</v>
      </c>
      <c r="W10" s="78">
        <f>IF(Main!$I37&gt;0,F$11,F$19)</f>
        <v>5</v>
      </c>
      <c r="X10" s="79">
        <f>IF(Main!$I37&gt;0,G$11,G$19)</f>
        <v>2</v>
      </c>
      <c r="Z10" s="52">
        <f t="shared" si="71"/>
        <v>8</v>
      </c>
      <c r="AA10" s="77">
        <f>IF(Main!$I37&gt;0,B$12,B$20)</f>
        <v>0.55500000000000005</v>
      </c>
      <c r="AB10" s="78">
        <f>IF(Main!$I37&gt;0,C$12,C$20)</f>
        <v>16</v>
      </c>
      <c r="AC10" s="78">
        <f>IF(Main!$I37&gt;0,D$12,D$20)</f>
        <v>45</v>
      </c>
      <c r="AD10" s="78">
        <f>IF(Main!$I37&gt;0,E$12,E$20)</f>
        <v>5</v>
      </c>
      <c r="AE10" s="78">
        <f>IF(Main!$I37&gt;0,F$12,F$20)</f>
        <v>5</v>
      </c>
      <c r="AF10" s="79">
        <f>IF(Main!$I37&gt;0,G$12,G$20)</f>
        <v>0.161</v>
      </c>
      <c r="AG10" s="78"/>
      <c r="AH10" s="52">
        <f t="shared" si="72"/>
        <v>8</v>
      </c>
      <c r="AI10" s="77">
        <f>IF(Main!$I37&gt;0,B$15,B$23)</f>
        <v>0</v>
      </c>
      <c r="AJ10" s="78">
        <f>IF(Main!$I37&gt;0,C$15,C$23)</f>
        <v>0.24199999999999999</v>
      </c>
      <c r="AK10" s="78">
        <f>IF(Main!$I37&gt;0,D$15,D$23)</f>
        <v>0.18099999999999999</v>
      </c>
      <c r="AL10" s="78">
        <f>IF(Main!$I37&gt;0,E$15,E$23)</f>
        <v>0.30299999999999999</v>
      </c>
      <c r="AM10" s="78">
        <f>IF(Main!$I37&gt;0,F$15,F$23)</f>
        <v>0.30299999999999999</v>
      </c>
      <c r="AN10" s="79">
        <f>IF(Main!$I37&gt;0,G$15,G$23)</f>
        <v>0</v>
      </c>
      <c r="AO10" s="78"/>
      <c r="AP10" s="52">
        <f t="shared" si="73"/>
        <v>8</v>
      </c>
      <c r="AQ10" s="12">
        <f>IF(Main!$I37&gt;0,B$16,B$24)</f>
        <v>0</v>
      </c>
      <c r="AR10" s="13">
        <f>IF(Main!$I37&gt;0,C$16,C$24)</f>
        <v>0</v>
      </c>
      <c r="AS10" s="13">
        <f>IF(Main!$I37&gt;0,D$16,D$24)</f>
        <v>0</v>
      </c>
      <c r="AT10" s="13">
        <f>IF(Main!$I37&gt;0,E$16,E$24)</f>
        <v>0</v>
      </c>
      <c r="AU10" s="13">
        <f>IF(Main!$I37&gt;0,F$16,F$24)</f>
        <v>0</v>
      </c>
      <c r="AV10" s="14">
        <f>IF(Main!$I37&gt;0,G$16,G$24)</f>
        <v>0</v>
      </c>
      <c r="AW10" s="78"/>
      <c r="AX10" s="52">
        <f t="shared" si="13"/>
        <v>8</v>
      </c>
      <c r="AY10" s="20" t="e">
        <f>INDEX('Doll Data'!$U$2:$AE$1048576,MATCH(Main!$D37,'Doll Data'!$C$2:$C$1048576,0),MATCH(AY$2,'Doll Data'!$U$1:$AE$1,0))</f>
        <v>#N/A</v>
      </c>
      <c r="AZ10" s="16" t="e">
        <f>INDEX('Doll Data'!$U$2:$AE$1048576,MATCH(Main!$D37,'Doll Data'!$C$2:$C$1048576,0),MATCH(AZ$2,'Doll Data'!$U$1:$AE$1,0))</f>
        <v>#N/A</v>
      </c>
      <c r="BA10" s="16" t="e">
        <f>INDEX('Doll Data'!$U$2:$AE$1048576,MATCH(Main!$D37,'Doll Data'!$C$2:$C$1048576,0),MATCH(BA$2,'Doll Data'!$U$1:$AE$1,0))</f>
        <v>#N/A</v>
      </c>
      <c r="BB10" s="16" t="e">
        <f>INDEX('Doll Data'!$U$2:$AE$1048576,MATCH(Main!$D37,'Doll Data'!$C$2:$C$1048576,0),MATCH(BB$2,'Doll Data'!$U$1:$AE$1,0))</f>
        <v>#N/A</v>
      </c>
      <c r="BC10" s="16" t="e">
        <f>INDEX('Doll Data'!$U$2:$AE$1048576,MATCH(Main!$D37,'Doll Data'!$C$2:$C$1048576,0),MATCH(BC$2,'Doll Data'!$U$1:$AE$1,0))</f>
        <v>#N/A</v>
      </c>
      <c r="BD10" s="16" t="e">
        <f>INDEX('Doll Data'!$U$2:$AE$1048576,MATCH(Main!$D37,'Doll Data'!$C$2:$C$1048576,0),MATCH(BD$2,'Doll Data'!$U$1:$AE$1,0))</f>
        <v>#N/A</v>
      </c>
      <c r="BE10" s="21" t="e">
        <f>INDEX('Doll Data'!$U$2:$AE$1048576,MATCH(Main!$D37,'Doll Data'!$C$2:$C$1048576,0),MATCH(BE$2,'Doll Data'!$U$1:$AE$1,0))</f>
        <v>#N/A</v>
      </c>
      <c r="BH10" s="52">
        <f t="shared" si="41"/>
        <v>8</v>
      </c>
      <c r="BI10" s="62" t="e">
        <f t="shared" si="42"/>
        <v>#N/A</v>
      </c>
      <c r="BJ10" s="63" t="e">
        <f t="shared" si="43"/>
        <v>#N/A</v>
      </c>
      <c r="BK10" s="63" t="e">
        <f t="shared" si="44"/>
        <v>#N/A</v>
      </c>
      <c r="BL10" s="63" t="e">
        <f t="shared" si="45"/>
        <v>#N/A</v>
      </c>
      <c r="BM10" s="63" t="e">
        <f t="shared" si="46"/>
        <v>#N/A</v>
      </c>
      <c r="BN10" s="64" t="e">
        <f t="shared" si="47"/>
        <v>#N/A</v>
      </c>
      <c r="BO10" s="78"/>
      <c r="BP10" s="52">
        <f t="shared" si="15"/>
        <v>8</v>
      </c>
      <c r="BQ10" s="77">
        <f t="shared" si="22"/>
        <v>55</v>
      </c>
      <c r="BR10" s="78">
        <f t="shared" si="23"/>
        <v>16</v>
      </c>
      <c r="BS10" s="78">
        <f t="shared" si="24"/>
        <v>45</v>
      </c>
      <c r="BT10" s="78">
        <f t="shared" si="25"/>
        <v>5</v>
      </c>
      <c r="BU10" s="78">
        <f t="shared" si="26"/>
        <v>5</v>
      </c>
      <c r="BV10" s="79">
        <f t="shared" si="27"/>
        <v>2</v>
      </c>
      <c r="BW10" s="78"/>
      <c r="BX10" s="52">
        <f t="shared" si="16"/>
        <v>8</v>
      </c>
      <c r="BY10" s="77">
        <f t="shared" si="48"/>
        <v>0.55500000000000005</v>
      </c>
      <c r="BZ10" s="78">
        <f t="shared" si="49"/>
        <v>16</v>
      </c>
      <c r="CA10" s="78">
        <f t="shared" si="50"/>
        <v>45</v>
      </c>
      <c r="CB10" s="78">
        <f t="shared" si="51"/>
        <v>5</v>
      </c>
      <c r="CC10" s="78">
        <f t="shared" si="52"/>
        <v>5</v>
      </c>
      <c r="CD10" s="79">
        <f t="shared" si="53"/>
        <v>0.161</v>
      </c>
      <c r="CE10" s="78"/>
      <c r="CF10" s="52">
        <f t="shared" si="28"/>
        <v>8</v>
      </c>
      <c r="CG10" s="77">
        <f t="shared" si="29"/>
        <v>0</v>
      </c>
      <c r="CH10" s="78">
        <f t="shared" si="30"/>
        <v>0.24199999999999999</v>
      </c>
      <c r="CI10" s="78">
        <f t="shared" si="31"/>
        <v>0.18099999999999999</v>
      </c>
      <c r="CJ10" s="78">
        <f t="shared" si="32"/>
        <v>0.30299999999999999</v>
      </c>
      <c r="CK10" s="78">
        <f t="shared" si="33"/>
        <v>0.30299999999999999</v>
      </c>
      <c r="CL10" s="79">
        <f t="shared" si="34"/>
        <v>0</v>
      </c>
      <c r="CM10" s="78"/>
      <c r="CN10" s="52">
        <f t="shared" si="18"/>
        <v>8</v>
      </c>
      <c r="CO10" s="12">
        <f t="shared" si="54"/>
        <v>0</v>
      </c>
      <c r="CP10" s="13">
        <f t="shared" si="55"/>
        <v>0</v>
      </c>
      <c r="CQ10" s="13">
        <f t="shared" si="56"/>
        <v>0</v>
      </c>
      <c r="CR10" s="13">
        <f t="shared" si="57"/>
        <v>0</v>
      </c>
      <c r="CS10" s="13">
        <f t="shared" si="58"/>
        <v>0</v>
      </c>
      <c r="CT10" s="14">
        <f t="shared" si="59"/>
        <v>0</v>
      </c>
      <c r="CW10" s="52">
        <f t="shared" si="19"/>
        <v>8</v>
      </c>
      <c r="CX10" s="65">
        <f>Main!E37</f>
        <v>0</v>
      </c>
      <c r="CY10" s="66" t="e">
        <f>IF(AND(UseCustomStats,Main!Y37&lt;&gt;""),Main!Y37,_xlfn.CEILING.MATH((S10+($CX10-1)*AA10)*K10*AY10/100))</f>
        <v>#N/A</v>
      </c>
      <c r="CZ10" s="66" t="e">
        <f>IF(AND(UseCustomStats,Main!Z37&lt;&gt;""),Main!Z37,_xlfn.CEILING.MATH(T10*L10*AZ10/100)+_xlfn.CEILING.MATH((AR10+($CX10-1)*AJ10)*L10*AZ10*$BE10/100/100))</f>
        <v>#N/A</v>
      </c>
      <c r="DA10" s="66" t="e">
        <f>IF(AND(UseCustomStats,Main!AA37&lt;&gt;""),Main!AA37,_xlfn.CEILING.MATH(U10*M10*BA10/100)+_xlfn.CEILING.MATH((AS10+($CX10-1)*AK10)*M10*BA10*$BE10/100/100))</f>
        <v>#N/A</v>
      </c>
      <c r="DB10" s="66" t="e">
        <f>IF(AND(UseCustomStats,Main!AB37&lt;&gt;""),Main!AB37,_xlfn.CEILING.MATH(V10*N10*BB10/100)+_xlfn.CEILING.MATH((AT10+($CX10-1)*AL10)*N10*BB10*$BE10/100/100))</f>
        <v>#N/A</v>
      </c>
      <c r="DC10" s="66" t="e">
        <f>IF(AND(UseCustomStats,Main!AC37&lt;&gt;""),Main!AC37,_xlfn.CEILING.MATH(W10*O10*BC10/100)+_xlfn.CEILING.MATH((AU10+($CX10-1)*AM10)*O10*BC10*$BE10/100/100))</f>
        <v>#N/A</v>
      </c>
      <c r="DD10" s="67" t="e">
        <f t="shared" si="74"/>
        <v>#N/A</v>
      </c>
      <c r="DF10" s="52">
        <f t="shared" si="20"/>
        <v>8</v>
      </c>
      <c r="DG10" s="65">
        <v>1</v>
      </c>
      <c r="DH10" s="66" t="e">
        <f t="shared" si="60"/>
        <v>#N/A</v>
      </c>
      <c r="DI10" s="66" t="e">
        <f t="shared" si="61"/>
        <v>#N/A</v>
      </c>
      <c r="DJ10" s="66" t="e">
        <f t="shared" si="62"/>
        <v>#N/A</v>
      </c>
      <c r="DK10" s="66" t="e">
        <f t="shared" si="63"/>
        <v>#N/A</v>
      </c>
      <c r="DL10" s="66" t="e">
        <f t="shared" si="64"/>
        <v>#N/A</v>
      </c>
      <c r="DM10" s="67" t="e">
        <f t="shared" si="65"/>
        <v>#N/A</v>
      </c>
      <c r="DO10" s="52">
        <f t="shared" si="21"/>
        <v>8</v>
      </c>
      <c r="DP10" s="28"/>
      <c r="DQ10" s="29"/>
      <c r="DR10" s="66" t="e">
        <f t="shared" si="66"/>
        <v>#N/A</v>
      </c>
      <c r="DS10" s="66" t="e">
        <f t="shared" si="67"/>
        <v>#N/A</v>
      </c>
      <c r="DT10" s="66" t="e">
        <f t="shared" si="68"/>
        <v>#N/A</v>
      </c>
      <c r="DU10" s="66" t="e">
        <f t="shared" si="69"/>
        <v>#N/A</v>
      </c>
      <c r="DV10" s="33"/>
      <c r="DY10" s="42" t="s">
        <v>6760</v>
      </c>
      <c r="DZ10" s="94">
        <v>27</v>
      </c>
      <c r="EA10" s="95">
        <v>105</v>
      </c>
      <c r="EB10" s="95">
        <v>66</v>
      </c>
      <c r="EC10" s="96">
        <v>48</v>
      </c>
    </row>
    <row r="11" spans="1:133" x14ac:dyDescent="0.3">
      <c r="A11" s="51">
        <v>1</v>
      </c>
      <c r="B11" s="109">
        <v>96.283000000000001</v>
      </c>
      <c r="C11" s="110">
        <v>16</v>
      </c>
      <c r="D11" s="110">
        <v>45</v>
      </c>
      <c r="E11" s="110">
        <v>5</v>
      </c>
      <c r="F11" s="110">
        <v>5</v>
      </c>
      <c r="G11" s="111">
        <v>13.978999999999999</v>
      </c>
      <c r="J11" s="52">
        <f t="shared" si="8"/>
        <v>9</v>
      </c>
      <c r="K11" s="62" t="e">
        <f>INDEX($B$3:$G$8,MATCH(Main!$C38,$A$3:$A$8,0),MATCH(K$2,$B$2:$G$2,0))</f>
        <v>#N/A</v>
      </c>
      <c r="L11" s="63" t="e">
        <f>INDEX($B$3:$G$8,MATCH(Main!$C38,$A$3:$A$8,0),MATCH(L$2,$B$2:$G$2,0))</f>
        <v>#N/A</v>
      </c>
      <c r="M11" s="63" t="e">
        <f>INDEX($B$3:$G$8,MATCH(Main!$C38,$A$3:$A$8,0),MATCH(M$2,$B$2:$G$2,0))</f>
        <v>#N/A</v>
      </c>
      <c r="N11" s="63" t="e">
        <f>INDEX($B$3:$G$8,MATCH(Main!$C38,$A$3:$A$8,0),MATCH(N$2,$B$2:$G$2,0))</f>
        <v>#N/A</v>
      </c>
      <c r="O11" s="63" t="e">
        <f>INDEX($B$3:$G$8,MATCH(Main!$C38,$A$3:$A$8,0),MATCH(O$2,$B$2:$G$2,0))</f>
        <v>#N/A</v>
      </c>
      <c r="P11" s="64" t="e">
        <f>INDEX($B$3:$G$8,MATCH(Main!$C38,$A$3:$A$8,0),MATCH(P$2,$B$2:$G$2,0))</f>
        <v>#N/A</v>
      </c>
      <c r="Q11" s="78"/>
      <c r="R11" s="52">
        <f t="shared" si="70"/>
        <v>9</v>
      </c>
      <c r="S11" s="77">
        <f>IF(Main!$I38&gt;0,B$11,B$19)</f>
        <v>55</v>
      </c>
      <c r="T11" s="78">
        <f>IF(Main!$I38&gt;0,C$11,C$19)</f>
        <v>16</v>
      </c>
      <c r="U11" s="78">
        <f>IF(Main!$I38&gt;0,D$11,D$19)</f>
        <v>45</v>
      </c>
      <c r="V11" s="78">
        <f>IF(Main!$I38&gt;0,E$11,E$19)</f>
        <v>5</v>
      </c>
      <c r="W11" s="78">
        <f>IF(Main!$I38&gt;0,F$11,F$19)</f>
        <v>5</v>
      </c>
      <c r="X11" s="79">
        <f>IF(Main!$I38&gt;0,G$11,G$19)</f>
        <v>2</v>
      </c>
      <c r="Z11" s="52">
        <f t="shared" si="71"/>
        <v>9</v>
      </c>
      <c r="AA11" s="77">
        <f>IF(Main!$I38&gt;0,B$12,B$20)</f>
        <v>0.55500000000000005</v>
      </c>
      <c r="AB11" s="78">
        <f>IF(Main!$I38&gt;0,C$12,C$20)</f>
        <v>16</v>
      </c>
      <c r="AC11" s="78">
        <f>IF(Main!$I38&gt;0,D$12,D$20)</f>
        <v>45</v>
      </c>
      <c r="AD11" s="78">
        <f>IF(Main!$I38&gt;0,E$12,E$20)</f>
        <v>5</v>
      </c>
      <c r="AE11" s="78">
        <f>IF(Main!$I38&gt;0,F$12,F$20)</f>
        <v>5</v>
      </c>
      <c r="AF11" s="79">
        <f>IF(Main!$I38&gt;0,G$12,G$20)</f>
        <v>0.161</v>
      </c>
      <c r="AG11" s="78"/>
      <c r="AH11" s="52">
        <f t="shared" si="72"/>
        <v>9</v>
      </c>
      <c r="AI11" s="77">
        <f>IF(Main!$I38&gt;0,B$15,B$23)</f>
        <v>0</v>
      </c>
      <c r="AJ11" s="78">
        <f>IF(Main!$I38&gt;0,C$15,C$23)</f>
        <v>0.24199999999999999</v>
      </c>
      <c r="AK11" s="78">
        <f>IF(Main!$I38&gt;0,D$15,D$23)</f>
        <v>0.18099999999999999</v>
      </c>
      <c r="AL11" s="78">
        <f>IF(Main!$I38&gt;0,E$15,E$23)</f>
        <v>0.30299999999999999</v>
      </c>
      <c r="AM11" s="78">
        <f>IF(Main!$I38&gt;0,F$15,F$23)</f>
        <v>0.30299999999999999</v>
      </c>
      <c r="AN11" s="79">
        <f>IF(Main!$I38&gt;0,G$15,G$23)</f>
        <v>0</v>
      </c>
      <c r="AO11" s="78"/>
      <c r="AP11" s="52">
        <f t="shared" si="73"/>
        <v>9</v>
      </c>
      <c r="AQ11" s="12">
        <f>IF(Main!$I38&gt;0,B$16,B$24)</f>
        <v>0</v>
      </c>
      <c r="AR11" s="13">
        <f>IF(Main!$I38&gt;0,C$16,C$24)</f>
        <v>0</v>
      </c>
      <c r="AS11" s="13">
        <f>IF(Main!$I38&gt;0,D$16,D$24)</f>
        <v>0</v>
      </c>
      <c r="AT11" s="13">
        <f>IF(Main!$I38&gt;0,E$16,E$24)</f>
        <v>0</v>
      </c>
      <c r="AU11" s="13">
        <f>IF(Main!$I38&gt;0,F$16,F$24)</f>
        <v>0</v>
      </c>
      <c r="AV11" s="14">
        <f>IF(Main!$I38&gt;0,G$16,G$24)</f>
        <v>0</v>
      </c>
      <c r="AW11" s="78"/>
      <c r="AX11" s="52">
        <f t="shared" si="13"/>
        <v>9</v>
      </c>
      <c r="AY11" s="20" t="e">
        <f>INDEX('Doll Data'!$U$2:$AE$1048576,MATCH(Main!$D38,'Doll Data'!$C$2:$C$1048576,0),MATCH(AY$2,'Doll Data'!$U$1:$AE$1,0))</f>
        <v>#N/A</v>
      </c>
      <c r="AZ11" s="16" t="e">
        <f>INDEX('Doll Data'!$U$2:$AE$1048576,MATCH(Main!$D38,'Doll Data'!$C$2:$C$1048576,0),MATCH(AZ$2,'Doll Data'!$U$1:$AE$1,0))</f>
        <v>#N/A</v>
      </c>
      <c r="BA11" s="16" t="e">
        <f>INDEX('Doll Data'!$U$2:$AE$1048576,MATCH(Main!$D38,'Doll Data'!$C$2:$C$1048576,0),MATCH(BA$2,'Doll Data'!$U$1:$AE$1,0))</f>
        <v>#N/A</v>
      </c>
      <c r="BB11" s="16" t="e">
        <f>INDEX('Doll Data'!$U$2:$AE$1048576,MATCH(Main!$D38,'Doll Data'!$C$2:$C$1048576,0),MATCH(BB$2,'Doll Data'!$U$1:$AE$1,0))</f>
        <v>#N/A</v>
      </c>
      <c r="BC11" s="16" t="e">
        <f>INDEX('Doll Data'!$U$2:$AE$1048576,MATCH(Main!$D38,'Doll Data'!$C$2:$C$1048576,0),MATCH(BC$2,'Doll Data'!$U$1:$AE$1,0))</f>
        <v>#N/A</v>
      </c>
      <c r="BD11" s="16" t="e">
        <f>INDEX('Doll Data'!$U$2:$AE$1048576,MATCH(Main!$D38,'Doll Data'!$C$2:$C$1048576,0),MATCH(BD$2,'Doll Data'!$U$1:$AE$1,0))</f>
        <v>#N/A</v>
      </c>
      <c r="BE11" s="21" t="e">
        <f>INDEX('Doll Data'!$U$2:$AE$1048576,MATCH(Main!$D38,'Doll Data'!$C$2:$C$1048576,0),MATCH(BE$2,'Doll Data'!$U$1:$AE$1,0))</f>
        <v>#N/A</v>
      </c>
      <c r="BH11" s="52">
        <f t="shared" si="41"/>
        <v>9</v>
      </c>
      <c r="BI11" s="62" t="e">
        <f t="shared" si="42"/>
        <v>#N/A</v>
      </c>
      <c r="BJ11" s="63" t="e">
        <f t="shared" si="43"/>
        <v>#N/A</v>
      </c>
      <c r="BK11" s="63" t="e">
        <f t="shared" si="44"/>
        <v>#N/A</v>
      </c>
      <c r="BL11" s="63" t="e">
        <f t="shared" si="45"/>
        <v>#N/A</v>
      </c>
      <c r="BM11" s="63" t="e">
        <f t="shared" si="46"/>
        <v>#N/A</v>
      </c>
      <c r="BN11" s="64" t="e">
        <f t="shared" si="47"/>
        <v>#N/A</v>
      </c>
      <c r="BO11" s="78"/>
      <c r="BP11" s="52">
        <f t="shared" si="15"/>
        <v>9</v>
      </c>
      <c r="BQ11" s="77">
        <f t="shared" si="22"/>
        <v>55</v>
      </c>
      <c r="BR11" s="78">
        <f t="shared" si="23"/>
        <v>16</v>
      </c>
      <c r="BS11" s="78">
        <f t="shared" si="24"/>
        <v>45</v>
      </c>
      <c r="BT11" s="78">
        <f t="shared" si="25"/>
        <v>5</v>
      </c>
      <c r="BU11" s="78">
        <f t="shared" si="26"/>
        <v>5</v>
      </c>
      <c r="BV11" s="79">
        <f t="shared" si="27"/>
        <v>2</v>
      </c>
      <c r="BW11" s="78"/>
      <c r="BX11" s="52">
        <f t="shared" si="16"/>
        <v>9</v>
      </c>
      <c r="BY11" s="77">
        <f t="shared" si="48"/>
        <v>0.55500000000000005</v>
      </c>
      <c r="BZ11" s="78">
        <f t="shared" si="49"/>
        <v>16</v>
      </c>
      <c r="CA11" s="78">
        <f t="shared" si="50"/>
        <v>45</v>
      </c>
      <c r="CB11" s="78">
        <f t="shared" si="51"/>
        <v>5</v>
      </c>
      <c r="CC11" s="78">
        <f t="shared" si="52"/>
        <v>5</v>
      </c>
      <c r="CD11" s="79">
        <f t="shared" si="53"/>
        <v>0.161</v>
      </c>
      <c r="CE11" s="78"/>
      <c r="CF11" s="52">
        <f t="shared" si="28"/>
        <v>9</v>
      </c>
      <c r="CG11" s="77">
        <f t="shared" si="29"/>
        <v>0</v>
      </c>
      <c r="CH11" s="78">
        <f t="shared" si="30"/>
        <v>0.24199999999999999</v>
      </c>
      <c r="CI11" s="78">
        <f t="shared" si="31"/>
        <v>0.18099999999999999</v>
      </c>
      <c r="CJ11" s="78">
        <f t="shared" si="32"/>
        <v>0.30299999999999999</v>
      </c>
      <c r="CK11" s="78">
        <f t="shared" si="33"/>
        <v>0.30299999999999999</v>
      </c>
      <c r="CL11" s="79">
        <f t="shared" si="34"/>
        <v>0</v>
      </c>
      <c r="CM11" s="78"/>
      <c r="CN11" s="52">
        <f t="shared" si="18"/>
        <v>9</v>
      </c>
      <c r="CO11" s="12">
        <f t="shared" si="54"/>
        <v>0</v>
      </c>
      <c r="CP11" s="13">
        <f t="shared" si="55"/>
        <v>0</v>
      </c>
      <c r="CQ11" s="13">
        <f t="shared" si="56"/>
        <v>0</v>
      </c>
      <c r="CR11" s="13">
        <f t="shared" si="57"/>
        <v>0</v>
      </c>
      <c r="CS11" s="13">
        <f t="shared" si="58"/>
        <v>0</v>
      </c>
      <c r="CT11" s="14">
        <f t="shared" si="59"/>
        <v>0</v>
      </c>
      <c r="CW11" s="52">
        <f t="shared" si="19"/>
        <v>9</v>
      </c>
      <c r="CX11" s="65">
        <f>Main!E38</f>
        <v>0</v>
      </c>
      <c r="CY11" s="66" t="e">
        <f>IF(AND(UseCustomStats,Main!Y38&lt;&gt;""),Main!Y38,_xlfn.CEILING.MATH((S11+($CX11-1)*AA11)*K11*AY11/100))</f>
        <v>#N/A</v>
      </c>
      <c r="CZ11" s="66" t="e">
        <f>IF(AND(UseCustomStats,Main!Z38&lt;&gt;""),Main!Z38,_xlfn.CEILING.MATH(T11*L11*AZ11/100)+_xlfn.CEILING.MATH((AR11+($CX11-1)*AJ11)*L11*AZ11*$BE11/100/100))</f>
        <v>#N/A</v>
      </c>
      <c r="DA11" s="66" t="e">
        <f>IF(AND(UseCustomStats,Main!AA38&lt;&gt;""),Main!AA38,_xlfn.CEILING.MATH(U11*M11*BA11/100)+_xlfn.CEILING.MATH((AS11+($CX11-1)*AK11)*M11*BA11*$BE11/100/100))</f>
        <v>#N/A</v>
      </c>
      <c r="DB11" s="66" t="e">
        <f>IF(AND(UseCustomStats,Main!AB38&lt;&gt;""),Main!AB38,_xlfn.CEILING.MATH(V11*N11*BB11/100)+_xlfn.CEILING.MATH((AT11+($CX11-1)*AL11)*N11*BB11*$BE11/100/100))</f>
        <v>#N/A</v>
      </c>
      <c r="DC11" s="66" t="e">
        <f>IF(AND(UseCustomStats,Main!AC38&lt;&gt;""),Main!AC38,_xlfn.CEILING.MATH(W11*O11*BC11/100)+_xlfn.CEILING.MATH((AU11+($CX11-1)*AM11)*O11*BC11*$BE11/100/100))</f>
        <v>#N/A</v>
      </c>
      <c r="DD11" s="67" t="e">
        <f t="shared" si="74"/>
        <v>#N/A</v>
      </c>
      <c r="DF11" s="52">
        <f t="shared" si="20"/>
        <v>9</v>
      </c>
      <c r="DG11" s="65">
        <v>1</v>
      </c>
      <c r="DH11" s="66" t="e">
        <f t="shared" si="60"/>
        <v>#N/A</v>
      </c>
      <c r="DI11" s="66" t="e">
        <f t="shared" si="61"/>
        <v>#N/A</v>
      </c>
      <c r="DJ11" s="66" t="e">
        <f t="shared" si="62"/>
        <v>#N/A</v>
      </c>
      <c r="DK11" s="66" t="e">
        <f t="shared" si="63"/>
        <v>#N/A</v>
      </c>
      <c r="DL11" s="66" t="e">
        <f t="shared" si="64"/>
        <v>#N/A</v>
      </c>
      <c r="DM11" s="67" t="e">
        <f t="shared" si="65"/>
        <v>#N/A</v>
      </c>
      <c r="DO11" s="52">
        <f t="shared" si="21"/>
        <v>9</v>
      </c>
      <c r="DP11" s="28"/>
      <c r="DQ11" s="29"/>
      <c r="DR11" s="66" t="e">
        <f t="shared" si="66"/>
        <v>#N/A</v>
      </c>
      <c r="DS11" s="66" t="e">
        <f t="shared" si="67"/>
        <v>#N/A</v>
      </c>
      <c r="DT11" s="66" t="e">
        <f t="shared" si="68"/>
        <v>#N/A</v>
      </c>
      <c r="DU11" s="66" t="e">
        <f t="shared" si="69"/>
        <v>#N/A</v>
      </c>
      <c r="DV11" s="33"/>
      <c r="DY11" s="42" t="s">
        <v>8326</v>
      </c>
      <c r="DZ11" s="94">
        <v>44</v>
      </c>
      <c r="EA11" s="95">
        <v>31</v>
      </c>
      <c r="EB11" s="95">
        <v>83</v>
      </c>
      <c r="EC11" s="96">
        <v>106</v>
      </c>
    </row>
    <row r="12" spans="1:133" x14ac:dyDescent="0.3">
      <c r="A12" s="53">
        <v>2</v>
      </c>
      <c r="B12" s="112">
        <v>0.13800000000000001</v>
      </c>
      <c r="C12" s="113">
        <v>16</v>
      </c>
      <c r="D12" s="113">
        <v>45</v>
      </c>
      <c r="E12" s="113">
        <v>5</v>
      </c>
      <c r="F12" s="113">
        <v>5</v>
      </c>
      <c r="G12" s="114">
        <v>0.04</v>
      </c>
      <c r="J12" s="52">
        <f t="shared" si="8"/>
        <v>10</v>
      </c>
      <c r="K12" s="62" t="e">
        <f>INDEX($B$3:$G$8,MATCH(Main!$C39,$A$3:$A$8,0),MATCH(K$2,$B$2:$G$2,0))</f>
        <v>#N/A</v>
      </c>
      <c r="L12" s="63" t="e">
        <f>INDEX($B$3:$G$8,MATCH(Main!$C39,$A$3:$A$8,0),MATCH(L$2,$B$2:$G$2,0))</f>
        <v>#N/A</v>
      </c>
      <c r="M12" s="63" t="e">
        <f>INDEX($B$3:$G$8,MATCH(Main!$C39,$A$3:$A$8,0),MATCH(M$2,$B$2:$G$2,0))</f>
        <v>#N/A</v>
      </c>
      <c r="N12" s="63" t="e">
        <f>INDEX($B$3:$G$8,MATCH(Main!$C39,$A$3:$A$8,0),MATCH(N$2,$B$2:$G$2,0))</f>
        <v>#N/A</v>
      </c>
      <c r="O12" s="63" t="e">
        <f>INDEX($B$3:$G$8,MATCH(Main!$C39,$A$3:$A$8,0),MATCH(O$2,$B$2:$G$2,0))</f>
        <v>#N/A</v>
      </c>
      <c r="P12" s="64" t="e">
        <f>INDEX($B$3:$G$8,MATCH(Main!$C39,$A$3:$A$8,0),MATCH(P$2,$B$2:$G$2,0))</f>
        <v>#N/A</v>
      </c>
      <c r="Q12" s="78"/>
      <c r="R12" s="52">
        <f t="shared" si="70"/>
        <v>10</v>
      </c>
      <c r="S12" s="77">
        <f>IF(Main!$I39&gt;0,B$11,B$19)</f>
        <v>55</v>
      </c>
      <c r="T12" s="78">
        <f>IF(Main!$I39&gt;0,C$11,C$19)</f>
        <v>16</v>
      </c>
      <c r="U12" s="78">
        <f>IF(Main!$I39&gt;0,D$11,D$19)</f>
        <v>45</v>
      </c>
      <c r="V12" s="78">
        <f>IF(Main!$I39&gt;0,E$11,E$19)</f>
        <v>5</v>
      </c>
      <c r="W12" s="78">
        <f>IF(Main!$I39&gt;0,F$11,F$19)</f>
        <v>5</v>
      </c>
      <c r="X12" s="79">
        <f>IF(Main!$I39&gt;0,G$11,G$19)</f>
        <v>2</v>
      </c>
      <c r="Z12" s="52">
        <f t="shared" si="71"/>
        <v>10</v>
      </c>
      <c r="AA12" s="77">
        <f>IF(Main!$I39&gt;0,B$12,B$20)</f>
        <v>0.55500000000000005</v>
      </c>
      <c r="AB12" s="78">
        <f>IF(Main!$I39&gt;0,C$12,C$20)</f>
        <v>16</v>
      </c>
      <c r="AC12" s="78">
        <f>IF(Main!$I39&gt;0,D$12,D$20)</f>
        <v>45</v>
      </c>
      <c r="AD12" s="78">
        <f>IF(Main!$I39&gt;0,E$12,E$20)</f>
        <v>5</v>
      </c>
      <c r="AE12" s="78">
        <f>IF(Main!$I39&gt;0,F$12,F$20)</f>
        <v>5</v>
      </c>
      <c r="AF12" s="79">
        <f>IF(Main!$I39&gt;0,G$12,G$20)</f>
        <v>0.161</v>
      </c>
      <c r="AG12" s="78"/>
      <c r="AH12" s="52">
        <f t="shared" si="72"/>
        <v>10</v>
      </c>
      <c r="AI12" s="77">
        <f>IF(Main!$I39&gt;0,B$15,B$23)</f>
        <v>0</v>
      </c>
      <c r="AJ12" s="78">
        <f>IF(Main!$I39&gt;0,C$15,C$23)</f>
        <v>0.24199999999999999</v>
      </c>
      <c r="AK12" s="78">
        <f>IF(Main!$I39&gt;0,D$15,D$23)</f>
        <v>0.18099999999999999</v>
      </c>
      <c r="AL12" s="78">
        <f>IF(Main!$I39&gt;0,E$15,E$23)</f>
        <v>0.30299999999999999</v>
      </c>
      <c r="AM12" s="78">
        <f>IF(Main!$I39&gt;0,F$15,F$23)</f>
        <v>0.30299999999999999</v>
      </c>
      <c r="AN12" s="79">
        <f>IF(Main!$I39&gt;0,G$15,G$23)</f>
        <v>0</v>
      </c>
      <c r="AO12" s="78"/>
      <c r="AP12" s="52">
        <f t="shared" si="73"/>
        <v>10</v>
      </c>
      <c r="AQ12" s="12">
        <f>IF(Main!$I39&gt;0,B$16,B$24)</f>
        <v>0</v>
      </c>
      <c r="AR12" s="13">
        <f>IF(Main!$I39&gt;0,C$16,C$24)</f>
        <v>0</v>
      </c>
      <c r="AS12" s="13">
        <f>IF(Main!$I39&gt;0,D$16,D$24)</f>
        <v>0</v>
      </c>
      <c r="AT12" s="13">
        <f>IF(Main!$I39&gt;0,E$16,E$24)</f>
        <v>0</v>
      </c>
      <c r="AU12" s="13">
        <f>IF(Main!$I39&gt;0,F$16,F$24)</f>
        <v>0</v>
      </c>
      <c r="AV12" s="14">
        <f>IF(Main!$I39&gt;0,G$16,G$24)</f>
        <v>0</v>
      </c>
      <c r="AW12" s="78"/>
      <c r="AX12" s="52">
        <f t="shared" si="13"/>
        <v>10</v>
      </c>
      <c r="AY12" s="20" t="e">
        <f>INDEX('Doll Data'!$U$2:$AE$1048576,MATCH(Main!$D39,'Doll Data'!$C$2:$C$1048576,0),MATCH(AY$2,'Doll Data'!$U$1:$AE$1,0))</f>
        <v>#N/A</v>
      </c>
      <c r="AZ12" s="16" t="e">
        <f>INDEX('Doll Data'!$U$2:$AE$1048576,MATCH(Main!$D39,'Doll Data'!$C$2:$C$1048576,0),MATCH(AZ$2,'Doll Data'!$U$1:$AE$1,0))</f>
        <v>#N/A</v>
      </c>
      <c r="BA12" s="16" t="e">
        <f>INDEX('Doll Data'!$U$2:$AE$1048576,MATCH(Main!$D39,'Doll Data'!$C$2:$C$1048576,0),MATCH(BA$2,'Doll Data'!$U$1:$AE$1,0))</f>
        <v>#N/A</v>
      </c>
      <c r="BB12" s="16" t="e">
        <f>INDEX('Doll Data'!$U$2:$AE$1048576,MATCH(Main!$D39,'Doll Data'!$C$2:$C$1048576,0),MATCH(BB$2,'Doll Data'!$U$1:$AE$1,0))</f>
        <v>#N/A</v>
      </c>
      <c r="BC12" s="16" t="e">
        <f>INDEX('Doll Data'!$U$2:$AE$1048576,MATCH(Main!$D39,'Doll Data'!$C$2:$C$1048576,0),MATCH(BC$2,'Doll Data'!$U$1:$AE$1,0))</f>
        <v>#N/A</v>
      </c>
      <c r="BD12" s="16" t="e">
        <f>INDEX('Doll Data'!$U$2:$AE$1048576,MATCH(Main!$D39,'Doll Data'!$C$2:$C$1048576,0),MATCH(BD$2,'Doll Data'!$U$1:$AE$1,0))</f>
        <v>#N/A</v>
      </c>
      <c r="BE12" s="21" t="e">
        <f>INDEX('Doll Data'!$U$2:$AE$1048576,MATCH(Main!$D39,'Doll Data'!$C$2:$C$1048576,0),MATCH(BE$2,'Doll Data'!$U$1:$AE$1,0))</f>
        <v>#N/A</v>
      </c>
      <c r="BH12" s="52">
        <f t="shared" si="41"/>
        <v>10</v>
      </c>
      <c r="BI12" s="62" t="e">
        <f t="shared" si="42"/>
        <v>#N/A</v>
      </c>
      <c r="BJ12" s="63" t="e">
        <f t="shared" si="43"/>
        <v>#N/A</v>
      </c>
      <c r="BK12" s="63" t="e">
        <f t="shared" si="44"/>
        <v>#N/A</v>
      </c>
      <c r="BL12" s="63" t="e">
        <f t="shared" si="45"/>
        <v>#N/A</v>
      </c>
      <c r="BM12" s="63" t="e">
        <f t="shared" si="46"/>
        <v>#N/A</v>
      </c>
      <c r="BN12" s="64" t="e">
        <f t="shared" si="47"/>
        <v>#N/A</v>
      </c>
      <c r="BO12" s="78"/>
      <c r="BP12" s="52">
        <f t="shared" si="15"/>
        <v>10</v>
      </c>
      <c r="BQ12" s="77">
        <f t="shared" si="22"/>
        <v>55</v>
      </c>
      <c r="BR12" s="78">
        <f t="shared" si="23"/>
        <v>16</v>
      </c>
      <c r="BS12" s="78">
        <f t="shared" si="24"/>
        <v>45</v>
      </c>
      <c r="BT12" s="78">
        <f t="shared" si="25"/>
        <v>5</v>
      </c>
      <c r="BU12" s="78">
        <f t="shared" si="26"/>
        <v>5</v>
      </c>
      <c r="BV12" s="79">
        <f t="shared" si="27"/>
        <v>2</v>
      </c>
      <c r="BW12" s="78"/>
      <c r="BX12" s="52">
        <f t="shared" si="16"/>
        <v>10</v>
      </c>
      <c r="BY12" s="77">
        <f t="shared" si="48"/>
        <v>0.55500000000000005</v>
      </c>
      <c r="BZ12" s="78">
        <f t="shared" si="49"/>
        <v>16</v>
      </c>
      <c r="CA12" s="78">
        <f t="shared" si="50"/>
        <v>45</v>
      </c>
      <c r="CB12" s="78">
        <f t="shared" si="51"/>
        <v>5</v>
      </c>
      <c r="CC12" s="78">
        <f t="shared" si="52"/>
        <v>5</v>
      </c>
      <c r="CD12" s="79">
        <f t="shared" si="53"/>
        <v>0.161</v>
      </c>
      <c r="CE12" s="78"/>
      <c r="CF12" s="52">
        <f t="shared" si="28"/>
        <v>10</v>
      </c>
      <c r="CG12" s="77">
        <f t="shared" si="29"/>
        <v>0</v>
      </c>
      <c r="CH12" s="78">
        <f t="shared" si="30"/>
        <v>0.24199999999999999</v>
      </c>
      <c r="CI12" s="78">
        <f t="shared" si="31"/>
        <v>0.18099999999999999</v>
      </c>
      <c r="CJ12" s="78">
        <f t="shared" si="32"/>
        <v>0.30299999999999999</v>
      </c>
      <c r="CK12" s="78">
        <f t="shared" si="33"/>
        <v>0.30299999999999999</v>
      </c>
      <c r="CL12" s="79">
        <f t="shared" si="34"/>
        <v>0</v>
      </c>
      <c r="CM12" s="78"/>
      <c r="CN12" s="52">
        <f t="shared" si="18"/>
        <v>10</v>
      </c>
      <c r="CO12" s="12">
        <f t="shared" si="54"/>
        <v>0</v>
      </c>
      <c r="CP12" s="13">
        <f t="shared" si="55"/>
        <v>0</v>
      </c>
      <c r="CQ12" s="13">
        <f t="shared" si="56"/>
        <v>0</v>
      </c>
      <c r="CR12" s="13">
        <f t="shared" si="57"/>
        <v>0</v>
      </c>
      <c r="CS12" s="13">
        <f t="shared" si="58"/>
        <v>0</v>
      </c>
      <c r="CT12" s="14">
        <f t="shared" si="59"/>
        <v>0</v>
      </c>
      <c r="CW12" s="52">
        <f t="shared" si="19"/>
        <v>10</v>
      </c>
      <c r="CX12" s="65">
        <f>Main!E39</f>
        <v>0</v>
      </c>
      <c r="CY12" s="66" t="e">
        <f>IF(AND(UseCustomStats,Main!Y39&lt;&gt;""),Main!Y39,_xlfn.CEILING.MATH((S12+($CX12-1)*AA12)*K12*AY12/100))</f>
        <v>#N/A</v>
      </c>
      <c r="CZ12" s="66" t="e">
        <f>IF(AND(UseCustomStats,Main!Z39&lt;&gt;""),Main!Z39,_xlfn.CEILING.MATH(T12*L12*AZ12/100)+_xlfn.CEILING.MATH((AR12+($CX12-1)*AJ12)*L12*AZ12*$BE12/100/100))</f>
        <v>#N/A</v>
      </c>
      <c r="DA12" s="66" t="e">
        <f>IF(AND(UseCustomStats,Main!AA39&lt;&gt;""),Main!AA39,_xlfn.CEILING.MATH(U12*M12*BA12/100)+_xlfn.CEILING.MATH((AS12+($CX12-1)*AK12)*M12*BA12*$BE12/100/100))</f>
        <v>#N/A</v>
      </c>
      <c r="DB12" s="66" t="e">
        <f>IF(AND(UseCustomStats,Main!AB39&lt;&gt;""),Main!AB39,_xlfn.CEILING.MATH(V12*N12*BB12/100)+_xlfn.CEILING.MATH((AT12+($CX12-1)*AL12)*N12*BB12*$BE12/100/100))</f>
        <v>#N/A</v>
      </c>
      <c r="DC12" s="66" t="e">
        <f>IF(AND(UseCustomStats,Main!AC39&lt;&gt;""),Main!AC39,_xlfn.CEILING.MATH(W12*O12*BC12/100)+_xlfn.CEILING.MATH((AU12+($CX12-1)*AM12)*O12*BC12*$BE12/100/100))</f>
        <v>#N/A</v>
      </c>
      <c r="DD12" s="67" t="e">
        <f t="shared" si="74"/>
        <v>#N/A</v>
      </c>
      <c r="DF12" s="52">
        <f t="shared" si="20"/>
        <v>10</v>
      </c>
      <c r="DG12" s="65">
        <v>1</v>
      </c>
      <c r="DH12" s="66" t="e">
        <f t="shared" si="60"/>
        <v>#N/A</v>
      </c>
      <c r="DI12" s="66" t="e">
        <f t="shared" si="61"/>
        <v>#N/A</v>
      </c>
      <c r="DJ12" s="66" t="e">
        <f t="shared" si="62"/>
        <v>#N/A</v>
      </c>
      <c r="DK12" s="66" t="e">
        <f t="shared" si="63"/>
        <v>#N/A</v>
      </c>
      <c r="DL12" s="66" t="e">
        <f t="shared" si="64"/>
        <v>#N/A</v>
      </c>
      <c r="DM12" s="67" t="e">
        <f t="shared" si="65"/>
        <v>#N/A</v>
      </c>
      <c r="DO12" s="52">
        <f t="shared" si="21"/>
        <v>10</v>
      </c>
      <c r="DP12" s="28"/>
      <c r="DQ12" s="29"/>
      <c r="DR12" s="66" t="e">
        <f t="shared" si="66"/>
        <v>#N/A</v>
      </c>
      <c r="DS12" s="66" t="e">
        <f t="shared" si="67"/>
        <v>#N/A</v>
      </c>
      <c r="DT12" s="66" t="e">
        <f t="shared" si="68"/>
        <v>#N/A</v>
      </c>
      <c r="DU12" s="66" t="e">
        <f t="shared" si="69"/>
        <v>#N/A</v>
      </c>
      <c r="DV12" s="33"/>
      <c r="DY12" s="43" t="s">
        <v>9048</v>
      </c>
      <c r="DZ12" s="97">
        <v>44</v>
      </c>
      <c r="EA12" s="98">
        <v>78</v>
      </c>
      <c r="EB12" s="98">
        <v>54</v>
      </c>
      <c r="EC12" s="99">
        <v>21</v>
      </c>
    </row>
    <row r="13" spans="1:133" x14ac:dyDescent="0.3">
      <c r="B13" s="8"/>
      <c r="C13" s="8"/>
      <c r="D13" s="8"/>
      <c r="E13" s="8"/>
      <c r="F13" s="8"/>
      <c r="G13" s="8"/>
      <c r="J13" s="52">
        <f t="shared" si="8"/>
        <v>11</v>
      </c>
      <c r="K13" s="62" t="e">
        <f>INDEX($B$3:$G$8,MATCH(Main!$C40,$A$3:$A$8,0),MATCH(K$2,$B$2:$G$2,0))</f>
        <v>#N/A</v>
      </c>
      <c r="L13" s="63" t="e">
        <f>INDEX($B$3:$G$8,MATCH(Main!$C40,$A$3:$A$8,0),MATCH(L$2,$B$2:$G$2,0))</f>
        <v>#N/A</v>
      </c>
      <c r="M13" s="63" t="e">
        <f>INDEX($B$3:$G$8,MATCH(Main!$C40,$A$3:$A$8,0),MATCH(M$2,$B$2:$G$2,0))</f>
        <v>#N/A</v>
      </c>
      <c r="N13" s="63" t="e">
        <f>INDEX($B$3:$G$8,MATCH(Main!$C40,$A$3:$A$8,0),MATCH(N$2,$B$2:$G$2,0))</f>
        <v>#N/A</v>
      </c>
      <c r="O13" s="63" t="e">
        <f>INDEX($B$3:$G$8,MATCH(Main!$C40,$A$3:$A$8,0),MATCH(O$2,$B$2:$G$2,0))</f>
        <v>#N/A</v>
      </c>
      <c r="P13" s="64" t="e">
        <f>INDEX($B$3:$G$8,MATCH(Main!$C40,$A$3:$A$8,0),MATCH(P$2,$B$2:$G$2,0))</f>
        <v>#N/A</v>
      </c>
      <c r="Q13" s="78"/>
      <c r="R13" s="52">
        <f t="shared" si="70"/>
        <v>11</v>
      </c>
      <c r="S13" s="77">
        <f>IF(Main!$I40&gt;0,B$11,B$19)</f>
        <v>55</v>
      </c>
      <c r="T13" s="78">
        <f>IF(Main!$I40&gt;0,C$11,C$19)</f>
        <v>16</v>
      </c>
      <c r="U13" s="78">
        <f>IF(Main!$I40&gt;0,D$11,D$19)</f>
        <v>45</v>
      </c>
      <c r="V13" s="78">
        <f>IF(Main!$I40&gt;0,E$11,E$19)</f>
        <v>5</v>
      </c>
      <c r="W13" s="78">
        <f>IF(Main!$I40&gt;0,F$11,F$19)</f>
        <v>5</v>
      </c>
      <c r="X13" s="79">
        <f>IF(Main!$I40&gt;0,G$11,G$19)</f>
        <v>2</v>
      </c>
      <c r="Z13" s="52">
        <f t="shared" si="71"/>
        <v>11</v>
      </c>
      <c r="AA13" s="77">
        <f>IF(Main!$I40&gt;0,B$12,B$20)</f>
        <v>0.55500000000000005</v>
      </c>
      <c r="AB13" s="78">
        <f>IF(Main!$I40&gt;0,C$12,C$20)</f>
        <v>16</v>
      </c>
      <c r="AC13" s="78">
        <f>IF(Main!$I40&gt;0,D$12,D$20)</f>
        <v>45</v>
      </c>
      <c r="AD13" s="78">
        <f>IF(Main!$I40&gt;0,E$12,E$20)</f>
        <v>5</v>
      </c>
      <c r="AE13" s="78">
        <f>IF(Main!$I40&gt;0,F$12,F$20)</f>
        <v>5</v>
      </c>
      <c r="AF13" s="79">
        <f>IF(Main!$I40&gt;0,G$12,G$20)</f>
        <v>0.161</v>
      </c>
      <c r="AG13" s="78"/>
      <c r="AH13" s="52">
        <f t="shared" si="72"/>
        <v>11</v>
      </c>
      <c r="AI13" s="77">
        <f>IF(Main!$I40&gt;0,B$15,B$23)</f>
        <v>0</v>
      </c>
      <c r="AJ13" s="78">
        <f>IF(Main!$I40&gt;0,C$15,C$23)</f>
        <v>0.24199999999999999</v>
      </c>
      <c r="AK13" s="78">
        <f>IF(Main!$I40&gt;0,D$15,D$23)</f>
        <v>0.18099999999999999</v>
      </c>
      <c r="AL13" s="78">
        <f>IF(Main!$I40&gt;0,E$15,E$23)</f>
        <v>0.30299999999999999</v>
      </c>
      <c r="AM13" s="78">
        <f>IF(Main!$I40&gt;0,F$15,F$23)</f>
        <v>0.30299999999999999</v>
      </c>
      <c r="AN13" s="79">
        <f>IF(Main!$I40&gt;0,G$15,G$23)</f>
        <v>0</v>
      </c>
      <c r="AO13" s="78"/>
      <c r="AP13" s="52">
        <f t="shared" si="73"/>
        <v>11</v>
      </c>
      <c r="AQ13" s="12">
        <f>IF(Main!$I40&gt;0,B$16,B$24)</f>
        <v>0</v>
      </c>
      <c r="AR13" s="13">
        <f>IF(Main!$I40&gt;0,C$16,C$24)</f>
        <v>0</v>
      </c>
      <c r="AS13" s="13">
        <f>IF(Main!$I40&gt;0,D$16,D$24)</f>
        <v>0</v>
      </c>
      <c r="AT13" s="13">
        <f>IF(Main!$I40&gt;0,E$16,E$24)</f>
        <v>0</v>
      </c>
      <c r="AU13" s="13">
        <f>IF(Main!$I40&gt;0,F$16,F$24)</f>
        <v>0</v>
      </c>
      <c r="AV13" s="14">
        <f>IF(Main!$I40&gt;0,G$16,G$24)</f>
        <v>0</v>
      </c>
      <c r="AW13" s="78"/>
      <c r="AX13" s="52">
        <f t="shared" si="13"/>
        <v>11</v>
      </c>
      <c r="AY13" s="20" t="e">
        <f>INDEX('Doll Data'!$U$2:$AE$1048576,MATCH(Main!$D40,'Doll Data'!$C$2:$C$1048576,0),MATCH(AY$2,'Doll Data'!$U$1:$AE$1,0))</f>
        <v>#N/A</v>
      </c>
      <c r="AZ13" s="16" t="e">
        <f>INDEX('Doll Data'!$U$2:$AE$1048576,MATCH(Main!$D40,'Doll Data'!$C$2:$C$1048576,0),MATCH(AZ$2,'Doll Data'!$U$1:$AE$1,0))</f>
        <v>#N/A</v>
      </c>
      <c r="BA13" s="16" t="e">
        <f>INDEX('Doll Data'!$U$2:$AE$1048576,MATCH(Main!$D40,'Doll Data'!$C$2:$C$1048576,0),MATCH(BA$2,'Doll Data'!$U$1:$AE$1,0))</f>
        <v>#N/A</v>
      </c>
      <c r="BB13" s="16" t="e">
        <f>INDEX('Doll Data'!$U$2:$AE$1048576,MATCH(Main!$D40,'Doll Data'!$C$2:$C$1048576,0),MATCH(BB$2,'Doll Data'!$U$1:$AE$1,0))</f>
        <v>#N/A</v>
      </c>
      <c r="BC13" s="16" t="e">
        <f>INDEX('Doll Data'!$U$2:$AE$1048576,MATCH(Main!$D40,'Doll Data'!$C$2:$C$1048576,0),MATCH(BC$2,'Doll Data'!$U$1:$AE$1,0))</f>
        <v>#N/A</v>
      </c>
      <c r="BD13" s="16" t="e">
        <f>INDEX('Doll Data'!$U$2:$AE$1048576,MATCH(Main!$D40,'Doll Data'!$C$2:$C$1048576,0),MATCH(BD$2,'Doll Data'!$U$1:$AE$1,0))</f>
        <v>#N/A</v>
      </c>
      <c r="BE13" s="21" t="e">
        <f>INDEX('Doll Data'!$U$2:$AE$1048576,MATCH(Main!$D40,'Doll Data'!$C$2:$C$1048576,0),MATCH(BE$2,'Doll Data'!$U$1:$AE$1,0))</f>
        <v>#N/A</v>
      </c>
      <c r="BH13" s="52">
        <f t="shared" si="41"/>
        <v>11</v>
      </c>
      <c r="BI13" s="62" t="e">
        <f t="shared" si="42"/>
        <v>#N/A</v>
      </c>
      <c r="BJ13" s="63" t="e">
        <f t="shared" si="43"/>
        <v>#N/A</v>
      </c>
      <c r="BK13" s="63" t="e">
        <f t="shared" si="44"/>
        <v>#N/A</v>
      </c>
      <c r="BL13" s="63" t="e">
        <f t="shared" si="45"/>
        <v>#N/A</v>
      </c>
      <c r="BM13" s="63" t="e">
        <f t="shared" si="46"/>
        <v>#N/A</v>
      </c>
      <c r="BN13" s="64" t="e">
        <f t="shared" si="47"/>
        <v>#N/A</v>
      </c>
      <c r="BO13" s="78"/>
      <c r="BP13" s="52">
        <f t="shared" si="15"/>
        <v>11</v>
      </c>
      <c r="BQ13" s="77">
        <f t="shared" si="22"/>
        <v>55</v>
      </c>
      <c r="BR13" s="78">
        <f t="shared" si="23"/>
        <v>16</v>
      </c>
      <c r="BS13" s="78">
        <f t="shared" si="24"/>
        <v>45</v>
      </c>
      <c r="BT13" s="78">
        <f t="shared" si="25"/>
        <v>5</v>
      </c>
      <c r="BU13" s="78">
        <f t="shared" si="26"/>
        <v>5</v>
      </c>
      <c r="BV13" s="79">
        <f t="shared" si="27"/>
        <v>2</v>
      </c>
      <c r="BW13" s="78"/>
      <c r="BX13" s="52">
        <f t="shared" si="16"/>
        <v>11</v>
      </c>
      <c r="BY13" s="77">
        <f t="shared" si="48"/>
        <v>0.55500000000000005</v>
      </c>
      <c r="BZ13" s="78">
        <f t="shared" si="49"/>
        <v>16</v>
      </c>
      <c r="CA13" s="78">
        <f t="shared" si="50"/>
        <v>45</v>
      </c>
      <c r="CB13" s="78">
        <f t="shared" si="51"/>
        <v>5</v>
      </c>
      <c r="CC13" s="78">
        <f t="shared" si="52"/>
        <v>5</v>
      </c>
      <c r="CD13" s="79">
        <f t="shared" si="53"/>
        <v>0.161</v>
      </c>
      <c r="CE13" s="78"/>
      <c r="CF13" s="52">
        <f t="shared" si="28"/>
        <v>11</v>
      </c>
      <c r="CG13" s="77">
        <f t="shared" si="29"/>
        <v>0</v>
      </c>
      <c r="CH13" s="78">
        <f t="shared" si="30"/>
        <v>0.24199999999999999</v>
      </c>
      <c r="CI13" s="78">
        <f t="shared" si="31"/>
        <v>0.18099999999999999</v>
      </c>
      <c r="CJ13" s="78">
        <f t="shared" si="32"/>
        <v>0.30299999999999999</v>
      </c>
      <c r="CK13" s="78">
        <f t="shared" si="33"/>
        <v>0.30299999999999999</v>
      </c>
      <c r="CL13" s="79">
        <f t="shared" si="34"/>
        <v>0</v>
      </c>
      <c r="CM13" s="78"/>
      <c r="CN13" s="52">
        <f t="shared" si="18"/>
        <v>11</v>
      </c>
      <c r="CO13" s="12">
        <f t="shared" si="54"/>
        <v>0</v>
      </c>
      <c r="CP13" s="13">
        <f t="shared" si="55"/>
        <v>0</v>
      </c>
      <c r="CQ13" s="13">
        <f t="shared" si="56"/>
        <v>0</v>
      </c>
      <c r="CR13" s="13">
        <f t="shared" si="57"/>
        <v>0</v>
      </c>
      <c r="CS13" s="13">
        <f t="shared" si="58"/>
        <v>0</v>
      </c>
      <c r="CT13" s="14">
        <f t="shared" si="59"/>
        <v>0</v>
      </c>
      <c r="CW13" s="52">
        <f t="shared" si="19"/>
        <v>11</v>
      </c>
      <c r="CX13" s="65">
        <f>Main!E40</f>
        <v>0</v>
      </c>
      <c r="CY13" s="66" t="e">
        <f>IF(AND(UseCustomStats,Main!Y40&lt;&gt;""),Main!Y40,_xlfn.CEILING.MATH((S13+($CX13-1)*AA13)*K13*AY13/100))</f>
        <v>#N/A</v>
      </c>
      <c r="CZ13" s="66" t="e">
        <f>IF(AND(UseCustomStats,Main!Z40&lt;&gt;""),Main!Z40,_xlfn.CEILING.MATH(T13*L13*AZ13/100)+_xlfn.CEILING.MATH((AR13+($CX13-1)*AJ13)*L13*AZ13*$BE13/100/100))</f>
        <v>#N/A</v>
      </c>
      <c r="DA13" s="66" t="e">
        <f>IF(AND(UseCustomStats,Main!AA40&lt;&gt;""),Main!AA40,_xlfn.CEILING.MATH(U13*M13*BA13/100)+_xlfn.CEILING.MATH((AS13+($CX13-1)*AK13)*M13*BA13*$BE13/100/100))</f>
        <v>#N/A</v>
      </c>
      <c r="DB13" s="66" t="e">
        <f>IF(AND(UseCustomStats,Main!AB40&lt;&gt;""),Main!AB40,_xlfn.CEILING.MATH(V13*N13*BB13/100)+_xlfn.CEILING.MATH((AT13+($CX13-1)*AL13)*N13*BB13*$BE13/100/100))</f>
        <v>#N/A</v>
      </c>
      <c r="DC13" s="66" t="e">
        <f>IF(AND(UseCustomStats,Main!AC40&lt;&gt;""),Main!AC40,_xlfn.CEILING.MATH(W13*O13*BC13/100)+_xlfn.CEILING.MATH((AU13+($CX13-1)*AM13)*O13*BC13*$BE13/100/100))</f>
        <v>#N/A</v>
      </c>
      <c r="DD13" s="67" t="e">
        <f t="shared" si="74"/>
        <v>#N/A</v>
      </c>
      <c r="DF13" s="52">
        <f t="shared" si="20"/>
        <v>11</v>
      </c>
      <c r="DG13" s="65">
        <v>1</v>
      </c>
      <c r="DH13" s="66" t="e">
        <f t="shared" si="60"/>
        <v>#N/A</v>
      </c>
      <c r="DI13" s="66" t="e">
        <f t="shared" si="61"/>
        <v>#N/A</v>
      </c>
      <c r="DJ13" s="66" t="e">
        <f t="shared" si="62"/>
        <v>#N/A</v>
      </c>
      <c r="DK13" s="66" t="e">
        <f t="shared" si="63"/>
        <v>#N/A</v>
      </c>
      <c r="DL13" s="66" t="e">
        <f t="shared" si="64"/>
        <v>#N/A</v>
      </c>
      <c r="DM13" s="67" t="e">
        <f t="shared" si="65"/>
        <v>#N/A</v>
      </c>
      <c r="DO13" s="52">
        <f t="shared" si="21"/>
        <v>11</v>
      </c>
      <c r="DP13" s="28"/>
      <c r="DQ13" s="29"/>
      <c r="DR13" s="66" t="e">
        <f t="shared" si="66"/>
        <v>#N/A</v>
      </c>
      <c r="DS13" s="66" t="e">
        <f t="shared" si="67"/>
        <v>#N/A</v>
      </c>
      <c r="DT13" s="66" t="e">
        <f t="shared" si="68"/>
        <v>#N/A</v>
      </c>
      <c r="DU13" s="66" t="e">
        <f t="shared" si="69"/>
        <v>#N/A</v>
      </c>
      <c r="DV13" s="33"/>
    </row>
    <row r="14" spans="1:133" x14ac:dyDescent="0.3">
      <c r="A14" s="51" t="s">
        <v>17</v>
      </c>
      <c r="B14" s="74" t="s">
        <v>9</v>
      </c>
      <c r="C14" s="75" t="s">
        <v>10</v>
      </c>
      <c r="D14" s="75" t="s">
        <v>11</v>
      </c>
      <c r="E14" s="75" t="s">
        <v>12</v>
      </c>
      <c r="F14" s="75" t="s">
        <v>13</v>
      </c>
      <c r="G14" s="76" t="s">
        <v>14</v>
      </c>
      <c r="J14" s="52">
        <f t="shared" si="8"/>
        <v>12</v>
      </c>
      <c r="K14" s="62" t="e">
        <f>INDEX($B$3:$G$8,MATCH(Main!$C41,$A$3:$A$8,0),MATCH(K$2,$B$2:$G$2,0))</f>
        <v>#N/A</v>
      </c>
      <c r="L14" s="63" t="e">
        <f>INDEX($B$3:$G$8,MATCH(Main!$C41,$A$3:$A$8,0),MATCH(L$2,$B$2:$G$2,0))</f>
        <v>#N/A</v>
      </c>
      <c r="M14" s="63" t="e">
        <f>INDEX($B$3:$G$8,MATCH(Main!$C41,$A$3:$A$8,0),MATCH(M$2,$B$2:$G$2,0))</f>
        <v>#N/A</v>
      </c>
      <c r="N14" s="63" t="e">
        <f>INDEX($B$3:$G$8,MATCH(Main!$C41,$A$3:$A$8,0),MATCH(N$2,$B$2:$G$2,0))</f>
        <v>#N/A</v>
      </c>
      <c r="O14" s="63" t="e">
        <f>INDEX($B$3:$G$8,MATCH(Main!$C41,$A$3:$A$8,0),MATCH(O$2,$B$2:$G$2,0))</f>
        <v>#N/A</v>
      </c>
      <c r="P14" s="64" t="e">
        <f>INDEX($B$3:$G$8,MATCH(Main!$C41,$A$3:$A$8,0),MATCH(P$2,$B$2:$G$2,0))</f>
        <v>#N/A</v>
      </c>
      <c r="Q14" s="78"/>
      <c r="R14" s="52">
        <f t="shared" si="70"/>
        <v>12</v>
      </c>
      <c r="S14" s="77">
        <f>IF(Main!$I41&gt;0,B$11,B$19)</f>
        <v>55</v>
      </c>
      <c r="T14" s="78">
        <f>IF(Main!$I41&gt;0,C$11,C$19)</f>
        <v>16</v>
      </c>
      <c r="U14" s="78">
        <f>IF(Main!$I41&gt;0,D$11,D$19)</f>
        <v>45</v>
      </c>
      <c r="V14" s="78">
        <f>IF(Main!$I41&gt;0,E$11,E$19)</f>
        <v>5</v>
      </c>
      <c r="W14" s="78">
        <f>IF(Main!$I41&gt;0,F$11,F$19)</f>
        <v>5</v>
      </c>
      <c r="X14" s="79">
        <f>IF(Main!$I41&gt;0,G$11,G$19)</f>
        <v>2</v>
      </c>
      <c r="Z14" s="52">
        <f t="shared" si="71"/>
        <v>12</v>
      </c>
      <c r="AA14" s="77">
        <f>IF(Main!$I41&gt;0,B$12,B$20)</f>
        <v>0.55500000000000005</v>
      </c>
      <c r="AB14" s="78">
        <f>IF(Main!$I41&gt;0,C$12,C$20)</f>
        <v>16</v>
      </c>
      <c r="AC14" s="78">
        <f>IF(Main!$I41&gt;0,D$12,D$20)</f>
        <v>45</v>
      </c>
      <c r="AD14" s="78">
        <f>IF(Main!$I41&gt;0,E$12,E$20)</f>
        <v>5</v>
      </c>
      <c r="AE14" s="78">
        <f>IF(Main!$I41&gt;0,F$12,F$20)</f>
        <v>5</v>
      </c>
      <c r="AF14" s="79">
        <f>IF(Main!$I41&gt;0,G$12,G$20)</f>
        <v>0.161</v>
      </c>
      <c r="AG14" s="78"/>
      <c r="AH14" s="52">
        <f t="shared" si="72"/>
        <v>12</v>
      </c>
      <c r="AI14" s="77">
        <f>IF(Main!$I41&gt;0,B$15,B$23)</f>
        <v>0</v>
      </c>
      <c r="AJ14" s="78">
        <f>IF(Main!$I41&gt;0,C$15,C$23)</f>
        <v>0.24199999999999999</v>
      </c>
      <c r="AK14" s="78">
        <f>IF(Main!$I41&gt;0,D$15,D$23)</f>
        <v>0.18099999999999999</v>
      </c>
      <c r="AL14" s="78">
        <f>IF(Main!$I41&gt;0,E$15,E$23)</f>
        <v>0.30299999999999999</v>
      </c>
      <c r="AM14" s="78">
        <f>IF(Main!$I41&gt;0,F$15,F$23)</f>
        <v>0.30299999999999999</v>
      </c>
      <c r="AN14" s="79">
        <f>IF(Main!$I41&gt;0,G$15,G$23)</f>
        <v>0</v>
      </c>
      <c r="AO14" s="78"/>
      <c r="AP14" s="52">
        <f t="shared" si="73"/>
        <v>12</v>
      </c>
      <c r="AQ14" s="12">
        <f>IF(Main!$I41&gt;0,B$16,B$24)</f>
        <v>0</v>
      </c>
      <c r="AR14" s="13">
        <f>IF(Main!$I41&gt;0,C$16,C$24)</f>
        <v>0</v>
      </c>
      <c r="AS14" s="13">
        <f>IF(Main!$I41&gt;0,D$16,D$24)</f>
        <v>0</v>
      </c>
      <c r="AT14" s="13">
        <f>IF(Main!$I41&gt;0,E$16,E$24)</f>
        <v>0</v>
      </c>
      <c r="AU14" s="13">
        <f>IF(Main!$I41&gt;0,F$16,F$24)</f>
        <v>0</v>
      </c>
      <c r="AV14" s="14">
        <f>IF(Main!$I41&gt;0,G$16,G$24)</f>
        <v>0</v>
      </c>
      <c r="AW14" s="78"/>
      <c r="AX14" s="52">
        <f t="shared" si="13"/>
        <v>12</v>
      </c>
      <c r="AY14" s="20" t="e">
        <f>INDEX('Doll Data'!$U$2:$AE$1048576,MATCH(Main!$D41,'Doll Data'!$C$2:$C$1048576,0),MATCH(AY$2,'Doll Data'!$U$1:$AE$1,0))</f>
        <v>#N/A</v>
      </c>
      <c r="AZ14" s="16" t="e">
        <f>INDEX('Doll Data'!$U$2:$AE$1048576,MATCH(Main!$D41,'Doll Data'!$C$2:$C$1048576,0),MATCH(AZ$2,'Doll Data'!$U$1:$AE$1,0))</f>
        <v>#N/A</v>
      </c>
      <c r="BA14" s="16" t="e">
        <f>INDEX('Doll Data'!$U$2:$AE$1048576,MATCH(Main!$D41,'Doll Data'!$C$2:$C$1048576,0),MATCH(BA$2,'Doll Data'!$U$1:$AE$1,0))</f>
        <v>#N/A</v>
      </c>
      <c r="BB14" s="16" t="e">
        <f>INDEX('Doll Data'!$U$2:$AE$1048576,MATCH(Main!$D41,'Doll Data'!$C$2:$C$1048576,0),MATCH(BB$2,'Doll Data'!$U$1:$AE$1,0))</f>
        <v>#N/A</v>
      </c>
      <c r="BC14" s="16" t="e">
        <f>INDEX('Doll Data'!$U$2:$AE$1048576,MATCH(Main!$D41,'Doll Data'!$C$2:$C$1048576,0),MATCH(BC$2,'Doll Data'!$U$1:$AE$1,0))</f>
        <v>#N/A</v>
      </c>
      <c r="BD14" s="16" t="e">
        <f>INDEX('Doll Data'!$U$2:$AE$1048576,MATCH(Main!$D41,'Doll Data'!$C$2:$C$1048576,0),MATCH(BD$2,'Doll Data'!$U$1:$AE$1,0))</f>
        <v>#N/A</v>
      </c>
      <c r="BE14" s="21" t="e">
        <f>INDEX('Doll Data'!$U$2:$AE$1048576,MATCH(Main!$D41,'Doll Data'!$C$2:$C$1048576,0),MATCH(BE$2,'Doll Data'!$U$1:$AE$1,0))</f>
        <v>#N/A</v>
      </c>
      <c r="BH14" s="52">
        <f t="shared" si="41"/>
        <v>12</v>
      </c>
      <c r="BI14" s="62" t="e">
        <f t="shared" si="42"/>
        <v>#N/A</v>
      </c>
      <c r="BJ14" s="63" t="e">
        <f t="shared" si="43"/>
        <v>#N/A</v>
      </c>
      <c r="BK14" s="63" t="e">
        <f t="shared" si="44"/>
        <v>#N/A</v>
      </c>
      <c r="BL14" s="63" t="e">
        <f t="shared" si="45"/>
        <v>#N/A</v>
      </c>
      <c r="BM14" s="63" t="e">
        <f t="shared" si="46"/>
        <v>#N/A</v>
      </c>
      <c r="BN14" s="64" t="e">
        <f t="shared" si="47"/>
        <v>#N/A</v>
      </c>
      <c r="BO14" s="78"/>
      <c r="BP14" s="52">
        <f t="shared" si="15"/>
        <v>12</v>
      </c>
      <c r="BQ14" s="77">
        <f t="shared" si="22"/>
        <v>55</v>
      </c>
      <c r="BR14" s="78">
        <f t="shared" si="23"/>
        <v>16</v>
      </c>
      <c r="BS14" s="78">
        <f t="shared" si="24"/>
        <v>45</v>
      </c>
      <c r="BT14" s="78">
        <f t="shared" si="25"/>
        <v>5</v>
      </c>
      <c r="BU14" s="78">
        <f t="shared" si="26"/>
        <v>5</v>
      </c>
      <c r="BV14" s="79">
        <f t="shared" si="27"/>
        <v>2</v>
      </c>
      <c r="BW14" s="78"/>
      <c r="BX14" s="52">
        <f t="shared" si="16"/>
        <v>12</v>
      </c>
      <c r="BY14" s="77">
        <f t="shared" si="48"/>
        <v>0.55500000000000005</v>
      </c>
      <c r="BZ14" s="78">
        <f t="shared" si="49"/>
        <v>16</v>
      </c>
      <c r="CA14" s="78">
        <f t="shared" si="50"/>
        <v>45</v>
      </c>
      <c r="CB14" s="78">
        <f t="shared" si="51"/>
        <v>5</v>
      </c>
      <c r="CC14" s="78">
        <f t="shared" si="52"/>
        <v>5</v>
      </c>
      <c r="CD14" s="79">
        <f t="shared" si="53"/>
        <v>0.161</v>
      </c>
      <c r="CE14" s="78"/>
      <c r="CF14" s="52">
        <f t="shared" si="28"/>
        <v>12</v>
      </c>
      <c r="CG14" s="77">
        <f t="shared" si="29"/>
        <v>0</v>
      </c>
      <c r="CH14" s="78">
        <f t="shared" si="30"/>
        <v>0.24199999999999999</v>
      </c>
      <c r="CI14" s="78">
        <f t="shared" si="31"/>
        <v>0.18099999999999999</v>
      </c>
      <c r="CJ14" s="78">
        <f t="shared" si="32"/>
        <v>0.30299999999999999</v>
      </c>
      <c r="CK14" s="78">
        <f t="shared" si="33"/>
        <v>0.30299999999999999</v>
      </c>
      <c r="CL14" s="79">
        <f t="shared" si="34"/>
        <v>0</v>
      </c>
      <c r="CM14" s="78"/>
      <c r="CN14" s="52">
        <f t="shared" si="18"/>
        <v>12</v>
      </c>
      <c r="CO14" s="12">
        <f t="shared" si="54"/>
        <v>0</v>
      </c>
      <c r="CP14" s="13">
        <f t="shared" si="55"/>
        <v>0</v>
      </c>
      <c r="CQ14" s="13">
        <f t="shared" si="56"/>
        <v>0</v>
      </c>
      <c r="CR14" s="13">
        <f t="shared" si="57"/>
        <v>0</v>
      </c>
      <c r="CS14" s="13">
        <f t="shared" si="58"/>
        <v>0</v>
      </c>
      <c r="CT14" s="14">
        <f t="shared" si="59"/>
        <v>0</v>
      </c>
      <c r="CW14" s="52">
        <f t="shared" si="19"/>
        <v>12</v>
      </c>
      <c r="CX14" s="65">
        <f>Main!E41</f>
        <v>0</v>
      </c>
      <c r="CY14" s="66" t="e">
        <f>IF(AND(UseCustomStats,Main!Y41&lt;&gt;""),Main!Y41,_xlfn.CEILING.MATH((S14+($CX14-1)*AA14)*K14*AY14/100))</f>
        <v>#N/A</v>
      </c>
      <c r="CZ14" s="66" t="e">
        <f>IF(AND(UseCustomStats,Main!Z41&lt;&gt;""),Main!Z41,_xlfn.CEILING.MATH(T14*L14*AZ14/100)+_xlfn.CEILING.MATH((AR14+($CX14-1)*AJ14)*L14*AZ14*$BE14/100/100))</f>
        <v>#N/A</v>
      </c>
      <c r="DA14" s="66" t="e">
        <f>IF(AND(UseCustomStats,Main!AA41&lt;&gt;""),Main!AA41,_xlfn.CEILING.MATH(U14*M14*BA14/100)+_xlfn.CEILING.MATH((AS14+($CX14-1)*AK14)*M14*BA14*$BE14/100/100))</f>
        <v>#N/A</v>
      </c>
      <c r="DB14" s="66" t="e">
        <f>IF(AND(UseCustomStats,Main!AB41&lt;&gt;""),Main!AB41,_xlfn.CEILING.MATH(V14*N14*BB14/100)+_xlfn.CEILING.MATH((AT14+($CX14-1)*AL14)*N14*BB14*$BE14/100/100))</f>
        <v>#N/A</v>
      </c>
      <c r="DC14" s="66" t="e">
        <f>IF(AND(UseCustomStats,Main!AC41&lt;&gt;""),Main!AC41,_xlfn.CEILING.MATH(W14*O14*BC14/100)+_xlfn.CEILING.MATH((AU14+($CX14-1)*AM14)*O14*BC14*$BE14/100/100))</f>
        <v>#N/A</v>
      </c>
      <c r="DD14" s="67" t="e">
        <f t="shared" si="74"/>
        <v>#N/A</v>
      </c>
      <c r="DF14" s="52">
        <f t="shared" si="20"/>
        <v>12</v>
      </c>
      <c r="DG14" s="65">
        <v>1</v>
      </c>
      <c r="DH14" s="66" t="e">
        <f t="shared" si="60"/>
        <v>#N/A</v>
      </c>
      <c r="DI14" s="66" t="e">
        <f t="shared" si="61"/>
        <v>#N/A</v>
      </c>
      <c r="DJ14" s="66" t="e">
        <f t="shared" si="62"/>
        <v>#N/A</v>
      </c>
      <c r="DK14" s="66" t="e">
        <f t="shared" si="63"/>
        <v>#N/A</v>
      </c>
      <c r="DL14" s="66" t="e">
        <f t="shared" si="64"/>
        <v>#N/A</v>
      </c>
      <c r="DM14" s="67" t="e">
        <f t="shared" si="65"/>
        <v>#N/A</v>
      </c>
      <c r="DO14" s="52">
        <f t="shared" si="21"/>
        <v>12</v>
      </c>
      <c r="DP14" s="28"/>
      <c r="DQ14" s="29"/>
      <c r="DR14" s="66" t="e">
        <f t="shared" si="66"/>
        <v>#N/A</v>
      </c>
      <c r="DS14" s="66" t="e">
        <f t="shared" si="67"/>
        <v>#N/A</v>
      </c>
      <c r="DT14" s="66" t="e">
        <f t="shared" si="68"/>
        <v>#N/A</v>
      </c>
      <c r="DU14" s="66" t="e">
        <f t="shared" si="69"/>
        <v>#N/A</v>
      </c>
      <c r="DV14" s="33"/>
    </row>
    <row r="15" spans="1:133" x14ac:dyDescent="0.3">
      <c r="A15" s="51">
        <v>1</v>
      </c>
      <c r="B15" s="109"/>
      <c r="C15" s="110">
        <v>0.06</v>
      </c>
      <c r="D15" s="110">
        <v>2.1999999999999999E-2</v>
      </c>
      <c r="E15" s="110">
        <v>7.4999999999999997E-2</v>
      </c>
      <c r="F15" s="110">
        <v>7.4999999999999997E-2</v>
      </c>
      <c r="G15" s="111"/>
      <c r="J15" s="52">
        <f t="shared" si="8"/>
        <v>13</v>
      </c>
      <c r="K15" s="62" t="e">
        <f>INDEX($B$3:$G$8,MATCH(Main!$C42,$A$3:$A$8,0),MATCH(K$2,$B$2:$G$2,0))</f>
        <v>#N/A</v>
      </c>
      <c r="L15" s="63" t="e">
        <f>INDEX($B$3:$G$8,MATCH(Main!$C42,$A$3:$A$8,0),MATCH(L$2,$B$2:$G$2,0))</f>
        <v>#N/A</v>
      </c>
      <c r="M15" s="63" t="e">
        <f>INDEX($B$3:$G$8,MATCH(Main!$C42,$A$3:$A$8,0),MATCH(M$2,$B$2:$G$2,0))</f>
        <v>#N/A</v>
      </c>
      <c r="N15" s="63" t="e">
        <f>INDEX($B$3:$G$8,MATCH(Main!$C42,$A$3:$A$8,0),MATCH(N$2,$B$2:$G$2,0))</f>
        <v>#N/A</v>
      </c>
      <c r="O15" s="63" t="e">
        <f>INDEX($B$3:$G$8,MATCH(Main!$C42,$A$3:$A$8,0),MATCH(O$2,$B$2:$G$2,0))</f>
        <v>#N/A</v>
      </c>
      <c r="P15" s="64" t="e">
        <f>INDEX($B$3:$G$8,MATCH(Main!$C42,$A$3:$A$8,0),MATCH(P$2,$B$2:$G$2,0))</f>
        <v>#N/A</v>
      </c>
      <c r="Q15" s="78"/>
      <c r="R15" s="52">
        <f t="shared" si="70"/>
        <v>13</v>
      </c>
      <c r="S15" s="77">
        <f>IF(Main!$I42&gt;0,B$11,B$19)</f>
        <v>55</v>
      </c>
      <c r="T15" s="78">
        <f>IF(Main!$I42&gt;0,C$11,C$19)</f>
        <v>16</v>
      </c>
      <c r="U15" s="78">
        <f>IF(Main!$I42&gt;0,D$11,D$19)</f>
        <v>45</v>
      </c>
      <c r="V15" s="78">
        <f>IF(Main!$I42&gt;0,E$11,E$19)</f>
        <v>5</v>
      </c>
      <c r="W15" s="78">
        <f>IF(Main!$I42&gt;0,F$11,F$19)</f>
        <v>5</v>
      </c>
      <c r="X15" s="79">
        <f>IF(Main!$I42&gt;0,G$11,G$19)</f>
        <v>2</v>
      </c>
      <c r="Z15" s="52">
        <f t="shared" si="71"/>
        <v>13</v>
      </c>
      <c r="AA15" s="77">
        <f>IF(Main!$I42&gt;0,B$12,B$20)</f>
        <v>0.55500000000000005</v>
      </c>
      <c r="AB15" s="78">
        <f>IF(Main!$I42&gt;0,C$12,C$20)</f>
        <v>16</v>
      </c>
      <c r="AC15" s="78">
        <f>IF(Main!$I42&gt;0,D$12,D$20)</f>
        <v>45</v>
      </c>
      <c r="AD15" s="78">
        <f>IF(Main!$I42&gt;0,E$12,E$20)</f>
        <v>5</v>
      </c>
      <c r="AE15" s="78">
        <f>IF(Main!$I42&gt;0,F$12,F$20)</f>
        <v>5</v>
      </c>
      <c r="AF15" s="79">
        <f>IF(Main!$I42&gt;0,G$12,G$20)</f>
        <v>0.161</v>
      </c>
      <c r="AG15" s="78"/>
      <c r="AH15" s="52">
        <f t="shared" si="72"/>
        <v>13</v>
      </c>
      <c r="AI15" s="77">
        <f>IF(Main!$I42&gt;0,B$15,B$23)</f>
        <v>0</v>
      </c>
      <c r="AJ15" s="78">
        <f>IF(Main!$I42&gt;0,C$15,C$23)</f>
        <v>0.24199999999999999</v>
      </c>
      <c r="AK15" s="78">
        <f>IF(Main!$I42&gt;0,D$15,D$23)</f>
        <v>0.18099999999999999</v>
      </c>
      <c r="AL15" s="78">
        <f>IF(Main!$I42&gt;0,E$15,E$23)</f>
        <v>0.30299999999999999</v>
      </c>
      <c r="AM15" s="78">
        <f>IF(Main!$I42&gt;0,F$15,F$23)</f>
        <v>0.30299999999999999</v>
      </c>
      <c r="AN15" s="79">
        <f>IF(Main!$I42&gt;0,G$15,G$23)</f>
        <v>0</v>
      </c>
      <c r="AO15" s="78"/>
      <c r="AP15" s="52">
        <f t="shared" si="73"/>
        <v>13</v>
      </c>
      <c r="AQ15" s="12">
        <f>IF(Main!$I42&gt;0,B$16,B$24)</f>
        <v>0</v>
      </c>
      <c r="AR15" s="13">
        <f>IF(Main!$I42&gt;0,C$16,C$24)</f>
        <v>0</v>
      </c>
      <c r="AS15" s="13">
        <f>IF(Main!$I42&gt;0,D$16,D$24)</f>
        <v>0</v>
      </c>
      <c r="AT15" s="13">
        <f>IF(Main!$I42&gt;0,E$16,E$24)</f>
        <v>0</v>
      </c>
      <c r="AU15" s="13">
        <f>IF(Main!$I42&gt;0,F$16,F$24)</f>
        <v>0</v>
      </c>
      <c r="AV15" s="14">
        <f>IF(Main!$I42&gt;0,G$16,G$24)</f>
        <v>0</v>
      </c>
      <c r="AW15" s="78"/>
      <c r="AX15" s="52">
        <f t="shared" si="13"/>
        <v>13</v>
      </c>
      <c r="AY15" s="20" t="e">
        <f>INDEX('Doll Data'!$U$2:$AE$1048576,MATCH(Main!$D42,'Doll Data'!$C$2:$C$1048576,0),MATCH(AY$2,'Doll Data'!$U$1:$AE$1,0))</f>
        <v>#N/A</v>
      </c>
      <c r="AZ15" s="16" t="e">
        <f>INDEX('Doll Data'!$U$2:$AE$1048576,MATCH(Main!$D42,'Doll Data'!$C$2:$C$1048576,0),MATCH(AZ$2,'Doll Data'!$U$1:$AE$1,0))</f>
        <v>#N/A</v>
      </c>
      <c r="BA15" s="16" t="e">
        <f>INDEX('Doll Data'!$U$2:$AE$1048576,MATCH(Main!$D42,'Doll Data'!$C$2:$C$1048576,0),MATCH(BA$2,'Doll Data'!$U$1:$AE$1,0))</f>
        <v>#N/A</v>
      </c>
      <c r="BB15" s="16" t="e">
        <f>INDEX('Doll Data'!$U$2:$AE$1048576,MATCH(Main!$D42,'Doll Data'!$C$2:$C$1048576,0),MATCH(BB$2,'Doll Data'!$U$1:$AE$1,0))</f>
        <v>#N/A</v>
      </c>
      <c r="BC15" s="16" t="e">
        <f>INDEX('Doll Data'!$U$2:$AE$1048576,MATCH(Main!$D42,'Doll Data'!$C$2:$C$1048576,0),MATCH(BC$2,'Doll Data'!$U$1:$AE$1,0))</f>
        <v>#N/A</v>
      </c>
      <c r="BD15" s="16" t="e">
        <f>INDEX('Doll Data'!$U$2:$AE$1048576,MATCH(Main!$D42,'Doll Data'!$C$2:$C$1048576,0),MATCH(BD$2,'Doll Data'!$U$1:$AE$1,0))</f>
        <v>#N/A</v>
      </c>
      <c r="BE15" s="21" t="e">
        <f>INDEX('Doll Data'!$U$2:$AE$1048576,MATCH(Main!$D42,'Doll Data'!$C$2:$C$1048576,0),MATCH(BE$2,'Doll Data'!$U$1:$AE$1,0))</f>
        <v>#N/A</v>
      </c>
      <c r="BH15" s="52">
        <f t="shared" si="41"/>
        <v>13</v>
      </c>
      <c r="BI15" s="62" t="e">
        <f t="shared" si="42"/>
        <v>#N/A</v>
      </c>
      <c r="BJ15" s="63" t="e">
        <f t="shared" si="43"/>
        <v>#N/A</v>
      </c>
      <c r="BK15" s="63" t="e">
        <f t="shared" si="44"/>
        <v>#N/A</v>
      </c>
      <c r="BL15" s="63" t="e">
        <f t="shared" si="45"/>
        <v>#N/A</v>
      </c>
      <c r="BM15" s="63" t="e">
        <f t="shared" si="46"/>
        <v>#N/A</v>
      </c>
      <c r="BN15" s="64" t="e">
        <f t="shared" si="47"/>
        <v>#N/A</v>
      </c>
      <c r="BO15" s="78"/>
      <c r="BP15" s="52">
        <f t="shared" si="15"/>
        <v>13</v>
      </c>
      <c r="BQ15" s="77">
        <f t="shared" si="22"/>
        <v>55</v>
      </c>
      <c r="BR15" s="78">
        <f t="shared" si="23"/>
        <v>16</v>
      </c>
      <c r="BS15" s="78">
        <f t="shared" si="24"/>
        <v>45</v>
      </c>
      <c r="BT15" s="78">
        <f t="shared" si="25"/>
        <v>5</v>
      </c>
      <c r="BU15" s="78">
        <f t="shared" si="26"/>
        <v>5</v>
      </c>
      <c r="BV15" s="79">
        <f t="shared" si="27"/>
        <v>2</v>
      </c>
      <c r="BW15" s="78"/>
      <c r="BX15" s="52">
        <f t="shared" si="16"/>
        <v>13</v>
      </c>
      <c r="BY15" s="77">
        <f t="shared" si="48"/>
        <v>0.55500000000000005</v>
      </c>
      <c r="BZ15" s="78">
        <f t="shared" si="49"/>
        <v>16</v>
      </c>
      <c r="CA15" s="78">
        <f t="shared" si="50"/>
        <v>45</v>
      </c>
      <c r="CB15" s="78">
        <f t="shared" si="51"/>
        <v>5</v>
      </c>
      <c r="CC15" s="78">
        <f t="shared" si="52"/>
        <v>5</v>
      </c>
      <c r="CD15" s="79">
        <f t="shared" si="53"/>
        <v>0.161</v>
      </c>
      <c r="CE15" s="78"/>
      <c r="CF15" s="52">
        <f t="shared" si="28"/>
        <v>13</v>
      </c>
      <c r="CG15" s="77">
        <f t="shared" si="29"/>
        <v>0</v>
      </c>
      <c r="CH15" s="78">
        <f t="shared" si="30"/>
        <v>0.24199999999999999</v>
      </c>
      <c r="CI15" s="78">
        <f t="shared" si="31"/>
        <v>0.18099999999999999</v>
      </c>
      <c r="CJ15" s="78">
        <f t="shared" si="32"/>
        <v>0.30299999999999999</v>
      </c>
      <c r="CK15" s="78">
        <f t="shared" si="33"/>
        <v>0.30299999999999999</v>
      </c>
      <c r="CL15" s="79">
        <f t="shared" si="34"/>
        <v>0</v>
      </c>
      <c r="CM15" s="78"/>
      <c r="CN15" s="52">
        <f t="shared" si="18"/>
        <v>13</v>
      </c>
      <c r="CO15" s="12">
        <f t="shared" si="54"/>
        <v>0</v>
      </c>
      <c r="CP15" s="13">
        <f t="shared" si="55"/>
        <v>0</v>
      </c>
      <c r="CQ15" s="13">
        <f t="shared" si="56"/>
        <v>0</v>
      </c>
      <c r="CR15" s="13">
        <f t="shared" si="57"/>
        <v>0</v>
      </c>
      <c r="CS15" s="13">
        <f t="shared" si="58"/>
        <v>0</v>
      </c>
      <c r="CT15" s="14">
        <f t="shared" si="59"/>
        <v>0</v>
      </c>
      <c r="CW15" s="52">
        <f t="shared" si="19"/>
        <v>13</v>
      </c>
      <c r="CX15" s="65">
        <f>Main!E42</f>
        <v>0</v>
      </c>
      <c r="CY15" s="66" t="e">
        <f>IF(AND(UseCustomStats,Main!Y42&lt;&gt;""),Main!Y42,_xlfn.CEILING.MATH((S15+($CX15-1)*AA15)*K15*AY15/100))</f>
        <v>#N/A</v>
      </c>
      <c r="CZ15" s="66" t="e">
        <f>IF(AND(UseCustomStats,Main!Z42&lt;&gt;""),Main!Z42,_xlfn.CEILING.MATH(T15*L15*AZ15/100)+_xlfn.CEILING.MATH((AR15+($CX15-1)*AJ15)*L15*AZ15*$BE15/100/100))</f>
        <v>#N/A</v>
      </c>
      <c r="DA15" s="66" t="e">
        <f>IF(AND(UseCustomStats,Main!AA42&lt;&gt;""),Main!AA42,_xlfn.CEILING.MATH(U15*M15*BA15/100)+_xlfn.CEILING.MATH((AS15+($CX15-1)*AK15)*M15*BA15*$BE15/100/100))</f>
        <v>#N/A</v>
      </c>
      <c r="DB15" s="66" t="e">
        <f>IF(AND(UseCustomStats,Main!AB42&lt;&gt;""),Main!AB42,_xlfn.CEILING.MATH(V15*N15*BB15/100)+_xlfn.CEILING.MATH((AT15+($CX15-1)*AL15)*N15*BB15*$BE15/100/100))</f>
        <v>#N/A</v>
      </c>
      <c r="DC15" s="66" t="e">
        <f>IF(AND(UseCustomStats,Main!AC42&lt;&gt;""),Main!AC42,_xlfn.CEILING.MATH(W15*O15*BC15/100)+_xlfn.CEILING.MATH((AU15+($CX15-1)*AM15)*O15*BC15*$BE15/100/100))</f>
        <v>#N/A</v>
      </c>
      <c r="DD15" s="67" t="e">
        <f t="shared" si="74"/>
        <v>#N/A</v>
      </c>
      <c r="DF15" s="52">
        <f t="shared" si="20"/>
        <v>13</v>
      </c>
      <c r="DG15" s="65">
        <v>1</v>
      </c>
      <c r="DH15" s="66" t="e">
        <f t="shared" si="60"/>
        <v>#N/A</v>
      </c>
      <c r="DI15" s="66" t="e">
        <f t="shared" si="61"/>
        <v>#N/A</v>
      </c>
      <c r="DJ15" s="66" t="e">
        <f t="shared" si="62"/>
        <v>#N/A</v>
      </c>
      <c r="DK15" s="66" t="e">
        <f t="shared" si="63"/>
        <v>#N/A</v>
      </c>
      <c r="DL15" s="66" t="e">
        <f t="shared" si="64"/>
        <v>#N/A</v>
      </c>
      <c r="DM15" s="67" t="e">
        <f t="shared" si="65"/>
        <v>#N/A</v>
      </c>
      <c r="DO15" s="52">
        <f t="shared" si="21"/>
        <v>13</v>
      </c>
      <c r="DP15" s="28"/>
      <c r="DQ15" s="29"/>
      <c r="DR15" s="66" t="e">
        <f t="shared" si="66"/>
        <v>#N/A</v>
      </c>
      <c r="DS15" s="66" t="e">
        <f t="shared" si="67"/>
        <v>#N/A</v>
      </c>
      <c r="DT15" s="66" t="e">
        <f t="shared" si="68"/>
        <v>#N/A</v>
      </c>
      <c r="DU15" s="66" t="e">
        <f t="shared" si="69"/>
        <v>#N/A</v>
      </c>
      <c r="DV15" s="33"/>
    </row>
    <row r="16" spans="1:133" x14ac:dyDescent="0.3">
      <c r="A16" s="53">
        <v>2</v>
      </c>
      <c r="B16" s="112"/>
      <c r="C16" s="113">
        <v>18.018000000000001</v>
      </c>
      <c r="D16" s="113">
        <v>15.741</v>
      </c>
      <c r="E16" s="113">
        <v>22.571999999999999</v>
      </c>
      <c r="F16" s="113">
        <v>22.571999999999999</v>
      </c>
      <c r="G16" s="114"/>
      <c r="J16" s="52">
        <f t="shared" si="8"/>
        <v>14</v>
      </c>
      <c r="K16" s="62" t="e">
        <f>INDEX($B$3:$G$8,MATCH(Main!$C43,$A$3:$A$8,0),MATCH(K$2,$B$2:$G$2,0))</f>
        <v>#N/A</v>
      </c>
      <c r="L16" s="63" t="e">
        <f>INDEX($B$3:$G$8,MATCH(Main!$C43,$A$3:$A$8,0),MATCH(L$2,$B$2:$G$2,0))</f>
        <v>#N/A</v>
      </c>
      <c r="M16" s="63" t="e">
        <f>INDEX($B$3:$G$8,MATCH(Main!$C43,$A$3:$A$8,0),MATCH(M$2,$B$2:$G$2,0))</f>
        <v>#N/A</v>
      </c>
      <c r="N16" s="63" t="e">
        <f>INDEX($B$3:$G$8,MATCH(Main!$C43,$A$3:$A$8,0),MATCH(N$2,$B$2:$G$2,0))</f>
        <v>#N/A</v>
      </c>
      <c r="O16" s="63" t="e">
        <f>INDEX($B$3:$G$8,MATCH(Main!$C43,$A$3:$A$8,0),MATCH(O$2,$B$2:$G$2,0))</f>
        <v>#N/A</v>
      </c>
      <c r="P16" s="64" t="e">
        <f>INDEX($B$3:$G$8,MATCH(Main!$C43,$A$3:$A$8,0),MATCH(P$2,$B$2:$G$2,0))</f>
        <v>#N/A</v>
      </c>
      <c r="Q16" s="78"/>
      <c r="R16" s="52">
        <f t="shared" si="70"/>
        <v>14</v>
      </c>
      <c r="S16" s="77">
        <f>IF(Main!$I43&gt;0,B$11,B$19)</f>
        <v>55</v>
      </c>
      <c r="T16" s="78">
        <f>IF(Main!$I43&gt;0,C$11,C$19)</f>
        <v>16</v>
      </c>
      <c r="U16" s="78">
        <f>IF(Main!$I43&gt;0,D$11,D$19)</f>
        <v>45</v>
      </c>
      <c r="V16" s="78">
        <f>IF(Main!$I43&gt;0,E$11,E$19)</f>
        <v>5</v>
      </c>
      <c r="W16" s="78">
        <f>IF(Main!$I43&gt;0,F$11,F$19)</f>
        <v>5</v>
      </c>
      <c r="X16" s="79">
        <f>IF(Main!$I43&gt;0,G$11,G$19)</f>
        <v>2</v>
      </c>
      <c r="Z16" s="52">
        <f t="shared" si="71"/>
        <v>14</v>
      </c>
      <c r="AA16" s="77">
        <f>IF(Main!$I43&gt;0,B$12,B$20)</f>
        <v>0.55500000000000005</v>
      </c>
      <c r="AB16" s="78">
        <f>IF(Main!$I43&gt;0,C$12,C$20)</f>
        <v>16</v>
      </c>
      <c r="AC16" s="78">
        <f>IF(Main!$I43&gt;0,D$12,D$20)</f>
        <v>45</v>
      </c>
      <c r="AD16" s="78">
        <f>IF(Main!$I43&gt;0,E$12,E$20)</f>
        <v>5</v>
      </c>
      <c r="AE16" s="78">
        <f>IF(Main!$I43&gt;0,F$12,F$20)</f>
        <v>5</v>
      </c>
      <c r="AF16" s="79">
        <f>IF(Main!$I43&gt;0,G$12,G$20)</f>
        <v>0.161</v>
      </c>
      <c r="AG16" s="78"/>
      <c r="AH16" s="52">
        <f t="shared" si="72"/>
        <v>14</v>
      </c>
      <c r="AI16" s="77">
        <f>IF(Main!$I43&gt;0,B$15,B$23)</f>
        <v>0</v>
      </c>
      <c r="AJ16" s="78">
        <f>IF(Main!$I43&gt;0,C$15,C$23)</f>
        <v>0.24199999999999999</v>
      </c>
      <c r="AK16" s="78">
        <f>IF(Main!$I43&gt;0,D$15,D$23)</f>
        <v>0.18099999999999999</v>
      </c>
      <c r="AL16" s="78">
        <f>IF(Main!$I43&gt;0,E$15,E$23)</f>
        <v>0.30299999999999999</v>
      </c>
      <c r="AM16" s="78">
        <f>IF(Main!$I43&gt;0,F$15,F$23)</f>
        <v>0.30299999999999999</v>
      </c>
      <c r="AN16" s="79">
        <f>IF(Main!$I43&gt;0,G$15,G$23)</f>
        <v>0</v>
      </c>
      <c r="AO16" s="78"/>
      <c r="AP16" s="52">
        <f t="shared" si="73"/>
        <v>14</v>
      </c>
      <c r="AQ16" s="12">
        <f>IF(Main!$I43&gt;0,B$16,B$24)</f>
        <v>0</v>
      </c>
      <c r="AR16" s="13">
        <f>IF(Main!$I43&gt;0,C$16,C$24)</f>
        <v>0</v>
      </c>
      <c r="AS16" s="13">
        <f>IF(Main!$I43&gt;0,D$16,D$24)</f>
        <v>0</v>
      </c>
      <c r="AT16" s="13">
        <f>IF(Main!$I43&gt;0,E$16,E$24)</f>
        <v>0</v>
      </c>
      <c r="AU16" s="13">
        <f>IF(Main!$I43&gt;0,F$16,F$24)</f>
        <v>0</v>
      </c>
      <c r="AV16" s="14">
        <f>IF(Main!$I43&gt;0,G$16,G$24)</f>
        <v>0</v>
      </c>
      <c r="AW16" s="78"/>
      <c r="AX16" s="52">
        <f t="shared" si="13"/>
        <v>14</v>
      </c>
      <c r="AY16" s="20" t="e">
        <f>INDEX('Doll Data'!$U$2:$AE$1048576,MATCH(Main!$D43,'Doll Data'!$C$2:$C$1048576,0),MATCH(AY$2,'Doll Data'!$U$1:$AE$1,0))</f>
        <v>#N/A</v>
      </c>
      <c r="AZ16" s="16" t="e">
        <f>INDEX('Doll Data'!$U$2:$AE$1048576,MATCH(Main!$D43,'Doll Data'!$C$2:$C$1048576,0),MATCH(AZ$2,'Doll Data'!$U$1:$AE$1,0))</f>
        <v>#N/A</v>
      </c>
      <c r="BA16" s="16" t="e">
        <f>INDEX('Doll Data'!$U$2:$AE$1048576,MATCH(Main!$D43,'Doll Data'!$C$2:$C$1048576,0),MATCH(BA$2,'Doll Data'!$U$1:$AE$1,0))</f>
        <v>#N/A</v>
      </c>
      <c r="BB16" s="16" t="e">
        <f>INDEX('Doll Data'!$U$2:$AE$1048576,MATCH(Main!$D43,'Doll Data'!$C$2:$C$1048576,0),MATCH(BB$2,'Doll Data'!$U$1:$AE$1,0))</f>
        <v>#N/A</v>
      </c>
      <c r="BC16" s="16" t="e">
        <f>INDEX('Doll Data'!$U$2:$AE$1048576,MATCH(Main!$D43,'Doll Data'!$C$2:$C$1048576,0),MATCH(BC$2,'Doll Data'!$U$1:$AE$1,0))</f>
        <v>#N/A</v>
      </c>
      <c r="BD16" s="16" t="e">
        <f>INDEX('Doll Data'!$U$2:$AE$1048576,MATCH(Main!$D43,'Doll Data'!$C$2:$C$1048576,0),MATCH(BD$2,'Doll Data'!$U$1:$AE$1,0))</f>
        <v>#N/A</v>
      </c>
      <c r="BE16" s="21" t="e">
        <f>INDEX('Doll Data'!$U$2:$AE$1048576,MATCH(Main!$D43,'Doll Data'!$C$2:$C$1048576,0),MATCH(BE$2,'Doll Data'!$U$1:$AE$1,0))</f>
        <v>#N/A</v>
      </c>
      <c r="BH16" s="52">
        <f t="shared" si="41"/>
        <v>14</v>
      </c>
      <c r="BI16" s="62" t="e">
        <f t="shared" si="42"/>
        <v>#N/A</v>
      </c>
      <c r="BJ16" s="63" t="e">
        <f t="shared" si="43"/>
        <v>#N/A</v>
      </c>
      <c r="BK16" s="63" t="e">
        <f t="shared" si="44"/>
        <v>#N/A</v>
      </c>
      <c r="BL16" s="63" t="e">
        <f t="shared" si="45"/>
        <v>#N/A</v>
      </c>
      <c r="BM16" s="63" t="e">
        <f t="shared" si="46"/>
        <v>#N/A</v>
      </c>
      <c r="BN16" s="64" t="e">
        <f t="shared" si="47"/>
        <v>#N/A</v>
      </c>
      <c r="BO16" s="78"/>
      <c r="BP16" s="52">
        <f t="shared" si="15"/>
        <v>14</v>
      </c>
      <c r="BQ16" s="77">
        <f t="shared" si="22"/>
        <v>55</v>
      </c>
      <c r="BR16" s="78">
        <f t="shared" si="23"/>
        <v>16</v>
      </c>
      <c r="BS16" s="78">
        <f t="shared" si="24"/>
        <v>45</v>
      </c>
      <c r="BT16" s="78">
        <f t="shared" si="25"/>
        <v>5</v>
      </c>
      <c r="BU16" s="78">
        <f t="shared" si="26"/>
        <v>5</v>
      </c>
      <c r="BV16" s="79">
        <f t="shared" si="27"/>
        <v>2</v>
      </c>
      <c r="BW16" s="78"/>
      <c r="BX16" s="52">
        <f t="shared" si="16"/>
        <v>14</v>
      </c>
      <c r="BY16" s="77">
        <f t="shared" si="48"/>
        <v>0.55500000000000005</v>
      </c>
      <c r="BZ16" s="78">
        <f t="shared" si="49"/>
        <v>16</v>
      </c>
      <c r="CA16" s="78">
        <f t="shared" si="50"/>
        <v>45</v>
      </c>
      <c r="CB16" s="78">
        <f t="shared" si="51"/>
        <v>5</v>
      </c>
      <c r="CC16" s="78">
        <f t="shared" si="52"/>
        <v>5</v>
      </c>
      <c r="CD16" s="79">
        <f t="shared" si="53"/>
        <v>0.161</v>
      </c>
      <c r="CE16" s="78"/>
      <c r="CF16" s="52">
        <f t="shared" si="28"/>
        <v>14</v>
      </c>
      <c r="CG16" s="77">
        <f t="shared" si="29"/>
        <v>0</v>
      </c>
      <c r="CH16" s="78">
        <f t="shared" si="30"/>
        <v>0.24199999999999999</v>
      </c>
      <c r="CI16" s="78">
        <f t="shared" si="31"/>
        <v>0.18099999999999999</v>
      </c>
      <c r="CJ16" s="78">
        <f t="shared" si="32"/>
        <v>0.30299999999999999</v>
      </c>
      <c r="CK16" s="78">
        <f t="shared" si="33"/>
        <v>0.30299999999999999</v>
      </c>
      <c r="CL16" s="79">
        <f t="shared" si="34"/>
        <v>0</v>
      </c>
      <c r="CM16" s="78"/>
      <c r="CN16" s="52">
        <f t="shared" si="18"/>
        <v>14</v>
      </c>
      <c r="CO16" s="12">
        <f t="shared" si="54"/>
        <v>0</v>
      </c>
      <c r="CP16" s="13">
        <f t="shared" si="55"/>
        <v>0</v>
      </c>
      <c r="CQ16" s="13">
        <f t="shared" si="56"/>
        <v>0</v>
      </c>
      <c r="CR16" s="13">
        <f t="shared" si="57"/>
        <v>0</v>
      </c>
      <c r="CS16" s="13">
        <f t="shared" si="58"/>
        <v>0</v>
      </c>
      <c r="CT16" s="14">
        <f t="shared" si="59"/>
        <v>0</v>
      </c>
      <c r="CW16" s="52">
        <f t="shared" si="19"/>
        <v>14</v>
      </c>
      <c r="CX16" s="65">
        <f>Main!E43</f>
        <v>0</v>
      </c>
      <c r="CY16" s="66" t="e">
        <f>IF(AND(UseCustomStats,Main!Y43&lt;&gt;""),Main!Y43,_xlfn.CEILING.MATH((S16+($CX16-1)*AA16)*K16*AY16/100))</f>
        <v>#N/A</v>
      </c>
      <c r="CZ16" s="66" t="e">
        <f>IF(AND(UseCustomStats,Main!Z43&lt;&gt;""),Main!Z43,_xlfn.CEILING.MATH(T16*L16*AZ16/100)+_xlfn.CEILING.MATH((AR16+($CX16-1)*AJ16)*L16*AZ16*$BE16/100/100))</f>
        <v>#N/A</v>
      </c>
      <c r="DA16" s="66" t="e">
        <f>IF(AND(UseCustomStats,Main!AA43&lt;&gt;""),Main!AA43,_xlfn.CEILING.MATH(U16*M16*BA16/100)+_xlfn.CEILING.MATH((AS16+($CX16-1)*AK16)*M16*BA16*$BE16/100/100))</f>
        <v>#N/A</v>
      </c>
      <c r="DB16" s="66" t="e">
        <f>IF(AND(UseCustomStats,Main!AB43&lt;&gt;""),Main!AB43,_xlfn.CEILING.MATH(V16*N16*BB16/100)+_xlfn.CEILING.MATH((AT16+($CX16-1)*AL16)*N16*BB16*$BE16/100/100))</f>
        <v>#N/A</v>
      </c>
      <c r="DC16" s="66" t="e">
        <f>IF(AND(UseCustomStats,Main!AC43&lt;&gt;""),Main!AC43,_xlfn.CEILING.MATH(W16*O16*BC16/100)+_xlfn.CEILING.MATH((AU16+($CX16-1)*AM16)*O16*BC16*$BE16/100/100))</f>
        <v>#N/A</v>
      </c>
      <c r="DD16" s="67" t="e">
        <f t="shared" si="74"/>
        <v>#N/A</v>
      </c>
      <c r="DF16" s="52">
        <f t="shared" si="20"/>
        <v>14</v>
      </c>
      <c r="DG16" s="65">
        <v>1</v>
      </c>
      <c r="DH16" s="66" t="e">
        <f t="shared" si="60"/>
        <v>#N/A</v>
      </c>
      <c r="DI16" s="66" t="e">
        <f t="shared" si="61"/>
        <v>#N/A</v>
      </c>
      <c r="DJ16" s="66" t="e">
        <f t="shared" si="62"/>
        <v>#N/A</v>
      </c>
      <c r="DK16" s="66" t="e">
        <f t="shared" si="63"/>
        <v>#N/A</v>
      </c>
      <c r="DL16" s="66" t="e">
        <f t="shared" si="64"/>
        <v>#N/A</v>
      </c>
      <c r="DM16" s="67" t="e">
        <f t="shared" si="65"/>
        <v>#N/A</v>
      </c>
      <c r="DO16" s="52">
        <f t="shared" si="21"/>
        <v>14</v>
      </c>
      <c r="DP16" s="28"/>
      <c r="DQ16" s="29"/>
      <c r="DR16" s="66" t="e">
        <f t="shared" si="66"/>
        <v>#N/A</v>
      </c>
      <c r="DS16" s="66" t="e">
        <f t="shared" si="67"/>
        <v>#N/A</v>
      </c>
      <c r="DT16" s="66" t="e">
        <f t="shared" si="68"/>
        <v>#N/A</v>
      </c>
      <c r="DU16" s="66" t="e">
        <f t="shared" si="69"/>
        <v>#N/A</v>
      </c>
      <c r="DV16" s="33"/>
    </row>
    <row r="17" spans="1:126" x14ac:dyDescent="0.3">
      <c r="J17" s="52">
        <f t="shared" si="8"/>
        <v>15</v>
      </c>
      <c r="K17" s="62" t="e">
        <f>INDEX($B$3:$G$8,MATCH(Main!$C44,$A$3:$A$8,0),MATCH(K$2,$B$2:$G$2,0))</f>
        <v>#N/A</v>
      </c>
      <c r="L17" s="63" t="e">
        <f>INDEX($B$3:$G$8,MATCH(Main!$C44,$A$3:$A$8,0),MATCH(L$2,$B$2:$G$2,0))</f>
        <v>#N/A</v>
      </c>
      <c r="M17" s="63" t="e">
        <f>INDEX($B$3:$G$8,MATCH(Main!$C44,$A$3:$A$8,0),MATCH(M$2,$B$2:$G$2,0))</f>
        <v>#N/A</v>
      </c>
      <c r="N17" s="63" t="e">
        <f>INDEX($B$3:$G$8,MATCH(Main!$C44,$A$3:$A$8,0),MATCH(N$2,$B$2:$G$2,0))</f>
        <v>#N/A</v>
      </c>
      <c r="O17" s="63" t="e">
        <f>INDEX($B$3:$G$8,MATCH(Main!$C44,$A$3:$A$8,0),MATCH(O$2,$B$2:$G$2,0))</f>
        <v>#N/A</v>
      </c>
      <c r="P17" s="64" t="e">
        <f>INDEX($B$3:$G$8,MATCH(Main!$C44,$A$3:$A$8,0),MATCH(P$2,$B$2:$G$2,0))</f>
        <v>#N/A</v>
      </c>
      <c r="Q17" s="78"/>
      <c r="R17" s="52">
        <f t="shared" si="70"/>
        <v>15</v>
      </c>
      <c r="S17" s="77">
        <f>IF(Main!$I44&gt;0,B$11,B$19)</f>
        <v>55</v>
      </c>
      <c r="T17" s="78">
        <f>IF(Main!$I44&gt;0,C$11,C$19)</f>
        <v>16</v>
      </c>
      <c r="U17" s="78">
        <f>IF(Main!$I44&gt;0,D$11,D$19)</f>
        <v>45</v>
      </c>
      <c r="V17" s="78">
        <f>IF(Main!$I44&gt;0,E$11,E$19)</f>
        <v>5</v>
      </c>
      <c r="W17" s="78">
        <f>IF(Main!$I44&gt;0,F$11,F$19)</f>
        <v>5</v>
      </c>
      <c r="X17" s="79">
        <f>IF(Main!$I44&gt;0,G$11,G$19)</f>
        <v>2</v>
      </c>
      <c r="Z17" s="52">
        <f t="shared" si="71"/>
        <v>15</v>
      </c>
      <c r="AA17" s="77">
        <f>IF(Main!$I44&gt;0,B$12,B$20)</f>
        <v>0.55500000000000005</v>
      </c>
      <c r="AB17" s="78">
        <f>IF(Main!$I44&gt;0,C$12,C$20)</f>
        <v>16</v>
      </c>
      <c r="AC17" s="78">
        <f>IF(Main!$I44&gt;0,D$12,D$20)</f>
        <v>45</v>
      </c>
      <c r="AD17" s="78">
        <f>IF(Main!$I44&gt;0,E$12,E$20)</f>
        <v>5</v>
      </c>
      <c r="AE17" s="78">
        <f>IF(Main!$I44&gt;0,F$12,F$20)</f>
        <v>5</v>
      </c>
      <c r="AF17" s="79">
        <f>IF(Main!$I44&gt;0,G$12,G$20)</f>
        <v>0.161</v>
      </c>
      <c r="AG17" s="78"/>
      <c r="AH17" s="52">
        <f t="shared" si="72"/>
        <v>15</v>
      </c>
      <c r="AI17" s="77">
        <f>IF(Main!$I44&gt;0,B$15,B$23)</f>
        <v>0</v>
      </c>
      <c r="AJ17" s="78">
        <f>IF(Main!$I44&gt;0,C$15,C$23)</f>
        <v>0.24199999999999999</v>
      </c>
      <c r="AK17" s="78">
        <f>IF(Main!$I44&gt;0,D$15,D$23)</f>
        <v>0.18099999999999999</v>
      </c>
      <c r="AL17" s="78">
        <f>IF(Main!$I44&gt;0,E$15,E$23)</f>
        <v>0.30299999999999999</v>
      </c>
      <c r="AM17" s="78">
        <f>IF(Main!$I44&gt;0,F$15,F$23)</f>
        <v>0.30299999999999999</v>
      </c>
      <c r="AN17" s="79">
        <f>IF(Main!$I44&gt;0,G$15,G$23)</f>
        <v>0</v>
      </c>
      <c r="AO17" s="78"/>
      <c r="AP17" s="52">
        <f t="shared" si="73"/>
        <v>15</v>
      </c>
      <c r="AQ17" s="12">
        <f>IF(Main!$I44&gt;0,B$16,B$24)</f>
        <v>0</v>
      </c>
      <c r="AR17" s="13">
        <f>IF(Main!$I44&gt;0,C$16,C$24)</f>
        <v>0</v>
      </c>
      <c r="AS17" s="13">
        <f>IF(Main!$I44&gt;0,D$16,D$24)</f>
        <v>0</v>
      </c>
      <c r="AT17" s="13">
        <f>IF(Main!$I44&gt;0,E$16,E$24)</f>
        <v>0</v>
      </c>
      <c r="AU17" s="13">
        <f>IF(Main!$I44&gt;0,F$16,F$24)</f>
        <v>0</v>
      </c>
      <c r="AV17" s="14">
        <f>IF(Main!$I44&gt;0,G$16,G$24)</f>
        <v>0</v>
      </c>
      <c r="AW17" s="78"/>
      <c r="AX17" s="52">
        <f t="shared" si="13"/>
        <v>15</v>
      </c>
      <c r="AY17" s="20" t="e">
        <f>INDEX('Doll Data'!$U$2:$AE$1048576,MATCH(Main!$D44,'Doll Data'!$C$2:$C$1048576,0),MATCH(AY$2,'Doll Data'!$U$1:$AE$1,0))</f>
        <v>#N/A</v>
      </c>
      <c r="AZ17" s="16" t="e">
        <f>INDEX('Doll Data'!$U$2:$AE$1048576,MATCH(Main!$D44,'Doll Data'!$C$2:$C$1048576,0),MATCH(AZ$2,'Doll Data'!$U$1:$AE$1,0))</f>
        <v>#N/A</v>
      </c>
      <c r="BA17" s="16" t="e">
        <f>INDEX('Doll Data'!$U$2:$AE$1048576,MATCH(Main!$D44,'Doll Data'!$C$2:$C$1048576,0),MATCH(BA$2,'Doll Data'!$U$1:$AE$1,0))</f>
        <v>#N/A</v>
      </c>
      <c r="BB17" s="16" t="e">
        <f>INDEX('Doll Data'!$U$2:$AE$1048576,MATCH(Main!$D44,'Doll Data'!$C$2:$C$1048576,0),MATCH(BB$2,'Doll Data'!$U$1:$AE$1,0))</f>
        <v>#N/A</v>
      </c>
      <c r="BC17" s="16" t="e">
        <f>INDEX('Doll Data'!$U$2:$AE$1048576,MATCH(Main!$D44,'Doll Data'!$C$2:$C$1048576,0),MATCH(BC$2,'Doll Data'!$U$1:$AE$1,0))</f>
        <v>#N/A</v>
      </c>
      <c r="BD17" s="16" t="e">
        <f>INDEX('Doll Data'!$U$2:$AE$1048576,MATCH(Main!$D44,'Doll Data'!$C$2:$C$1048576,0),MATCH(BD$2,'Doll Data'!$U$1:$AE$1,0))</f>
        <v>#N/A</v>
      </c>
      <c r="BE17" s="21" t="e">
        <f>INDEX('Doll Data'!$U$2:$AE$1048576,MATCH(Main!$D44,'Doll Data'!$C$2:$C$1048576,0),MATCH(BE$2,'Doll Data'!$U$1:$AE$1,0))</f>
        <v>#N/A</v>
      </c>
      <c r="BH17" s="52">
        <f t="shared" si="41"/>
        <v>15</v>
      </c>
      <c r="BI17" s="62" t="e">
        <f t="shared" si="42"/>
        <v>#N/A</v>
      </c>
      <c r="BJ17" s="63" t="e">
        <f t="shared" si="43"/>
        <v>#N/A</v>
      </c>
      <c r="BK17" s="63" t="e">
        <f t="shared" si="44"/>
        <v>#N/A</v>
      </c>
      <c r="BL17" s="63" t="e">
        <f t="shared" si="45"/>
        <v>#N/A</v>
      </c>
      <c r="BM17" s="63" t="e">
        <f t="shared" si="46"/>
        <v>#N/A</v>
      </c>
      <c r="BN17" s="64" t="e">
        <f t="shared" si="47"/>
        <v>#N/A</v>
      </c>
      <c r="BO17" s="78"/>
      <c r="BP17" s="52">
        <f t="shared" si="15"/>
        <v>15</v>
      </c>
      <c r="BQ17" s="77">
        <f t="shared" si="22"/>
        <v>55</v>
      </c>
      <c r="BR17" s="78">
        <f t="shared" si="23"/>
        <v>16</v>
      </c>
      <c r="BS17" s="78">
        <f t="shared" si="24"/>
        <v>45</v>
      </c>
      <c r="BT17" s="78">
        <f t="shared" si="25"/>
        <v>5</v>
      </c>
      <c r="BU17" s="78">
        <f t="shared" si="26"/>
        <v>5</v>
      </c>
      <c r="BV17" s="79">
        <f t="shared" si="27"/>
        <v>2</v>
      </c>
      <c r="BW17" s="78"/>
      <c r="BX17" s="52">
        <f t="shared" si="16"/>
        <v>15</v>
      </c>
      <c r="BY17" s="77">
        <f t="shared" si="48"/>
        <v>0.55500000000000005</v>
      </c>
      <c r="BZ17" s="78">
        <f t="shared" si="49"/>
        <v>16</v>
      </c>
      <c r="CA17" s="78">
        <f t="shared" si="50"/>
        <v>45</v>
      </c>
      <c r="CB17" s="78">
        <f t="shared" si="51"/>
        <v>5</v>
      </c>
      <c r="CC17" s="78">
        <f t="shared" si="52"/>
        <v>5</v>
      </c>
      <c r="CD17" s="79">
        <f t="shared" si="53"/>
        <v>0.161</v>
      </c>
      <c r="CE17" s="78"/>
      <c r="CF17" s="52">
        <f t="shared" si="28"/>
        <v>15</v>
      </c>
      <c r="CG17" s="77">
        <f t="shared" si="29"/>
        <v>0</v>
      </c>
      <c r="CH17" s="78">
        <f t="shared" si="30"/>
        <v>0.24199999999999999</v>
      </c>
      <c r="CI17" s="78">
        <f t="shared" si="31"/>
        <v>0.18099999999999999</v>
      </c>
      <c r="CJ17" s="78">
        <f t="shared" si="32"/>
        <v>0.30299999999999999</v>
      </c>
      <c r="CK17" s="78">
        <f t="shared" si="33"/>
        <v>0.30299999999999999</v>
      </c>
      <c r="CL17" s="79">
        <f t="shared" si="34"/>
        <v>0</v>
      </c>
      <c r="CM17" s="78"/>
      <c r="CN17" s="52">
        <f t="shared" si="18"/>
        <v>15</v>
      </c>
      <c r="CO17" s="12">
        <f t="shared" si="54"/>
        <v>0</v>
      </c>
      <c r="CP17" s="13">
        <f t="shared" si="55"/>
        <v>0</v>
      </c>
      <c r="CQ17" s="13">
        <f t="shared" si="56"/>
        <v>0</v>
      </c>
      <c r="CR17" s="13">
        <f t="shared" si="57"/>
        <v>0</v>
      </c>
      <c r="CS17" s="13">
        <f t="shared" si="58"/>
        <v>0</v>
      </c>
      <c r="CT17" s="14">
        <f t="shared" si="59"/>
        <v>0</v>
      </c>
      <c r="CW17" s="52">
        <f t="shared" si="19"/>
        <v>15</v>
      </c>
      <c r="CX17" s="65">
        <f>Main!E44</f>
        <v>0</v>
      </c>
      <c r="CY17" s="66" t="e">
        <f>IF(AND(UseCustomStats,Main!Y44&lt;&gt;""),Main!Y44,_xlfn.CEILING.MATH((S17+($CX17-1)*AA17)*K17*AY17/100))</f>
        <v>#N/A</v>
      </c>
      <c r="CZ17" s="66" t="e">
        <f>IF(AND(UseCustomStats,Main!Z44&lt;&gt;""),Main!Z44,_xlfn.CEILING.MATH(T17*L17*AZ17/100)+_xlfn.CEILING.MATH((AR17+($CX17-1)*AJ17)*L17*AZ17*$BE17/100/100))</f>
        <v>#N/A</v>
      </c>
      <c r="DA17" s="66" t="e">
        <f>IF(AND(UseCustomStats,Main!AA44&lt;&gt;""),Main!AA44,_xlfn.CEILING.MATH(U17*M17*BA17/100)+_xlfn.CEILING.MATH((AS17+($CX17-1)*AK17)*M17*BA17*$BE17/100/100))</f>
        <v>#N/A</v>
      </c>
      <c r="DB17" s="66" t="e">
        <f>IF(AND(UseCustomStats,Main!AB44&lt;&gt;""),Main!AB44,_xlfn.CEILING.MATH(V17*N17*BB17/100)+_xlfn.CEILING.MATH((AT17+($CX17-1)*AL17)*N17*BB17*$BE17/100/100))</f>
        <v>#N/A</v>
      </c>
      <c r="DC17" s="66" t="e">
        <f>IF(AND(UseCustomStats,Main!AC44&lt;&gt;""),Main!AC44,_xlfn.CEILING.MATH(W17*O17*BC17/100)+_xlfn.CEILING.MATH((AU17+($CX17-1)*AM17)*O17*BC17*$BE17/100/100))</f>
        <v>#N/A</v>
      </c>
      <c r="DD17" s="67" t="e">
        <f t="shared" si="74"/>
        <v>#N/A</v>
      </c>
      <c r="DF17" s="52">
        <f t="shared" si="20"/>
        <v>15</v>
      </c>
      <c r="DG17" s="65">
        <v>1</v>
      </c>
      <c r="DH17" s="66" t="e">
        <f t="shared" si="60"/>
        <v>#N/A</v>
      </c>
      <c r="DI17" s="66" t="e">
        <f t="shared" si="61"/>
        <v>#N/A</v>
      </c>
      <c r="DJ17" s="66" t="e">
        <f t="shared" si="62"/>
        <v>#N/A</v>
      </c>
      <c r="DK17" s="66" t="e">
        <f t="shared" si="63"/>
        <v>#N/A</v>
      </c>
      <c r="DL17" s="66" t="e">
        <f t="shared" si="64"/>
        <v>#N/A</v>
      </c>
      <c r="DM17" s="67" t="e">
        <f t="shared" si="65"/>
        <v>#N/A</v>
      </c>
      <c r="DO17" s="52">
        <f t="shared" si="21"/>
        <v>15</v>
      </c>
      <c r="DP17" s="28"/>
      <c r="DQ17" s="29"/>
      <c r="DR17" s="66" t="e">
        <f t="shared" si="66"/>
        <v>#N/A</v>
      </c>
      <c r="DS17" s="66" t="e">
        <f t="shared" si="67"/>
        <v>#N/A</v>
      </c>
      <c r="DT17" s="66" t="e">
        <f t="shared" si="68"/>
        <v>#N/A</v>
      </c>
      <c r="DU17" s="66" t="e">
        <f t="shared" si="69"/>
        <v>#N/A</v>
      </c>
      <c r="DV17" s="33"/>
    </row>
    <row r="18" spans="1:126" x14ac:dyDescent="0.3">
      <c r="A18" s="51" t="s">
        <v>274</v>
      </c>
      <c r="B18" s="51" t="s">
        <v>9</v>
      </c>
      <c r="C18" s="54" t="s">
        <v>10</v>
      </c>
      <c r="D18" s="54" t="s">
        <v>11</v>
      </c>
      <c r="E18" s="54" t="s">
        <v>12</v>
      </c>
      <c r="F18" s="54" t="s">
        <v>13</v>
      </c>
      <c r="G18" s="55" t="s">
        <v>14</v>
      </c>
      <c r="J18" s="52">
        <f t="shared" si="8"/>
        <v>16</v>
      </c>
      <c r="K18" s="62" t="e">
        <f>INDEX($B$3:$G$8,MATCH(Main!$C45,$A$3:$A$8,0),MATCH(K$2,$B$2:$G$2,0))</f>
        <v>#N/A</v>
      </c>
      <c r="L18" s="63" t="e">
        <f>INDEX($B$3:$G$8,MATCH(Main!$C45,$A$3:$A$8,0),MATCH(L$2,$B$2:$G$2,0))</f>
        <v>#N/A</v>
      </c>
      <c r="M18" s="63" t="e">
        <f>INDEX($B$3:$G$8,MATCH(Main!$C45,$A$3:$A$8,0),MATCH(M$2,$B$2:$G$2,0))</f>
        <v>#N/A</v>
      </c>
      <c r="N18" s="63" t="e">
        <f>INDEX($B$3:$G$8,MATCH(Main!$C45,$A$3:$A$8,0),MATCH(N$2,$B$2:$G$2,0))</f>
        <v>#N/A</v>
      </c>
      <c r="O18" s="63" t="e">
        <f>INDEX($B$3:$G$8,MATCH(Main!$C45,$A$3:$A$8,0),MATCH(O$2,$B$2:$G$2,0))</f>
        <v>#N/A</v>
      </c>
      <c r="P18" s="64" t="e">
        <f>INDEX($B$3:$G$8,MATCH(Main!$C45,$A$3:$A$8,0),MATCH(P$2,$B$2:$G$2,0))</f>
        <v>#N/A</v>
      </c>
      <c r="Q18" s="78"/>
      <c r="R18" s="52">
        <f t="shared" si="70"/>
        <v>16</v>
      </c>
      <c r="S18" s="77">
        <f>IF(Main!$I45&gt;0,B$11,B$19)</f>
        <v>55</v>
      </c>
      <c r="T18" s="78">
        <f>IF(Main!$I45&gt;0,C$11,C$19)</f>
        <v>16</v>
      </c>
      <c r="U18" s="78">
        <f>IF(Main!$I45&gt;0,D$11,D$19)</f>
        <v>45</v>
      </c>
      <c r="V18" s="78">
        <f>IF(Main!$I45&gt;0,E$11,E$19)</f>
        <v>5</v>
      </c>
      <c r="W18" s="78">
        <f>IF(Main!$I45&gt;0,F$11,F$19)</f>
        <v>5</v>
      </c>
      <c r="X18" s="79">
        <f>IF(Main!$I45&gt;0,G$11,G$19)</f>
        <v>2</v>
      </c>
      <c r="Z18" s="52">
        <f t="shared" si="71"/>
        <v>16</v>
      </c>
      <c r="AA18" s="77">
        <f>IF(Main!$I45&gt;0,B$12,B$20)</f>
        <v>0.55500000000000005</v>
      </c>
      <c r="AB18" s="78">
        <f>IF(Main!$I45&gt;0,C$12,C$20)</f>
        <v>16</v>
      </c>
      <c r="AC18" s="78">
        <f>IF(Main!$I45&gt;0,D$12,D$20)</f>
        <v>45</v>
      </c>
      <c r="AD18" s="78">
        <f>IF(Main!$I45&gt;0,E$12,E$20)</f>
        <v>5</v>
      </c>
      <c r="AE18" s="78">
        <f>IF(Main!$I45&gt;0,F$12,F$20)</f>
        <v>5</v>
      </c>
      <c r="AF18" s="79">
        <f>IF(Main!$I45&gt;0,G$12,G$20)</f>
        <v>0.161</v>
      </c>
      <c r="AG18" s="78"/>
      <c r="AH18" s="52">
        <f t="shared" si="72"/>
        <v>16</v>
      </c>
      <c r="AI18" s="77">
        <f>IF(Main!$I45&gt;0,B$15,B$23)</f>
        <v>0</v>
      </c>
      <c r="AJ18" s="78">
        <f>IF(Main!$I45&gt;0,C$15,C$23)</f>
        <v>0.24199999999999999</v>
      </c>
      <c r="AK18" s="78">
        <f>IF(Main!$I45&gt;0,D$15,D$23)</f>
        <v>0.18099999999999999</v>
      </c>
      <c r="AL18" s="78">
        <f>IF(Main!$I45&gt;0,E$15,E$23)</f>
        <v>0.30299999999999999</v>
      </c>
      <c r="AM18" s="78">
        <f>IF(Main!$I45&gt;0,F$15,F$23)</f>
        <v>0.30299999999999999</v>
      </c>
      <c r="AN18" s="79">
        <f>IF(Main!$I45&gt;0,G$15,G$23)</f>
        <v>0</v>
      </c>
      <c r="AO18" s="78"/>
      <c r="AP18" s="52">
        <f t="shared" si="73"/>
        <v>16</v>
      </c>
      <c r="AQ18" s="12">
        <f>IF(Main!$I45&gt;0,B$16,B$24)</f>
        <v>0</v>
      </c>
      <c r="AR18" s="13">
        <f>IF(Main!$I45&gt;0,C$16,C$24)</f>
        <v>0</v>
      </c>
      <c r="AS18" s="13">
        <f>IF(Main!$I45&gt;0,D$16,D$24)</f>
        <v>0</v>
      </c>
      <c r="AT18" s="13">
        <f>IF(Main!$I45&gt;0,E$16,E$24)</f>
        <v>0</v>
      </c>
      <c r="AU18" s="13">
        <f>IF(Main!$I45&gt;0,F$16,F$24)</f>
        <v>0</v>
      </c>
      <c r="AV18" s="14">
        <f>IF(Main!$I45&gt;0,G$16,G$24)</f>
        <v>0</v>
      </c>
      <c r="AW18" s="78"/>
      <c r="AX18" s="52">
        <f t="shared" si="13"/>
        <v>16</v>
      </c>
      <c r="AY18" s="20" t="e">
        <f>INDEX('Doll Data'!$U$2:$AE$1048576,MATCH(Main!$D45,'Doll Data'!$C$2:$C$1048576,0),MATCH(AY$2,'Doll Data'!$U$1:$AE$1,0))</f>
        <v>#N/A</v>
      </c>
      <c r="AZ18" s="16" t="e">
        <f>INDEX('Doll Data'!$U$2:$AE$1048576,MATCH(Main!$D45,'Doll Data'!$C$2:$C$1048576,0),MATCH(AZ$2,'Doll Data'!$U$1:$AE$1,0))</f>
        <v>#N/A</v>
      </c>
      <c r="BA18" s="16" t="e">
        <f>INDEX('Doll Data'!$U$2:$AE$1048576,MATCH(Main!$D45,'Doll Data'!$C$2:$C$1048576,0),MATCH(BA$2,'Doll Data'!$U$1:$AE$1,0))</f>
        <v>#N/A</v>
      </c>
      <c r="BB18" s="16" t="e">
        <f>INDEX('Doll Data'!$U$2:$AE$1048576,MATCH(Main!$D45,'Doll Data'!$C$2:$C$1048576,0),MATCH(BB$2,'Doll Data'!$U$1:$AE$1,0))</f>
        <v>#N/A</v>
      </c>
      <c r="BC18" s="16" t="e">
        <f>INDEX('Doll Data'!$U$2:$AE$1048576,MATCH(Main!$D45,'Doll Data'!$C$2:$C$1048576,0),MATCH(BC$2,'Doll Data'!$U$1:$AE$1,0))</f>
        <v>#N/A</v>
      </c>
      <c r="BD18" s="16" t="e">
        <f>INDEX('Doll Data'!$U$2:$AE$1048576,MATCH(Main!$D45,'Doll Data'!$C$2:$C$1048576,0),MATCH(BD$2,'Doll Data'!$U$1:$AE$1,0))</f>
        <v>#N/A</v>
      </c>
      <c r="BE18" s="21" t="e">
        <f>INDEX('Doll Data'!$U$2:$AE$1048576,MATCH(Main!$D45,'Doll Data'!$C$2:$C$1048576,0),MATCH(BE$2,'Doll Data'!$U$1:$AE$1,0))</f>
        <v>#N/A</v>
      </c>
      <c r="BH18" s="52">
        <f t="shared" si="41"/>
        <v>16</v>
      </c>
      <c r="BI18" s="62" t="e">
        <f t="shared" si="42"/>
        <v>#N/A</v>
      </c>
      <c r="BJ18" s="63" t="e">
        <f t="shared" si="43"/>
        <v>#N/A</v>
      </c>
      <c r="BK18" s="63" t="e">
        <f t="shared" si="44"/>
        <v>#N/A</v>
      </c>
      <c r="BL18" s="63" t="e">
        <f t="shared" si="45"/>
        <v>#N/A</v>
      </c>
      <c r="BM18" s="63" t="e">
        <f t="shared" si="46"/>
        <v>#N/A</v>
      </c>
      <c r="BN18" s="64" t="e">
        <f t="shared" si="47"/>
        <v>#N/A</v>
      </c>
      <c r="BO18" s="78"/>
      <c r="BP18" s="52">
        <f t="shared" si="15"/>
        <v>16</v>
      </c>
      <c r="BQ18" s="77">
        <f t="shared" si="22"/>
        <v>55</v>
      </c>
      <c r="BR18" s="78">
        <f t="shared" si="23"/>
        <v>16</v>
      </c>
      <c r="BS18" s="78">
        <f t="shared" si="24"/>
        <v>45</v>
      </c>
      <c r="BT18" s="78">
        <f t="shared" si="25"/>
        <v>5</v>
      </c>
      <c r="BU18" s="78">
        <f t="shared" si="26"/>
        <v>5</v>
      </c>
      <c r="BV18" s="79">
        <f t="shared" si="27"/>
        <v>2</v>
      </c>
      <c r="BW18" s="78"/>
      <c r="BX18" s="52">
        <f t="shared" si="16"/>
        <v>16</v>
      </c>
      <c r="BY18" s="77">
        <f t="shared" si="48"/>
        <v>0.55500000000000005</v>
      </c>
      <c r="BZ18" s="78">
        <f t="shared" si="49"/>
        <v>16</v>
      </c>
      <c r="CA18" s="78">
        <f t="shared" si="50"/>
        <v>45</v>
      </c>
      <c r="CB18" s="78">
        <f t="shared" si="51"/>
        <v>5</v>
      </c>
      <c r="CC18" s="78">
        <f t="shared" si="52"/>
        <v>5</v>
      </c>
      <c r="CD18" s="79">
        <f t="shared" si="53"/>
        <v>0.161</v>
      </c>
      <c r="CE18" s="78"/>
      <c r="CF18" s="52">
        <f t="shared" si="28"/>
        <v>16</v>
      </c>
      <c r="CG18" s="77">
        <f t="shared" si="29"/>
        <v>0</v>
      </c>
      <c r="CH18" s="78">
        <f t="shared" si="30"/>
        <v>0.24199999999999999</v>
      </c>
      <c r="CI18" s="78">
        <f t="shared" si="31"/>
        <v>0.18099999999999999</v>
      </c>
      <c r="CJ18" s="78">
        <f t="shared" si="32"/>
        <v>0.30299999999999999</v>
      </c>
      <c r="CK18" s="78">
        <f t="shared" si="33"/>
        <v>0.30299999999999999</v>
      </c>
      <c r="CL18" s="79">
        <f t="shared" si="34"/>
        <v>0</v>
      </c>
      <c r="CM18" s="78"/>
      <c r="CN18" s="52">
        <f t="shared" si="18"/>
        <v>16</v>
      </c>
      <c r="CO18" s="12">
        <f t="shared" si="54"/>
        <v>0</v>
      </c>
      <c r="CP18" s="13">
        <f t="shared" si="55"/>
        <v>0</v>
      </c>
      <c r="CQ18" s="13">
        <f t="shared" si="56"/>
        <v>0</v>
      </c>
      <c r="CR18" s="13">
        <f t="shared" si="57"/>
        <v>0</v>
      </c>
      <c r="CS18" s="13">
        <f t="shared" si="58"/>
        <v>0</v>
      </c>
      <c r="CT18" s="14">
        <f t="shared" si="59"/>
        <v>0</v>
      </c>
      <c r="CW18" s="52">
        <f t="shared" si="19"/>
        <v>16</v>
      </c>
      <c r="CX18" s="65">
        <f>Main!E45</f>
        <v>0</v>
      </c>
      <c r="CY18" s="66" t="e">
        <f>IF(AND(UseCustomStats,Main!Y45&lt;&gt;""),Main!Y45,_xlfn.CEILING.MATH((S18+($CX18-1)*AA18)*K18*AY18/100))</f>
        <v>#N/A</v>
      </c>
      <c r="CZ18" s="66" t="e">
        <f>IF(AND(UseCustomStats,Main!Z45&lt;&gt;""),Main!Z45,_xlfn.CEILING.MATH(T18*L18*AZ18/100)+_xlfn.CEILING.MATH((AR18+($CX18-1)*AJ18)*L18*AZ18*$BE18/100/100))</f>
        <v>#N/A</v>
      </c>
      <c r="DA18" s="66" t="e">
        <f>IF(AND(UseCustomStats,Main!AA45&lt;&gt;""),Main!AA45,_xlfn.CEILING.MATH(U18*M18*BA18/100)+_xlfn.CEILING.MATH((AS18+($CX18-1)*AK18)*M18*BA18*$BE18/100/100))</f>
        <v>#N/A</v>
      </c>
      <c r="DB18" s="66" t="e">
        <f>IF(AND(UseCustomStats,Main!AB45&lt;&gt;""),Main!AB45,_xlfn.CEILING.MATH(V18*N18*BB18/100)+_xlfn.CEILING.MATH((AT18+($CX18-1)*AL18)*N18*BB18*$BE18/100/100))</f>
        <v>#N/A</v>
      </c>
      <c r="DC18" s="66" t="e">
        <f>IF(AND(UseCustomStats,Main!AC45&lt;&gt;""),Main!AC45,_xlfn.CEILING.MATH(W18*O18*BC18/100)+_xlfn.CEILING.MATH((AU18+($CX18-1)*AM18)*O18*BC18*$BE18/100/100))</f>
        <v>#N/A</v>
      </c>
      <c r="DD18" s="67" t="e">
        <f t="shared" si="74"/>
        <v>#N/A</v>
      </c>
      <c r="DF18" s="52">
        <f t="shared" si="20"/>
        <v>16</v>
      </c>
      <c r="DG18" s="65">
        <v>1</v>
      </c>
      <c r="DH18" s="66" t="e">
        <f t="shared" si="60"/>
        <v>#N/A</v>
      </c>
      <c r="DI18" s="66" t="e">
        <f t="shared" si="61"/>
        <v>#N/A</v>
      </c>
      <c r="DJ18" s="66" t="e">
        <f t="shared" si="62"/>
        <v>#N/A</v>
      </c>
      <c r="DK18" s="66" t="e">
        <f t="shared" si="63"/>
        <v>#N/A</v>
      </c>
      <c r="DL18" s="66" t="e">
        <f t="shared" si="64"/>
        <v>#N/A</v>
      </c>
      <c r="DM18" s="67" t="e">
        <f t="shared" si="65"/>
        <v>#N/A</v>
      </c>
      <c r="DO18" s="52">
        <f t="shared" si="21"/>
        <v>16</v>
      </c>
      <c r="DP18" s="28"/>
      <c r="DQ18" s="29"/>
      <c r="DR18" s="66" t="e">
        <f t="shared" si="66"/>
        <v>#N/A</v>
      </c>
      <c r="DS18" s="66" t="e">
        <f t="shared" si="67"/>
        <v>#N/A</v>
      </c>
      <c r="DT18" s="66" t="e">
        <f t="shared" si="68"/>
        <v>#N/A</v>
      </c>
      <c r="DU18" s="66" t="e">
        <f t="shared" si="69"/>
        <v>#N/A</v>
      </c>
      <c r="DV18" s="33"/>
    </row>
    <row r="19" spans="1:126" x14ac:dyDescent="0.3">
      <c r="A19" s="51">
        <v>1</v>
      </c>
      <c r="B19" s="109">
        <v>55</v>
      </c>
      <c r="C19" s="110">
        <v>16</v>
      </c>
      <c r="D19" s="110">
        <v>45</v>
      </c>
      <c r="E19" s="110">
        <v>5</v>
      </c>
      <c r="F19" s="110">
        <v>5</v>
      </c>
      <c r="G19" s="111">
        <v>2</v>
      </c>
      <c r="J19" s="52">
        <f t="shared" si="8"/>
        <v>17</v>
      </c>
      <c r="K19" s="62" t="e">
        <f>INDEX($B$3:$G$8,MATCH(Main!$C46,$A$3:$A$8,0),MATCH(K$2,$B$2:$G$2,0))</f>
        <v>#N/A</v>
      </c>
      <c r="L19" s="63" t="e">
        <f>INDEX($B$3:$G$8,MATCH(Main!$C46,$A$3:$A$8,0),MATCH(L$2,$B$2:$G$2,0))</f>
        <v>#N/A</v>
      </c>
      <c r="M19" s="63" t="e">
        <f>INDEX($B$3:$G$8,MATCH(Main!$C46,$A$3:$A$8,0),MATCH(M$2,$B$2:$G$2,0))</f>
        <v>#N/A</v>
      </c>
      <c r="N19" s="63" t="e">
        <f>INDEX($B$3:$G$8,MATCH(Main!$C46,$A$3:$A$8,0),MATCH(N$2,$B$2:$G$2,0))</f>
        <v>#N/A</v>
      </c>
      <c r="O19" s="63" t="e">
        <f>INDEX($B$3:$G$8,MATCH(Main!$C46,$A$3:$A$8,0),MATCH(O$2,$B$2:$G$2,0))</f>
        <v>#N/A</v>
      </c>
      <c r="P19" s="64" t="e">
        <f>INDEX($B$3:$G$8,MATCH(Main!$C46,$A$3:$A$8,0),MATCH(P$2,$B$2:$G$2,0))</f>
        <v>#N/A</v>
      </c>
      <c r="Q19" s="78"/>
      <c r="R19" s="52">
        <f t="shared" si="70"/>
        <v>17</v>
      </c>
      <c r="S19" s="77">
        <f>IF(Main!$I46&gt;0,B$11,B$19)</f>
        <v>55</v>
      </c>
      <c r="T19" s="78">
        <f>IF(Main!$I46&gt;0,C$11,C$19)</f>
        <v>16</v>
      </c>
      <c r="U19" s="78">
        <f>IF(Main!$I46&gt;0,D$11,D$19)</f>
        <v>45</v>
      </c>
      <c r="V19" s="78">
        <f>IF(Main!$I46&gt;0,E$11,E$19)</f>
        <v>5</v>
      </c>
      <c r="W19" s="78">
        <f>IF(Main!$I46&gt;0,F$11,F$19)</f>
        <v>5</v>
      </c>
      <c r="X19" s="79">
        <f>IF(Main!$I46&gt;0,G$11,G$19)</f>
        <v>2</v>
      </c>
      <c r="Z19" s="52">
        <f t="shared" si="71"/>
        <v>17</v>
      </c>
      <c r="AA19" s="77">
        <f>IF(Main!$I46&gt;0,B$12,B$20)</f>
        <v>0.55500000000000005</v>
      </c>
      <c r="AB19" s="78">
        <f>IF(Main!$I46&gt;0,C$12,C$20)</f>
        <v>16</v>
      </c>
      <c r="AC19" s="78">
        <f>IF(Main!$I46&gt;0,D$12,D$20)</f>
        <v>45</v>
      </c>
      <c r="AD19" s="78">
        <f>IF(Main!$I46&gt;0,E$12,E$20)</f>
        <v>5</v>
      </c>
      <c r="AE19" s="78">
        <f>IF(Main!$I46&gt;0,F$12,F$20)</f>
        <v>5</v>
      </c>
      <c r="AF19" s="79">
        <f>IF(Main!$I46&gt;0,G$12,G$20)</f>
        <v>0.161</v>
      </c>
      <c r="AG19" s="78"/>
      <c r="AH19" s="52">
        <f t="shared" si="72"/>
        <v>17</v>
      </c>
      <c r="AI19" s="77">
        <f>IF(Main!$I46&gt;0,B$15,B$23)</f>
        <v>0</v>
      </c>
      <c r="AJ19" s="78">
        <f>IF(Main!$I46&gt;0,C$15,C$23)</f>
        <v>0.24199999999999999</v>
      </c>
      <c r="AK19" s="78">
        <f>IF(Main!$I46&gt;0,D$15,D$23)</f>
        <v>0.18099999999999999</v>
      </c>
      <c r="AL19" s="78">
        <f>IF(Main!$I46&gt;0,E$15,E$23)</f>
        <v>0.30299999999999999</v>
      </c>
      <c r="AM19" s="78">
        <f>IF(Main!$I46&gt;0,F$15,F$23)</f>
        <v>0.30299999999999999</v>
      </c>
      <c r="AN19" s="79">
        <f>IF(Main!$I46&gt;0,G$15,G$23)</f>
        <v>0</v>
      </c>
      <c r="AO19" s="78"/>
      <c r="AP19" s="52">
        <f t="shared" si="73"/>
        <v>17</v>
      </c>
      <c r="AQ19" s="12">
        <f>IF(Main!$I46&gt;0,B$16,B$24)</f>
        <v>0</v>
      </c>
      <c r="AR19" s="13">
        <f>IF(Main!$I46&gt;0,C$16,C$24)</f>
        <v>0</v>
      </c>
      <c r="AS19" s="13">
        <f>IF(Main!$I46&gt;0,D$16,D$24)</f>
        <v>0</v>
      </c>
      <c r="AT19" s="13">
        <f>IF(Main!$I46&gt;0,E$16,E$24)</f>
        <v>0</v>
      </c>
      <c r="AU19" s="13">
        <f>IF(Main!$I46&gt;0,F$16,F$24)</f>
        <v>0</v>
      </c>
      <c r="AV19" s="14">
        <f>IF(Main!$I46&gt;0,G$16,G$24)</f>
        <v>0</v>
      </c>
      <c r="AW19" s="78"/>
      <c r="AX19" s="52">
        <f t="shared" si="13"/>
        <v>17</v>
      </c>
      <c r="AY19" s="20" t="e">
        <f>INDEX('Doll Data'!$U$2:$AE$1048576,MATCH(Main!$D46,'Doll Data'!$C$2:$C$1048576,0),MATCH(AY$2,'Doll Data'!$U$1:$AE$1,0))</f>
        <v>#N/A</v>
      </c>
      <c r="AZ19" s="16" t="e">
        <f>INDEX('Doll Data'!$U$2:$AE$1048576,MATCH(Main!$D46,'Doll Data'!$C$2:$C$1048576,0),MATCH(AZ$2,'Doll Data'!$U$1:$AE$1,0))</f>
        <v>#N/A</v>
      </c>
      <c r="BA19" s="16" t="e">
        <f>INDEX('Doll Data'!$U$2:$AE$1048576,MATCH(Main!$D46,'Doll Data'!$C$2:$C$1048576,0),MATCH(BA$2,'Doll Data'!$U$1:$AE$1,0))</f>
        <v>#N/A</v>
      </c>
      <c r="BB19" s="16" t="e">
        <f>INDEX('Doll Data'!$U$2:$AE$1048576,MATCH(Main!$D46,'Doll Data'!$C$2:$C$1048576,0),MATCH(BB$2,'Doll Data'!$U$1:$AE$1,0))</f>
        <v>#N/A</v>
      </c>
      <c r="BC19" s="16" t="e">
        <f>INDEX('Doll Data'!$U$2:$AE$1048576,MATCH(Main!$D46,'Doll Data'!$C$2:$C$1048576,0),MATCH(BC$2,'Doll Data'!$U$1:$AE$1,0))</f>
        <v>#N/A</v>
      </c>
      <c r="BD19" s="16" t="e">
        <f>INDEX('Doll Data'!$U$2:$AE$1048576,MATCH(Main!$D46,'Doll Data'!$C$2:$C$1048576,0),MATCH(BD$2,'Doll Data'!$U$1:$AE$1,0))</f>
        <v>#N/A</v>
      </c>
      <c r="BE19" s="21" t="e">
        <f>INDEX('Doll Data'!$U$2:$AE$1048576,MATCH(Main!$D46,'Doll Data'!$C$2:$C$1048576,0),MATCH(BE$2,'Doll Data'!$U$1:$AE$1,0))</f>
        <v>#N/A</v>
      </c>
      <c r="BH19" s="52">
        <f t="shared" si="41"/>
        <v>17</v>
      </c>
      <c r="BI19" s="62" t="e">
        <f t="shared" si="42"/>
        <v>#N/A</v>
      </c>
      <c r="BJ19" s="63" t="e">
        <f t="shared" si="43"/>
        <v>#N/A</v>
      </c>
      <c r="BK19" s="63" t="e">
        <f t="shared" si="44"/>
        <v>#N/A</v>
      </c>
      <c r="BL19" s="63" t="e">
        <f t="shared" si="45"/>
        <v>#N/A</v>
      </c>
      <c r="BM19" s="63" t="e">
        <f t="shared" si="46"/>
        <v>#N/A</v>
      </c>
      <c r="BN19" s="64" t="e">
        <f t="shared" si="47"/>
        <v>#N/A</v>
      </c>
      <c r="BO19" s="78"/>
      <c r="BP19" s="52">
        <f t="shared" si="15"/>
        <v>17</v>
      </c>
      <c r="BQ19" s="77">
        <f t="shared" si="22"/>
        <v>55</v>
      </c>
      <c r="BR19" s="78">
        <f t="shared" si="23"/>
        <v>16</v>
      </c>
      <c r="BS19" s="78">
        <f t="shared" si="24"/>
        <v>45</v>
      </c>
      <c r="BT19" s="78">
        <f t="shared" si="25"/>
        <v>5</v>
      </c>
      <c r="BU19" s="78">
        <f t="shared" si="26"/>
        <v>5</v>
      </c>
      <c r="BV19" s="79">
        <f t="shared" si="27"/>
        <v>2</v>
      </c>
      <c r="BW19" s="78"/>
      <c r="BX19" s="52">
        <f t="shared" si="16"/>
        <v>17</v>
      </c>
      <c r="BY19" s="77">
        <f t="shared" si="48"/>
        <v>0.55500000000000005</v>
      </c>
      <c r="BZ19" s="78">
        <f t="shared" si="49"/>
        <v>16</v>
      </c>
      <c r="CA19" s="78">
        <f t="shared" si="50"/>
        <v>45</v>
      </c>
      <c r="CB19" s="78">
        <f t="shared" si="51"/>
        <v>5</v>
      </c>
      <c r="CC19" s="78">
        <f t="shared" si="52"/>
        <v>5</v>
      </c>
      <c r="CD19" s="79">
        <f t="shared" si="53"/>
        <v>0.161</v>
      </c>
      <c r="CE19" s="78"/>
      <c r="CF19" s="52">
        <f t="shared" si="28"/>
        <v>17</v>
      </c>
      <c r="CG19" s="77">
        <f t="shared" si="29"/>
        <v>0</v>
      </c>
      <c r="CH19" s="78">
        <f t="shared" si="30"/>
        <v>0.24199999999999999</v>
      </c>
      <c r="CI19" s="78">
        <f t="shared" si="31"/>
        <v>0.18099999999999999</v>
      </c>
      <c r="CJ19" s="78">
        <f t="shared" si="32"/>
        <v>0.30299999999999999</v>
      </c>
      <c r="CK19" s="78">
        <f t="shared" si="33"/>
        <v>0.30299999999999999</v>
      </c>
      <c r="CL19" s="79">
        <f t="shared" si="34"/>
        <v>0</v>
      </c>
      <c r="CM19" s="78"/>
      <c r="CN19" s="52">
        <f t="shared" si="18"/>
        <v>17</v>
      </c>
      <c r="CO19" s="12">
        <f t="shared" si="54"/>
        <v>0</v>
      </c>
      <c r="CP19" s="13">
        <f t="shared" si="55"/>
        <v>0</v>
      </c>
      <c r="CQ19" s="13">
        <f t="shared" si="56"/>
        <v>0</v>
      </c>
      <c r="CR19" s="13">
        <f t="shared" si="57"/>
        <v>0</v>
      </c>
      <c r="CS19" s="13">
        <f t="shared" si="58"/>
        <v>0</v>
      </c>
      <c r="CT19" s="14">
        <f t="shared" si="59"/>
        <v>0</v>
      </c>
      <c r="CW19" s="52">
        <f t="shared" si="19"/>
        <v>17</v>
      </c>
      <c r="CX19" s="65">
        <f>Main!E46</f>
        <v>0</v>
      </c>
      <c r="CY19" s="66" t="e">
        <f>IF(AND(UseCustomStats,Main!Y46&lt;&gt;""),Main!Y46,_xlfn.CEILING.MATH((S19+($CX19-1)*AA19)*K19*AY19/100))</f>
        <v>#N/A</v>
      </c>
      <c r="CZ19" s="66" t="e">
        <f>IF(AND(UseCustomStats,Main!Z46&lt;&gt;""),Main!Z46,_xlfn.CEILING.MATH(T19*L19*AZ19/100)+_xlfn.CEILING.MATH((AR19+($CX19-1)*AJ19)*L19*AZ19*$BE19/100/100))</f>
        <v>#N/A</v>
      </c>
      <c r="DA19" s="66" t="e">
        <f>IF(AND(UseCustomStats,Main!AA46&lt;&gt;""),Main!AA46,_xlfn.CEILING.MATH(U19*M19*BA19/100)+_xlfn.CEILING.MATH((AS19+($CX19-1)*AK19)*M19*BA19*$BE19/100/100))</f>
        <v>#N/A</v>
      </c>
      <c r="DB19" s="66" t="e">
        <f>IF(AND(UseCustomStats,Main!AB46&lt;&gt;""),Main!AB46,_xlfn.CEILING.MATH(V19*N19*BB19/100)+_xlfn.CEILING.MATH((AT19+($CX19-1)*AL19)*N19*BB19*$BE19/100/100))</f>
        <v>#N/A</v>
      </c>
      <c r="DC19" s="66" t="e">
        <f>IF(AND(UseCustomStats,Main!AC46&lt;&gt;""),Main!AC46,_xlfn.CEILING.MATH(W19*O19*BC19/100)+_xlfn.CEILING.MATH((AU19+($CX19-1)*AM19)*O19*BC19*$BE19/100/100))</f>
        <v>#N/A</v>
      </c>
      <c r="DD19" s="67" t="e">
        <f t="shared" si="74"/>
        <v>#N/A</v>
      </c>
      <c r="DF19" s="52">
        <f t="shared" si="20"/>
        <v>17</v>
      </c>
      <c r="DG19" s="65">
        <v>1</v>
      </c>
      <c r="DH19" s="66" t="e">
        <f t="shared" si="60"/>
        <v>#N/A</v>
      </c>
      <c r="DI19" s="66" t="e">
        <f t="shared" si="61"/>
        <v>#N/A</v>
      </c>
      <c r="DJ19" s="66" t="e">
        <f t="shared" si="62"/>
        <v>#N/A</v>
      </c>
      <c r="DK19" s="66" t="e">
        <f t="shared" si="63"/>
        <v>#N/A</v>
      </c>
      <c r="DL19" s="66" t="e">
        <f t="shared" si="64"/>
        <v>#N/A</v>
      </c>
      <c r="DM19" s="67" t="e">
        <f t="shared" si="65"/>
        <v>#N/A</v>
      </c>
      <c r="DO19" s="52">
        <f t="shared" si="21"/>
        <v>17</v>
      </c>
      <c r="DP19" s="28"/>
      <c r="DQ19" s="29"/>
      <c r="DR19" s="66" t="e">
        <f t="shared" si="66"/>
        <v>#N/A</v>
      </c>
      <c r="DS19" s="66" t="e">
        <f t="shared" si="67"/>
        <v>#N/A</v>
      </c>
      <c r="DT19" s="66" t="e">
        <f t="shared" si="68"/>
        <v>#N/A</v>
      </c>
      <c r="DU19" s="66" t="e">
        <f t="shared" si="69"/>
        <v>#N/A</v>
      </c>
      <c r="DV19" s="33"/>
    </row>
    <row r="20" spans="1:126" x14ac:dyDescent="0.3">
      <c r="A20" s="53">
        <v>2</v>
      </c>
      <c r="B20" s="112">
        <v>0.55500000000000005</v>
      </c>
      <c r="C20" s="113">
        <v>16</v>
      </c>
      <c r="D20" s="113">
        <v>45</v>
      </c>
      <c r="E20" s="113">
        <v>5</v>
      </c>
      <c r="F20" s="113">
        <v>5</v>
      </c>
      <c r="G20" s="114">
        <v>0.161</v>
      </c>
      <c r="J20" s="52">
        <f t="shared" si="8"/>
        <v>18</v>
      </c>
      <c r="K20" s="62" t="e">
        <f>INDEX($B$3:$G$8,MATCH(Main!$C47,$A$3:$A$8,0),MATCH(K$2,$B$2:$G$2,0))</f>
        <v>#N/A</v>
      </c>
      <c r="L20" s="63" t="e">
        <f>INDEX($B$3:$G$8,MATCH(Main!$C47,$A$3:$A$8,0),MATCH(L$2,$B$2:$G$2,0))</f>
        <v>#N/A</v>
      </c>
      <c r="M20" s="63" t="e">
        <f>INDEX($B$3:$G$8,MATCH(Main!$C47,$A$3:$A$8,0),MATCH(M$2,$B$2:$G$2,0))</f>
        <v>#N/A</v>
      </c>
      <c r="N20" s="63" t="e">
        <f>INDEX($B$3:$G$8,MATCH(Main!$C47,$A$3:$A$8,0),MATCH(N$2,$B$2:$G$2,0))</f>
        <v>#N/A</v>
      </c>
      <c r="O20" s="63" t="e">
        <f>INDEX($B$3:$G$8,MATCH(Main!$C47,$A$3:$A$8,0),MATCH(O$2,$B$2:$G$2,0))</f>
        <v>#N/A</v>
      </c>
      <c r="P20" s="64" t="e">
        <f>INDEX($B$3:$G$8,MATCH(Main!$C47,$A$3:$A$8,0),MATCH(P$2,$B$2:$G$2,0))</f>
        <v>#N/A</v>
      </c>
      <c r="Q20" s="78"/>
      <c r="R20" s="52">
        <f t="shared" si="70"/>
        <v>18</v>
      </c>
      <c r="S20" s="77">
        <f>IF(Main!$I47&gt;0,B$11,B$19)</f>
        <v>55</v>
      </c>
      <c r="T20" s="78">
        <f>IF(Main!$I47&gt;0,C$11,C$19)</f>
        <v>16</v>
      </c>
      <c r="U20" s="78">
        <f>IF(Main!$I47&gt;0,D$11,D$19)</f>
        <v>45</v>
      </c>
      <c r="V20" s="78">
        <f>IF(Main!$I47&gt;0,E$11,E$19)</f>
        <v>5</v>
      </c>
      <c r="W20" s="78">
        <f>IF(Main!$I47&gt;0,F$11,F$19)</f>
        <v>5</v>
      </c>
      <c r="X20" s="79">
        <f>IF(Main!$I47&gt;0,G$11,G$19)</f>
        <v>2</v>
      </c>
      <c r="Z20" s="52">
        <f t="shared" si="71"/>
        <v>18</v>
      </c>
      <c r="AA20" s="77">
        <f>IF(Main!$I47&gt;0,B$12,B$20)</f>
        <v>0.55500000000000005</v>
      </c>
      <c r="AB20" s="78">
        <f>IF(Main!$I47&gt;0,C$12,C$20)</f>
        <v>16</v>
      </c>
      <c r="AC20" s="78">
        <f>IF(Main!$I47&gt;0,D$12,D$20)</f>
        <v>45</v>
      </c>
      <c r="AD20" s="78">
        <f>IF(Main!$I47&gt;0,E$12,E$20)</f>
        <v>5</v>
      </c>
      <c r="AE20" s="78">
        <f>IF(Main!$I47&gt;0,F$12,F$20)</f>
        <v>5</v>
      </c>
      <c r="AF20" s="79">
        <f>IF(Main!$I47&gt;0,G$12,G$20)</f>
        <v>0.161</v>
      </c>
      <c r="AG20" s="78"/>
      <c r="AH20" s="52">
        <f t="shared" si="72"/>
        <v>18</v>
      </c>
      <c r="AI20" s="77">
        <f>IF(Main!$I47&gt;0,B$15,B$23)</f>
        <v>0</v>
      </c>
      <c r="AJ20" s="78">
        <f>IF(Main!$I47&gt;0,C$15,C$23)</f>
        <v>0.24199999999999999</v>
      </c>
      <c r="AK20" s="78">
        <f>IF(Main!$I47&gt;0,D$15,D$23)</f>
        <v>0.18099999999999999</v>
      </c>
      <c r="AL20" s="78">
        <f>IF(Main!$I47&gt;0,E$15,E$23)</f>
        <v>0.30299999999999999</v>
      </c>
      <c r="AM20" s="78">
        <f>IF(Main!$I47&gt;0,F$15,F$23)</f>
        <v>0.30299999999999999</v>
      </c>
      <c r="AN20" s="79">
        <f>IF(Main!$I47&gt;0,G$15,G$23)</f>
        <v>0</v>
      </c>
      <c r="AO20" s="78"/>
      <c r="AP20" s="52">
        <f t="shared" si="73"/>
        <v>18</v>
      </c>
      <c r="AQ20" s="12">
        <f>IF(Main!$I47&gt;0,B$16,B$24)</f>
        <v>0</v>
      </c>
      <c r="AR20" s="13">
        <f>IF(Main!$I47&gt;0,C$16,C$24)</f>
        <v>0</v>
      </c>
      <c r="AS20" s="13">
        <f>IF(Main!$I47&gt;0,D$16,D$24)</f>
        <v>0</v>
      </c>
      <c r="AT20" s="13">
        <f>IF(Main!$I47&gt;0,E$16,E$24)</f>
        <v>0</v>
      </c>
      <c r="AU20" s="13">
        <f>IF(Main!$I47&gt;0,F$16,F$24)</f>
        <v>0</v>
      </c>
      <c r="AV20" s="14">
        <f>IF(Main!$I47&gt;0,G$16,G$24)</f>
        <v>0</v>
      </c>
      <c r="AW20" s="78"/>
      <c r="AX20" s="52">
        <f t="shared" si="13"/>
        <v>18</v>
      </c>
      <c r="AY20" s="20" t="e">
        <f>INDEX('Doll Data'!$U$2:$AE$1048576,MATCH(Main!$D47,'Doll Data'!$C$2:$C$1048576,0),MATCH(AY$2,'Doll Data'!$U$1:$AE$1,0))</f>
        <v>#N/A</v>
      </c>
      <c r="AZ20" s="16" t="e">
        <f>INDEX('Doll Data'!$U$2:$AE$1048576,MATCH(Main!$D47,'Doll Data'!$C$2:$C$1048576,0),MATCH(AZ$2,'Doll Data'!$U$1:$AE$1,0))</f>
        <v>#N/A</v>
      </c>
      <c r="BA20" s="16" t="e">
        <f>INDEX('Doll Data'!$U$2:$AE$1048576,MATCH(Main!$D47,'Doll Data'!$C$2:$C$1048576,0),MATCH(BA$2,'Doll Data'!$U$1:$AE$1,0))</f>
        <v>#N/A</v>
      </c>
      <c r="BB20" s="16" t="e">
        <f>INDEX('Doll Data'!$U$2:$AE$1048576,MATCH(Main!$D47,'Doll Data'!$C$2:$C$1048576,0),MATCH(BB$2,'Doll Data'!$U$1:$AE$1,0))</f>
        <v>#N/A</v>
      </c>
      <c r="BC20" s="16" t="e">
        <f>INDEX('Doll Data'!$U$2:$AE$1048576,MATCH(Main!$D47,'Doll Data'!$C$2:$C$1048576,0),MATCH(BC$2,'Doll Data'!$U$1:$AE$1,0))</f>
        <v>#N/A</v>
      </c>
      <c r="BD20" s="16" t="e">
        <f>INDEX('Doll Data'!$U$2:$AE$1048576,MATCH(Main!$D47,'Doll Data'!$C$2:$C$1048576,0),MATCH(BD$2,'Doll Data'!$U$1:$AE$1,0))</f>
        <v>#N/A</v>
      </c>
      <c r="BE20" s="21" t="e">
        <f>INDEX('Doll Data'!$U$2:$AE$1048576,MATCH(Main!$D47,'Doll Data'!$C$2:$C$1048576,0),MATCH(BE$2,'Doll Data'!$U$1:$AE$1,0))</f>
        <v>#N/A</v>
      </c>
      <c r="BH20" s="52">
        <f t="shared" si="41"/>
        <v>18</v>
      </c>
      <c r="BI20" s="62" t="e">
        <f t="shared" si="42"/>
        <v>#N/A</v>
      </c>
      <c r="BJ20" s="63" t="e">
        <f t="shared" si="43"/>
        <v>#N/A</v>
      </c>
      <c r="BK20" s="63" t="e">
        <f t="shared" si="44"/>
        <v>#N/A</v>
      </c>
      <c r="BL20" s="63" t="e">
        <f t="shared" si="45"/>
        <v>#N/A</v>
      </c>
      <c r="BM20" s="63" t="e">
        <f t="shared" si="46"/>
        <v>#N/A</v>
      </c>
      <c r="BN20" s="64" t="e">
        <f t="shared" si="47"/>
        <v>#N/A</v>
      </c>
      <c r="BO20" s="78"/>
      <c r="BP20" s="52">
        <f t="shared" si="15"/>
        <v>18</v>
      </c>
      <c r="BQ20" s="77">
        <f t="shared" si="22"/>
        <v>55</v>
      </c>
      <c r="BR20" s="78">
        <f t="shared" si="23"/>
        <v>16</v>
      </c>
      <c r="BS20" s="78">
        <f t="shared" si="24"/>
        <v>45</v>
      </c>
      <c r="BT20" s="78">
        <f t="shared" si="25"/>
        <v>5</v>
      </c>
      <c r="BU20" s="78">
        <f t="shared" si="26"/>
        <v>5</v>
      </c>
      <c r="BV20" s="79">
        <f t="shared" si="27"/>
        <v>2</v>
      </c>
      <c r="BW20" s="78"/>
      <c r="BX20" s="52">
        <f t="shared" si="16"/>
        <v>18</v>
      </c>
      <c r="BY20" s="77">
        <f t="shared" si="48"/>
        <v>0.55500000000000005</v>
      </c>
      <c r="BZ20" s="78">
        <f t="shared" si="49"/>
        <v>16</v>
      </c>
      <c r="CA20" s="78">
        <f t="shared" si="50"/>
        <v>45</v>
      </c>
      <c r="CB20" s="78">
        <f t="shared" si="51"/>
        <v>5</v>
      </c>
      <c r="CC20" s="78">
        <f t="shared" si="52"/>
        <v>5</v>
      </c>
      <c r="CD20" s="79">
        <f t="shared" si="53"/>
        <v>0.161</v>
      </c>
      <c r="CE20" s="78"/>
      <c r="CF20" s="52">
        <f t="shared" si="28"/>
        <v>18</v>
      </c>
      <c r="CG20" s="77">
        <f t="shared" si="29"/>
        <v>0</v>
      </c>
      <c r="CH20" s="78">
        <f t="shared" si="30"/>
        <v>0.24199999999999999</v>
      </c>
      <c r="CI20" s="78">
        <f t="shared" si="31"/>
        <v>0.18099999999999999</v>
      </c>
      <c r="CJ20" s="78">
        <f t="shared" si="32"/>
        <v>0.30299999999999999</v>
      </c>
      <c r="CK20" s="78">
        <f t="shared" si="33"/>
        <v>0.30299999999999999</v>
      </c>
      <c r="CL20" s="79">
        <f t="shared" si="34"/>
        <v>0</v>
      </c>
      <c r="CM20" s="78"/>
      <c r="CN20" s="52">
        <f t="shared" si="18"/>
        <v>18</v>
      </c>
      <c r="CO20" s="12">
        <f t="shared" si="54"/>
        <v>0</v>
      </c>
      <c r="CP20" s="13">
        <f t="shared" si="55"/>
        <v>0</v>
      </c>
      <c r="CQ20" s="13">
        <f t="shared" si="56"/>
        <v>0</v>
      </c>
      <c r="CR20" s="13">
        <f t="shared" si="57"/>
        <v>0</v>
      </c>
      <c r="CS20" s="13">
        <f t="shared" si="58"/>
        <v>0</v>
      </c>
      <c r="CT20" s="14">
        <f t="shared" si="59"/>
        <v>0</v>
      </c>
      <c r="CW20" s="52">
        <f t="shared" si="19"/>
        <v>18</v>
      </c>
      <c r="CX20" s="65">
        <f>Main!E47</f>
        <v>0</v>
      </c>
      <c r="CY20" s="66" t="e">
        <f>IF(AND(UseCustomStats,Main!Y47&lt;&gt;""),Main!Y47,_xlfn.CEILING.MATH((S20+($CX20-1)*AA20)*K20*AY20/100))</f>
        <v>#N/A</v>
      </c>
      <c r="CZ20" s="66" t="e">
        <f>IF(AND(UseCustomStats,Main!Z47&lt;&gt;""),Main!Z47,_xlfn.CEILING.MATH(T20*L20*AZ20/100)+_xlfn.CEILING.MATH((AR20+($CX20-1)*AJ20)*L20*AZ20*$BE20/100/100))</f>
        <v>#N/A</v>
      </c>
      <c r="DA20" s="66" t="e">
        <f>IF(AND(UseCustomStats,Main!AA47&lt;&gt;""),Main!AA47,_xlfn.CEILING.MATH(U20*M20*BA20/100)+_xlfn.CEILING.MATH((AS20+($CX20-1)*AK20)*M20*BA20*$BE20/100/100))</f>
        <v>#N/A</v>
      </c>
      <c r="DB20" s="66" t="e">
        <f>IF(AND(UseCustomStats,Main!AB47&lt;&gt;""),Main!AB47,_xlfn.CEILING.MATH(V20*N20*BB20/100)+_xlfn.CEILING.MATH((AT20+($CX20-1)*AL20)*N20*BB20*$BE20/100/100))</f>
        <v>#N/A</v>
      </c>
      <c r="DC20" s="66" t="e">
        <f>IF(AND(UseCustomStats,Main!AC47&lt;&gt;""),Main!AC47,_xlfn.CEILING.MATH(W20*O20*BC20/100)+_xlfn.CEILING.MATH((AU20+($CX20-1)*AM20)*O20*BC20*$BE20/100/100))</f>
        <v>#N/A</v>
      </c>
      <c r="DD20" s="67" t="e">
        <f t="shared" si="74"/>
        <v>#N/A</v>
      </c>
      <c r="DF20" s="52">
        <f t="shared" si="20"/>
        <v>18</v>
      </c>
      <c r="DG20" s="65">
        <v>1</v>
      </c>
      <c r="DH20" s="66" t="e">
        <f t="shared" si="60"/>
        <v>#N/A</v>
      </c>
      <c r="DI20" s="66" t="e">
        <f t="shared" si="61"/>
        <v>#N/A</v>
      </c>
      <c r="DJ20" s="66" t="e">
        <f t="shared" si="62"/>
        <v>#N/A</v>
      </c>
      <c r="DK20" s="66" t="e">
        <f t="shared" si="63"/>
        <v>#N/A</v>
      </c>
      <c r="DL20" s="66" t="e">
        <f t="shared" si="64"/>
        <v>#N/A</v>
      </c>
      <c r="DM20" s="67" t="e">
        <f t="shared" si="65"/>
        <v>#N/A</v>
      </c>
      <c r="DO20" s="52">
        <f t="shared" si="21"/>
        <v>18</v>
      </c>
      <c r="DP20" s="28"/>
      <c r="DQ20" s="29"/>
      <c r="DR20" s="66" t="e">
        <f t="shared" si="66"/>
        <v>#N/A</v>
      </c>
      <c r="DS20" s="66" t="e">
        <f t="shared" si="67"/>
        <v>#N/A</v>
      </c>
      <c r="DT20" s="66" t="e">
        <f t="shared" si="68"/>
        <v>#N/A</v>
      </c>
      <c r="DU20" s="66" t="e">
        <f t="shared" si="69"/>
        <v>#N/A</v>
      </c>
      <c r="DV20" s="33"/>
    </row>
    <row r="21" spans="1:126" x14ac:dyDescent="0.3">
      <c r="B21" s="8"/>
      <c r="C21" s="8"/>
      <c r="D21" s="8"/>
      <c r="E21" s="8"/>
      <c r="F21" s="8"/>
      <c r="G21" s="8"/>
      <c r="J21" s="52">
        <f t="shared" si="8"/>
        <v>19</v>
      </c>
      <c r="K21" s="62" t="e">
        <f>INDEX($B$3:$G$8,MATCH(Main!$C48,$A$3:$A$8,0),MATCH(K$2,$B$2:$G$2,0))</f>
        <v>#N/A</v>
      </c>
      <c r="L21" s="63" t="e">
        <f>INDEX($B$3:$G$8,MATCH(Main!$C48,$A$3:$A$8,0),MATCH(L$2,$B$2:$G$2,0))</f>
        <v>#N/A</v>
      </c>
      <c r="M21" s="63" t="e">
        <f>INDEX($B$3:$G$8,MATCH(Main!$C48,$A$3:$A$8,0),MATCH(M$2,$B$2:$G$2,0))</f>
        <v>#N/A</v>
      </c>
      <c r="N21" s="63" t="e">
        <f>INDEX($B$3:$G$8,MATCH(Main!$C48,$A$3:$A$8,0),MATCH(N$2,$B$2:$G$2,0))</f>
        <v>#N/A</v>
      </c>
      <c r="O21" s="63" t="e">
        <f>INDEX($B$3:$G$8,MATCH(Main!$C48,$A$3:$A$8,0),MATCH(O$2,$B$2:$G$2,0))</f>
        <v>#N/A</v>
      </c>
      <c r="P21" s="64" t="e">
        <f>INDEX($B$3:$G$8,MATCH(Main!$C48,$A$3:$A$8,0),MATCH(P$2,$B$2:$G$2,0))</f>
        <v>#N/A</v>
      </c>
      <c r="Q21" s="78"/>
      <c r="R21" s="52">
        <f t="shared" si="70"/>
        <v>19</v>
      </c>
      <c r="S21" s="77">
        <f>IF(Main!$I48&gt;0,B$11,B$19)</f>
        <v>55</v>
      </c>
      <c r="T21" s="78">
        <f>IF(Main!$I48&gt;0,C$11,C$19)</f>
        <v>16</v>
      </c>
      <c r="U21" s="78">
        <f>IF(Main!$I48&gt;0,D$11,D$19)</f>
        <v>45</v>
      </c>
      <c r="V21" s="78">
        <f>IF(Main!$I48&gt;0,E$11,E$19)</f>
        <v>5</v>
      </c>
      <c r="W21" s="78">
        <f>IF(Main!$I48&gt;0,F$11,F$19)</f>
        <v>5</v>
      </c>
      <c r="X21" s="79">
        <f>IF(Main!$I48&gt;0,G$11,G$19)</f>
        <v>2</v>
      </c>
      <c r="Z21" s="52">
        <f t="shared" si="71"/>
        <v>19</v>
      </c>
      <c r="AA21" s="77">
        <f>IF(Main!$I48&gt;0,B$12,B$20)</f>
        <v>0.55500000000000005</v>
      </c>
      <c r="AB21" s="78">
        <f>IF(Main!$I48&gt;0,C$12,C$20)</f>
        <v>16</v>
      </c>
      <c r="AC21" s="78">
        <f>IF(Main!$I48&gt;0,D$12,D$20)</f>
        <v>45</v>
      </c>
      <c r="AD21" s="78">
        <f>IF(Main!$I48&gt;0,E$12,E$20)</f>
        <v>5</v>
      </c>
      <c r="AE21" s="78">
        <f>IF(Main!$I48&gt;0,F$12,F$20)</f>
        <v>5</v>
      </c>
      <c r="AF21" s="79">
        <f>IF(Main!$I48&gt;0,G$12,G$20)</f>
        <v>0.161</v>
      </c>
      <c r="AG21" s="78"/>
      <c r="AH21" s="52">
        <f t="shared" si="72"/>
        <v>19</v>
      </c>
      <c r="AI21" s="77">
        <f>IF(Main!$I48&gt;0,B$15,B$23)</f>
        <v>0</v>
      </c>
      <c r="AJ21" s="78">
        <f>IF(Main!$I48&gt;0,C$15,C$23)</f>
        <v>0.24199999999999999</v>
      </c>
      <c r="AK21" s="78">
        <f>IF(Main!$I48&gt;0,D$15,D$23)</f>
        <v>0.18099999999999999</v>
      </c>
      <c r="AL21" s="78">
        <f>IF(Main!$I48&gt;0,E$15,E$23)</f>
        <v>0.30299999999999999</v>
      </c>
      <c r="AM21" s="78">
        <f>IF(Main!$I48&gt;0,F$15,F$23)</f>
        <v>0.30299999999999999</v>
      </c>
      <c r="AN21" s="79">
        <f>IF(Main!$I48&gt;0,G$15,G$23)</f>
        <v>0</v>
      </c>
      <c r="AO21" s="78"/>
      <c r="AP21" s="52">
        <f t="shared" si="73"/>
        <v>19</v>
      </c>
      <c r="AQ21" s="12">
        <f>IF(Main!$I48&gt;0,B$16,B$24)</f>
        <v>0</v>
      </c>
      <c r="AR21" s="13">
        <f>IF(Main!$I48&gt;0,C$16,C$24)</f>
        <v>0</v>
      </c>
      <c r="AS21" s="13">
        <f>IF(Main!$I48&gt;0,D$16,D$24)</f>
        <v>0</v>
      </c>
      <c r="AT21" s="13">
        <f>IF(Main!$I48&gt;0,E$16,E$24)</f>
        <v>0</v>
      </c>
      <c r="AU21" s="13">
        <f>IF(Main!$I48&gt;0,F$16,F$24)</f>
        <v>0</v>
      </c>
      <c r="AV21" s="14">
        <f>IF(Main!$I48&gt;0,G$16,G$24)</f>
        <v>0</v>
      </c>
      <c r="AW21" s="78"/>
      <c r="AX21" s="52">
        <f t="shared" si="13"/>
        <v>19</v>
      </c>
      <c r="AY21" s="20" t="e">
        <f>INDEX('Doll Data'!$U$2:$AE$1048576,MATCH(Main!$D48,'Doll Data'!$C$2:$C$1048576,0),MATCH(AY$2,'Doll Data'!$U$1:$AE$1,0))</f>
        <v>#N/A</v>
      </c>
      <c r="AZ21" s="16" t="e">
        <f>INDEX('Doll Data'!$U$2:$AE$1048576,MATCH(Main!$D48,'Doll Data'!$C$2:$C$1048576,0),MATCH(AZ$2,'Doll Data'!$U$1:$AE$1,0))</f>
        <v>#N/A</v>
      </c>
      <c r="BA21" s="16" t="e">
        <f>INDEX('Doll Data'!$U$2:$AE$1048576,MATCH(Main!$D48,'Doll Data'!$C$2:$C$1048576,0),MATCH(BA$2,'Doll Data'!$U$1:$AE$1,0))</f>
        <v>#N/A</v>
      </c>
      <c r="BB21" s="16" t="e">
        <f>INDEX('Doll Data'!$U$2:$AE$1048576,MATCH(Main!$D48,'Doll Data'!$C$2:$C$1048576,0),MATCH(BB$2,'Doll Data'!$U$1:$AE$1,0))</f>
        <v>#N/A</v>
      </c>
      <c r="BC21" s="16" t="e">
        <f>INDEX('Doll Data'!$U$2:$AE$1048576,MATCH(Main!$D48,'Doll Data'!$C$2:$C$1048576,0),MATCH(BC$2,'Doll Data'!$U$1:$AE$1,0))</f>
        <v>#N/A</v>
      </c>
      <c r="BD21" s="16" t="e">
        <f>INDEX('Doll Data'!$U$2:$AE$1048576,MATCH(Main!$D48,'Doll Data'!$C$2:$C$1048576,0),MATCH(BD$2,'Doll Data'!$U$1:$AE$1,0))</f>
        <v>#N/A</v>
      </c>
      <c r="BE21" s="21" t="e">
        <f>INDEX('Doll Data'!$U$2:$AE$1048576,MATCH(Main!$D48,'Doll Data'!$C$2:$C$1048576,0),MATCH(BE$2,'Doll Data'!$U$1:$AE$1,0))</f>
        <v>#N/A</v>
      </c>
      <c r="BH21" s="52">
        <f t="shared" si="41"/>
        <v>19</v>
      </c>
      <c r="BI21" s="62" t="e">
        <f t="shared" si="42"/>
        <v>#N/A</v>
      </c>
      <c r="BJ21" s="63" t="e">
        <f t="shared" si="43"/>
        <v>#N/A</v>
      </c>
      <c r="BK21" s="63" t="e">
        <f t="shared" si="44"/>
        <v>#N/A</v>
      </c>
      <c r="BL21" s="63" t="e">
        <f t="shared" si="45"/>
        <v>#N/A</v>
      </c>
      <c r="BM21" s="63" t="e">
        <f t="shared" si="46"/>
        <v>#N/A</v>
      </c>
      <c r="BN21" s="64" t="e">
        <f t="shared" si="47"/>
        <v>#N/A</v>
      </c>
      <c r="BO21" s="78"/>
      <c r="BP21" s="52">
        <f t="shared" si="15"/>
        <v>19</v>
      </c>
      <c r="BQ21" s="77">
        <f t="shared" si="22"/>
        <v>55</v>
      </c>
      <c r="BR21" s="78">
        <f t="shared" si="23"/>
        <v>16</v>
      </c>
      <c r="BS21" s="78">
        <f t="shared" si="24"/>
        <v>45</v>
      </c>
      <c r="BT21" s="78">
        <f t="shared" si="25"/>
        <v>5</v>
      </c>
      <c r="BU21" s="78">
        <f t="shared" si="26"/>
        <v>5</v>
      </c>
      <c r="BV21" s="79">
        <f t="shared" si="27"/>
        <v>2</v>
      </c>
      <c r="BW21" s="78"/>
      <c r="BX21" s="52">
        <f t="shared" si="16"/>
        <v>19</v>
      </c>
      <c r="BY21" s="77">
        <f t="shared" si="48"/>
        <v>0.55500000000000005</v>
      </c>
      <c r="BZ21" s="78">
        <f t="shared" si="49"/>
        <v>16</v>
      </c>
      <c r="CA21" s="78">
        <f t="shared" si="50"/>
        <v>45</v>
      </c>
      <c r="CB21" s="78">
        <f t="shared" si="51"/>
        <v>5</v>
      </c>
      <c r="CC21" s="78">
        <f t="shared" si="52"/>
        <v>5</v>
      </c>
      <c r="CD21" s="79">
        <f t="shared" si="53"/>
        <v>0.161</v>
      </c>
      <c r="CE21" s="78"/>
      <c r="CF21" s="52">
        <f t="shared" si="28"/>
        <v>19</v>
      </c>
      <c r="CG21" s="77">
        <f t="shared" si="29"/>
        <v>0</v>
      </c>
      <c r="CH21" s="78">
        <f t="shared" si="30"/>
        <v>0.24199999999999999</v>
      </c>
      <c r="CI21" s="78">
        <f t="shared" si="31"/>
        <v>0.18099999999999999</v>
      </c>
      <c r="CJ21" s="78">
        <f t="shared" si="32"/>
        <v>0.30299999999999999</v>
      </c>
      <c r="CK21" s="78">
        <f t="shared" si="33"/>
        <v>0.30299999999999999</v>
      </c>
      <c r="CL21" s="79">
        <f t="shared" si="34"/>
        <v>0</v>
      </c>
      <c r="CM21" s="78"/>
      <c r="CN21" s="52">
        <f t="shared" si="18"/>
        <v>19</v>
      </c>
      <c r="CO21" s="12">
        <f t="shared" si="54"/>
        <v>0</v>
      </c>
      <c r="CP21" s="13">
        <f t="shared" si="55"/>
        <v>0</v>
      </c>
      <c r="CQ21" s="13">
        <f t="shared" si="56"/>
        <v>0</v>
      </c>
      <c r="CR21" s="13">
        <f t="shared" si="57"/>
        <v>0</v>
      </c>
      <c r="CS21" s="13">
        <f t="shared" si="58"/>
        <v>0</v>
      </c>
      <c r="CT21" s="14">
        <f t="shared" si="59"/>
        <v>0</v>
      </c>
      <c r="CW21" s="52">
        <f t="shared" si="19"/>
        <v>19</v>
      </c>
      <c r="CX21" s="65">
        <f>Main!E48</f>
        <v>0</v>
      </c>
      <c r="CY21" s="66" t="e">
        <f>IF(AND(UseCustomStats,Main!Y48&lt;&gt;""),Main!Y48,_xlfn.CEILING.MATH((S21+($CX21-1)*AA21)*K21*AY21/100))</f>
        <v>#N/A</v>
      </c>
      <c r="CZ21" s="66" t="e">
        <f>IF(AND(UseCustomStats,Main!Z48&lt;&gt;""),Main!Z48,_xlfn.CEILING.MATH(T21*L21*AZ21/100)+_xlfn.CEILING.MATH((AR21+($CX21-1)*AJ21)*L21*AZ21*$BE21/100/100))</f>
        <v>#N/A</v>
      </c>
      <c r="DA21" s="66" t="e">
        <f>IF(AND(UseCustomStats,Main!AA48&lt;&gt;""),Main!AA48,_xlfn.CEILING.MATH(U21*M21*BA21/100)+_xlfn.CEILING.MATH((AS21+($CX21-1)*AK21)*M21*BA21*$BE21/100/100))</f>
        <v>#N/A</v>
      </c>
      <c r="DB21" s="66" t="e">
        <f>IF(AND(UseCustomStats,Main!AB48&lt;&gt;""),Main!AB48,_xlfn.CEILING.MATH(V21*N21*BB21/100)+_xlfn.CEILING.MATH((AT21+($CX21-1)*AL21)*N21*BB21*$BE21/100/100))</f>
        <v>#N/A</v>
      </c>
      <c r="DC21" s="66" t="e">
        <f>IF(AND(UseCustomStats,Main!AC48&lt;&gt;""),Main!AC48,_xlfn.CEILING.MATH(W21*O21*BC21/100)+_xlfn.CEILING.MATH((AU21+($CX21-1)*AM21)*O21*BC21*$BE21/100/100))</f>
        <v>#N/A</v>
      </c>
      <c r="DD21" s="67" t="e">
        <f t="shared" si="74"/>
        <v>#N/A</v>
      </c>
      <c r="DF21" s="52">
        <f t="shared" si="20"/>
        <v>19</v>
      </c>
      <c r="DG21" s="65">
        <v>1</v>
      </c>
      <c r="DH21" s="66" t="e">
        <f t="shared" si="60"/>
        <v>#N/A</v>
      </c>
      <c r="DI21" s="66" t="e">
        <f t="shared" si="61"/>
        <v>#N/A</v>
      </c>
      <c r="DJ21" s="66" t="e">
        <f t="shared" si="62"/>
        <v>#N/A</v>
      </c>
      <c r="DK21" s="66" t="e">
        <f t="shared" si="63"/>
        <v>#N/A</v>
      </c>
      <c r="DL21" s="66" t="e">
        <f t="shared" si="64"/>
        <v>#N/A</v>
      </c>
      <c r="DM21" s="67" t="e">
        <f t="shared" si="65"/>
        <v>#N/A</v>
      </c>
      <c r="DO21" s="52">
        <f t="shared" si="21"/>
        <v>19</v>
      </c>
      <c r="DP21" s="28"/>
      <c r="DQ21" s="29"/>
      <c r="DR21" s="66" t="e">
        <f t="shared" si="66"/>
        <v>#N/A</v>
      </c>
      <c r="DS21" s="66" t="e">
        <f t="shared" si="67"/>
        <v>#N/A</v>
      </c>
      <c r="DT21" s="66" t="e">
        <f t="shared" si="68"/>
        <v>#N/A</v>
      </c>
      <c r="DU21" s="66" t="e">
        <f t="shared" si="69"/>
        <v>#N/A</v>
      </c>
      <c r="DV21" s="33"/>
    </row>
    <row r="22" spans="1:126" x14ac:dyDescent="0.3">
      <c r="A22" s="51" t="s">
        <v>275</v>
      </c>
      <c r="B22" s="74" t="s">
        <v>9</v>
      </c>
      <c r="C22" s="75" t="s">
        <v>10</v>
      </c>
      <c r="D22" s="75" t="s">
        <v>11</v>
      </c>
      <c r="E22" s="75" t="s">
        <v>12</v>
      </c>
      <c r="F22" s="75" t="s">
        <v>13</v>
      </c>
      <c r="G22" s="76" t="s">
        <v>14</v>
      </c>
      <c r="J22" s="53">
        <f t="shared" si="8"/>
        <v>20</v>
      </c>
      <c r="K22" s="68" t="e">
        <f>INDEX($B$3:$G$8,MATCH(Main!$C49,$A$3:$A$8,0),MATCH(K$2,$B$2:$G$2,0))</f>
        <v>#N/A</v>
      </c>
      <c r="L22" s="69" t="e">
        <f>INDEX($B$3:$G$8,MATCH(Main!$C49,$A$3:$A$8,0),MATCH(L$2,$B$2:$G$2,0))</f>
        <v>#N/A</v>
      </c>
      <c r="M22" s="69" t="e">
        <f>INDEX($B$3:$G$8,MATCH(Main!$C49,$A$3:$A$8,0),MATCH(M$2,$B$2:$G$2,0))</f>
        <v>#N/A</v>
      </c>
      <c r="N22" s="69" t="e">
        <f>INDEX($B$3:$G$8,MATCH(Main!$C49,$A$3:$A$8,0),MATCH(N$2,$B$2:$G$2,0))</f>
        <v>#N/A</v>
      </c>
      <c r="O22" s="69" t="e">
        <f>INDEX($B$3:$G$8,MATCH(Main!$C49,$A$3:$A$8,0),MATCH(O$2,$B$2:$G$2,0))</f>
        <v>#N/A</v>
      </c>
      <c r="P22" s="70" t="e">
        <f>INDEX($B$3:$G$8,MATCH(Main!$C49,$A$3:$A$8,0),MATCH(P$2,$B$2:$G$2,0))</f>
        <v>#N/A</v>
      </c>
      <c r="Q22" s="78"/>
      <c r="R22" s="53">
        <f t="shared" si="70"/>
        <v>20</v>
      </c>
      <c r="S22" s="80">
        <f>IF(Main!$I49&gt;0,B$11,B$19)</f>
        <v>55</v>
      </c>
      <c r="T22" s="81">
        <f>IF(Main!$I49&gt;0,C$11,C$19)</f>
        <v>16</v>
      </c>
      <c r="U22" s="81">
        <f>IF(Main!$I49&gt;0,D$11,D$19)</f>
        <v>45</v>
      </c>
      <c r="V22" s="81">
        <f>IF(Main!$I49&gt;0,E$11,E$19)</f>
        <v>5</v>
      </c>
      <c r="W22" s="81">
        <f>IF(Main!$I49&gt;0,F$11,F$19)</f>
        <v>5</v>
      </c>
      <c r="X22" s="82">
        <f>IF(Main!$I49&gt;0,G$11,G$19)</f>
        <v>2</v>
      </c>
      <c r="Z22" s="53">
        <f t="shared" si="71"/>
        <v>20</v>
      </c>
      <c r="AA22" s="80">
        <f>IF(Main!$I49&gt;0,B$12,B$20)</f>
        <v>0.55500000000000005</v>
      </c>
      <c r="AB22" s="81">
        <f>IF(Main!$I49&gt;0,C$12,C$20)</f>
        <v>16</v>
      </c>
      <c r="AC22" s="81">
        <f>IF(Main!$I49&gt;0,D$12,D$20)</f>
        <v>45</v>
      </c>
      <c r="AD22" s="81">
        <f>IF(Main!$I49&gt;0,E$12,E$20)</f>
        <v>5</v>
      </c>
      <c r="AE22" s="81">
        <f>IF(Main!$I49&gt;0,F$12,F$20)</f>
        <v>5</v>
      </c>
      <c r="AF22" s="82">
        <f>IF(Main!$I49&gt;0,G$12,G$20)</f>
        <v>0.161</v>
      </c>
      <c r="AG22" s="78"/>
      <c r="AH22" s="53">
        <f t="shared" si="72"/>
        <v>20</v>
      </c>
      <c r="AI22" s="80">
        <f>IF(Main!$I49&gt;0,B$15,B$23)</f>
        <v>0</v>
      </c>
      <c r="AJ22" s="81">
        <f>IF(Main!$I49&gt;0,C$15,C$23)</f>
        <v>0.24199999999999999</v>
      </c>
      <c r="AK22" s="81">
        <f>IF(Main!$I49&gt;0,D$15,D$23)</f>
        <v>0.18099999999999999</v>
      </c>
      <c r="AL22" s="81">
        <f>IF(Main!$I49&gt;0,E$15,E$23)</f>
        <v>0.30299999999999999</v>
      </c>
      <c r="AM22" s="81">
        <f>IF(Main!$I49&gt;0,F$15,F$23)</f>
        <v>0.30299999999999999</v>
      </c>
      <c r="AN22" s="82">
        <f>IF(Main!$I49&gt;0,G$15,G$23)</f>
        <v>0</v>
      </c>
      <c r="AO22" s="78"/>
      <c r="AP22" s="53">
        <f t="shared" si="73"/>
        <v>20</v>
      </c>
      <c r="AQ22" s="5">
        <f>IF(Main!$I49&gt;0,B$16,B$24)</f>
        <v>0</v>
      </c>
      <c r="AR22" s="6">
        <f>IF(Main!$I49&gt;0,C$16,C$24)</f>
        <v>0</v>
      </c>
      <c r="AS22" s="6">
        <f>IF(Main!$I49&gt;0,D$16,D$24)</f>
        <v>0</v>
      </c>
      <c r="AT22" s="6">
        <f>IF(Main!$I49&gt;0,E$16,E$24)</f>
        <v>0</v>
      </c>
      <c r="AU22" s="6">
        <f>IF(Main!$I49&gt;0,F$16,F$24)</f>
        <v>0</v>
      </c>
      <c r="AV22" s="7">
        <f>IF(Main!$I49&gt;0,G$16,G$24)</f>
        <v>0</v>
      </c>
      <c r="AW22" s="78"/>
      <c r="AX22" s="53">
        <f t="shared" si="13"/>
        <v>20</v>
      </c>
      <c r="AY22" s="22" t="e">
        <f>INDEX('Doll Data'!$U$2:$AE$1048576,MATCH(Main!$D49,'Doll Data'!$C$2:$C$1048576,0),MATCH(AY$2,'Doll Data'!$U$1:$AE$1,0))</f>
        <v>#N/A</v>
      </c>
      <c r="AZ22" s="23" t="e">
        <f>INDEX('Doll Data'!$U$2:$AE$1048576,MATCH(Main!$D49,'Doll Data'!$C$2:$C$1048576,0),MATCH(AZ$2,'Doll Data'!$U$1:$AE$1,0))</f>
        <v>#N/A</v>
      </c>
      <c r="BA22" s="23" t="e">
        <f>INDEX('Doll Data'!$U$2:$AE$1048576,MATCH(Main!$D49,'Doll Data'!$C$2:$C$1048576,0),MATCH(BA$2,'Doll Data'!$U$1:$AE$1,0))</f>
        <v>#N/A</v>
      </c>
      <c r="BB22" s="23" t="e">
        <f>INDEX('Doll Data'!$U$2:$AE$1048576,MATCH(Main!$D49,'Doll Data'!$C$2:$C$1048576,0),MATCH(BB$2,'Doll Data'!$U$1:$AE$1,0))</f>
        <v>#N/A</v>
      </c>
      <c r="BC22" s="23" t="e">
        <f>INDEX('Doll Data'!$U$2:$AE$1048576,MATCH(Main!$D49,'Doll Data'!$C$2:$C$1048576,0),MATCH(BC$2,'Doll Data'!$U$1:$AE$1,0))</f>
        <v>#N/A</v>
      </c>
      <c r="BD22" s="23" t="e">
        <f>INDEX('Doll Data'!$U$2:$AE$1048576,MATCH(Main!$D49,'Doll Data'!$C$2:$C$1048576,0),MATCH(BD$2,'Doll Data'!$U$1:$AE$1,0))</f>
        <v>#N/A</v>
      </c>
      <c r="BE22" s="24" t="e">
        <f>INDEX('Doll Data'!$U$2:$AE$1048576,MATCH(Main!$D49,'Doll Data'!$C$2:$C$1048576,0),MATCH(BE$2,'Doll Data'!$U$1:$AE$1,0))</f>
        <v>#N/A</v>
      </c>
      <c r="BH22" s="53">
        <f t="shared" si="41"/>
        <v>20</v>
      </c>
      <c r="BI22" s="68" t="e">
        <f t="shared" si="42"/>
        <v>#N/A</v>
      </c>
      <c r="BJ22" s="69" t="e">
        <f t="shared" si="43"/>
        <v>#N/A</v>
      </c>
      <c r="BK22" s="69" t="e">
        <f t="shared" si="44"/>
        <v>#N/A</v>
      </c>
      <c r="BL22" s="69" t="e">
        <f t="shared" si="45"/>
        <v>#N/A</v>
      </c>
      <c r="BM22" s="69" t="e">
        <f t="shared" si="46"/>
        <v>#N/A</v>
      </c>
      <c r="BN22" s="70" t="e">
        <f t="shared" si="47"/>
        <v>#N/A</v>
      </c>
      <c r="BO22" s="78"/>
      <c r="BP22" s="53">
        <f t="shared" si="15"/>
        <v>20</v>
      </c>
      <c r="BQ22" s="80">
        <f t="shared" si="22"/>
        <v>55</v>
      </c>
      <c r="BR22" s="81">
        <f t="shared" si="23"/>
        <v>16</v>
      </c>
      <c r="BS22" s="81">
        <f t="shared" si="24"/>
        <v>45</v>
      </c>
      <c r="BT22" s="81">
        <f t="shared" si="25"/>
        <v>5</v>
      </c>
      <c r="BU22" s="81">
        <f t="shared" si="26"/>
        <v>5</v>
      </c>
      <c r="BV22" s="82">
        <f t="shared" si="27"/>
        <v>2</v>
      </c>
      <c r="BW22" s="78"/>
      <c r="BX22" s="53">
        <f t="shared" si="16"/>
        <v>20</v>
      </c>
      <c r="BY22" s="80">
        <f t="shared" si="48"/>
        <v>0.55500000000000005</v>
      </c>
      <c r="BZ22" s="81">
        <f t="shared" si="49"/>
        <v>16</v>
      </c>
      <c r="CA22" s="81">
        <f t="shared" si="50"/>
        <v>45</v>
      </c>
      <c r="CB22" s="81">
        <f t="shared" si="51"/>
        <v>5</v>
      </c>
      <c r="CC22" s="81">
        <f t="shared" si="52"/>
        <v>5</v>
      </c>
      <c r="CD22" s="82">
        <f t="shared" si="53"/>
        <v>0.161</v>
      </c>
      <c r="CE22" s="78"/>
      <c r="CF22" s="53">
        <f t="shared" si="28"/>
        <v>20</v>
      </c>
      <c r="CG22" s="80">
        <f t="shared" si="29"/>
        <v>0</v>
      </c>
      <c r="CH22" s="81">
        <f t="shared" si="30"/>
        <v>0.24199999999999999</v>
      </c>
      <c r="CI22" s="81">
        <f t="shared" si="31"/>
        <v>0.18099999999999999</v>
      </c>
      <c r="CJ22" s="81">
        <f t="shared" si="32"/>
        <v>0.30299999999999999</v>
      </c>
      <c r="CK22" s="81">
        <f t="shared" si="33"/>
        <v>0.30299999999999999</v>
      </c>
      <c r="CL22" s="82">
        <f t="shared" si="34"/>
        <v>0</v>
      </c>
      <c r="CM22" s="78"/>
      <c r="CN22" s="53">
        <f t="shared" si="18"/>
        <v>20</v>
      </c>
      <c r="CO22" s="5">
        <f t="shared" si="54"/>
        <v>0</v>
      </c>
      <c r="CP22" s="6">
        <f t="shared" si="55"/>
        <v>0</v>
      </c>
      <c r="CQ22" s="6">
        <f t="shared" si="56"/>
        <v>0</v>
      </c>
      <c r="CR22" s="6">
        <f t="shared" si="57"/>
        <v>0</v>
      </c>
      <c r="CS22" s="6">
        <f t="shared" si="58"/>
        <v>0</v>
      </c>
      <c r="CT22" s="7">
        <f t="shared" si="59"/>
        <v>0</v>
      </c>
      <c r="CW22" s="53">
        <f t="shared" si="19"/>
        <v>20</v>
      </c>
      <c r="CX22" s="71">
        <f>Main!E49</f>
        <v>0</v>
      </c>
      <c r="CY22" s="72" t="e">
        <f>IF(AND(UseCustomStats,Main!Y49&lt;&gt;""),Main!Y49,_xlfn.CEILING.MATH((S22+($CX22-1)*AA22)*K22*AY22/100))</f>
        <v>#N/A</v>
      </c>
      <c r="CZ22" s="72" t="e">
        <f>IF(AND(UseCustomStats,Main!Z49&lt;&gt;""),Main!Z49,_xlfn.CEILING.MATH(T22*L22*AZ22/100)+_xlfn.CEILING.MATH((AR22+($CX22-1)*AJ22)*L22*AZ22*$BE22/100/100))</f>
        <v>#N/A</v>
      </c>
      <c r="DA22" s="72" t="e">
        <f>IF(AND(UseCustomStats,Main!AA49&lt;&gt;""),Main!AA49,_xlfn.CEILING.MATH(U22*M22*BA22/100)+_xlfn.CEILING.MATH((AS22+($CX22-1)*AK22)*M22*BA22*$BE22/100/100))</f>
        <v>#N/A</v>
      </c>
      <c r="DB22" s="72" t="e">
        <f>IF(AND(UseCustomStats,Main!AB49&lt;&gt;""),Main!AB49,_xlfn.CEILING.MATH(V22*N22*BB22/100)+_xlfn.CEILING.MATH((AT22+($CX22-1)*AL22)*N22*BB22*$BE22/100/100))</f>
        <v>#N/A</v>
      </c>
      <c r="DC22" s="72" t="e">
        <f>IF(AND(UseCustomStats,Main!AC49&lt;&gt;""),Main!AC49,_xlfn.CEILING.MATH(W22*O22*BC22/100)+_xlfn.CEILING.MATH((AU22+($CX22-1)*AM22)*O22*BC22*$BE22/100/100))</f>
        <v>#N/A</v>
      </c>
      <c r="DD22" s="73" t="e">
        <f t="shared" si="74"/>
        <v>#N/A</v>
      </c>
      <c r="DF22" s="53">
        <f t="shared" si="20"/>
        <v>20</v>
      </c>
      <c r="DG22" s="71">
        <v>1</v>
      </c>
      <c r="DH22" s="72" t="e">
        <f t="shared" si="60"/>
        <v>#N/A</v>
      </c>
      <c r="DI22" s="72" t="e">
        <f t="shared" si="61"/>
        <v>#N/A</v>
      </c>
      <c r="DJ22" s="72" t="e">
        <f t="shared" si="62"/>
        <v>#N/A</v>
      </c>
      <c r="DK22" s="72" t="e">
        <f t="shared" si="63"/>
        <v>#N/A</v>
      </c>
      <c r="DL22" s="72" t="e">
        <f t="shared" si="64"/>
        <v>#N/A</v>
      </c>
      <c r="DM22" s="73" t="e">
        <f t="shared" si="65"/>
        <v>#N/A</v>
      </c>
      <c r="DO22" s="53">
        <f t="shared" si="21"/>
        <v>20</v>
      </c>
      <c r="DP22" s="30"/>
      <c r="DQ22" s="31"/>
      <c r="DR22" s="72" t="e">
        <f t="shared" si="66"/>
        <v>#N/A</v>
      </c>
      <c r="DS22" s="72" t="e">
        <f t="shared" si="67"/>
        <v>#N/A</v>
      </c>
      <c r="DT22" s="72" t="e">
        <f t="shared" si="68"/>
        <v>#N/A</v>
      </c>
      <c r="DU22" s="72" t="e">
        <f t="shared" si="69"/>
        <v>#N/A</v>
      </c>
      <c r="DV22" s="34"/>
    </row>
    <row r="23" spans="1:126" x14ac:dyDescent="0.3">
      <c r="A23" s="51">
        <v>1</v>
      </c>
      <c r="B23" s="109"/>
      <c r="C23" s="110">
        <v>0.24199999999999999</v>
      </c>
      <c r="D23" s="110">
        <v>0.18099999999999999</v>
      </c>
      <c r="E23" s="110">
        <v>0.30299999999999999</v>
      </c>
      <c r="F23" s="110">
        <v>0.30299999999999999</v>
      </c>
      <c r="G23" s="111"/>
    </row>
    <row r="24" spans="1:126" x14ac:dyDescent="0.3">
      <c r="A24" s="53">
        <v>2</v>
      </c>
      <c r="B24" s="112"/>
      <c r="C24" s="113">
        <v>0</v>
      </c>
      <c r="D24" s="113">
        <v>0</v>
      </c>
      <c r="E24" s="113">
        <v>0</v>
      </c>
      <c r="F24" s="113">
        <v>0</v>
      </c>
      <c r="G24" s="114"/>
    </row>
    <row r="37" spans="17:91" x14ac:dyDescent="0.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O37" s="13"/>
      <c r="BW37" s="13"/>
      <c r="CE37" s="13"/>
      <c r="CM37" s="13"/>
    </row>
    <row r="38" spans="17:91" x14ac:dyDescent="0.3">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O38" s="16"/>
      <c r="BW38" s="16"/>
      <c r="CE38" s="16"/>
      <c r="CM38" s="16"/>
    </row>
    <row r="39" spans="17:91" x14ac:dyDescent="0.3">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O39" s="16"/>
      <c r="BW39" s="16"/>
      <c r="CE39" s="16"/>
      <c r="CM39" s="16"/>
    </row>
    <row r="40" spans="17:91" x14ac:dyDescent="0.3">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O40" s="16"/>
      <c r="BW40" s="16"/>
      <c r="CE40" s="16"/>
      <c r="CM40" s="16"/>
    </row>
    <row r="41" spans="17:91" x14ac:dyDescent="0.3">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O41" s="16"/>
      <c r="BW41" s="16"/>
      <c r="CE41" s="16"/>
      <c r="CM41" s="16"/>
    </row>
    <row r="42" spans="17:91" x14ac:dyDescent="0.3">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O42" s="16"/>
      <c r="BW42" s="16"/>
      <c r="CE42" s="16"/>
      <c r="CM42" s="16"/>
    </row>
  </sheetData>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518A7-91C7-49F8-B580-451044503C55}">
  <sheetPr codeName="Sheet22">
    <tabColor theme="9" tint="0.79998168889431442"/>
  </sheetPr>
  <dimension ref="A1:Y23"/>
  <sheetViews>
    <sheetView workbookViewId="0"/>
  </sheetViews>
  <sheetFormatPr defaultRowHeight="14.4" x14ac:dyDescent="0.3"/>
  <cols>
    <col min="1" max="1" width="12.88671875" bestFit="1" customWidth="1"/>
    <col min="11" max="11" width="9.88671875" bestFit="1" customWidth="1"/>
    <col min="12" max="12" width="10.109375" bestFit="1" customWidth="1"/>
    <col min="13" max="13" width="10.33203125" bestFit="1" customWidth="1"/>
    <col min="15" max="15" width="10.5546875" bestFit="1" customWidth="1"/>
    <col min="18" max="18" width="11.6640625" bestFit="1" customWidth="1"/>
    <col min="20" max="20" width="10.5546875" bestFit="1" customWidth="1"/>
    <col min="21" max="21" width="11.5546875" bestFit="1" customWidth="1"/>
    <col min="22" max="22" width="13.5546875" bestFit="1" customWidth="1"/>
  </cols>
  <sheetData>
    <row r="1" spans="1:25" x14ac:dyDescent="0.3">
      <c r="A1" s="10" t="s">
        <v>1070</v>
      </c>
      <c r="I1" s="10" t="s">
        <v>1064</v>
      </c>
      <c r="J1" s="124"/>
    </row>
    <row r="2" spans="1:25" x14ac:dyDescent="0.3">
      <c r="A2" s="51" t="s">
        <v>1063</v>
      </c>
      <c r="B2" s="51" t="s">
        <v>9</v>
      </c>
      <c r="C2" s="54" t="s">
        <v>10</v>
      </c>
      <c r="D2" s="54" t="s">
        <v>11</v>
      </c>
      <c r="E2" s="54" t="s">
        <v>12</v>
      </c>
      <c r="F2" s="54" t="s">
        <v>13</v>
      </c>
      <c r="G2" s="55" t="s">
        <v>14</v>
      </c>
      <c r="I2" s="125" t="s">
        <v>1030</v>
      </c>
      <c r="J2" s="51" t="s">
        <v>18</v>
      </c>
      <c r="K2" s="54" t="s">
        <v>1038</v>
      </c>
      <c r="L2" s="54" t="s">
        <v>1039</v>
      </c>
      <c r="M2" s="54" t="s">
        <v>1763</v>
      </c>
      <c r="N2" s="54" t="s">
        <v>1034</v>
      </c>
      <c r="O2" s="51" t="s">
        <v>1032</v>
      </c>
      <c r="P2" s="54" t="s">
        <v>1034</v>
      </c>
      <c r="Q2" s="54" t="s">
        <v>1066</v>
      </c>
      <c r="R2" s="54" t="s">
        <v>1067</v>
      </c>
      <c r="S2" s="54" t="s">
        <v>1065</v>
      </c>
      <c r="T2" s="54" t="s">
        <v>1093</v>
      </c>
      <c r="U2" s="54" t="s">
        <v>1095</v>
      </c>
      <c r="V2" s="55" t="s">
        <v>1094</v>
      </c>
      <c r="X2" s="87" t="s">
        <v>1096</v>
      </c>
    </row>
    <row r="3" spans="1:25" x14ac:dyDescent="0.3">
      <c r="A3" s="51" t="s">
        <v>1045</v>
      </c>
      <c r="B3" s="100">
        <v>3.6</v>
      </c>
      <c r="C3" s="101">
        <v>2.76</v>
      </c>
      <c r="D3" s="101">
        <v>0.42</v>
      </c>
      <c r="E3" s="101">
        <v>0.42</v>
      </c>
      <c r="F3" s="101">
        <v>0.56999999999999995</v>
      </c>
      <c r="G3" s="102">
        <v>0.14000000000000001</v>
      </c>
      <c r="I3" s="125">
        <v>1</v>
      </c>
      <c r="J3" s="59">
        <f>Main!D59</f>
        <v>0</v>
      </c>
      <c r="K3" s="60" t="str">
        <f>Main!B59</f>
        <v/>
      </c>
      <c r="L3" s="60">
        <f>Main!E59</f>
        <v>0</v>
      </c>
      <c r="M3" s="60">
        <f>Main!F59</f>
        <v>0</v>
      </c>
      <c r="N3" s="60">
        <f>IF(Main!B59=3,"BOSS",Main!G59)</f>
        <v>0</v>
      </c>
      <c r="O3" s="59" t="e">
        <f>(INDEX('SF Data'!$M:$M,MATCH(Main!C59,'SF Data'!$C:$C,0))&amp;"0"&amp;M3)*1</f>
        <v>#N/A</v>
      </c>
      <c r="P3" s="60" t="e">
        <f>IF(N3="BOSS",100,INDEX($B$8:$G$8,MATCH(N3,$B$7:$G$7,0))*INDEX('SF Data'!AN:AN,MATCH(Main!C59,'SF Data'!C:C,0))/100)</f>
        <v>#N/A</v>
      </c>
      <c r="Q3" s="60" t="e">
        <f>INDEX('SF Data'!AE:AE,MATCH(Main!C59,'SF Data'!C:C,0))</f>
        <v>#N/A</v>
      </c>
      <c r="R3" s="60" t="e">
        <f>INDEX($B$11:$B$15,MATCH(MAX(K3,L3),$A$11:$A$15,0))</f>
        <v>#N/A</v>
      </c>
      <c r="S3" s="60" t="e">
        <f>INDEX($B$3:$B$5,Main!$B59)</f>
        <v>#VALUE!</v>
      </c>
      <c r="T3" s="60" t="e">
        <f>INDEX('SF Resolution'!F:F,MATCH(O3,'SF Resolution'!A:A,0))</f>
        <v>#N/A</v>
      </c>
      <c r="U3" s="60" t="e">
        <f>INDEX('SF Data'!L:L,MATCH(Main!C59,'SF Data'!C:C,0))</f>
        <v>#N/A</v>
      </c>
      <c r="V3" s="61" t="e">
        <f>INDEX('SF Resolution'!G:G,MATCH(O3,'SF Resolution'!A:A,0))</f>
        <v>#N/A</v>
      </c>
      <c r="X3" s="122" t="e">
        <f t="shared" ref="X3:X11" si="0">_xlfn.CEILING.MATH(P3*Q3*R3*(J3+40-1)*S3*T3/U3/1000000,1)+V3*T3</f>
        <v>#N/A</v>
      </c>
    </row>
    <row r="4" spans="1:25" x14ac:dyDescent="0.3">
      <c r="A4" s="52" t="s">
        <v>1044</v>
      </c>
      <c r="B4" s="103">
        <v>3.84</v>
      </c>
      <c r="C4" s="104">
        <v>2.94</v>
      </c>
      <c r="D4" s="104">
        <v>0.42</v>
      </c>
      <c r="E4" s="104">
        <v>0.44</v>
      </c>
      <c r="F4" s="104">
        <v>0.6</v>
      </c>
      <c r="G4" s="105">
        <v>0.15</v>
      </c>
      <c r="I4" s="122">
        <f>I3+1</f>
        <v>2</v>
      </c>
      <c r="J4" s="65">
        <f>Main!D60</f>
        <v>0</v>
      </c>
      <c r="K4" s="66" t="str">
        <f>Main!B60</f>
        <v/>
      </c>
      <c r="L4" s="66">
        <f>Main!E60</f>
        <v>0</v>
      </c>
      <c r="M4" s="66">
        <f>Main!F60</f>
        <v>0</v>
      </c>
      <c r="N4" s="66">
        <f>IF(Main!B60=3,"BOSS",Main!G60)</f>
        <v>0</v>
      </c>
      <c r="O4" s="65" t="e">
        <f>(INDEX('SF Data'!$M:$M,MATCH(Main!C60,'SF Data'!$C:$C,0))&amp;"0"&amp;M4)*1</f>
        <v>#N/A</v>
      </c>
      <c r="P4" s="66" t="e">
        <f>IF(N4="BOSS",100,INDEX($B$8:$G$8,MATCH(N4,$B$7:$G$7,0))*INDEX('SF Data'!AN:AN,MATCH(Main!C60,'SF Data'!C:C,0))/100)</f>
        <v>#N/A</v>
      </c>
      <c r="Q4" s="66" t="e">
        <f>INDEX('SF Data'!AE:AE,MATCH(Main!C60,'SF Data'!C:C,0))</f>
        <v>#N/A</v>
      </c>
      <c r="R4" s="66" t="e">
        <f>INDEX($B$11:$B$15,MATCH(MAX(K4,L4),$A$11:$A$15,0))</f>
        <v>#N/A</v>
      </c>
      <c r="S4" s="66" t="e">
        <f>INDEX($B$3:$B$5,Main!$B60)</f>
        <v>#VALUE!</v>
      </c>
      <c r="T4" s="66" t="e">
        <f>INDEX('SF Resolution'!F:F,MATCH(O4,'SF Resolution'!A:A,0))</f>
        <v>#N/A</v>
      </c>
      <c r="U4" s="66" t="e">
        <f>INDEX('SF Data'!L:L,MATCH(Main!C60,'SF Data'!C:C,0))</f>
        <v>#N/A</v>
      </c>
      <c r="V4" s="67" t="e">
        <f>INDEX('SF Resolution'!G:G,MATCH(O4,'SF Resolution'!A:A,0))</f>
        <v>#N/A</v>
      </c>
      <c r="X4" s="122" t="e">
        <f t="shared" si="0"/>
        <v>#N/A</v>
      </c>
    </row>
    <row r="5" spans="1:25" x14ac:dyDescent="0.3">
      <c r="A5" s="53" t="s">
        <v>1043</v>
      </c>
      <c r="B5" s="106">
        <v>4.79</v>
      </c>
      <c r="C5" s="107">
        <v>3.67</v>
      </c>
      <c r="D5" s="107">
        <v>0.46</v>
      </c>
      <c r="E5" s="107">
        <v>0.55000000000000004</v>
      </c>
      <c r="F5" s="107">
        <v>0.75</v>
      </c>
      <c r="G5" s="108">
        <v>0.18</v>
      </c>
      <c r="I5" s="122">
        <f t="shared" ref="I5:I11" si="1">I4+1</f>
        <v>3</v>
      </c>
      <c r="J5" s="65">
        <f>Main!D61</f>
        <v>0</v>
      </c>
      <c r="K5" s="66" t="str">
        <f>Main!B61</f>
        <v/>
      </c>
      <c r="L5" s="66">
        <f>Main!E61</f>
        <v>0</v>
      </c>
      <c r="M5" s="66">
        <f>Main!F61</f>
        <v>0</v>
      </c>
      <c r="N5" s="66">
        <f>IF(Main!B61=3,"BOSS",Main!G61)</f>
        <v>0</v>
      </c>
      <c r="O5" s="65" t="e">
        <f>(INDEX('SF Data'!$M:$M,MATCH(Main!C61,'SF Data'!$C:$C,0))&amp;"0"&amp;M5)*1</f>
        <v>#N/A</v>
      </c>
      <c r="P5" s="66" t="e">
        <f>IF(N5="BOSS",100,INDEX($B$8:$G$8,MATCH(N5,$B$7:$G$7,0))*INDEX('SF Data'!AN:AN,MATCH(Main!C61,'SF Data'!C:C,0))/100)</f>
        <v>#N/A</v>
      </c>
      <c r="Q5" s="66" t="e">
        <f>INDEX('SF Data'!AE:AE,MATCH(Main!C61,'SF Data'!C:C,0))</f>
        <v>#N/A</v>
      </c>
      <c r="R5" s="66" t="e">
        <f t="shared" ref="R5:R11" si="2">INDEX($B$11:$B$15,MATCH(MAX(K5,L5),$A$11:$A$15,0))</f>
        <v>#N/A</v>
      </c>
      <c r="S5" s="66" t="e">
        <f>INDEX($B$3:$B$5,Main!$B61)</f>
        <v>#VALUE!</v>
      </c>
      <c r="T5" s="66" t="e">
        <f>INDEX('SF Resolution'!F:F,MATCH(O5,'SF Resolution'!A:A,0))</f>
        <v>#N/A</v>
      </c>
      <c r="U5" s="66" t="e">
        <f>INDEX('SF Data'!L:L,MATCH(Main!C61,'SF Data'!C:C,0))</f>
        <v>#N/A</v>
      </c>
      <c r="V5" s="67" t="e">
        <f>INDEX('SF Resolution'!G:G,MATCH(O5,'SF Resolution'!A:A,0))</f>
        <v>#N/A</v>
      </c>
      <c r="X5" s="122" t="e">
        <f t="shared" si="0"/>
        <v>#N/A</v>
      </c>
    </row>
    <row r="6" spans="1:25" x14ac:dyDescent="0.3">
      <c r="I6" s="122">
        <f t="shared" si="1"/>
        <v>4</v>
      </c>
      <c r="J6" s="65">
        <f>Main!D62</f>
        <v>0</v>
      </c>
      <c r="K6" s="66" t="str">
        <f>Main!B62</f>
        <v/>
      </c>
      <c r="L6" s="66">
        <f>Main!E62</f>
        <v>0</v>
      </c>
      <c r="M6" s="66">
        <f>Main!F62</f>
        <v>0</v>
      </c>
      <c r="N6" s="66">
        <f>IF(Main!B62=3,"BOSS",Main!G62)</f>
        <v>0</v>
      </c>
      <c r="O6" s="65" t="e">
        <f>(INDEX('SF Data'!$M:$M,MATCH(Main!C62,'SF Data'!$C:$C,0))&amp;"0"&amp;M6)*1</f>
        <v>#N/A</v>
      </c>
      <c r="P6" s="66" t="e">
        <f>IF(N6="BOSS",100,INDEX($B$8:$G$8,MATCH(N6,$B$7:$G$7,0))*INDEX('SF Data'!AN:AN,MATCH(Main!C62,'SF Data'!C:C,0))/100)</f>
        <v>#N/A</v>
      </c>
      <c r="Q6" s="66" t="e">
        <f>INDEX('SF Data'!AE:AE,MATCH(Main!C62,'SF Data'!C:C,0))</f>
        <v>#N/A</v>
      </c>
      <c r="R6" s="66" t="e">
        <f t="shared" si="2"/>
        <v>#N/A</v>
      </c>
      <c r="S6" s="66" t="e">
        <f>INDEX($B$3:$B$5,Main!$B62)</f>
        <v>#VALUE!</v>
      </c>
      <c r="T6" s="66" t="e">
        <f>INDEX('SF Resolution'!F:F,MATCH(O6,'SF Resolution'!A:A,0))</f>
        <v>#N/A</v>
      </c>
      <c r="U6" s="66" t="e">
        <f>INDEX('SF Data'!L:L,MATCH(Main!C62,'SF Data'!C:C,0))</f>
        <v>#N/A</v>
      </c>
      <c r="V6" s="67" t="e">
        <f>INDEX('SF Resolution'!G:G,MATCH(O6,'SF Resolution'!A:A,0))</f>
        <v>#N/A</v>
      </c>
      <c r="X6" s="122" t="e">
        <f t="shared" si="0"/>
        <v>#N/A</v>
      </c>
    </row>
    <row r="7" spans="1:25" x14ac:dyDescent="0.3">
      <c r="A7" s="190" t="s">
        <v>1046</v>
      </c>
      <c r="B7" s="51" t="s">
        <v>1069</v>
      </c>
      <c r="C7" s="54" t="s">
        <v>1047</v>
      </c>
      <c r="D7" s="54" t="s">
        <v>1048</v>
      </c>
      <c r="E7" s="54" t="s">
        <v>1049</v>
      </c>
      <c r="F7" s="54" t="s">
        <v>1033</v>
      </c>
      <c r="G7" s="55" t="s">
        <v>1043</v>
      </c>
      <c r="I7" s="122">
        <f t="shared" si="1"/>
        <v>5</v>
      </c>
      <c r="J7" s="65">
        <f>Main!D63</f>
        <v>0</v>
      </c>
      <c r="K7" s="66" t="str">
        <f>Main!B63</f>
        <v/>
      </c>
      <c r="L7" s="66">
        <f>Main!E63</f>
        <v>0</v>
      </c>
      <c r="M7" s="66">
        <f>Main!F63</f>
        <v>0</v>
      </c>
      <c r="N7" s="66">
        <f>IF(Main!B63=3,"BOSS",Main!G63)</f>
        <v>0</v>
      </c>
      <c r="O7" s="65" t="e">
        <f>(INDEX('SF Data'!$M:$M,MATCH(Main!C63,'SF Data'!$C:$C,0))&amp;"0"&amp;M7)*1</f>
        <v>#N/A</v>
      </c>
      <c r="P7" s="66" t="e">
        <f>IF(N7="BOSS",100,INDEX($B$8:$G$8,MATCH(N7,$B$7:$G$7,0))*INDEX('SF Data'!AN:AN,MATCH(Main!C63,'SF Data'!C:C,0))/100)</f>
        <v>#N/A</v>
      </c>
      <c r="Q7" s="66" t="e">
        <f>INDEX('SF Data'!AE:AE,MATCH(Main!C63,'SF Data'!C:C,0))</f>
        <v>#N/A</v>
      </c>
      <c r="R7" s="66" t="e">
        <f t="shared" si="2"/>
        <v>#N/A</v>
      </c>
      <c r="S7" s="66" t="e">
        <f>INDEX($B$3:$B$5,Main!$B63)</f>
        <v>#VALUE!</v>
      </c>
      <c r="T7" s="66" t="e">
        <f>INDEX('SF Resolution'!F:F,MATCH(O7,'SF Resolution'!A:A,0))</f>
        <v>#N/A</v>
      </c>
      <c r="U7" s="66" t="e">
        <f>INDEX('SF Data'!L:L,MATCH(Main!C63,'SF Data'!C:C,0))</f>
        <v>#N/A</v>
      </c>
      <c r="V7" s="67" t="e">
        <f>INDEX('SF Resolution'!G:G,MATCH(O7,'SF Resolution'!A:A,0))</f>
        <v>#N/A</v>
      </c>
      <c r="X7" s="122" t="e">
        <f t="shared" si="0"/>
        <v>#N/A</v>
      </c>
    </row>
    <row r="8" spans="1:25" x14ac:dyDescent="0.3">
      <c r="A8" s="194"/>
      <c r="B8" s="126">
        <v>100</v>
      </c>
      <c r="C8" s="127">
        <v>102</v>
      </c>
      <c r="D8" s="127">
        <v>105</v>
      </c>
      <c r="E8" s="127">
        <v>108</v>
      </c>
      <c r="F8" s="127">
        <v>110.00000000000001</v>
      </c>
      <c r="G8" s="128">
        <v>100</v>
      </c>
      <c r="I8" s="122">
        <f t="shared" si="1"/>
        <v>6</v>
      </c>
      <c r="J8" s="65">
        <f>Main!D64</f>
        <v>0</v>
      </c>
      <c r="K8" s="66" t="str">
        <f>Main!B64</f>
        <v/>
      </c>
      <c r="L8" s="66">
        <f>Main!E64</f>
        <v>0</v>
      </c>
      <c r="M8" s="66">
        <f>Main!F64</f>
        <v>0</v>
      </c>
      <c r="N8" s="66">
        <f>IF(Main!B64=3,"BOSS",Main!G64)</f>
        <v>0</v>
      </c>
      <c r="O8" s="65" t="e">
        <f>(INDEX('SF Data'!$M:$M,MATCH(Main!C64,'SF Data'!$C:$C,0))&amp;"0"&amp;M8)*1</f>
        <v>#N/A</v>
      </c>
      <c r="P8" s="66" t="e">
        <f>IF(N8="BOSS",100,INDEX($B$8:$G$8,MATCH(N8,$B$7:$G$7,0))*INDEX('SF Data'!AN:AN,MATCH(Main!C64,'SF Data'!C:C,0))/100)</f>
        <v>#N/A</v>
      </c>
      <c r="Q8" s="66" t="e">
        <f>INDEX('SF Data'!AE:AE,MATCH(Main!C64,'SF Data'!C:C,0))</f>
        <v>#N/A</v>
      </c>
      <c r="R8" s="66" t="e">
        <f t="shared" si="2"/>
        <v>#N/A</v>
      </c>
      <c r="S8" s="66" t="e">
        <f>INDEX($B$3:$B$5,Main!$B64)</f>
        <v>#VALUE!</v>
      </c>
      <c r="T8" s="66" t="e">
        <f>INDEX('SF Resolution'!F:F,MATCH(O8,'SF Resolution'!A:A,0))</f>
        <v>#N/A</v>
      </c>
      <c r="U8" s="66" t="e">
        <f>INDEX('SF Data'!L:L,MATCH(Main!C64,'SF Data'!C:C,0))</f>
        <v>#N/A</v>
      </c>
      <c r="V8" s="67" t="e">
        <f>INDEX('SF Resolution'!G:G,MATCH(O8,'SF Resolution'!A:A,0))</f>
        <v>#N/A</v>
      </c>
      <c r="X8" s="122" t="e">
        <f t="shared" si="0"/>
        <v>#N/A</v>
      </c>
    </row>
    <row r="9" spans="1:25" x14ac:dyDescent="0.3">
      <c r="I9" s="122">
        <f t="shared" si="1"/>
        <v>7</v>
      </c>
      <c r="J9" s="65">
        <f>Main!D65</f>
        <v>0</v>
      </c>
      <c r="K9" s="66" t="str">
        <f>Main!B65</f>
        <v/>
      </c>
      <c r="L9" s="66">
        <f>Main!E65</f>
        <v>0</v>
      </c>
      <c r="M9" s="66">
        <f>Main!F65</f>
        <v>0</v>
      </c>
      <c r="N9" s="66">
        <f>IF(Main!B65=3,"BOSS",Main!G65)</f>
        <v>0</v>
      </c>
      <c r="O9" s="65" t="e">
        <f>(INDEX('SF Data'!$M:$M,MATCH(Main!C65,'SF Data'!$C:$C,0))&amp;"0"&amp;M9)*1</f>
        <v>#N/A</v>
      </c>
      <c r="P9" s="66" t="e">
        <f>IF(N9="BOSS",100,INDEX($B$8:$G$8,MATCH(N9,$B$7:$G$7,0))*INDEX('SF Data'!AN:AN,MATCH(Main!C65,'SF Data'!C:C,0))/100)</f>
        <v>#N/A</v>
      </c>
      <c r="Q9" s="66" t="e">
        <f>INDEX('SF Data'!AE:AE,MATCH(Main!C65,'SF Data'!C:C,0))</f>
        <v>#N/A</v>
      </c>
      <c r="R9" s="66" t="e">
        <f t="shared" si="2"/>
        <v>#N/A</v>
      </c>
      <c r="S9" s="66" t="e">
        <f>INDEX($B$3:$B$5,Main!$B65)</f>
        <v>#VALUE!</v>
      </c>
      <c r="T9" s="66" t="e">
        <f>INDEX('SF Resolution'!F:F,MATCH(O9,'SF Resolution'!A:A,0))</f>
        <v>#N/A</v>
      </c>
      <c r="U9" s="66" t="e">
        <f>INDEX('SF Data'!L:L,MATCH(Main!C65,'SF Data'!C:C,0))</f>
        <v>#N/A</v>
      </c>
      <c r="V9" s="67" t="e">
        <f>INDEX('SF Resolution'!G:G,MATCH(O9,'SF Resolution'!A:A,0))</f>
        <v>#N/A</v>
      </c>
      <c r="X9" s="122" t="e">
        <f t="shared" si="0"/>
        <v>#N/A</v>
      </c>
    </row>
    <row r="10" spans="1:25" x14ac:dyDescent="0.3">
      <c r="A10" s="51" t="s">
        <v>1068</v>
      </c>
      <c r="B10" s="51" t="s">
        <v>9</v>
      </c>
      <c r="C10" s="54" t="s">
        <v>10</v>
      </c>
      <c r="D10" s="54" t="s">
        <v>11</v>
      </c>
      <c r="E10" s="54" t="s">
        <v>12</v>
      </c>
      <c r="F10" s="54" t="s">
        <v>13</v>
      </c>
      <c r="G10" s="55" t="s">
        <v>14</v>
      </c>
      <c r="I10" s="122">
        <f t="shared" si="1"/>
        <v>8</v>
      </c>
      <c r="J10" s="65">
        <f>Main!D66</f>
        <v>0</v>
      </c>
      <c r="K10" s="66" t="str">
        <f>Main!B66</f>
        <v/>
      </c>
      <c r="L10" s="66">
        <f>Main!E66</f>
        <v>0</v>
      </c>
      <c r="M10" s="66">
        <f>Main!F66</f>
        <v>0</v>
      </c>
      <c r="N10" s="66">
        <f>IF(Main!B66=3,"BOSS",Main!G66)</f>
        <v>0</v>
      </c>
      <c r="O10" s="65" t="e">
        <f>(INDEX('SF Data'!$M:$M,MATCH(Main!C66,'SF Data'!$C:$C,0))&amp;"0"&amp;M10)*1</f>
        <v>#N/A</v>
      </c>
      <c r="P10" s="66" t="e">
        <f>IF(N10="BOSS",100,INDEX($B$8:$G$8,MATCH(N10,$B$7:$G$7,0))*INDEX('SF Data'!AN:AN,MATCH(Main!C66,'SF Data'!C:C,0))/100)</f>
        <v>#N/A</v>
      </c>
      <c r="Q10" s="66" t="e">
        <f>INDEX('SF Data'!AE:AE,MATCH(Main!C66,'SF Data'!C:C,0))</f>
        <v>#N/A</v>
      </c>
      <c r="R10" s="66" t="e">
        <f t="shared" si="2"/>
        <v>#N/A</v>
      </c>
      <c r="S10" s="66" t="e">
        <f>INDEX($B$3:$B$5,Main!$B66)</f>
        <v>#VALUE!</v>
      </c>
      <c r="T10" s="66" t="e">
        <f>INDEX('SF Resolution'!F:F,MATCH(O10,'SF Resolution'!A:A,0))</f>
        <v>#N/A</v>
      </c>
      <c r="U10" s="66" t="e">
        <f>INDEX('SF Data'!L:L,MATCH(Main!C66,'SF Data'!C:C,0))</f>
        <v>#N/A</v>
      </c>
      <c r="V10" s="67" t="e">
        <f>INDEX('SF Resolution'!G:G,MATCH(O10,'SF Resolution'!A:A,0))</f>
        <v>#N/A</v>
      </c>
      <c r="X10" s="122" t="e">
        <f t="shared" si="0"/>
        <v>#N/A</v>
      </c>
    </row>
    <row r="11" spans="1:25" x14ac:dyDescent="0.3">
      <c r="A11" s="51">
        <v>1</v>
      </c>
      <c r="B11" s="91">
        <v>80</v>
      </c>
      <c r="C11" s="92">
        <v>80</v>
      </c>
      <c r="D11" s="92">
        <v>80</v>
      </c>
      <c r="E11" s="92">
        <v>80</v>
      </c>
      <c r="F11" s="92">
        <v>80</v>
      </c>
      <c r="G11" s="93">
        <v>80</v>
      </c>
      <c r="I11" s="123">
        <f t="shared" si="1"/>
        <v>9</v>
      </c>
      <c r="J11" s="71">
        <f>Main!D67</f>
        <v>0</v>
      </c>
      <c r="K11" s="72" t="str">
        <f>Main!B67</f>
        <v/>
      </c>
      <c r="L11" s="72">
        <f>Main!E67</f>
        <v>0</v>
      </c>
      <c r="M11" s="72">
        <f>Main!F67</f>
        <v>0</v>
      </c>
      <c r="N11" s="72">
        <f>IF(Main!B67=3,"BOSS",Main!G67)</f>
        <v>0</v>
      </c>
      <c r="O11" s="71" t="e">
        <f>(INDEX('SF Data'!$M:$M,MATCH(Main!C67,'SF Data'!$C:$C,0))&amp;"0"&amp;M11)*1</f>
        <v>#N/A</v>
      </c>
      <c r="P11" s="72" t="e">
        <f>IF(N11="BOSS",100,INDEX($B$8:$G$8,MATCH(N11,$B$7:$G$7,0))*INDEX('SF Data'!AN:AN,MATCH(Main!C67,'SF Data'!C:C,0))/100)</f>
        <v>#N/A</v>
      </c>
      <c r="Q11" s="72" t="e">
        <f>INDEX('SF Data'!AE:AE,MATCH(Main!C67,'SF Data'!C:C,0))</f>
        <v>#N/A</v>
      </c>
      <c r="R11" s="72" t="e">
        <f t="shared" si="2"/>
        <v>#N/A</v>
      </c>
      <c r="S11" s="72" t="e">
        <f>INDEX($B$3:$B$5,Main!$B67)</f>
        <v>#VALUE!</v>
      </c>
      <c r="T11" s="72" t="e">
        <f>INDEX('SF Resolution'!F:F,MATCH(O11,'SF Resolution'!A:A,0))</f>
        <v>#N/A</v>
      </c>
      <c r="U11" s="72" t="e">
        <f>INDEX('SF Data'!L:L,MATCH(Main!C67,'SF Data'!C:C,0))</f>
        <v>#N/A</v>
      </c>
      <c r="V11" s="73" t="e">
        <f>INDEX('SF Resolution'!G:G,MATCH(O11,'SF Resolution'!A:A,0))</f>
        <v>#N/A</v>
      </c>
      <c r="X11" s="123" t="e">
        <f t="shared" si="0"/>
        <v>#N/A</v>
      </c>
    </row>
    <row r="12" spans="1:25" x14ac:dyDescent="0.3">
      <c r="A12" s="52">
        <v>2</v>
      </c>
      <c r="B12" s="94">
        <v>90</v>
      </c>
      <c r="C12" s="95">
        <v>90</v>
      </c>
      <c r="D12" s="95">
        <v>90</v>
      </c>
      <c r="E12" s="95">
        <v>90</v>
      </c>
      <c r="F12" s="95">
        <v>90</v>
      </c>
      <c r="G12" s="96">
        <v>90</v>
      </c>
      <c r="I12" s="125">
        <v>10</v>
      </c>
      <c r="J12" s="59">
        <f>Main!D115</f>
        <v>100</v>
      </c>
      <c r="K12" s="60">
        <v>3</v>
      </c>
      <c r="L12" s="60">
        <f>Main!E115</f>
        <v>5</v>
      </c>
      <c r="M12" s="60">
        <f>Main!F115</f>
        <v>4</v>
      </c>
      <c r="N12" s="60" t="s">
        <v>1043</v>
      </c>
      <c r="O12" s="59">
        <f>(INDEX('SF Data'!$M:$M,MATCH(Main!C115,'SF Data'!$C:$C,0))&amp;"0"&amp;M12)*1</f>
        <v>10604</v>
      </c>
      <c r="P12" s="60">
        <v>100</v>
      </c>
      <c r="Q12" s="60">
        <f>INDEX('SF Data'!AE:AE,MATCH(Main!C115,'SF Data'!C:C,0))</f>
        <v>110</v>
      </c>
      <c r="R12" s="60">
        <f t="shared" ref="R12:R16" si="3">INDEX($B$11:$B$15,MATCH(MAX(K12,L12),$A$11:$A$15,0))</f>
        <v>120</v>
      </c>
      <c r="S12" s="60">
        <f>INDEX($B$3:$B$5,3)</f>
        <v>4.79</v>
      </c>
      <c r="T12" s="60">
        <f>INDEX('SF Resolution'!F:F,MATCH(O12,'SF Resolution'!A:A,0))</f>
        <v>1</v>
      </c>
      <c r="U12" s="60">
        <f>INDEX('SF Data'!L:L,MATCH(Main!C115,'SF Data'!C:C,0))</f>
        <v>1</v>
      </c>
      <c r="V12" s="61">
        <f>INDEX('SF Resolution'!G:G,MATCH(O12,'SF Resolution'!A:A,0))</f>
        <v>384</v>
      </c>
      <c r="X12" s="125">
        <f t="shared" ref="X12:X16" si="4">_xlfn.CEILING.MATH(P12*Q12*R12*(J12+40-1)*S12*T12/U12/1000000,1)+V12*T12</f>
        <v>1263</v>
      </c>
    </row>
    <row r="13" spans="1:25" x14ac:dyDescent="0.3">
      <c r="A13" s="52">
        <v>3</v>
      </c>
      <c r="B13" s="94">
        <v>100</v>
      </c>
      <c r="C13" s="95">
        <v>100</v>
      </c>
      <c r="D13" s="95">
        <v>100</v>
      </c>
      <c r="E13" s="95">
        <v>100</v>
      </c>
      <c r="F13" s="95">
        <v>100</v>
      </c>
      <c r="G13" s="96">
        <v>100</v>
      </c>
      <c r="I13" s="122">
        <v>11</v>
      </c>
      <c r="J13" s="65">
        <f>Main!D116</f>
        <v>100</v>
      </c>
      <c r="K13" s="66">
        <v>3</v>
      </c>
      <c r="L13" s="66">
        <f>Main!E116</f>
        <v>5</v>
      </c>
      <c r="M13" s="66">
        <f>Main!F116</f>
        <v>4</v>
      </c>
      <c r="N13" s="66" t="s">
        <v>1043</v>
      </c>
      <c r="O13" s="65">
        <f>(INDEX('SF Data'!$M:$M,MATCH(Main!C116,'SF Data'!$C:$C,0))&amp;"0"&amp;M13)*1</f>
        <v>10504</v>
      </c>
      <c r="P13" s="66">
        <v>100</v>
      </c>
      <c r="Q13" s="66">
        <f>INDEX('SF Data'!AE:AE,MATCH(Main!C116,'SF Data'!C:C,0))</f>
        <v>110</v>
      </c>
      <c r="R13" s="66">
        <f t="shared" si="3"/>
        <v>120</v>
      </c>
      <c r="S13" s="66">
        <f t="shared" ref="S13:S17" si="5">INDEX($B$3:$B$5,3)</f>
        <v>4.79</v>
      </c>
      <c r="T13" s="66">
        <f>INDEX('SF Resolution'!F:F,MATCH(O13,'SF Resolution'!A:A,0))</f>
        <v>1</v>
      </c>
      <c r="U13" s="66">
        <f>INDEX('SF Data'!L:L,MATCH(Main!C116,'SF Data'!C:C,0))</f>
        <v>1</v>
      </c>
      <c r="V13" s="67">
        <f>INDEX('SF Resolution'!G:G,MATCH(O13,'SF Resolution'!A:A,0))</f>
        <v>384</v>
      </c>
      <c r="X13" s="122">
        <f t="shared" si="4"/>
        <v>1263</v>
      </c>
    </row>
    <row r="14" spans="1:25" x14ac:dyDescent="0.3">
      <c r="A14" s="52">
        <v>4</v>
      </c>
      <c r="B14" s="94">
        <v>110</v>
      </c>
      <c r="C14" s="95">
        <v>110</v>
      </c>
      <c r="D14" s="95">
        <v>110</v>
      </c>
      <c r="E14" s="95">
        <v>110</v>
      </c>
      <c r="F14" s="95">
        <v>110</v>
      </c>
      <c r="G14" s="96">
        <v>110</v>
      </c>
      <c r="I14" s="122">
        <v>12</v>
      </c>
      <c r="J14" s="65">
        <f>Main!D117</f>
        <v>100</v>
      </c>
      <c r="K14" s="66">
        <v>3</v>
      </c>
      <c r="L14" s="66">
        <f>Main!E117</f>
        <v>5</v>
      </c>
      <c r="M14" s="66">
        <f>Main!F117</f>
        <v>4</v>
      </c>
      <c r="N14" s="66" t="s">
        <v>1043</v>
      </c>
      <c r="O14" s="65">
        <f>(INDEX('SF Data'!$M:$M,MATCH(Main!C117,'SF Data'!$C:$C,0))&amp;"0"&amp;M14)*1</f>
        <v>10904</v>
      </c>
      <c r="P14" s="66">
        <v>100</v>
      </c>
      <c r="Q14" s="66">
        <f>INDEX('SF Data'!AE:AE,MATCH(Main!C117,'SF Data'!C:C,0))</f>
        <v>95</v>
      </c>
      <c r="R14" s="66">
        <f t="shared" si="3"/>
        <v>120</v>
      </c>
      <c r="S14" s="66">
        <f t="shared" si="5"/>
        <v>4.79</v>
      </c>
      <c r="T14" s="66">
        <f>INDEX('SF Resolution'!F:F,MATCH(O14,'SF Resolution'!A:A,0))</f>
        <v>1</v>
      </c>
      <c r="U14" s="66">
        <f>INDEX('SF Data'!L:L,MATCH(Main!C117,'SF Data'!C:C,0))</f>
        <v>1</v>
      </c>
      <c r="V14" s="67">
        <f>INDEX('SF Resolution'!G:G,MATCH(O14,'SF Resolution'!A:A,0))</f>
        <v>331</v>
      </c>
      <c r="X14" s="122">
        <f t="shared" si="4"/>
        <v>1091</v>
      </c>
    </row>
    <row r="15" spans="1:25" x14ac:dyDescent="0.3">
      <c r="A15" s="53">
        <v>5</v>
      </c>
      <c r="B15" s="97">
        <v>120</v>
      </c>
      <c r="C15" s="98">
        <v>120</v>
      </c>
      <c r="D15" s="98">
        <v>120</v>
      </c>
      <c r="E15" s="98">
        <v>120</v>
      </c>
      <c r="F15" s="98">
        <v>120</v>
      </c>
      <c r="G15" s="99">
        <v>120</v>
      </c>
      <c r="I15" s="122">
        <v>13</v>
      </c>
      <c r="J15" s="65">
        <f>Main!D118</f>
        <v>100</v>
      </c>
      <c r="K15" s="66">
        <v>3</v>
      </c>
      <c r="L15" s="66">
        <f>Main!E118</f>
        <v>5</v>
      </c>
      <c r="M15" s="66">
        <f>Main!F118</f>
        <v>4</v>
      </c>
      <c r="N15" s="66" t="s">
        <v>1043</v>
      </c>
      <c r="O15" s="65">
        <f>(INDEX('SF Data'!$M:$M,MATCH(Main!C118,'SF Data'!$C:$C,0))&amp;"0"&amp;M15)*1</f>
        <v>11404</v>
      </c>
      <c r="P15" s="66">
        <v>100</v>
      </c>
      <c r="Q15" s="66">
        <f>INDEX('SF Data'!AE:AE,MATCH(Main!C118,'SF Data'!C:C,0))</f>
        <v>105</v>
      </c>
      <c r="R15" s="66">
        <f t="shared" si="3"/>
        <v>120</v>
      </c>
      <c r="S15" s="66">
        <f t="shared" si="5"/>
        <v>4.79</v>
      </c>
      <c r="T15" s="66">
        <f>INDEX('SF Resolution'!F:F,MATCH(O15,'SF Resolution'!A:A,0))</f>
        <v>1</v>
      </c>
      <c r="U15" s="66">
        <f>INDEX('SF Data'!L:L,MATCH(Main!C118,'SF Data'!C:C,0))</f>
        <v>1</v>
      </c>
      <c r="V15" s="67">
        <f>INDEX('SF Resolution'!G:G,MATCH(O15,'SF Resolution'!A:A,0))</f>
        <v>366</v>
      </c>
      <c r="X15" s="122">
        <f t="shared" si="4"/>
        <v>1205</v>
      </c>
      <c r="Y15" s="25"/>
    </row>
    <row r="16" spans="1:25" x14ac:dyDescent="0.3">
      <c r="I16" s="122">
        <v>14</v>
      </c>
      <c r="J16" s="65">
        <f>Main!D119</f>
        <v>100</v>
      </c>
      <c r="K16" s="66">
        <v>3</v>
      </c>
      <c r="L16" s="66">
        <f>Main!E119</f>
        <v>5</v>
      </c>
      <c r="M16" s="66">
        <f>Main!F119</f>
        <v>4</v>
      </c>
      <c r="N16" s="66" t="s">
        <v>1043</v>
      </c>
      <c r="O16" s="65">
        <f>(INDEX('SF Data'!$M:$M,MATCH(Main!C119,'SF Data'!$C:$C,0))&amp;"0"&amp;M16)*1</f>
        <v>11304</v>
      </c>
      <c r="P16" s="66">
        <v>100</v>
      </c>
      <c r="Q16" s="66">
        <f>INDEX('SF Data'!AE:AE,MATCH(Main!C119,'SF Data'!C:C,0))</f>
        <v>90</v>
      </c>
      <c r="R16" s="66">
        <f t="shared" si="3"/>
        <v>120</v>
      </c>
      <c r="S16" s="66">
        <f t="shared" si="5"/>
        <v>4.79</v>
      </c>
      <c r="T16" s="66">
        <f>INDEX('SF Resolution'!F:F,MATCH(O16,'SF Resolution'!A:A,0))</f>
        <v>1</v>
      </c>
      <c r="U16" s="66">
        <f>INDEX('SF Data'!L:L,MATCH(Main!C119,'SF Data'!C:C,0))</f>
        <v>1</v>
      </c>
      <c r="V16" s="67">
        <f>INDEX('SF Resolution'!G:G,MATCH(O16,'SF Resolution'!A:A,0))</f>
        <v>313</v>
      </c>
      <c r="X16" s="122">
        <f t="shared" si="4"/>
        <v>1033</v>
      </c>
      <c r="Y16" s="25"/>
    </row>
    <row r="17" spans="1:25" x14ac:dyDescent="0.3">
      <c r="A17" s="10" t="s">
        <v>1071</v>
      </c>
      <c r="I17" s="123">
        <v>15</v>
      </c>
      <c r="J17" s="71">
        <f>Main!D120</f>
        <v>100</v>
      </c>
      <c r="K17" s="72">
        <v>3</v>
      </c>
      <c r="L17" s="72">
        <f>Main!E120</f>
        <v>5</v>
      </c>
      <c r="M17" s="72">
        <f>Main!F120</f>
        <v>4</v>
      </c>
      <c r="N17" s="72" t="s">
        <v>1043</v>
      </c>
      <c r="O17" s="71">
        <f>(INDEX('SF Data'!$M:$M,MATCH(Main!C120,'SF Data'!$C:$C,0))&amp;"0"&amp;M17)*1</f>
        <v>12204</v>
      </c>
      <c r="P17" s="72">
        <v>100</v>
      </c>
      <c r="Q17" s="72">
        <f>INDEX('SF Data'!AE:AE,MATCH(Main!C120,'SF Data'!C:C,0))</f>
        <v>200</v>
      </c>
      <c r="R17" s="72">
        <f t="shared" ref="R17" si="6">INDEX($B$11:$B$15,MATCH(MAX(K17,L17),$A$11:$A$15,0))</f>
        <v>120</v>
      </c>
      <c r="S17" s="72">
        <f t="shared" si="5"/>
        <v>4.79</v>
      </c>
      <c r="T17" s="72">
        <f>INDEX('SF Resolution'!F:F,MATCH(O17,'SF Resolution'!A:A,0))</f>
        <v>1</v>
      </c>
      <c r="U17" s="72">
        <f>INDEX('SF Data'!L:L,MATCH(Main!C120,'SF Data'!C:C,0))</f>
        <v>1</v>
      </c>
      <c r="V17" s="73">
        <f>INDEX('SF Resolution'!G:G,MATCH(O17,'SF Resolution'!A:A,0))</f>
        <v>697</v>
      </c>
      <c r="X17" s="123">
        <f t="shared" ref="X17" si="7">_xlfn.CEILING.MATH(P17*Q17*R17*(J17+40-1)*S17*T17/U17/1000000,1)+V17*T17</f>
        <v>2295</v>
      </c>
      <c r="Y17" s="25"/>
    </row>
    <row r="18" spans="1:25" x14ac:dyDescent="0.3">
      <c r="A18" s="129" t="s">
        <v>1072</v>
      </c>
      <c r="T18" s="16"/>
      <c r="U18" s="11"/>
      <c r="X18" s="1"/>
      <c r="Y18" s="25"/>
    </row>
    <row r="19" spans="1:25" x14ac:dyDescent="0.3">
      <c r="T19" s="16"/>
      <c r="U19" s="11"/>
      <c r="X19" s="1"/>
      <c r="Y19" s="25"/>
    </row>
    <row r="20" spans="1:25" x14ac:dyDescent="0.3">
      <c r="A20" s="10" t="s">
        <v>6371</v>
      </c>
      <c r="T20" s="16"/>
      <c r="U20" s="11"/>
      <c r="X20" s="1"/>
      <c r="Y20" s="25"/>
    </row>
    <row r="21" spans="1:25" x14ac:dyDescent="0.3">
      <c r="A21" s="129" t="s">
        <v>6372</v>
      </c>
      <c r="T21" s="16"/>
      <c r="U21" s="11"/>
      <c r="X21" s="1"/>
      <c r="Y21" s="25"/>
    </row>
    <row r="22" spans="1:25" x14ac:dyDescent="0.3">
      <c r="T22" s="16"/>
      <c r="U22" s="11"/>
      <c r="X22" s="1"/>
      <c r="Y22" s="25"/>
    </row>
    <row r="23" spans="1:25" x14ac:dyDescent="0.3">
      <c r="T23" s="16"/>
      <c r="U23" s="11"/>
      <c r="X23" s="1"/>
      <c r="Y23" s="25"/>
    </row>
  </sheetData>
  <hyperlinks>
    <hyperlink ref="A18" r:id="rId1" xr:uid="{3AC34006-64FD-49BC-8CB8-8C14F4BE9691}"/>
    <hyperlink ref="A21" r:id="rId2" location="gid=79016818" xr:uid="{7034CA36-4FFF-49DE-BBE4-E10615790015}"/>
  </hyperlinks>
  <pageMargins left="0.7" right="0.7" top="0.75" bottom="0.75" header="0.3" footer="0.3"/>
  <pageSetup orientation="portrait" horizontalDpi="0" verticalDpi="0"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B41A1-775A-4F0D-B80E-296D6EF84929}">
  <sheetPr codeName="Sheet10">
    <tabColor theme="4" tint="0.79998168889431442"/>
  </sheetPr>
  <dimension ref="A1:K45"/>
  <sheetViews>
    <sheetView zoomScaleNormal="100" workbookViewId="0">
      <pane ySplit="1" topLeftCell="A22" activePane="bottomLeft" state="frozen"/>
      <selection activeCell="A44" sqref="A1:K45"/>
      <selection pane="bottomLeft" activeCell="B20" sqref="B20"/>
    </sheetView>
  </sheetViews>
  <sheetFormatPr defaultRowHeight="14.4" x14ac:dyDescent="0.3"/>
  <sheetData>
    <row r="1" spans="1:11" x14ac:dyDescent="0.3">
      <c r="A1" s="38" t="s">
        <v>25</v>
      </c>
      <c r="B1" s="38" t="s">
        <v>321</v>
      </c>
      <c r="C1" s="10" t="s">
        <v>61</v>
      </c>
      <c r="D1" s="38" t="s">
        <v>580</v>
      </c>
      <c r="E1" s="10" t="s">
        <v>631</v>
      </c>
      <c r="F1" s="10" t="s">
        <v>632</v>
      </c>
      <c r="G1" s="10" t="s">
        <v>633</v>
      </c>
      <c r="H1" s="10" t="s">
        <v>634</v>
      </c>
      <c r="I1" s="10" t="s">
        <v>635</v>
      </c>
      <c r="J1" s="10" t="s">
        <v>311</v>
      </c>
      <c r="K1" s="10" t="s">
        <v>582</v>
      </c>
    </row>
    <row r="2" spans="1:11" x14ac:dyDescent="0.3">
      <c r="A2" s="1">
        <v>9</v>
      </c>
      <c r="B2" t="s">
        <v>643</v>
      </c>
      <c r="C2" s="1">
        <v>4</v>
      </c>
      <c r="D2" t="s">
        <v>591</v>
      </c>
      <c r="E2" s="1">
        <v>0</v>
      </c>
      <c r="F2" s="1">
        <v>100</v>
      </c>
      <c r="G2" s="1">
        <v>500</v>
      </c>
      <c r="H2" s="1">
        <v>1500</v>
      </c>
      <c r="I2" s="1">
        <v>3000</v>
      </c>
      <c r="J2" s="1">
        <v>1</v>
      </c>
      <c r="K2" s="1">
        <v>0</v>
      </c>
    </row>
    <row r="3" spans="1:11" x14ac:dyDescent="0.3">
      <c r="A3" s="1">
        <v>1007</v>
      </c>
      <c r="B3" t="s">
        <v>622</v>
      </c>
      <c r="C3" s="1">
        <v>2</v>
      </c>
      <c r="D3" t="s">
        <v>623</v>
      </c>
      <c r="E3" s="1">
        <v>0</v>
      </c>
      <c r="F3" s="1">
        <v>100</v>
      </c>
      <c r="G3" s="1">
        <v>200</v>
      </c>
      <c r="H3" s="1">
        <v>350</v>
      </c>
      <c r="I3" s="1">
        <v>550</v>
      </c>
      <c r="J3" s="1">
        <v>1</v>
      </c>
      <c r="K3" s="1">
        <v>1</v>
      </c>
    </row>
    <row r="4" spans="1:11" x14ac:dyDescent="0.3">
      <c r="A4" s="1">
        <v>3</v>
      </c>
      <c r="B4" t="s">
        <v>637</v>
      </c>
      <c r="C4" s="1">
        <v>3</v>
      </c>
      <c r="D4" t="s">
        <v>585</v>
      </c>
      <c r="E4" s="1">
        <v>0</v>
      </c>
      <c r="F4" s="1">
        <v>100</v>
      </c>
      <c r="G4" s="1">
        <v>500</v>
      </c>
      <c r="H4" s="1">
        <v>1500</v>
      </c>
      <c r="I4" s="1">
        <v>3000</v>
      </c>
      <c r="J4" s="1">
        <v>1</v>
      </c>
      <c r="K4" s="1">
        <v>0</v>
      </c>
    </row>
    <row r="5" spans="1:11" x14ac:dyDescent="0.3">
      <c r="A5" s="1">
        <v>8</v>
      </c>
      <c r="B5" t="s">
        <v>642</v>
      </c>
      <c r="C5" s="1">
        <v>4</v>
      </c>
      <c r="D5" t="s">
        <v>590</v>
      </c>
      <c r="E5" s="1">
        <v>0</v>
      </c>
      <c r="F5" s="1">
        <v>100</v>
      </c>
      <c r="G5" s="1">
        <v>500</v>
      </c>
      <c r="H5" s="1">
        <v>1500</v>
      </c>
      <c r="I5" s="1">
        <v>3000</v>
      </c>
      <c r="J5" s="1">
        <v>1</v>
      </c>
      <c r="K5" s="1">
        <v>0</v>
      </c>
    </row>
    <row r="6" spans="1:11" x14ac:dyDescent="0.3">
      <c r="A6" s="1">
        <v>27</v>
      </c>
      <c r="B6" t="s">
        <v>659</v>
      </c>
      <c r="C6" s="1">
        <v>6</v>
      </c>
      <c r="D6" t="s">
        <v>611</v>
      </c>
      <c r="E6" s="1">
        <v>0</v>
      </c>
      <c r="F6" s="1">
        <v>100</v>
      </c>
      <c r="G6" s="1">
        <v>200</v>
      </c>
      <c r="H6" s="1">
        <v>350</v>
      </c>
      <c r="I6" s="1">
        <v>550</v>
      </c>
      <c r="J6" s="1">
        <v>2</v>
      </c>
      <c r="K6" s="1">
        <v>0</v>
      </c>
    </row>
    <row r="7" spans="1:11" x14ac:dyDescent="0.3">
      <c r="A7" s="1">
        <v>24</v>
      </c>
      <c r="B7" t="s">
        <v>924</v>
      </c>
      <c r="C7" s="1">
        <v>3</v>
      </c>
      <c r="D7" t="s">
        <v>608</v>
      </c>
      <c r="E7" s="1">
        <v>0</v>
      </c>
      <c r="F7" s="1">
        <v>100</v>
      </c>
      <c r="G7" s="1">
        <v>500</v>
      </c>
      <c r="H7" s="1">
        <v>1500</v>
      </c>
      <c r="I7" s="1">
        <v>3000</v>
      </c>
      <c r="J7" s="1">
        <v>1</v>
      </c>
      <c r="K7" s="1">
        <v>0</v>
      </c>
    </row>
    <row r="8" spans="1:11" x14ac:dyDescent="0.3">
      <c r="A8" s="1">
        <v>22</v>
      </c>
      <c r="B8" t="s">
        <v>655</v>
      </c>
      <c r="C8" s="1">
        <v>6</v>
      </c>
      <c r="D8" t="s">
        <v>606</v>
      </c>
      <c r="E8" s="1">
        <v>0</v>
      </c>
      <c r="F8" s="1">
        <v>100</v>
      </c>
      <c r="G8" s="1">
        <v>200</v>
      </c>
      <c r="H8" s="1">
        <v>350</v>
      </c>
      <c r="I8" s="1">
        <v>550</v>
      </c>
      <c r="J8" s="1">
        <v>1</v>
      </c>
      <c r="K8" s="1">
        <v>0</v>
      </c>
    </row>
    <row r="9" spans="1:11" x14ac:dyDescent="0.3">
      <c r="A9" s="1">
        <v>29</v>
      </c>
      <c r="B9" t="s">
        <v>661</v>
      </c>
      <c r="C9" s="1">
        <v>2</v>
      </c>
      <c r="D9" t="s">
        <v>613</v>
      </c>
      <c r="E9" s="1">
        <v>0</v>
      </c>
      <c r="F9" s="1">
        <v>100</v>
      </c>
      <c r="G9" s="1">
        <v>200</v>
      </c>
      <c r="H9" s="1">
        <v>350</v>
      </c>
      <c r="I9" s="1">
        <v>550</v>
      </c>
      <c r="J9" s="1">
        <v>1</v>
      </c>
      <c r="K9" s="1">
        <v>0</v>
      </c>
    </row>
    <row r="10" spans="1:11" x14ac:dyDescent="0.3">
      <c r="A10" s="1">
        <v>1003</v>
      </c>
      <c r="B10" t="s">
        <v>617</v>
      </c>
      <c r="C10" s="1">
        <v>3</v>
      </c>
      <c r="D10" t="s">
        <v>618</v>
      </c>
      <c r="E10" s="1">
        <v>0</v>
      </c>
      <c r="F10" s="1">
        <v>100</v>
      </c>
      <c r="G10" s="1">
        <v>200</v>
      </c>
      <c r="H10" s="1">
        <v>350</v>
      </c>
      <c r="I10" s="1">
        <v>550</v>
      </c>
      <c r="J10" s="1">
        <v>1</v>
      </c>
      <c r="K10" s="1">
        <v>1</v>
      </c>
    </row>
    <row r="11" spans="1:11" x14ac:dyDescent="0.3">
      <c r="A11" s="1">
        <v>23</v>
      </c>
      <c r="B11" t="s">
        <v>656</v>
      </c>
      <c r="C11" s="1">
        <v>6</v>
      </c>
      <c r="D11" t="s">
        <v>607</v>
      </c>
      <c r="E11" s="1">
        <v>0</v>
      </c>
      <c r="F11" s="1">
        <v>100</v>
      </c>
      <c r="G11" s="1">
        <v>500</v>
      </c>
      <c r="H11" s="1">
        <v>1500</v>
      </c>
      <c r="I11" s="1">
        <v>3000</v>
      </c>
      <c r="J11" s="1">
        <v>2</v>
      </c>
      <c r="K11" s="1">
        <v>0</v>
      </c>
    </row>
    <row r="12" spans="1:11" x14ac:dyDescent="0.3">
      <c r="A12" s="1">
        <v>15</v>
      </c>
      <c r="B12" t="s">
        <v>649</v>
      </c>
      <c r="C12" s="1">
        <v>1</v>
      </c>
      <c r="D12" t="s">
        <v>598</v>
      </c>
      <c r="E12" s="1">
        <v>0</v>
      </c>
      <c r="F12" s="1">
        <v>100</v>
      </c>
      <c r="G12" s="1">
        <v>500</v>
      </c>
      <c r="H12" s="1">
        <v>1500</v>
      </c>
      <c r="I12" s="1">
        <v>3000</v>
      </c>
      <c r="J12" s="1">
        <v>1</v>
      </c>
      <c r="K12" s="1">
        <v>0</v>
      </c>
    </row>
    <row r="13" spans="1:11" x14ac:dyDescent="0.3">
      <c r="A13" s="1">
        <v>14</v>
      </c>
      <c r="B13" t="s">
        <v>648</v>
      </c>
      <c r="C13" s="1">
        <v>6</v>
      </c>
      <c r="D13" t="s">
        <v>597</v>
      </c>
      <c r="E13" s="1">
        <v>0</v>
      </c>
      <c r="F13" s="1">
        <v>100</v>
      </c>
      <c r="G13" s="1">
        <v>500</v>
      </c>
      <c r="H13" s="1">
        <v>1500</v>
      </c>
      <c r="I13" s="1">
        <v>3000</v>
      </c>
      <c r="J13" s="1">
        <v>2</v>
      </c>
      <c r="K13" s="1">
        <v>0</v>
      </c>
    </row>
    <row r="14" spans="1:11" x14ac:dyDescent="0.3">
      <c r="A14" s="1">
        <v>19</v>
      </c>
      <c r="B14" t="s">
        <v>653</v>
      </c>
      <c r="C14" s="1">
        <v>2</v>
      </c>
      <c r="D14" t="s">
        <v>602</v>
      </c>
      <c r="E14" s="1">
        <v>0</v>
      </c>
      <c r="F14" s="1">
        <v>100</v>
      </c>
      <c r="G14" s="1">
        <v>200</v>
      </c>
      <c r="H14" s="1">
        <v>350</v>
      </c>
      <c r="I14" s="1">
        <v>550</v>
      </c>
      <c r="J14" s="1">
        <v>1</v>
      </c>
      <c r="K14" s="1">
        <v>0</v>
      </c>
    </row>
    <row r="15" spans="1:11" x14ac:dyDescent="0.3">
      <c r="A15" s="1">
        <v>5</v>
      </c>
      <c r="B15" t="s">
        <v>639</v>
      </c>
      <c r="C15" s="1">
        <v>5</v>
      </c>
      <c r="D15" t="s">
        <v>587</v>
      </c>
      <c r="E15" s="1">
        <v>0</v>
      </c>
      <c r="F15" s="1">
        <v>100</v>
      </c>
      <c r="G15" s="1">
        <v>500</v>
      </c>
      <c r="H15" s="1">
        <v>1500</v>
      </c>
      <c r="I15" s="1">
        <v>3000</v>
      </c>
      <c r="J15" s="1">
        <v>2</v>
      </c>
      <c r="K15" s="1">
        <v>0</v>
      </c>
    </row>
    <row r="16" spans="1:11" x14ac:dyDescent="0.3">
      <c r="A16" s="1">
        <v>28</v>
      </c>
      <c r="B16" t="s">
        <v>660</v>
      </c>
      <c r="C16" s="1">
        <v>6</v>
      </c>
      <c r="D16" t="s">
        <v>612</v>
      </c>
      <c r="E16" s="1">
        <v>0</v>
      </c>
      <c r="F16" s="1">
        <v>100</v>
      </c>
      <c r="G16" s="1">
        <v>200</v>
      </c>
      <c r="H16" s="1">
        <v>350</v>
      </c>
      <c r="I16" s="1">
        <v>550</v>
      </c>
      <c r="J16" s="1">
        <v>2</v>
      </c>
      <c r="K16" s="1">
        <v>0</v>
      </c>
    </row>
    <row r="17" spans="1:11" x14ac:dyDescent="0.3">
      <c r="A17" s="1">
        <v>20</v>
      </c>
      <c r="B17" t="s">
        <v>654</v>
      </c>
      <c r="C17" s="1">
        <v>2</v>
      </c>
      <c r="D17" t="s">
        <v>603</v>
      </c>
      <c r="E17" s="1">
        <v>0</v>
      </c>
      <c r="F17" s="1">
        <v>100</v>
      </c>
      <c r="G17" s="1">
        <v>200</v>
      </c>
      <c r="H17" s="1">
        <v>350</v>
      </c>
      <c r="I17" s="1">
        <v>550</v>
      </c>
      <c r="J17" s="1">
        <v>1</v>
      </c>
      <c r="K17" s="1">
        <v>0</v>
      </c>
    </row>
    <row r="18" spans="1:11" x14ac:dyDescent="0.3">
      <c r="A18" s="1">
        <v>2</v>
      </c>
      <c r="B18" t="s">
        <v>636</v>
      </c>
      <c r="C18" s="1">
        <v>2</v>
      </c>
      <c r="D18" t="s">
        <v>584</v>
      </c>
      <c r="E18" s="1">
        <v>0</v>
      </c>
      <c r="F18" s="1">
        <v>100</v>
      </c>
      <c r="G18" s="1">
        <v>500</v>
      </c>
      <c r="H18" s="1">
        <v>1500</v>
      </c>
      <c r="I18" s="1">
        <v>3000</v>
      </c>
      <c r="J18" s="1">
        <v>1</v>
      </c>
      <c r="K18" s="1">
        <v>0</v>
      </c>
    </row>
    <row r="19" spans="1:11" x14ac:dyDescent="0.3">
      <c r="A19" s="1">
        <v>18</v>
      </c>
      <c r="B19" t="s">
        <v>652</v>
      </c>
      <c r="C19" s="1">
        <v>2</v>
      </c>
      <c r="D19" t="s">
        <v>601</v>
      </c>
      <c r="E19" s="1">
        <v>0</v>
      </c>
      <c r="F19" s="1">
        <v>100</v>
      </c>
      <c r="G19" s="1">
        <v>200</v>
      </c>
      <c r="H19" s="1">
        <v>350</v>
      </c>
      <c r="I19" s="1">
        <v>550</v>
      </c>
      <c r="J19" s="1">
        <v>1</v>
      </c>
      <c r="K19" s="1">
        <v>0</v>
      </c>
    </row>
    <row r="20" spans="1:11" x14ac:dyDescent="0.3">
      <c r="A20" s="1">
        <v>35</v>
      </c>
      <c r="B20" t="s">
        <v>9153</v>
      </c>
      <c r="C20" s="1">
        <v>2</v>
      </c>
      <c r="D20" s="189" t="s">
        <v>9154</v>
      </c>
      <c r="E20" s="1">
        <v>0</v>
      </c>
      <c r="F20" s="1">
        <v>100</v>
      </c>
      <c r="G20" s="1">
        <v>200</v>
      </c>
      <c r="H20" s="1">
        <v>350</v>
      </c>
      <c r="I20" s="1">
        <v>550</v>
      </c>
      <c r="J20" s="1">
        <v>1</v>
      </c>
      <c r="K20" s="1">
        <v>0</v>
      </c>
    </row>
    <row r="21" spans="1:11" x14ac:dyDescent="0.3">
      <c r="A21" s="1">
        <v>17</v>
      </c>
      <c r="B21" t="s">
        <v>651</v>
      </c>
      <c r="C21" s="1">
        <v>1</v>
      </c>
      <c r="D21" t="s">
        <v>600</v>
      </c>
      <c r="E21" s="1">
        <v>0</v>
      </c>
      <c r="F21" s="1">
        <v>100</v>
      </c>
      <c r="G21" s="1">
        <v>500</v>
      </c>
      <c r="H21" s="1">
        <v>1500</v>
      </c>
      <c r="I21" s="1">
        <v>3000</v>
      </c>
      <c r="J21" s="1">
        <v>2</v>
      </c>
      <c r="K21" s="1">
        <v>0</v>
      </c>
    </row>
    <row r="22" spans="1:11" x14ac:dyDescent="0.3">
      <c r="A22" s="1">
        <v>1002</v>
      </c>
      <c r="B22" t="s">
        <v>615</v>
      </c>
      <c r="C22" s="1">
        <v>6</v>
      </c>
      <c r="D22" t="s">
        <v>616</v>
      </c>
      <c r="E22" s="1">
        <v>0</v>
      </c>
      <c r="F22" s="1">
        <v>100</v>
      </c>
      <c r="G22" s="1">
        <v>200</v>
      </c>
      <c r="H22" s="1">
        <v>350</v>
      </c>
      <c r="I22" s="1">
        <v>550</v>
      </c>
      <c r="J22" s="1">
        <v>2</v>
      </c>
      <c r="K22" s="1">
        <v>1</v>
      </c>
    </row>
    <row r="23" spans="1:11" x14ac:dyDescent="0.3">
      <c r="A23" s="1">
        <v>1008</v>
      </c>
      <c r="B23" t="s">
        <v>1605</v>
      </c>
      <c r="C23" s="1">
        <v>2</v>
      </c>
      <c r="D23" t="s">
        <v>1606</v>
      </c>
      <c r="E23" s="1">
        <v>0</v>
      </c>
      <c r="F23" s="1">
        <v>100</v>
      </c>
      <c r="G23" s="1">
        <v>200</v>
      </c>
      <c r="H23" s="1">
        <v>250</v>
      </c>
      <c r="I23" s="1">
        <v>550</v>
      </c>
      <c r="J23" s="1">
        <v>1</v>
      </c>
      <c r="K23" s="1">
        <v>1</v>
      </c>
    </row>
    <row r="24" spans="1:11" x14ac:dyDescent="0.3">
      <c r="A24" s="1">
        <v>1009</v>
      </c>
      <c r="B24" t="s">
        <v>7087</v>
      </c>
      <c r="C24" s="1">
        <v>2</v>
      </c>
      <c r="D24">
        <v>757097</v>
      </c>
      <c r="E24" s="1">
        <v>0</v>
      </c>
      <c r="F24" s="1">
        <v>100</v>
      </c>
      <c r="G24" s="1">
        <v>200</v>
      </c>
      <c r="H24" s="1">
        <v>350</v>
      </c>
      <c r="I24" s="1">
        <v>550</v>
      </c>
      <c r="J24" s="1">
        <v>1</v>
      </c>
      <c r="K24" s="1">
        <v>1</v>
      </c>
    </row>
    <row r="25" spans="1:11" x14ac:dyDescent="0.3">
      <c r="A25" s="1">
        <v>12</v>
      </c>
      <c r="B25" t="s">
        <v>594</v>
      </c>
      <c r="C25" s="1">
        <v>6</v>
      </c>
      <c r="D25" t="s">
        <v>595</v>
      </c>
      <c r="E25" s="1">
        <v>0</v>
      </c>
      <c r="F25" s="1">
        <v>100</v>
      </c>
      <c r="G25" s="1">
        <v>500</v>
      </c>
      <c r="H25" s="1">
        <v>1500</v>
      </c>
      <c r="I25" s="1">
        <v>3000</v>
      </c>
      <c r="J25" s="1">
        <v>2</v>
      </c>
      <c r="K25" s="1">
        <v>0</v>
      </c>
    </row>
    <row r="26" spans="1:11" x14ac:dyDescent="0.3">
      <c r="A26" s="1">
        <v>21</v>
      </c>
      <c r="B26" t="s">
        <v>604</v>
      </c>
      <c r="C26" s="1">
        <v>6</v>
      </c>
      <c r="D26" t="s">
        <v>605</v>
      </c>
      <c r="E26" s="1">
        <v>0</v>
      </c>
      <c r="F26" s="1">
        <v>100</v>
      </c>
      <c r="G26" s="1">
        <v>200</v>
      </c>
      <c r="H26" s="1">
        <v>350</v>
      </c>
      <c r="I26" s="1">
        <v>550</v>
      </c>
      <c r="J26" s="1">
        <v>1</v>
      </c>
      <c r="K26" s="1">
        <v>0</v>
      </c>
    </row>
    <row r="27" spans="1:11" x14ac:dyDescent="0.3">
      <c r="A27" s="1">
        <v>33</v>
      </c>
      <c r="B27" t="s">
        <v>7303</v>
      </c>
      <c r="C27" s="1">
        <v>6</v>
      </c>
      <c r="D27" t="s">
        <v>7304</v>
      </c>
      <c r="E27" s="1">
        <v>0</v>
      </c>
      <c r="F27" s="1">
        <v>100</v>
      </c>
      <c r="G27" s="1">
        <v>200</v>
      </c>
      <c r="H27" s="1">
        <v>350</v>
      </c>
      <c r="I27" s="1">
        <v>550</v>
      </c>
      <c r="J27" s="1">
        <v>1</v>
      </c>
      <c r="K27" s="1">
        <v>1</v>
      </c>
    </row>
    <row r="28" spans="1:11" x14ac:dyDescent="0.3">
      <c r="A28" s="1">
        <v>11</v>
      </c>
      <c r="B28" t="s">
        <v>645</v>
      </c>
      <c r="C28" s="1">
        <v>5</v>
      </c>
      <c r="D28" t="s">
        <v>593</v>
      </c>
      <c r="E28" s="1">
        <v>0</v>
      </c>
      <c r="F28" s="1">
        <v>100</v>
      </c>
      <c r="G28" s="1">
        <v>500</v>
      </c>
      <c r="H28" s="1">
        <v>1500</v>
      </c>
      <c r="I28" s="1">
        <v>3000</v>
      </c>
      <c r="J28" s="1">
        <v>2</v>
      </c>
      <c r="K28" s="1">
        <v>0</v>
      </c>
    </row>
    <row r="29" spans="1:11" x14ac:dyDescent="0.3">
      <c r="A29" s="1">
        <v>32</v>
      </c>
      <c r="B29" t="s">
        <v>8064</v>
      </c>
      <c r="C29" s="1">
        <v>3</v>
      </c>
      <c r="D29" s="189" t="s">
        <v>8065</v>
      </c>
      <c r="E29" s="1">
        <v>0</v>
      </c>
      <c r="F29" s="1">
        <v>100</v>
      </c>
      <c r="G29" s="1">
        <v>200</v>
      </c>
      <c r="H29" s="1">
        <v>350</v>
      </c>
      <c r="I29" s="1">
        <v>550</v>
      </c>
      <c r="J29" s="1">
        <v>1</v>
      </c>
      <c r="K29" s="1">
        <v>1</v>
      </c>
    </row>
    <row r="30" spans="1:11" x14ac:dyDescent="0.3">
      <c r="A30" s="1">
        <v>1006</v>
      </c>
      <c r="B30" t="s">
        <v>663</v>
      </c>
      <c r="C30" s="1">
        <v>2</v>
      </c>
      <c r="D30" t="s">
        <v>621</v>
      </c>
      <c r="E30" s="1">
        <v>0</v>
      </c>
      <c r="F30" s="1">
        <v>100</v>
      </c>
      <c r="G30" s="1">
        <v>200</v>
      </c>
      <c r="H30" s="1">
        <v>350</v>
      </c>
      <c r="I30" s="1">
        <v>550</v>
      </c>
      <c r="J30" s="1">
        <v>1</v>
      </c>
      <c r="K30" s="1">
        <v>1</v>
      </c>
    </row>
    <row r="31" spans="1:11" x14ac:dyDescent="0.3">
      <c r="A31" s="1">
        <v>26</v>
      </c>
      <c r="B31" t="s">
        <v>658</v>
      </c>
      <c r="C31" s="1">
        <v>1</v>
      </c>
      <c r="D31" t="s">
        <v>610</v>
      </c>
      <c r="E31" s="1">
        <v>0</v>
      </c>
      <c r="F31" s="1">
        <v>100</v>
      </c>
      <c r="G31" s="1">
        <v>500</v>
      </c>
      <c r="H31" s="1">
        <v>1500</v>
      </c>
      <c r="I31" s="1">
        <v>3000</v>
      </c>
      <c r="J31" s="1">
        <v>1</v>
      </c>
      <c r="K31" s="1">
        <v>0</v>
      </c>
    </row>
    <row r="32" spans="1:11" x14ac:dyDescent="0.3">
      <c r="A32" s="1">
        <v>10</v>
      </c>
      <c r="B32" t="s">
        <v>644</v>
      </c>
      <c r="C32" s="1">
        <v>5</v>
      </c>
      <c r="D32" t="s">
        <v>592</v>
      </c>
      <c r="E32" s="1">
        <v>0</v>
      </c>
      <c r="F32" s="1">
        <v>100</v>
      </c>
      <c r="G32" s="1">
        <v>500</v>
      </c>
      <c r="H32" s="1">
        <v>1500</v>
      </c>
      <c r="I32" s="1">
        <v>3000</v>
      </c>
      <c r="J32" s="1">
        <v>2</v>
      </c>
      <c r="K32" s="1">
        <v>0</v>
      </c>
    </row>
    <row r="33" spans="1:11" x14ac:dyDescent="0.3">
      <c r="A33" s="1">
        <v>16</v>
      </c>
      <c r="B33" t="s">
        <v>650</v>
      </c>
      <c r="C33" s="1">
        <v>1</v>
      </c>
      <c r="D33" t="s">
        <v>599</v>
      </c>
      <c r="E33" s="1">
        <v>0</v>
      </c>
      <c r="F33" s="1">
        <v>100</v>
      </c>
      <c r="G33" s="1">
        <v>500</v>
      </c>
      <c r="H33" s="1">
        <v>1500</v>
      </c>
      <c r="I33" s="1">
        <v>3000</v>
      </c>
      <c r="J33" s="1">
        <v>1</v>
      </c>
      <c r="K33" s="1">
        <v>0</v>
      </c>
    </row>
    <row r="34" spans="1:11" x14ac:dyDescent="0.3">
      <c r="A34" s="1">
        <v>13</v>
      </c>
      <c r="B34" t="s">
        <v>647</v>
      </c>
      <c r="C34" s="1">
        <v>6</v>
      </c>
      <c r="D34" t="s">
        <v>596</v>
      </c>
      <c r="E34" s="1">
        <v>0</v>
      </c>
      <c r="F34" s="1">
        <v>100</v>
      </c>
      <c r="G34" s="1">
        <v>500</v>
      </c>
      <c r="H34" s="1">
        <v>1500</v>
      </c>
      <c r="I34" s="1">
        <v>3000</v>
      </c>
      <c r="J34" s="1">
        <v>2</v>
      </c>
      <c r="K34" s="1">
        <v>0</v>
      </c>
    </row>
    <row r="35" spans="1:11" x14ac:dyDescent="0.3">
      <c r="A35" s="1">
        <v>1001</v>
      </c>
      <c r="B35" t="s">
        <v>235</v>
      </c>
      <c r="C35" s="1">
        <v>4</v>
      </c>
      <c r="D35" t="s">
        <v>614</v>
      </c>
      <c r="E35" s="1">
        <v>0</v>
      </c>
      <c r="F35" s="1">
        <v>100</v>
      </c>
      <c r="G35" s="1">
        <v>200</v>
      </c>
      <c r="H35" s="1">
        <v>350</v>
      </c>
      <c r="I35" s="1">
        <v>550</v>
      </c>
      <c r="J35" s="1">
        <v>1</v>
      </c>
      <c r="K35" s="1">
        <v>1</v>
      </c>
    </row>
    <row r="36" spans="1:11" x14ac:dyDescent="0.3">
      <c r="A36" s="1">
        <v>1005</v>
      </c>
      <c r="B36" t="s">
        <v>664</v>
      </c>
      <c r="C36" s="1">
        <v>2</v>
      </c>
      <c r="D36" t="s">
        <v>620</v>
      </c>
      <c r="E36" s="1">
        <v>0</v>
      </c>
      <c r="F36" s="1">
        <v>100</v>
      </c>
      <c r="G36" s="1">
        <v>200</v>
      </c>
      <c r="H36" s="1">
        <v>350</v>
      </c>
      <c r="I36" s="1">
        <v>550</v>
      </c>
      <c r="J36" s="1">
        <v>1</v>
      </c>
      <c r="K36" s="1">
        <v>1</v>
      </c>
    </row>
    <row r="37" spans="1:11" x14ac:dyDescent="0.3">
      <c r="A37" s="1">
        <v>4</v>
      </c>
      <c r="B37" t="s">
        <v>638</v>
      </c>
      <c r="C37" s="1">
        <v>3</v>
      </c>
      <c r="D37" t="s">
        <v>586</v>
      </c>
      <c r="E37" s="1">
        <v>0</v>
      </c>
      <c r="F37" s="1">
        <v>100</v>
      </c>
      <c r="G37" s="1">
        <v>500</v>
      </c>
      <c r="H37" s="1">
        <v>1500</v>
      </c>
      <c r="I37" s="1">
        <v>3000</v>
      </c>
      <c r="J37" s="1">
        <v>1</v>
      </c>
      <c r="K37" s="1">
        <v>0</v>
      </c>
    </row>
    <row r="38" spans="1:11" x14ac:dyDescent="0.3">
      <c r="A38" s="1">
        <v>7</v>
      </c>
      <c r="B38" t="s">
        <v>641</v>
      </c>
      <c r="C38" s="1">
        <v>4</v>
      </c>
      <c r="D38" t="s">
        <v>589</v>
      </c>
      <c r="E38" s="1">
        <v>0</v>
      </c>
      <c r="F38" s="1">
        <v>100</v>
      </c>
      <c r="G38" s="1">
        <v>500</v>
      </c>
      <c r="H38" s="1">
        <v>1500</v>
      </c>
      <c r="I38" s="1">
        <v>3000</v>
      </c>
      <c r="J38" s="1">
        <v>1</v>
      </c>
      <c r="K38" s="1">
        <v>0</v>
      </c>
    </row>
    <row r="39" spans="1:11" x14ac:dyDescent="0.3">
      <c r="A39" s="1">
        <v>1004</v>
      </c>
      <c r="B39" t="s">
        <v>662</v>
      </c>
      <c r="C39" s="1">
        <v>6</v>
      </c>
      <c r="D39" t="s">
        <v>619</v>
      </c>
      <c r="E39" s="1">
        <v>0</v>
      </c>
      <c r="F39" s="1">
        <v>100</v>
      </c>
      <c r="G39" s="1">
        <v>200</v>
      </c>
      <c r="H39" s="1">
        <v>350</v>
      </c>
      <c r="I39" s="1">
        <v>550</v>
      </c>
      <c r="J39" s="1">
        <v>2</v>
      </c>
      <c r="K39" s="1">
        <v>1</v>
      </c>
    </row>
    <row r="40" spans="1:11" x14ac:dyDescent="0.3">
      <c r="A40" s="1">
        <v>6</v>
      </c>
      <c r="B40" t="s">
        <v>640</v>
      </c>
      <c r="C40" s="1">
        <v>3</v>
      </c>
      <c r="D40" t="s">
        <v>588</v>
      </c>
      <c r="E40" s="1">
        <v>0</v>
      </c>
      <c r="F40" s="1">
        <v>100</v>
      </c>
      <c r="G40" s="1">
        <v>500</v>
      </c>
      <c r="H40" s="1">
        <v>1500</v>
      </c>
      <c r="I40" s="1">
        <v>3000</v>
      </c>
      <c r="J40" s="1">
        <v>1</v>
      </c>
      <c r="K40" s="1">
        <v>0</v>
      </c>
    </row>
    <row r="41" spans="1:11" x14ac:dyDescent="0.3">
      <c r="A41" s="1">
        <v>34</v>
      </c>
      <c r="B41" t="s">
        <v>8056</v>
      </c>
      <c r="C41" s="1">
        <v>2</v>
      </c>
      <c r="D41" s="189" t="s">
        <v>8057</v>
      </c>
      <c r="E41" s="1">
        <v>0</v>
      </c>
      <c r="F41" s="1">
        <v>100</v>
      </c>
      <c r="G41" s="1">
        <v>200</v>
      </c>
      <c r="H41" s="1">
        <v>350</v>
      </c>
      <c r="I41" s="1">
        <v>550</v>
      </c>
      <c r="J41" s="1">
        <v>1</v>
      </c>
      <c r="K41" s="1">
        <v>0</v>
      </c>
    </row>
    <row r="42" spans="1:11" x14ac:dyDescent="0.3">
      <c r="A42" s="1">
        <v>31</v>
      </c>
      <c r="B42" t="s">
        <v>5775</v>
      </c>
      <c r="C42" s="1">
        <v>6</v>
      </c>
      <c r="D42" t="s">
        <v>5774</v>
      </c>
      <c r="E42" s="1">
        <v>0</v>
      </c>
      <c r="F42" s="1">
        <v>100</v>
      </c>
      <c r="G42" s="1">
        <v>200</v>
      </c>
      <c r="H42" s="1">
        <v>350</v>
      </c>
      <c r="I42" s="1">
        <v>550</v>
      </c>
      <c r="J42" s="1">
        <v>2</v>
      </c>
      <c r="K42" s="1">
        <v>0</v>
      </c>
    </row>
    <row r="43" spans="1:11" x14ac:dyDescent="0.3">
      <c r="A43" s="1">
        <v>25</v>
      </c>
      <c r="B43" t="s">
        <v>657</v>
      </c>
      <c r="C43" s="1">
        <v>3</v>
      </c>
      <c r="D43" t="s">
        <v>609</v>
      </c>
      <c r="E43" s="1">
        <v>0</v>
      </c>
      <c r="F43" s="1">
        <v>100</v>
      </c>
      <c r="G43" s="1">
        <v>500</v>
      </c>
      <c r="H43" s="1">
        <v>1500</v>
      </c>
      <c r="I43" s="1">
        <v>3000</v>
      </c>
      <c r="J43" s="1">
        <v>1</v>
      </c>
      <c r="K43" s="1">
        <v>0</v>
      </c>
    </row>
    <row r="44" spans="1:11" x14ac:dyDescent="0.3">
      <c r="A44" s="1">
        <v>1</v>
      </c>
      <c r="B44" t="s">
        <v>646</v>
      </c>
      <c r="C44" s="1">
        <v>2</v>
      </c>
      <c r="D44" t="s">
        <v>583</v>
      </c>
      <c r="E44" s="1">
        <v>0</v>
      </c>
      <c r="F44" s="1">
        <v>100</v>
      </c>
      <c r="G44" s="1">
        <v>500</v>
      </c>
      <c r="H44" s="1">
        <v>1500</v>
      </c>
      <c r="I44" s="1">
        <v>3000</v>
      </c>
      <c r="J44" s="1">
        <v>1</v>
      </c>
      <c r="K44" s="1">
        <v>0</v>
      </c>
    </row>
    <row r="45" spans="1:11" x14ac:dyDescent="0.3">
      <c r="A45" s="1">
        <v>30</v>
      </c>
      <c r="B45" t="s">
        <v>1717</v>
      </c>
      <c r="C45" s="1">
        <v>6</v>
      </c>
      <c r="D45" t="s">
        <v>1718</v>
      </c>
      <c r="E45" s="1">
        <v>0</v>
      </c>
      <c r="F45" s="1">
        <v>100</v>
      </c>
      <c r="G45" s="1">
        <v>200</v>
      </c>
      <c r="H45" s="1">
        <v>350</v>
      </c>
      <c r="I45" s="1">
        <v>550</v>
      </c>
      <c r="J45" s="1">
        <v>1</v>
      </c>
      <c r="K45" s="1">
        <v>0</v>
      </c>
    </row>
  </sheetData>
  <autoFilter ref="A1:K38" xr:uid="{E8DDA3D5-6745-4184-9D68-AAC802051D8B}">
    <sortState xmlns:xlrd2="http://schemas.microsoft.com/office/spreadsheetml/2017/richdata2" ref="A2:K42">
      <sortCondition ref="B1:B38"/>
    </sortState>
  </autoFilter>
  <sortState xmlns:xlrd2="http://schemas.microsoft.com/office/spreadsheetml/2017/richdata2" ref="A2:K45">
    <sortCondition ref="B2:B45"/>
  </sortState>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DCA8B-9C20-4DEA-A645-AE681A0D89F2}">
  <sheetPr codeName="Sheet11">
    <tabColor theme="4" tint="0.79998168889431442"/>
  </sheetPr>
  <dimension ref="A1:C26"/>
  <sheetViews>
    <sheetView workbookViewId="0">
      <pane ySplit="1" topLeftCell="A2" activePane="bottomLeft" state="frozen"/>
      <selection pane="bottomLeft"/>
    </sheetView>
  </sheetViews>
  <sheetFormatPr defaultRowHeight="14.4" x14ac:dyDescent="0.3"/>
  <cols>
    <col min="1" max="1" width="12.33203125" bestFit="1" customWidth="1"/>
    <col min="2" max="2" width="8.88671875" bestFit="1" customWidth="1"/>
    <col min="3" max="3" width="44.88671875" bestFit="1" customWidth="1"/>
  </cols>
  <sheetData>
    <row r="1" spans="1:3" x14ac:dyDescent="0.3">
      <c r="A1" s="38" t="s">
        <v>579</v>
      </c>
      <c r="B1" s="38" t="s">
        <v>699</v>
      </c>
      <c r="C1" s="38" t="s">
        <v>700</v>
      </c>
    </row>
    <row r="2" spans="1:3" x14ac:dyDescent="0.3">
      <c r="A2" t="s">
        <v>669</v>
      </c>
      <c r="B2" s="1">
        <v>910103</v>
      </c>
      <c r="C2" t="s">
        <v>670</v>
      </c>
    </row>
    <row r="3" spans="1:3" x14ac:dyDescent="0.3">
      <c r="A3" t="s">
        <v>671</v>
      </c>
      <c r="B3" s="1">
        <v>910104</v>
      </c>
      <c r="C3" t="s">
        <v>672</v>
      </c>
    </row>
    <row r="4" spans="1:3" x14ac:dyDescent="0.3">
      <c r="A4" t="s">
        <v>689</v>
      </c>
      <c r="B4" s="1">
        <v>910113</v>
      </c>
      <c r="C4" t="s">
        <v>690</v>
      </c>
    </row>
    <row r="5" spans="1:3" x14ac:dyDescent="0.3">
      <c r="A5" t="s">
        <v>677</v>
      </c>
      <c r="B5" s="1">
        <v>910107</v>
      </c>
      <c r="C5" t="s">
        <v>678</v>
      </c>
    </row>
    <row r="6" spans="1:3" x14ac:dyDescent="0.3">
      <c r="A6" t="s">
        <v>679</v>
      </c>
      <c r="B6" s="1">
        <v>910108</v>
      </c>
      <c r="C6" t="s">
        <v>680</v>
      </c>
    </row>
    <row r="7" spans="1:3" x14ac:dyDescent="0.3">
      <c r="A7" t="s">
        <v>687</v>
      </c>
      <c r="B7" s="1">
        <v>910112</v>
      </c>
      <c r="C7" t="s">
        <v>688</v>
      </c>
    </row>
    <row r="8" spans="1:3" x14ac:dyDescent="0.3">
      <c r="A8" t="s">
        <v>685</v>
      </c>
      <c r="B8" s="1">
        <v>910111</v>
      </c>
      <c r="C8" t="s">
        <v>686</v>
      </c>
    </row>
    <row r="9" spans="1:3" x14ac:dyDescent="0.3">
      <c r="A9" t="s">
        <v>681</v>
      </c>
      <c r="B9" s="1">
        <v>910109</v>
      </c>
      <c r="C9" t="s">
        <v>682</v>
      </c>
    </row>
    <row r="10" spans="1:3" x14ac:dyDescent="0.3">
      <c r="A10" t="s">
        <v>683</v>
      </c>
      <c r="B10" s="1">
        <v>910110</v>
      </c>
      <c r="C10" t="s">
        <v>684</v>
      </c>
    </row>
    <row r="11" spans="1:3" x14ac:dyDescent="0.3">
      <c r="A11" t="s">
        <v>665</v>
      </c>
      <c r="B11" s="1">
        <v>910101</v>
      </c>
      <c r="C11" t="s">
        <v>666</v>
      </c>
    </row>
    <row r="12" spans="1:3" x14ac:dyDescent="0.3">
      <c r="A12" t="s">
        <v>667</v>
      </c>
      <c r="B12" s="1">
        <v>910102</v>
      </c>
      <c r="C12" t="s">
        <v>668</v>
      </c>
    </row>
    <row r="13" spans="1:3" x14ac:dyDescent="0.3">
      <c r="A13" t="s">
        <v>673</v>
      </c>
      <c r="B13" s="1">
        <v>910105</v>
      </c>
      <c r="C13" t="s">
        <v>674</v>
      </c>
    </row>
    <row r="14" spans="1:3" x14ac:dyDescent="0.3">
      <c r="A14" t="s">
        <v>675</v>
      </c>
      <c r="B14" s="1">
        <v>910106</v>
      </c>
      <c r="C14" t="s">
        <v>676</v>
      </c>
    </row>
    <row r="15" spans="1:3" x14ac:dyDescent="0.3">
      <c r="A15" t="s">
        <v>697</v>
      </c>
      <c r="B15" s="1">
        <v>910117</v>
      </c>
      <c r="C15" t="s">
        <v>698</v>
      </c>
    </row>
    <row r="16" spans="1:3" x14ac:dyDescent="0.3">
      <c r="A16" t="s">
        <v>695</v>
      </c>
      <c r="B16" s="1">
        <v>910116</v>
      </c>
      <c r="C16" t="s">
        <v>696</v>
      </c>
    </row>
    <row r="17" spans="1:3" x14ac:dyDescent="0.3">
      <c r="A17" t="s">
        <v>691</v>
      </c>
      <c r="B17" s="1">
        <v>910114</v>
      </c>
      <c r="C17" t="s">
        <v>692</v>
      </c>
    </row>
    <row r="18" spans="1:3" x14ac:dyDescent="0.3">
      <c r="A18" t="s">
        <v>693</v>
      </c>
      <c r="B18" s="1">
        <v>910115</v>
      </c>
      <c r="C18" t="s">
        <v>694</v>
      </c>
    </row>
    <row r="19" spans="1:3" x14ac:dyDescent="0.3">
      <c r="A19" t="s">
        <v>659</v>
      </c>
      <c r="B19" s="1">
        <v>910124</v>
      </c>
      <c r="C19" t="s">
        <v>963</v>
      </c>
    </row>
    <row r="20" spans="1:3" x14ac:dyDescent="0.3">
      <c r="A20" t="s">
        <v>655</v>
      </c>
      <c r="B20" s="1">
        <v>910122</v>
      </c>
      <c r="C20" t="s">
        <v>963</v>
      </c>
    </row>
    <row r="21" spans="1:3" x14ac:dyDescent="0.3">
      <c r="A21" t="s">
        <v>961</v>
      </c>
      <c r="B21" s="1">
        <v>902385</v>
      </c>
      <c r="C21" t="s">
        <v>963</v>
      </c>
    </row>
    <row r="22" spans="1:3" x14ac:dyDescent="0.3">
      <c r="A22" t="s">
        <v>653</v>
      </c>
      <c r="B22" s="1">
        <v>910119</v>
      </c>
      <c r="C22" t="s">
        <v>963</v>
      </c>
    </row>
    <row r="23" spans="1:3" x14ac:dyDescent="0.3">
      <c r="A23" t="s">
        <v>654</v>
      </c>
      <c r="B23" s="1">
        <v>910120</v>
      </c>
      <c r="C23" t="s">
        <v>963</v>
      </c>
    </row>
    <row r="24" spans="1:3" x14ac:dyDescent="0.3">
      <c r="A24" t="s">
        <v>652</v>
      </c>
      <c r="B24" s="1">
        <v>910118</v>
      </c>
      <c r="C24" t="s">
        <v>963</v>
      </c>
    </row>
    <row r="25" spans="1:3" x14ac:dyDescent="0.3">
      <c r="A25" t="s">
        <v>960</v>
      </c>
      <c r="B25" s="1">
        <v>900906</v>
      </c>
      <c r="C25" t="s">
        <v>963</v>
      </c>
    </row>
    <row r="26" spans="1:3" x14ac:dyDescent="0.3">
      <c r="A26" t="s">
        <v>962</v>
      </c>
      <c r="B26" s="1">
        <v>910121</v>
      </c>
      <c r="C26" t="s">
        <v>963</v>
      </c>
    </row>
  </sheetData>
  <autoFilter ref="A1:C18" xr:uid="{0E359118-7D95-4ACC-8776-8DCF05482381}">
    <sortState xmlns:xlrd2="http://schemas.microsoft.com/office/spreadsheetml/2017/richdata2" ref="A2:C26">
      <sortCondition ref="A1:A18"/>
    </sortState>
  </autoFilter>
  <sortState xmlns:xlrd2="http://schemas.microsoft.com/office/spreadsheetml/2017/richdata2" ref="A19:C26">
    <sortCondition ref="A19"/>
  </sortState>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A082A-A666-4668-8F43-539CF987A91B}">
  <sheetPr codeName="Sheet15">
    <tabColor theme="8" tint="0.79998168889431442"/>
  </sheetPr>
  <dimension ref="A1:G27"/>
  <sheetViews>
    <sheetView workbookViewId="0"/>
  </sheetViews>
  <sheetFormatPr defaultRowHeight="14.4" x14ac:dyDescent="0.3"/>
  <cols>
    <col min="1" max="1" width="26" customWidth="1"/>
    <col min="5" max="5" width="25.109375" bestFit="1" customWidth="1"/>
    <col min="6" max="6" width="8" bestFit="1" customWidth="1"/>
    <col min="7" max="7" width="9" bestFit="1" customWidth="1"/>
  </cols>
  <sheetData>
    <row r="1" spans="1:7" x14ac:dyDescent="0.3">
      <c r="A1" s="38" t="s">
        <v>6587</v>
      </c>
      <c r="B1" s="38" t="s">
        <v>938</v>
      </c>
      <c r="C1" s="38" t="s">
        <v>939</v>
      </c>
      <c r="E1" s="38" t="s">
        <v>6588</v>
      </c>
      <c r="F1" s="38" t="s">
        <v>938</v>
      </c>
      <c r="G1" s="38" t="s">
        <v>939</v>
      </c>
    </row>
    <row r="2" spans="1:7" x14ac:dyDescent="0.3">
      <c r="A2" s="9" t="s">
        <v>6598</v>
      </c>
      <c r="B2" s="1">
        <v>50008</v>
      </c>
      <c r="C2" s="1">
        <v>30011</v>
      </c>
      <c r="E2" s="9" t="s">
        <v>659</v>
      </c>
      <c r="F2" s="1">
        <v>1811</v>
      </c>
      <c r="G2" s="1">
        <v>18</v>
      </c>
    </row>
    <row r="3" spans="1:7" x14ac:dyDescent="0.3">
      <c r="A3" s="9" t="s">
        <v>659</v>
      </c>
      <c r="B3" s="1">
        <v>1801</v>
      </c>
      <c r="C3" s="1">
        <v>18</v>
      </c>
      <c r="E3" s="9" t="s">
        <v>6590</v>
      </c>
      <c r="F3" s="1">
        <v>440002</v>
      </c>
      <c r="G3" s="1">
        <v>4400</v>
      </c>
    </row>
    <row r="4" spans="1:7" x14ac:dyDescent="0.3">
      <c r="A4" s="9" t="s">
        <v>940</v>
      </c>
      <c r="B4" s="1">
        <v>1700</v>
      </c>
      <c r="C4" s="1">
        <v>17</v>
      </c>
      <c r="E4" s="9" t="s">
        <v>6601</v>
      </c>
      <c r="F4" s="1">
        <v>10086</v>
      </c>
      <c r="G4" s="1">
        <v>9</v>
      </c>
    </row>
    <row r="5" spans="1:7" x14ac:dyDescent="0.3">
      <c r="A5" s="9" t="s">
        <v>941</v>
      </c>
      <c r="B5" s="1">
        <v>1701</v>
      </c>
      <c r="C5" s="1">
        <v>17</v>
      </c>
      <c r="E5" s="9" t="s">
        <v>8034</v>
      </c>
      <c r="F5" s="1">
        <v>6360003</v>
      </c>
      <c r="G5" s="1">
        <v>6360018</v>
      </c>
    </row>
    <row r="6" spans="1:7" x14ac:dyDescent="0.3">
      <c r="A6" s="9" t="s">
        <v>942</v>
      </c>
      <c r="B6" s="1">
        <v>1702</v>
      </c>
      <c r="C6" s="1">
        <v>17</v>
      </c>
      <c r="E6" s="9"/>
      <c r="F6" s="1"/>
      <c r="G6" s="1"/>
    </row>
    <row r="7" spans="1:7" x14ac:dyDescent="0.3">
      <c r="A7" s="9" t="s">
        <v>648</v>
      </c>
      <c r="B7" s="1">
        <v>6</v>
      </c>
      <c r="C7" s="1">
        <v>12</v>
      </c>
      <c r="E7" s="9"/>
      <c r="F7" s="1"/>
      <c r="G7" s="1"/>
    </row>
    <row r="8" spans="1:7" x14ac:dyDescent="0.3">
      <c r="A8" s="9" t="s">
        <v>6589</v>
      </c>
      <c r="B8" s="1">
        <v>440001</v>
      </c>
      <c r="C8" s="1">
        <v>4400</v>
      </c>
      <c r="E8" s="9"/>
      <c r="F8" s="1"/>
      <c r="G8" s="1"/>
    </row>
    <row r="9" spans="1:7" x14ac:dyDescent="0.3">
      <c r="A9" s="9" t="s">
        <v>6599</v>
      </c>
      <c r="B9" s="1">
        <v>5</v>
      </c>
      <c r="C9" s="1">
        <v>6</v>
      </c>
      <c r="E9" s="9"/>
      <c r="F9" s="1"/>
      <c r="G9" s="1"/>
    </row>
    <row r="10" spans="1:7" x14ac:dyDescent="0.3">
      <c r="A10" s="9" t="s">
        <v>6337</v>
      </c>
      <c r="B10" s="1">
        <v>2000</v>
      </c>
      <c r="C10" s="1">
        <v>20</v>
      </c>
      <c r="E10" s="9"/>
      <c r="F10" s="1"/>
      <c r="G10" s="1"/>
    </row>
    <row r="11" spans="1:7" x14ac:dyDescent="0.3">
      <c r="A11" s="9" t="s">
        <v>6338</v>
      </c>
      <c r="B11" s="1">
        <v>1900</v>
      </c>
      <c r="C11" s="1">
        <v>19</v>
      </c>
      <c r="E11" s="9"/>
      <c r="F11" s="1"/>
      <c r="G11" s="1"/>
    </row>
    <row r="12" spans="1:7" x14ac:dyDescent="0.3">
      <c r="A12" t="s">
        <v>7305</v>
      </c>
      <c r="B12" s="1">
        <v>6580005</v>
      </c>
      <c r="C12" s="1">
        <v>65800</v>
      </c>
      <c r="E12" s="9"/>
      <c r="F12" s="1"/>
      <c r="G12" s="1"/>
    </row>
    <row r="13" spans="1:7" x14ac:dyDescent="0.3">
      <c r="A13" t="s">
        <v>7306</v>
      </c>
      <c r="B13" s="1">
        <v>6580007</v>
      </c>
      <c r="C13" s="1">
        <v>65800</v>
      </c>
      <c r="E13" s="9"/>
      <c r="F13" s="1"/>
      <c r="G13" s="1"/>
    </row>
    <row r="14" spans="1:7" x14ac:dyDescent="0.3">
      <c r="A14" t="s">
        <v>7307</v>
      </c>
      <c r="B14" s="1">
        <v>6580008</v>
      </c>
      <c r="C14" s="1">
        <v>65800</v>
      </c>
      <c r="E14" s="9"/>
      <c r="F14" s="1"/>
      <c r="G14" s="1"/>
    </row>
    <row r="15" spans="1:7" x14ac:dyDescent="0.3">
      <c r="A15" t="s">
        <v>7308</v>
      </c>
      <c r="B15" s="1">
        <v>6580009</v>
      </c>
      <c r="C15" s="1">
        <v>65800</v>
      </c>
      <c r="E15" s="9"/>
      <c r="F15" s="1"/>
      <c r="G15" s="1"/>
    </row>
    <row r="16" spans="1:7" x14ac:dyDescent="0.3">
      <c r="A16" t="s">
        <v>7309</v>
      </c>
      <c r="B16" s="1">
        <v>580121</v>
      </c>
      <c r="C16" s="1">
        <v>580120</v>
      </c>
    </row>
    <row r="17" spans="1:3" x14ac:dyDescent="0.3">
      <c r="A17" s="9" t="s">
        <v>651</v>
      </c>
      <c r="B17" s="1">
        <v>15</v>
      </c>
      <c r="C17" s="1">
        <v>15</v>
      </c>
    </row>
    <row r="18" spans="1:3" x14ac:dyDescent="0.3">
      <c r="A18" s="9" t="s">
        <v>1700</v>
      </c>
      <c r="B18" s="1">
        <v>50005</v>
      </c>
      <c r="C18" s="1">
        <v>30007</v>
      </c>
    </row>
    <row r="19" spans="1:3" x14ac:dyDescent="0.3">
      <c r="A19" s="9" t="s">
        <v>6459</v>
      </c>
      <c r="B19" s="1">
        <v>50007</v>
      </c>
      <c r="C19" s="1">
        <v>30009</v>
      </c>
    </row>
    <row r="20" spans="1:3" x14ac:dyDescent="0.3">
      <c r="A20" s="9" t="s">
        <v>7966</v>
      </c>
      <c r="B20" s="1">
        <v>6540000</v>
      </c>
      <c r="C20" s="1">
        <v>6540001</v>
      </c>
    </row>
    <row r="21" spans="1:3" x14ac:dyDescent="0.3">
      <c r="A21" s="9" t="s">
        <v>7967</v>
      </c>
      <c r="B21" s="1">
        <v>6540003</v>
      </c>
      <c r="C21" s="1">
        <v>6540001</v>
      </c>
    </row>
    <row r="22" spans="1:3" x14ac:dyDescent="0.3">
      <c r="A22" s="9" t="s">
        <v>7968</v>
      </c>
      <c r="B22" s="1">
        <v>6540006</v>
      </c>
      <c r="C22" s="1">
        <v>6540001</v>
      </c>
    </row>
    <row r="23" spans="1:3" x14ac:dyDescent="0.3">
      <c r="A23" s="9" t="s">
        <v>7969</v>
      </c>
      <c r="B23" s="1">
        <v>6540010</v>
      </c>
      <c r="C23" s="1">
        <v>6540001</v>
      </c>
    </row>
    <row r="24" spans="1:3" x14ac:dyDescent="0.3">
      <c r="A24" s="9" t="s">
        <v>6600</v>
      </c>
      <c r="B24" s="1">
        <v>10086</v>
      </c>
      <c r="C24" s="1">
        <v>9</v>
      </c>
    </row>
    <row r="25" spans="1:3" x14ac:dyDescent="0.3">
      <c r="A25" s="9" t="s">
        <v>8033</v>
      </c>
      <c r="B25" s="1">
        <v>6360007</v>
      </c>
      <c r="C25" s="1">
        <v>6360013</v>
      </c>
    </row>
    <row r="26" spans="1:3" x14ac:dyDescent="0.3">
      <c r="A26" s="9" t="s">
        <v>647</v>
      </c>
      <c r="B26" s="1">
        <v>2300</v>
      </c>
      <c r="C26" s="1">
        <v>23</v>
      </c>
    </row>
    <row r="27" spans="1:3" x14ac:dyDescent="0.3">
      <c r="A27" s="9" t="s">
        <v>662</v>
      </c>
      <c r="B27" s="1">
        <v>1004</v>
      </c>
      <c r="C27" s="1">
        <v>1004</v>
      </c>
    </row>
  </sheetData>
  <sortState xmlns:xlrd2="http://schemas.microsoft.com/office/spreadsheetml/2017/richdata2" ref="E2:G5">
    <sortCondition ref="E2:E5"/>
  </sortState>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BC3A-A4D5-42BB-9575-F9F228933279}">
  <sheetPr codeName="Sheet9">
    <tabColor theme="4" tint="0.79998168889431442"/>
  </sheetPr>
  <dimension ref="A1:AX443"/>
  <sheetViews>
    <sheetView topLeftCell="AC1" workbookViewId="0">
      <pane ySplit="1" topLeftCell="A424" activePane="bottomLeft" state="frozen"/>
      <selection activeCell="AV2" sqref="AV2:AV331"/>
      <selection pane="bottomLeft" activeCell="AV2" sqref="AV2:AV331"/>
    </sheetView>
  </sheetViews>
  <sheetFormatPr defaultRowHeight="14.4" x14ac:dyDescent="0.3"/>
  <cols>
    <col min="1" max="1" width="7.33203125" bestFit="1" customWidth="1"/>
    <col min="2" max="2" width="15" bestFit="1" customWidth="1"/>
    <col min="3" max="3" width="15.5546875" bestFit="1" customWidth="1"/>
    <col min="4" max="4" width="9.44140625" bestFit="1" customWidth="1"/>
    <col min="5" max="5" width="13.109375" bestFit="1" customWidth="1"/>
    <col min="6" max="6" width="9.5546875" bestFit="1" customWidth="1"/>
    <col min="7" max="7" width="9.44140625" style="1" bestFit="1" customWidth="1"/>
    <col min="8" max="8" width="8" style="1" bestFit="1" customWidth="1"/>
    <col min="9" max="9" width="11.109375" style="1" bestFit="1" customWidth="1"/>
    <col min="10" max="10" width="11" style="1" bestFit="1" customWidth="1"/>
    <col min="11" max="11" width="9.109375" style="1" customWidth="1"/>
    <col min="12" max="12" width="21.88671875" style="1" bestFit="1" customWidth="1"/>
    <col min="13" max="13" width="19.44140625" style="1" bestFit="1" customWidth="1"/>
    <col min="14" max="14" width="19.109375" style="1" bestFit="1" customWidth="1"/>
    <col min="15" max="15" width="10.88671875" style="1" bestFit="1" customWidth="1"/>
    <col min="16" max="16" width="11" style="1" bestFit="1" customWidth="1"/>
    <col min="17" max="17" width="20.44140625" style="1" bestFit="1" customWidth="1"/>
    <col min="18" max="18" width="22.44140625" style="1" bestFit="1" customWidth="1"/>
    <col min="19" max="19" width="23.5546875" style="1" bestFit="1" customWidth="1"/>
    <col min="20" max="20" width="22.44140625" style="1" bestFit="1" customWidth="1"/>
    <col min="21" max="21" width="19.5546875" style="1" bestFit="1" customWidth="1"/>
    <col min="22" max="22" width="15.44140625" style="1" bestFit="1" customWidth="1"/>
    <col min="23" max="23" width="23.88671875" style="1" bestFit="1" customWidth="1"/>
    <col min="24" max="24" width="20.44140625" style="1" bestFit="1" customWidth="1"/>
    <col min="25" max="25" width="21" style="1" bestFit="1" customWidth="1"/>
    <col min="26" max="26" width="16.44140625" style="1" bestFit="1" customWidth="1"/>
    <col min="27" max="27" width="16.5546875" style="1" bestFit="1" customWidth="1"/>
    <col min="28" max="28" width="13.6640625" style="1" bestFit="1" customWidth="1"/>
    <col min="29" max="29" width="14.44140625" style="1" bestFit="1" customWidth="1"/>
    <col min="30" max="30" width="17.109375" style="1" bestFit="1" customWidth="1"/>
    <col min="31" max="32" width="15.109375" style="1" bestFit="1" customWidth="1"/>
    <col min="33" max="33" width="19.33203125" style="208" bestFit="1" customWidth="1"/>
    <col min="34" max="34" width="21.5546875" style="1" bestFit="1" customWidth="1"/>
    <col min="35" max="35" width="13.6640625" bestFit="1" customWidth="1"/>
    <col min="36" max="36" width="18" bestFit="1" customWidth="1"/>
    <col min="37" max="37" width="22.6640625" style="1" bestFit="1" customWidth="1"/>
    <col min="38" max="38" width="23" style="1" bestFit="1" customWidth="1"/>
    <col min="39" max="39" width="17.44140625" style="1" bestFit="1" customWidth="1"/>
    <col min="40" max="40" width="20.33203125" style="1" bestFit="1" customWidth="1"/>
    <col min="41" max="42" width="18.33203125" style="1" bestFit="1" customWidth="1"/>
    <col min="43" max="43" width="18.5546875" style="1" bestFit="1" customWidth="1"/>
    <col min="44" max="44" width="49.33203125" bestFit="1" customWidth="1"/>
    <col min="46" max="46" width="14.44140625" bestFit="1" customWidth="1"/>
    <col min="47" max="47" width="12.44140625" bestFit="1" customWidth="1"/>
    <col min="48" max="48" width="16.44140625" bestFit="1" customWidth="1"/>
    <col min="49" max="49" width="17.44140625" bestFit="1" customWidth="1"/>
  </cols>
  <sheetData>
    <row r="1" spans="1:50" x14ac:dyDescent="0.3">
      <c r="A1" s="38" t="s">
        <v>25</v>
      </c>
      <c r="B1" s="38" t="s">
        <v>1777</v>
      </c>
      <c r="C1" s="38" t="s">
        <v>1778</v>
      </c>
      <c r="D1" s="38" t="s">
        <v>220</v>
      </c>
      <c r="E1" s="38" t="s">
        <v>311</v>
      </c>
      <c r="F1" s="38" t="s">
        <v>61</v>
      </c>
      <c r="G1" s="38" t="s">
        <v>37</v>
      </c>
      <c r="H1" s="38" t="s">
        <v>38</v>
      </c>
      <c r="I1" s="38" t="s">
        <v>39</v>
      </c>
      <c r="J1" s="38" t="s">
        <v>312</v>
      </c>
      <c r="K1" s="38" t="s">
        <v>40</v>
      </c>
      <c r="L1" s="38" t="s">
        <v>313</v>
      </c>
      <c r="M1" s="38" t="s">
        <v>314</v>
      </c>
      <c r="N1" s="38" t="s">
        <v>221</v>
      </c>
      <c r="O1" s="38" t="s">
        <v>277</v>
      </c>
      <c r="P1" s="38" t="s">
        <v>315</v>
      </c>
      <c r="Q1" s="38" t="s">
        <v>316</v>
      </c>
      <c r="R1" s="38" t="s">
        <v>317</v>
      </c>
      <c r="S1" s="38" t="s">
        <v>318</v>
      </c>
      <c r="T1" s="38" t="s">
        <v>319</v>
      </c>
      <c r="U1" s="38" t="s">
        <v>320</v>
      </c>
      <c r="V1" s="38" t="s">
        <v>1801</v>
      </c>
      <c r="W1" s="38" t="s">
        <v>1779</v>
      </c>
      <c r="X1" s="38" t="s">
        <v>1780</v>
      </c>
      <c r="Y1" s="38" t="s">
        <v>1781</v>
      </c>
      <c r="Z1" s="38" t="s">
        <v>1782</v>
      </c>
      <c r="AA1" s="38" t="s">
        <v>1783</v>
      </c>
      <c r="AB1" s="38" t="s">
        <v>1784</v>
      </c>
      <c r="AC1" s="38" t="s">
        <v>1785</v>
      </c>
      <c r="AD1" s="38" t="s">
        <v>1786</v>
      </c>
      <c r="AE1" s="38" t="s">
        <v>1787</v>
      </c>
      <c r="AF1" s="38" t="s">
        <v>1788</v>
      </c>
      <c r="AG1" s="206" t="s">
        <v>321</v>
      </c>
      <c r="AH1" s="38" t="s">
        <v>322</v>
      </c>
      <c r="AI1" s="38" t="s">
        <v>1789</v>
      </c>
      <c r="AJ1" s="38" t="s">
        <v>1790</v>
      </c>
      <c r="AK1" s="38" t="s">
        <v>323</v>
      </c>
      <c r="AL1" s="38" t="s">
        <v>1791</v>
      </c>
      <c r="AM1" s="38" t="s">
        <v>1792</v>
      </c>
      <c r="AN1" s="38" t="s">
        <v>1793</v>
      </c>
      <c r="AO1" s="38" t="s">
        <v>1794</v>
      </c>
      <c r="AP1" s="38" t="s">
        <v>1795</v>
      </c>
      <c r="AQ1" s="38" t="s">
        <v>1796</v>
      </c>
      <c r="AR1" s="38" t="s">
        <v>1466</v>
      </c>
      <c r="AS1" s="38" t="s">
        <v>1797</v>
      </c>
      <c r="AT1" s="10" t="s">
        <v>629</v>
      </c>
      <c r="AU1" s="10" t="s">
        <v>1798</v>
      </c>
      <c r="AV1" s="10" t="s">
        <v>1799</v>
      </c>
      <c r="AW1" s="10" t="s">
        <v>1800</v>
      </c>
    </row>
    <row r="2" spans="1:50" x14ac:dyDescent="0.3">
      <c r="A2" s="1">
        <v>1</v>
      </c>
      <c r="B2" s="1" t="s">
        <v>1802</v>
      </c>
      <c r="C2" s="1" t="s">
        <v>1803</v>
      </c>
      <c r="D2" s="1">
        <v>2</v>
      </c>
      <c r="E2" s="1">
        <v>1</v>
      </c>
      <c r="F2" s="1">
        <v>1</v>
      </c>
      <c r="G2" s="1" t="s">
        <v>328</v>
      </c>
      <c r="H2" s="1" t="s">
        <v>328</v>
      </c>
      <c r="I2" s="1" t="s">
        <v>328</v>
      </c>
      <c r="J2" s="1" t="s">
        <v>328</v>
      </c>
      <c r="K2" s="1" t="s">
        <v>328</v>
      </c>
      <c r="L2" s="1" t="s">
        <v>328</v>
      </c>
      <c r="M2" s="1" t="s">
        <v>324</v>
      </c>
      <c r="N2" s="1" t="s">
        <v>328</v>
      </c>
      <c r="O2" s="1" t="s">
        <v>328</v>
      </c>
      <c r="P2" s="1" t="s">
        <v>328</v>
      </c>
      <c r="Q2" s="1" t="s">
        <v>328</v>
      </c>
      <c r="R2" s="1" t="s">
        <v>328</v>
      </c>
      <c r="S2" s="1" t="s">
        <v>328</v>
      </c>
      <c r="T2" s="1" t="s">
        <v>328</v>
      </c>
      <c r="U2" s="1">
        <v>0</v>
      </c>
      <c r="V2" s="1">
        <v>0</v>
      </c>
      <c r="W2" s="1">
        <v>0</v>
      </c>
      <c r="X2" s="1">
        <v>0</v>
      </c>
      <c r="Y2" s="1">
        <v>0</v>
      </c>
      <c r="Z2" s="1">
        <v>0</v>
      </c>
      <c r="AA2" s="1">
        <v>0</v>
      </c>
      <c r="AB2" s="1">
        <v>0</v>
      </c>
      <c r="AC2" s="1">
        <v>1</v>
      </c>
      <c r="AD2" s="1">
        <v>0</v>
      </c>
      <c r="AE2" s="1">
        <v>1</v>
      </c>
      <c r="AF2" s="1">
        <v>0</v>
      </c>
      <c r="AG2" s="208" t="s">
        <v>519</v>
      </c>
      <c r="AH2" s="1">
        <v>300</v>
      </c>
      <c r="AI2" s="1" t="s">
        <v>1804</v>
      </c>
      <c r="AJ2" s="1">
        <v>0</v>
      </c>
      <c r="AK2" s="1" t="s">
        <v>328</v>
      </c>
      <c r="AL2" s="1" t="s">
        <v>1805</v>
      </c>
      <c r="AM2" s="1">
        <v>0</v>
      </c>
      <c r="AN2" s="1">
        <v>0</v>
      </c>
      <c r="AO2" s="1">
        <v>0</v>
      </c>
      <c r="AP2" s="1">
        <v>0</v>
      </c>
      <c r="AQ2" s="1">
        <v>1</v>
      </c>
      <c r="AR2" s="1" t="s">
        <v>328</v>
      </c>
      <c r="AS2" s="1">
        <v>0</v>
      </c>
      <c r="AT2" s="1" t="s">
        <v>1806</v>
      </c>
      <c r="AU2" s="1">
        <v>0</v>
      </c>
      <c r="AV2" s="1">
        <v>1001</v>
      </c>
      <c r="AW2" s="1">
        <v>0</v>
      </c>
      <c r="AX2" t="b">
        <v>0</v>
      </c>
    </row>
    <row r="3" spans="1:50" x14ac:dyDescent="0.3">
      <c r="A3" s="1">
        <v>2</v>
      </c>
      <c r="B3" s="1" t="s">
        <v>1807</v>
      </c>
      <c r="C3" s="1" t="s">
        <v>1808</v>
      </c>
      <c r="D3" s="1">
        <v>3</v>
      </c>
      <c r="E3" s="1">
        <v>1</v>
      </c>
      <c r="F3" s="1">
        <v>1</v>
      </c>
      <c r="G3" s="1" t="s">
        <v>328</v>
      </c>
      <c r="H3" s="1" t="s">
        <v>328</v>
      </c>
      <c r="I3" s="1" t="s">
        <v>328</v>
      </c>
      <c r="J3" s="1" t="s">
        <v>328</v>
      </c>
      <c r="K3" s="1" t="s">
        <v>328</v>
      </c>
      <c r="L3" s="1" t="s">
        <v>328</v>
      </c>
      <c r="M3" s="1" t="s">
        <v>325</v>
      </c>
      <c r="N3" s="1" t="s">
        <v>328</v>
      </c>
      <c r="O3" s="1" t="s">
        <v>328</v>
      </c>
      <c r="P3" s="1" t="s">
        <v>328</v>
      </c>
      <c r="Q3" s="1" t="s">
        <v>328</v>
      </c>
      <c r="R3" s="1" t="s">
        <v>328</v>
      </c>
      <c r="S3" s="1" t="s">
        <v>328</v>
      </c>
      <c r="T3" s="1" t="s">
        <v>328</v>
      </c>
      <c r="U3" s="1">
        <v>0</v>
      </c>
      <c r="V3" s="1">
        <v>0</v>
      </c>
      <c r="W3" s="1">
        <v>0</v>
      </c>
      <c r="X3" s="1">
        <v>0</v>
      </c>
      <c r="Y3" s="1">
        <v>0</v>
      </c>
      <c r="Z3" s="1">
        <v>0</v>
      </c>
      <c r="AA3" s="1">
        <v>0</v>
      </c>
      <c r="AB3" s="1">
        <v>0</v>
      </c>
      <c r="AC3" s="1">
        <v>2</v>
      </c>
      <c r="AD3" s="1">
        <v>0</v>
      </c>
      <c r="AE3" s="1">
        <v>1</v>
      </c>
      <c r="AF3" s="1">
        <v>0</v>
      </c>
      <c r="AG3" s="208" t="s">
        <v>520</v>
      </c>
      <c r="AH3" s="1">
        <v>1200</v>
      </c>
      <c r="AI3" s="1" t="s">
        <v>1804</v>
      </c>
      <c r="AJ3" s="1">
        <v>0</v>
      </c>
      <c r="AK3" s="1" t="s">
        <v>328</v>
      </c>
      <c r="AL3" s="1" t="s">
        <v>1809</v>
      </c>
      <c r="AM3" s="1">
        <v>0.45</v>
      </c>
      <c r="AN3" s="1">
        <v>0.15</v>
      </c>
      <c r="AO3" s="1">
        <v>0.3</v>
      </c>
      <c r="AP3" s="1">
        <v>0.15</v>
      </c>
      <c r="AQ3" s="1">
        <v>1</v>
      </c>
      <c r="AR3" s="1" t="s">
        <v>1467</v>
      </c>
      <c r="AS3" s="1">
        <v>0</v>
      </c>
      <c r="AT3" s="1" t="s">
        <v>1806</v>
      </c>
      <c r="AU3" s="1">
        <v>10</v>
      </c>
      <c r="AV3" s="1">
        <v>1001</v>
      </c>
      <c r="AW3" s="1">
        <v>0</v>
      </c>
      <c r="AX3" t="b">
        <v>0</v>
      </c>
    </row>
    <row r="4" spans="1:50" x14ac:dyDescent="0.3">
      <c r="A4" s="1">
        <v>3</v>
      </c>
      <c r="B4" s="1" t="s">
        <v>1810</v>
      </c>
      <c r="C4" s="1" t="s">
        <v>1811</v>
      </c>
      <c r="D4" s="1">
        <v>4</v>
      </c>
      <c r="E4" s="1">
        <v>1</v>
      </c>
      <c r="F4" s="1">
        <v>1</v>
      </c>
      <c r="G4" s="1" t="s">
        <v>328</v>
      </c>
      <c r="H4" s="1" t="s">
        <v>328</v>
      </c>
      <c r="I4" s="1" t="s">
        <v>328</v>
      </c>
      <c r="J4" s="1" t="s">
        <v>328</v>
      </c>
      <c r="K4" s="1" t="s">
        <v>328</v>
      </c>
      <c r="L4" s="1" t="s">
        <v>328</v>
      </c>
      <c r="M4" s="1" t="s">
        <v>326</v>
      </c>
      <c r="N4" s="1" t="s">
        <v>328</v>
      </c>
      <c r="O4" s="1" t="s">
        <v>328</v>
      </c>
      <c r="P4" s="1" t="s">
        <v>328</v>
      </c>
      <c r="Q4" s="1" t="s">
        <v>328</v>
      </c>
      <c r="R4" s="1" t="s">
        <v>328</v>
      </c>
      <c r="S4" s="1" t="s">
        <v>328</v>
      </c>
      <c r="T4" s="1" t="s">
        <v>328</v>
      </c>
      <c r="U4" s="1">
        <v>0</v>
      </c>
      <c r="V4" s="1">
        <v>0</v>
      </c>
      <c r="W4" s="1">
        <v>0</v>
      </c>
      <c r="X4" s="1">
        <v>0</v>
      </c>
      <c r="Y4" s="1">
        <v>0</v>
      </c>
      <c r="Z4" s="1">
        <v>0</v>
      </c>
      <c r="AA4" s="1">
        <v>0</v>
      </c>
      <c r="AB4" s="1">
        <v>0</v>
      </c>
      <c r="AC4" s="1">
        <v>3</v>
      </c>
      <c r="AD4" s="1">
        <v>0</v>
      </c>
      <c r="AE4" s="1">
        <v>2</v>
      </c>
      <c r="AF4" s="1">
        <v>1</v>
      </c>
      <c r="AG4" s="208" t="s">
        <v>521</v>
      </c>
      <c r="AH4" s="1">
        <v>2100</v>
      </c>
      <c r="AI4" s="1" t="s">
        <v>1804</v>
      </c>
      <c r="AJ4" s="1">
        <v>0</v>
      </c>
      <c r="AK4" s="1" t="s">
        <v>328</v>
      </c>
      <c r="AL4" s="1" t="s">
        <v>1812</v>
      </c>
      <c r="AM4" s="1">
        <v>0.45</v>
      </c>
      <c r="AN4" s="1">
        <v>0.15</v>
      </c>
      <c r="AO4" s="1">
        <v>0.3</v>
      </c>
      <c r="AP4" s="1">
        <v>0.15</v>
      </c>
      <c r="AQ4" s="1">
        <v>1</v>
      </c>
      <c r="AR4" s="1" t="s">
        <v>1467</v>
      </c>
      <c r="AS4" s="1">
        <v>0</v>
      </c>
      <c r="AT4" s="1" t="s">
        <v>1806</v>
      </c>
      <c r="AU4" s="1">
        <v>10</v>
      </c>
      <c r="AV4" s="1">
        <v>1001</v>
      </c>
      <c r="AW4" s="1">
        <v>0</v>
      </c>
      <c r="AX4" t="b">
        <v>0</v>
      </c>
    </row>
    <row r="5" spans="1:50" x14ac:dyDescent="0.3">
      <c r="A5" s="1">
        <v>4</v>
      </c>
      <c r="B5" s="1" t="s">
        <v>1813</v>
      </c>
      <c r="C5" s="1" t="s">
        <v>1814</v>
      </c>
      <c r="D5" s="1">
        <v>5</v>
      </c>
      <c r="E5" s="1">
        <v>1</v>
      </c>
      <c r="F5" s="1">
        <v>1</v>
      </c>
      <c r="G5" s="1" t="s">
        <v>328</v>
      </c>
      <c r="H5" s="1" t="s">
        <v>328</v>
      </c>
      <c r="I5" s="1" t="s">
        <v>328</v>
      </c>
      <c r="J5" s="1" t="s">
        <v>328</v>
      </c>
      <c r="K5" s="1" t="s">
        <v>328</v>
      </c>
      <c r="L5" s="1" t="s">
        <v>328</v>
      </c>
      <c r="M5" s="1" t="s">
        <v>327</v>
      </c>
      <c r="N5" s="1" t="s">
        <v>328</v>
      </c>
      <c r="O5" s="1" t="s">
        <v>328</v>
      </c>
      <c r="P5" s="1" t="s">
        <v>328</v>
      </c>
      <c r="Q5" s="1" t="s">
        <v>328</v>
      </c>
      <c r="R5" s="1" t="s">
        <v>328</v>
      </c>
      <c r="S5" s="1" t="s">
        <v>328</v>
      </c>
      <c r="T5" s="1" t="s">
        <v>328</v>
      </c>
      <c r="U5" s="1">
        <v>0</v>
      </c>
      <c r="V5" s="1">
        <v>0</v>
      </c>
      <c r="W5" s="1">
        <v>0</v>
      </c>
      <c r="X5" s="1">
        <v>0</v>
      </c>
      <c r="Y5" s="1">
        <v>0</v>
      </c>
      <c r="Z5" s="1">
        <v>0</v>
      </c>
      <c r="AA5" s="1">
        <v>0</v>
      </c>
      <c r="AB5" s="1">
        <v>0</v>
      </c>
      <c r="AC5" s="1">
        <v>4</v>
      </c>
      <c r="AD5" s="1">
        <v>0</v>
      </c>
      <c r="AE5" s="1">
        <v>3</v>
      </c>
      <c r="AF5" s="1">
        <v>2</v>
      </c>
      <c r="AG5" s="208" t="s">
        <v>522</v>
      </c>
      <c r="AH5" s="1">
        <v>2700</v>
      </c>
      <c r="AI5" s="1" t="s">
        <v>1804</v>
      </c>
      <c r="AJ5" s="1">
        <v>0</v>
      </c>
      <c r="AK5" s="1" t="s">
        <v>328</v>
      </c>
      <c r="AL5" s="1" t="s">
        <v>1815</v>
      </c>
      <c r="AM5" s="1">
        <v>0.45</v>
      </c>
      <c r="AN5" s="1">
        <v>0.15</v>
      </c>
      <c r="AO5" s="1">
        <v>0.3</v>
      </c>
      <c r="AP5" s="1">
        <v>0.15</v>
      </c>
      <c r="AQ5" s="1">
        <v>1</v>
      </c>
      <c r="AR5" s="1" t="s">
        <v>1467</v>
      </c>
      <c r="AS5" s="1">
        <v>0</v>
      </c>
      <c r="AT5" s="1" t="s">
        <v>1806</v>
      </c>
      <c r="AU5" s="1">
        <v>10</v>
      </c>
      <c r="AV5" s="1">
        <v>1001</v>
      </c>
      <c r="AW5" s="1">
        <v>0</v>
      </c>
      <c r="AX5" t="b">
        <v>0</v>
      </c>
    </row>
    <row r="6" spans="1:50" x14ac:dyDescent="0.3">
      <c r="A6" s="1">
        <v>5</v>
      </c>
      <c r="B6" s="1" t="s">
        <v>1816</v>
      </c>
      <c r="C6" s="1" t="s">
        <v>1817</v>
      </c>
      <c r="D6" s="1">
        <v>2</v>
      </c>
      <c r="E6" s="1">
        <v>1</v>
      </c>
      <c r="F6" s="1">
        <v>2</v>
      </c>
      <c r="G6" s="1" t="s">
        <v>329</v>
      </c>
      <c r="H6" s="1" t="s">
        <v>329</v>
      </c>
      <c r="I6" s="1" t="s">
        <v>328</v>
      </c>
      <c r="J6" s="1" t="s">
        <v>328</v>
      </c>
      <c r="K6" s="1" t="s">
        <v>330</v>
      </c>
      <c r="L6" s="1" t="s">
        <v>328</v>
      </c>
      <c r="M6" s="1" t="s">
        <v>328</v>
      </c>
      <c r="N6" s="1" t="s">
        <v>328</v>
      </c>
      <c r="O6" s="1" t="s">
        <v>328</v>
      </c>
      <c r="P6" s="1" t="s">
        <v>328</v>
      </c>
      <c r="Q6" s="1" t="s">
        <v>328</v>
      </c>
      <c r="R6" s="1" t="s">
        <v>328</v>
      </c>
      <c r="S6" s="1" t="s">
        <v>328</v>
      </c>
      <c r="T6" s="1" t="s">
        <v>328</v>
      </c>
      <c r="U6" s="1">
        <v>0</v>
      </c>
      <c r="V6" s="1">
        <v>0</v>
      </c>
      <c r="W6" s="1">
        <v>0</v>
      </c>
      <c r="X6" s="1">
        <v>0</v>
      </c>
      <c r="Y6" s="1">
        <v>0</v>
      </c>
      <c r="Z6" s="1">
        <v>0</v>
      </c>
      <c r="AA6" s="1">
        <v>0</v>
      </c>
      <c r="AB6" s="1">
        <v>0</v>
      </c>
      <c r="AC6" s="1">
        <v>1</v>
      </c>
      <c r="AD6" s="1">
        <v>0</v>
      </c>
      <c r="AE6" s="1">
        <v>1</v>
      </c>
      <c r="AF6" s="1">
        <v>0</v>
      </c>
      <c r="AG6" s="208" t="s">
        <v>523</v>
      </c>
      <c r="AH6" s="1">
        <v>480</v>
      </c>
      <c r="AI6" s="1" t="s">
        <v>713</v>
      </c>
      <c r="AJ6" s="1">
        <v>0</v>
      </c>
      <c r="AK6" s="1" t="s">
        <v>328</v>
      </c>
      <c r="AL6" s="1" t="s">
        <v>1818</v>
      </c>
      <c r="AM6" s="1">
        <v>0</v>
      </c>
      <c r="AN6" s="1">
        <v>0</v>
      </c>
      <c r="AO6" s="1">
        <v>0</v>
      </c>
      <c r="AP6" s="1">
        <v>0</v>
      </c>
      <c r="AQ6" s="1">
        <v>1</v>
      </c>
      <c r="AR6" s="1" t="s">
        <v>328</v>
      </c>
      <c r="AS6" s="1">
        <v>0</v>
      </c>
      <c r="AT6" s="1" t="s">
        <v>1806</v>
      </c>
      <c r="AU6" s="1">
        <v>0</v>
      </c>
      <c r="AV6" s="1">
        <v>2001</v>
      </c>
      <c r="AW6" s="1">
        <v>0</v>
      </c>
      <c r="AX6" t="b">
        <v>0</v>
      </c>
    </row>
    <row r="7" spans="1:50" x14ac:dyDescent="0.3">
      <c r="A7" s="1">
        <v>6</v>
      </c>
      <c r="B7" s="1" t="s">
        <v>1819</v>
      </c>
      <c r="C7" s="1" t="s">
        <v>1820</v>
      </c>
      <c r="D7" s="1">
        <v>3</v>
      </c>
      <c r="E7" s="1">
        <v>1</v>
      </c>
      <c r="F7" s="1">
        <v>2</v>
      </c>
      <c r="G7" s="1" t="s">
        <v>331</v>
      </c>
      <c r="H7" s="1" t="s">
        <v>332</v>
      </c>
      <c r="I7" s="1" t="s">
        <v>328</v>
      </c>
      <c r="J7" s="1" t="s">
        <v>328</v>
      </c>
      <c r="K7" s="1" t="s">
        <v>333</v>
      </c>
      <c r="L7" s="1" t="s">
        <v>328</v>
      </c>
      <c r="M7" s="1" t="s">
        <v>328</v>
      </c>
      <c r="N7" s="1" t="s">
        <v>328</v>
      </c>
      <c r="O7" s="1" t="s">
        <v>328</v>
      </c>
      <c r="P7" s="1" t="s">
        <v>328</v>
      </c>
      <c r="Q7" s="1" t="s">
        <v>328</v>
      </c>
      <c r="R7" s="1" t="s">
        <v>328</v>
      </c>
      <c r="S7" s="1" t="s">
        <v>328</v>
      </c>
      <c r="T7" s="1" t="s">
        <v>328</v>
      </c>
      <c r="U7" s="1">
        <v>0</v>
      </c>
      <c r="V7" s="1">
        <v>0</v>
      </c>
      <c r="W7" s="1">
        <v>0</v>
      </c>
      <c r="X7" s="1">
        <v>0</v>
      </c>
      <c r="Y7" s="1">
        <v>0</v>
      </c>
      <c r="Z7" s="1">
        <v>0</v>
      </c>
      <c r="AA7" s="1">
        <v>0</v>
      </c>
      <c r="AB7" s="1">
        <v>0</v>
      </c>
      <c r="AC7" s="1">
        <v>2</v>
      </c>
      <c r="AD7" s="1">
        <v>0</v>
      </c>
      <c r="AE7" s="1">
        <v>1</v>
      </c>
      <c r="AF7" s="1">
        <v>0</v>
      </c>
      <c r="AG7" s="208" t="s">
        <v>524</v>
      </c>
      <c r="AH7" s="1">
        <v>1380</v>
      </c>
      <c r="AI7" s="1" t="s">
        <v>713</v>
      </c>
      <c r="AJ7" s="1">
        <v>0</v>
      </c>
      <c r="AK7" s="1" t="s">
        <v>328</v>
      </c>
      <c r="AL7" s="1" t="s">
        <v>1821</v>
      </c>
      <c r="AM7" s="1">
        <v>0.45</v>
      </c>
      <c r="AN7" s="1">
        <v>0.15</v>
      </c>
      <c r="AO7" s="1">
        <v>0.3</v>
      </c>
      <c r="AP7" s="1">
        <v>0.15</v>
      </c>
      <c r="AQ7" s="1">
        <v>1</v>
      </c>
      <c r="AR7" s="1" t="s">
        <v>1468</v>
      </c>
      <c r="AS7" s="1">
        <v>0</v>
      </c>
      <c r="AT7" s="1" t="s">
        <v>1806</v>
      </c>
      <c r="AU7" s="1">
        <v>10</v>
      </c>
      <c r="AV7" s="1">
        <v>2001</v>
      </c>
      <c r="AW7" s="1">
        <v>0</v>
      </c>
      <c r="AX7" t="b">
        <v>0</v>
      </c>
    </row>
    <row r="8" spans="1:50" x14ac:dyDescent="0.3">
      <c r="A8" s="1">
        <v>7</v>
      </c>
      <c r="B8" s="1" t="s">
        <v>1822</v>
      </c>
      <c r="C8" s="1" t="s">
        <v>1823</v>
      </c>
      <c r="D8" s="1">
        <v>4</v>
      </c>
      <c r="E8" s="1">
        <v>1</v>
      </c>
      <c r="F8" s="1">
        <v>2</v>
      </c>
      <c r="G8" s="1" t="s">
        <v>334</v>
      </c>
      <c r="H8" s="1" t="s">
        <v>335</v>
      </c>
      <c r="I8" s="1" t="s">
        <v>328</v>
      </c>
      <c r="J8" s="1" t="s">
        <v>328</v>
      </c>
      <c r="K8" s="1" t="s">
        <v>336</v>
      </c>
      <c r="L8" s="1" t="s">
        <v>328</v>
      </c>
      <c r="M8" s="1" t="s">
        <v>328</v>
      </c>
      <c r="N8" s="1" t="s">
        <v>328</v>
      </c>
      <c r="O8" s="1" t="s">
        <v>328</v>
      </c>
      <c r="P8" s="1" t="s">
        <v>328</v>
      </c>
      <c r="Q8" s="1" t="s">
        <v>328</v>
      </c>
      <c r="R8" s="1" t="s">
        <v>328</v>
      </c>
      <c r="S8" s="1" t="s">
        <v>328</v>
      </c>
      <c r="T8" s="1" t="s">
        <v>328</v>
      </c>
      <c r="U8" s="1">
        <v>0</v>
      </c>
      <c r="V8" s="1">
        <v>0</v>
      </c>
      <c r="W8" s="1">
        <v>0</v>
      </c>
      <c r="X8" s="1">
        <v>0</v>
      </c>
      <c r="Y8" s="1">
        <v>0</v>
      </c>
      <c r="Z8" s="1">
        <v>0</v>
      </c>
      <c r="AA8" s="1">
        <v>0</v>
      </c>
      <c r="AB8" s="1">
        <v>0</v>
      </c>
      <c r="AC8" s="1">
        <v>3</v>
      </c>
      <c r="AD8" s="1">
        <v>0</v>
      </c>
      <c r="AE8" s="1">
        <v>2</v>
      </c>
      <c r="AF8" s="1">
        <v>1</v>
      </c>
      <c r="AG8" s="208" t="s">
        <v>525</v>
      </c>
      <c r="AH8" s="1">
        <v>2280</v>
      </c>
      <c r="AI8" s="1" t="s">
        <v>713</v>
      </c>
      <c r="AJ8" s="1">
        <v>0</v>
      </c>
      <c r="AK8" s="1" t="s">
        <v>328</v>
      </c>
      <c r="AL8" s="1" t="s">
        <v>1824</v>
      </c>
      <c r="AM8" s="1">
        <v>0.45</v>
      </c>
      <c r="AN8" s="1">
        <v>0.15</v>
      </c>
      <c r="AO8" s="1">
        <v>0.3</v>
      </c>
      <c r="AP8" s="1">
        <v>0.15</v>
      </c>
      <c r="AQ8" s="1">
        <v>1</v>
      </c>
      <c r="AR8" s="1" t="s">
        <v>1469</v>
      </c>
      <c r="AS8" s="1">
        <v>0</v>
      </c>
      <c r="AT8" s="1" t="s">
        <v>1806</v>
      </c>
      <c r="AU8" s="1">
        <v>10</v>
      </c>
      <c r="AV8" s="1">
        <v>2001</v>
      </c>
      <c r="AW8" s="1">
        <v>0</v>
      </c>
      <c r="AX8" t="b">
        <v>0</v>
      </c>
    </row>
    <row r="9" spans="1:50" x14ac:dyDescent="0.3">
      <c r="A9" s="1">
        <v>8</v>
      </c>
      <c r="B9" s="1" t="s">
        <v>1825</v>
      </c>
      <c r="C9" s="1" t="s">
        <v>1826</v>
      </c>
      <c r="D9" s="1">
        <v>5</v>
      </c>
      <c r="E9" s="1">
        <v>1</v>
      </c>
      <c r="F9" s="1">
        <v>2</v>
      </c>
      <c r="G9" s="1" t="s">
        <v>337</v>
      </c>
      <c r="H9" s="1" t="s">
        <v>338</v>
      </c>
      <c r="I9" s="1" t="s">
        <v>328</v>
      </c>
      <c r="J9" s="1" t="s">
        <v>328</v>
      </c>
      <c r="K9" s="1" t="s">
        <v>339</v>
      </c>
      <c r="L9" s="1" t="s">
        <v>328</v>
      </c>
      <c r="M9" s="1" t="s">
        <v>328</v>
      </c>
      <c r="N9" s="1" t="s">
        <v>328</v>
      </c>
      <c r="O9" s="1" t="s">
        <v>328</v>
      </c>
      <c r="P9" s="1" t="s">
        <v>328</v>
      </c>
      <c r="Q9" s="1" t="s">
        <v>328</v>
      </c>
      <c r="R9" s="1" t="s">
        <v>328</v>
      </c>
      <c r="S9" s="1" t="s">
        <v>328</v>
      </c>
      <c r="T9" s="1" t="s">
        <v>328</v>
      </c>
      <c r="U9" s="1">
        <v>0</v>
      </c>
      <c r="V9" s="1">
        <v>0</v>
      </c>
      <c r="W9" s="1">
        <v>0</v>
      </c>
      <c r="X9" s="1">
        <v>0</v>
      </c>
      <c r="Y9" s="1">
        <v>0</v>
      </c>
      <c r="Z9" s="1">
        <v>0</v>
      </c>
      <c r="AA9" s="1">
        <v>0</v>
      </c>
      <c r="AB9" s="1">
        <v>0</v>
      </c>
      <c r="AC9" s="1">
        <v>4</v>
      </c>
      <c r="AD9" s="1">
        <v>0</v>
      </c>
      <c r="AE9" s="1">
        <v>3</v>
      </c>
      <c r="AF9" s="1">
        <v>2</v>
      </c>
      <c r="AG9" s="208" t="s">
        <v>526</v>
      </c>
      <c r="AH9" s="1">
        <v>2880</v>
      </c>
      <c r="AI9" s="1" t="s">
        <v>713</v>
      </c>
      <c r="AJ9" s="1">
        <v>0</v>
      </c>
      <c r="AK9" s="1" t="s">
        <v>328</v>
      </c>
      <c r="AL9" s="1" t="s">
        <v>1827</v>
      </c>
      <c r="AM9" s="1">
        <v>0.45</v>
      </c>
      <c r="AN9" s="1">
        <v>0.15</v>
      </c>
      <c r="AO9" s="1">
        <v>0.3</v>
      </c>
      <c r="AP9" s="1">
        <v>0.15</v>
      </c>
      <c r="AQ9" s="1">
        <v>1</v>
      </c>
      <c r="AR9" s="1" t="s">
        <v>1469</v>
      </c>
      <c r="AS9" s="1">
        <v>0</v>
      </c>
      <c r="AT9" s="1" t="s">
        <v>1806</v>
      </c>
      <c r="AU9" s="1">
        <v>10</v>
      </c>
      <c r="AV9" s="1">
        <v>2001</v>
      </c>
      <c r="AW9" s="1">
        <v>0</v>
      </c>
      <c r="AX9" t="b">
        <v>0</v>
      </c>
    </row>
    <row r="10" spans="1:50" x14ac:dyDescent="0.3">
      <c r="A10" s="1">
        <v>9</v>
      </c>
      <c r="B10" s="1" t="s">
        <v>1828</v>
      </c>
      <c r="C10" s="1" t="s">
        <v>1829</v>
      </c>
      <c r="D10" s="1">
        <v>2</v>
      </c>
      <c r="E10" s="1">
        <v>1</v>
      </c>
      <c r="F10" s="1">
        <v>3</v>
      </c>
      <c r="G10" s="1" t="s">
        <v>328</v>
      </c>
      <c r="H10" s="1" t="s">
        <v>334</v>
      </c>
      <c r="I10" s="1" t="s">
        <v>328</v>
      </c>
      <c r="J10" s="1" t="s">
        <v>328</v>
      </c>
      <c r="K10" s="1" t="s">
        <v>330</v>
      </c>
      <c r="L10" s="1" t="s">
        <v>328</v>
      </c>
      <c r="M10" s="1" t="s">
        <v>328</v>
      </c>
      <c r="N10" s="1" t="s">
        <v>328</v>
      </c>
      <c r="O10" s="1" t="s">
        <v>328</v>
      </c>
      <c r="P10" s="1" t="s">
        <v>328</v>
      </c>
      <c r="Q10" s="1" t="s">
        <v>328</v>
      </c>
      <c r="R10" s="1" t="s">
        <v>328</v>
      </c>
      <c r="S10" s="1" t="s">
        <v>328</v>
      </c>
      <c r="T10" s="1" t="s">
        <v>328</v>
      </c>
      <c r="U10" s="1">
        <v>0</v>
      </c>
      <c r="V10" s="1">
        <v>0</v>
      </c>
      <c r="W10" s="1">
        <v>0</v>
      </c>
      <c r="X10" s="1">
        <v>0</v>
      </c>
      <c r="Y10" s="1">
        <v>0</v>
      </c>
      <c r="Z10" s="1">
        <v>0</v>
      </c>
      <c r="AA10" s="1">
        <v>0</v>
      </c>
      <c r="AB10" s="1">
        <v>0</v>
      </c>
      <c r="AC10" s="1">
        <v>1</v>
      </c>
      <c r="AD10" s="1">
        <v>0</v>
      </c>
      <c r="AE10" s="1">
        <v>1</v>
      </c>
      <c r="AF10" s="1">
        <v>0</v>
      </c>
      <c r="AG10" s="208" t="s">
        <v>6365</v>
      </c>
      <c r="AH10" s="1">
        <v>600</v>
      </c>
      <c r="AI10" s="1" t="s">
        <v>1830</v>
      </c>
      <c r="AJ10" s="1">
        <v>0</v>
      </c>
      <c r="AK10" s="1" t="s">
        <v>328</v>
      </c>
      <c r="AL10" s="1" t="s">
        <v>1831</v>
      </c>
      <c r="AM10" s="1">
        <v>0</v>
      </c>
      <c r="AN10" s="1">
        <v>0</v>
      </c>
      <c r="AO10" s="1">
        <v>0</v>
      </c>
      <c r="AP10" s="1">
        <v>0</v>
      </c>
      <c r="AQ10" s="1">
        <v>1</v>
      </c>
      <c r="AR10" s="1" t="s">
        <v>328</v>
      </c>
      <c r="AS10" s="1">
        <v>0</v>
      </c>
      <c r="AT10" s="1" t="s">
        <v>1806</v>
      </c>
      <c r="AU10" s="1">
        <v>0</v>
      </c>
      <c r="AV10" s="1">
        <v>3001</v>
      </c>
      <c r="AW10" s="1">
        <v>0</v>
      </c>
      <c r="AX10" t="b">
        <v>0</v>
      </c>
    </row>
    <row r="11" spans="1:50" x14ac:dyDescent="0.3">
      <c r="A11" s="1">
        <v>10</v>
      </c>
      <c r="B11" s="1" t="s">
        <v>1832</v>
      </c>
      <c r="C11" s="1" t="s">
        <v>1833</v>
      </c>
      <c r="D11" s="1">
        <v>3</v>
      </c>
      <c r="E11" s="1">
        <v>1</v>
      </c>
      <c r="F11" s="1">
        <v>3</v>
      </c>
      <c r="G11" s="1" t="s">
        <v>328</v>
      </c>
      <c r="H11" s="1" t="s">
        <v>337</v>
      </c>
      <c r="I11" s="1" t="s">
        <v>328</v>
      </c>
      <c r="J11" s="1" t="s">
        <v>328</v>
      </c>
      <c r="K11" s="1" t="s">
        <v>340</v>
      </c>
      <c r="L11" s="1" t="s">
        <v>328</v>
      </c>
      <c r="M11" s="1" t="s">
        <v>328</v>
      </c>
      <c r="N11" s="1" t="s">
        <v>328</v>
      </c>
      <c r="O11" s="1" t="s">
        <v>328</v>
      </c>
      <c r="P11" s="1" t="s">
        <v>328</v>
      </c>
      <c r="Q11" s="1" t="s">
        <v>328</v>
      </c>
      <c r="R11" s="1" t="s">
        <v>328</v>
      </c>
      <c r="S11" s="1" t="s">
        <v>328</v>
      </c>
      <c r="T11" s="1" t="s">
        <v>328</v>
      </c>
      <c r="U11" s="1">
        <v>0</v>
      </c>
      <c r="V11" s="1">
        <v>0</v>
      </c>
      <c r="W11" s="1">
        <v>0</v>
      </c>
      <c r="X11" s="1">
        <v>0</v>
      </c>
      <c r="Y11" s="1">
        <v>0</v>
      </c>
      <c r="Z11" s="1">
        <v>0</v>
      </c>
      <c r="AA11" s="1">
        <v>0</v>
      </c>
      <c r="AB11" s="1">
        <v>0</v>
      </c>
      <c r="AC11" s="1">
        <v>2</v>
      </c>
      <c r="AD11" s="1">
        <v>0</v>
      </c>
      <c r="AE11" s="1">
        <v>1</v>
      </c>
      <c r="AF11" s="1">
        <v>0</v>
      </c>
      <c r="AG11" s="208" t="s">
        <v>6366</v>
      </c>
      <c r="AH11" s="1">
        <v>1500</v>
      </c>
      <c r="AI11" s="1" t="s">
        <v>1830</v>
      </c>
      <c r="AJ11" s="1">
        <v>0</v>
      </c>
      <c r="AK11" s="1" t="s">
        <v>328</v>
      </c>
      <c r="AL11" s="1" t="s">
        <v>1834</v>
      </c>
      <c r="AM11" s="1">
        <v>0.45</v>
      </c>
      <c r="AN11" s="1">
        <v>0.15</v>
      </c>
      <c r="AO11" s="1">
        <v>0.3</v>
      </c>
      <c r="AP11" s="1">
        <v>0.15</v>
      </c>
      <c r="AQ11" s="1">
        <v>1</v>
      </c>
      <c r="AR11" s="1" t="s">
        <v>1470</v>
      </c>
      <c r="AS11" s="1">
        <v>0</v>
      </c>
      <c r="AT11" s="1" t="s">
        <v>1806</v>
      </c>
      <c r="AU11" s="1">
        <v>10</v>
      </c>
      <c r="AV11" s="1">
        <v>3001</v>
      </c>
      <c r="AW11" s="1">
        <v>0</v>
      </c>
      <c r="AX11" t="b">
        <v>0</v>
      </c>
    </row>
    <row r="12" spans="1:50" x14ac:dyDescent="0.3">
      <c r="A12" s="1">
        <v>11</v>
      </c>
      <c r="B12" s="1" t="s">
        <v>1835</v>
      </c>
      <c r="C12" s="1" t="s">
        <v>1836</v>
      </c>
      <c r="D12" s="1">
        <v>4</v>
      </c>
      <c r="E12" s="1">
        <v>1</v>
      </c>
      <c r="F12" s="1">
        <v>3</v>
      </c>
      <c r="G12" s="1" t="s">
        <v>328</v>
      </c>
      <c r="H12" s="1" t="s">
        <v>341</v>
      </c>
      <c r="I12" s="1" t="s">
        <v>328</v>
      </c>
      <c r="J12" s="1" t="s">
        <v>328</v>
      </c>
      <c r="K12" s="1" t="s">
        <v>342</v>
      </c>
      <c r="L12" s="1" t="s">
        <v>328</v>
      </c>
      <c r="M12" s="1" t="s">
        <v>328</v>
      </c>
      <c r="N12" s="1" t="s">
        <v>328</v>
      </c>
      <c r="O12" s="1" t="s">
        <v>328</v>
      </c>
      <c r="P12" s="1" t="s">
        <v>328</v>
      </c>
      <c r="Q12" s="1" t="s">
        <v>328</v>
      </c>
      <c r="R12" s="1" t="s">
        <v>328</v>
      </c>
      <c r="S12" s="1" t="s">
        <v>328</v>
      </c>
      <c r="T12" s="1" t="s">
        <v>328</v>
      </c>
      <c r="U12" s="1">
        <v>0</v>
      </c>
      <c r="V12" s="1">
        <v>0</v>
      </c>
      <c r="W12" s="1">
        <v>0</v>
      </c>
      <c r="X12" s="1">
        <v>0</v>
      </c>
      <c r="Y12" s="1">
        <v>0</v>
      </c>
      <c r="Z12" s="1">
        <v>0</v>
      </c>
      <c r="AA12" s="1">
        <v>0</v>
      </c>
      <c r="AB12" s="1">
        <v>0</v>
      </c>
      <c r="AC12" s="1">
        <v>3</v>
      </c>
      <c r="AD12" s="1">
        <v>0</v>
      </c>
      <c r="AE12" s="1">
        <v>2</v>
      </c>
      <c r="AF12" s="1">
        <v>1</v>
      </c>
      <c r="AG12" s="208" t="s">
        <v>6367</v>
      </c>
      <c r="AH12" s="1">
        <v>2400</v>
      </c>
      <c r="AI12" s="1" t="s">
        <v>1830</v>
      </c>
      <c r="AJ12" s="1">
        <v>0</v>
      </c>
      <c r="AK12" s="1" t="s">
        <v>328</v>
      </c>
      <c r="AL12" s="1" t="s">
        <v>1837</v>
      </c>
      <c r="AM12" s="1">
        <v>0.45</v>
      </c>
      <c r="AN12" s="1">
        <v>0.15</v>
      </c>
      <c r="AO12" s="1">
        <v>0.3</v>
      </c>
      <c r="AP12" s="1">
        <v>0.15</v>
      </c>
      <c r="AQ12" s="1">
        <v>1</v>
      </c>
      <c r="AR12" s="1" t="s">
        <v>1470</v>
      </c>
      <c r="AS12" s="1">
        <v>0</v>
      </c>
      <c r="AT12" s="1" t="s">
        <v>1806</v>
      </c>
      <c r="AU12" s="1">
        <v>10</v>
      </c>
      <c r="AV12" s="1">
        <v>3001</v>
      </c>
      <c r="AW12" s="1">
        <v>0</v>
      </c>
      <c r="AX12" t="b">
        <v>0</v>
      </c>
    </row>
    <row r="13" spans="1:50" x14ac:dyDescent="0.3">
      <c r="A13" s="1">
        <v>12</v>
      </c>
      <c r="B13" s="1" t="s">
        <v>1838</v>
      </c>
      <c r="C13" s="1" t="s">
        <v>1839</v>
      </c>
      <c r="D13" s="1">
        <v>5</v>
      </c>
      <c r="E13" s="1">
        <v>1</v>
      </c>
      <c r="F13" s="1">
        <v>3</v>
      </c>
      <c r="G13" s="1" t="s">
        <v>328</v>
      </c>
      <c r="H13" s="1" t="s">
        <v>343</v>
      </c>
      <c r="I13" s="1" t="s">
        <v>328</v>
      </c>
      <c r="J13" s="1" t="s">
        <v>328</v>
      </c>
      <c r="K13" s="1" t="s">
        <v>344</v>
      </c>
      <c r="L13" s="1" t="s">
        <v>328</v>
      </c>
      <c r="M13" s="1" t="s">
        <v>328</v>
      </c>
      <c r="N13" s="1" t="s">
        <v>328</v>
      </c>
      <c r="O13" s="1" t="s">
        <v>328</v>
      </c>
      <c r="P13" s="1" t="s">
        <v>328</v>
      </c>
      <c r="Q13" s="1" t="s">
        <v>328</v>
      </c>
      <c r="R13" s="1" t="s">
        <v>328</v>
      </c>
      <c r="S13" s="1" t="s">
        <v>328</v>
      </c>
      <c r="T13" s="1" t="s">
        <v>328</v>
      </c>
      <c r="U13" s="1">
        <v>0</v>
      </c>
      <c r="V13" s="1">
        <v>0</v>
      </c>
      <c r="W13" s="1">
        <v>0</v>
      </c>
      <c r="X13" s="1">
        <v>0</v>
      </c>
      <c r="Y13" s="1">
        <v>0</v>
      </c>
      <c r="Z13" s="1">
        <v>0</v>
      </c>
      <c r="AA13" s="1">
        <v>0</v>
      </c>
      <c r="AB13" s="1">
        <v>0</v>
      </c>
      <c r="AC13" s="1">
        <v>4</v>
      </c>
      <c r="AD13" s="1">
        <v>0</v>
      </c>
      <c r="AE13" s="1">
        <v>3</v>
      </c>
      <c r="AF13" s="1">
        <v>2</v>
      </c>
      <c r="AG13" s="208" t="s">
        <v>6368</v>
      </c>
      <c r="AH13" s="1">
        <v>3000</v>
      </c>
      <c r="AI13" s="1" t="s">
        <v>1830</v>
      </c>
      <c r="AJ13" s="1">
        <v>0</v>
      </c>
      <c r="AK13" s="1" t="s">
        <v>328</v>
      </c>
      <c r="AL13" s="1" t="s">
        <v>1840</v>
      </c>
      <c r="AM13" s="1">
        <v>0.45</v>
      </c>
      <c r="AN13" s="1">
        <v>0.15</v>
      </c>
      <c r="AO13" s="1">
        <v>0.3</v>
      </c>
      <c r="AP13" s="1">
        <v>0.15</v>
      </c>
      <c r="AQ13" s="1">
        <v>1</v>
      </c>
      <c r="AR13" s="1" t="s">
        <v>1470</v>
      </c>
      <c r="AS13" s="1">
        <v>0</v>
      </c>
      <c r="AT13" s="1" t="s">
        <v>1806</v>
      </c>
      <c r="AU13" s="1">
        <v>10</v>
      </c>
      <c r="AV13" s="1">
        <v>3001</v>
      </c>
      <c r="AW13" s="1">
        <v>0</v>
      </c>
      <c r="AX13" t="b">
        <v>0</v>
      </c>
    </row>
    <row r="14" spans="1:50" x14ac:dyDescent="0.3">
      <c r="A14" s="1">
        <v>13</v>
      </c>
      <c r="B14" s="1" t="s">
        <v>1841</v>
      </c>
      <c r="C14" s="1" t="s">
        <v>1842</v>
      </c>
      <c r="D14" s="1">
        <v>2</v>
      </c>
      <c r="E14" s="1">
        <v>1</v>
      </c>
      <c r="F14" s="1">
        <v>4</v>
      </c>
      <c r="G14" s="1" t="s">
        <v>328</v>
      </c>
      <c r="H14" s="1" t="s">
        <v>328</v>
      </c>
      <c r="I14" s="1" t="s">
        <v>328</v>
      </c>
      <c r="J14" s="1" t="s">
        <v>328</v>
      </c>
      <c r="K14" s="1" t="s">
        <v>328</v>
      </c>
      <c r="L14" s="1" t="s">
        <v>328</v>
      </c>
      <c r="M14" s="1" t="s">
        <v>328</v>
      </c>
      <c r="N14" s="1" t="s">
        <v>328</v>
      </c>
      <c r="O14" s="1" t="s">
        <v>328</v>
      </c>
      <c r="P14" s="1" t="s">
        <v>328</v>
      </c>
      <c r="Q14" s="1" t="s">
        <v>328</v>
      </c>
      <c r="R14" s="1" t="s">
        <v>328</v>
      </c>
      <c r="S14" s="1" t="s">
        <v>345</v>
      </c>
      <c r="T14" s="1" t="s">
        <v>328</v>
      </c>
      <c r="U14" s="1">
        <v>0</v>
      </c>
      <c r="V14" s="1">
        <v>0</v>
      </c>
      <c r="W14" s="1">
        <v>0</v>
      </c>
      <c r="X14" s="1">
        <v>0</v>
      </c>
      <c r="Y14" s="1">
        <v>0</v>
      </c>
      <c r="Z14" s="1">
        <v>0</v>
      </c>
      <c r="AA14" s="1">
        <v>0</v>
      </c>
      <c r="AB14" s="1">
        <v>0</v>
      </c>
      <c r="AC14" s="1">
        <v>1</v>
      </c>
      <c r="AD14" s="1">
        <v>0</v>
      </c>
      <c r="AE14" s="1">
        <v>1</v>
      </c>
      <c r="AF14" s="1">
        <v>0</v>
      </c>
      <c r="AG14" s="208" t="s">
        <v>527</v>
      </c>
      <c r="AH14" s="1">
        <v>540</v>
      </c>
      <c r="AI14" s="1" t="s">
        <v>1843</v>
      </c>
      <c r="AJ14" s="1">
        <v>0</v>
      </c>
      <c r="AK14" s="1" t="s">
        <v>328</v>
      </c>
      <c r="AL14" s="1" t="s">
        <v>1844</v>
      </c>
      <c r="AM14" s="1">
        <v>0</v>
      </c>
      <c r="AN14" s="1">
        <v>0</v>
      </c>
      <c r="AO14" s="1">
        <v>0</v>
      </c>
      <c r="AP14" s="1">
        <v>0</v>
      </c>
      <c r="AQ14" s="1">
        <v>1</v>
      </c>
      <c r="AR14" s="1" t="s">
        <v>328</v>
      </c>
      <c r="AS14" s="1">
        <v>0</v>
      </c>
      <c r="AT14" s="1" t="s">
        <v>1806</v>
      </c>
      <c r="AU14" s="1">
        <v>0</v>
      </c>
      <c r="AV14" s="1">
        <v>4001</v>
      </c>
      <c r="AW14" s="1">
        <v>0</v>
      </c>
      <c r="AX14" t="b">
        <v>0</v>
      </c>
    </row>
    <row r="15" spans="1:50" x14ac:dyDescent="0.3">
      <c r="A15" s="1">
        <v>14</v>
      </c>
      <c r="B15" s="1" t="s">
        <v>1845</v>
      </c>
      <c r="C15" s="1" t="s">
        <v>1846</v>
      </c>
      <c r="D15" s="1">
        <v>3</v>
      </c>
      <c r="E15" s="1">
        <v>1</v>
      </c>
      <c r="F15" s="1">
        <v>4</v>
      </c>
      <c r="G15" s="1" t="s">
        <v>328</v>
      </c>
      <c r="H15" s="1" t="s">
        <v>328</v>
      </c>
      <c r="I15" s="1" t="s">
        <v>328</v>
      </c>
      <c r="J15" s="1" t="s">
        <v>328</v>
      </c>
      <c r="K15" s="1" t="s">
        <v>328</v>
      </c>
      <c r="L15" s="1" t="s">
        <v>328</v>
      </c>
      <c r="M15" s="1" t="s">
        <v>328</v>
      </c>
      <c r="N15" s="1" t="s">
        <v>328</v>
      </c>
      <c r="O15" s="1" t="s">
        <v>328</v>
      </c>
      <c r="P15" s="1" t="s">
        <v>328</v>
      </c>
      <c r="Q15" s="1" t="s">
        <v>328</v>
      </c>
      <c r="R15" s="1" t="s">
        <v>328</v>
      </c>
      <c r="S15" s="1" t="s">
        <v>346</v>
      </c>
      <c r="T15" s="1" t="s">
        <v>328</v>
      </c>
      <c r="U15" s="1">
        <v>0</v>
      </c>
      <c r="V15" s="1">
        <v>0</v>
      </c>
      <c r="W15" s="1">
        <v>0</v>
      </c>
      <c r="X15" s="1">
        <v>0</v>
      </c>
      <c r="Y15" s="1">
        <v>0</v>
      </c>
      <c r="Z15" s="1">
        <v>0</v>
      </c>
      <c r="AA15" s="1">
        <v>0</v>
      </c>
      <c r="AB15" s="1">
        <v>0</v>
      </c>
      <c r="AC15" s="1">
        <v>1</v>
      </c>
      <c r="AD15" s="1">
        <v>0</v>
      </c>
      <c r="AE15" s="1">
        <v>2</v>
      </c>
      <c r="AF15" s="1">
        <v>0</v>
      </c>
      <c r="AG15" s="208" t="s">
        <v>528</v>
      </c>
      <c r="AH15" s="1">
        <v>1440</v>
      </c>
      <c r="AI15" s="1" t="s">
        <v>1843</v>
      </c>
      <c r="AJ15" s="1">
        <v>0</v>
      </c>
      <c r="AK15" s="1" t="s">
        <v>328</v>
      </c>
      <c r="AL15" s="1" t="s">
        <v>1847</v>
      </c>
      <c r="AM15" s="1">
        <v>0</v>
      </c>
      <c r="AN15" s="1">
        <v>0</v>
      </c>
      <c r="AO15" s="1">
        <v>0</v>
      </c>
      <c r="AP15" s="1">
        <v>0</v>
      </c>
      <c r="AQ15" s="1">
        <v>1</v>
      </c>
      <c r="AR15" s="1" t="s">
        <v>328</v>
      </c>
      <c r="AS15" s="1">
        <v>0</v>
      </c>
      <c r="AT15" s="1" t="s">
        <v>1806</v>
      </c>
      <c r="AU15" s="1">
        <v>0</v>
      </c>
      <c r="AV15" s="1">
        <v>4001</v>
      </c>
      <c r="AW15" s="1">
        <v>0</v>
      </c>
      <c r="AX15" t="b">
        <v>0</v>
      </c>
    </row>
    <row r="16" spans="1:50" x14ac:dyDescent="0.3">
      <c r="A16" s="1">
        <v>15</v>
      </c>
      <c r="B16" s="1" t="s">
        <v>1848</v>
      </c>
      <c r="C16" s="1" t="s">
        <v>1849</v>
      </c>
      <c r="D16" s="1">
        <v>4</v>
      </c>
      <c r="E16" s="1">
        <v>1</v>
      </c>
      <c r="F16" s="1">
        <v>4</v>
      </c>
      <c r="G16" s="1" t="s">
        <v>328</v>
      </c>
      <c r="H16" s="1" t="s">
        <v>328</v>
      </c>
      <c r="I16" s="1" t="s">
        <v>328</v>
      </c>
      <c r="J16" s="1" t="s">
        <v>328</v>
      </c>
      <c r="K16" s="1" t="s">
        <v>328</v>
      </c>
      <c r="L16" s="1" t="s">
        <v>328</v>
      </c>
      <c r="M16" s="1" t="s">
        <v>328</v>
      </c>
      <c r="N16" s="1" t="s">
        <v>328</v>
      </c>
      <c r="O16" s="1" t="s">
        <v>328</v>
      </c>
      <c r="P16" s="1" t="s">
        <v>328</v>
      </c>
      <c r="Q16" s="1" t="s">
        <v>328</v>
      </c>
      <c r="R16" s="1" t="s">
        <v>328</v>
      </c>
      <c r="S16" s="1" t="s">
        <v>347</v>
      </c>
      <c r="T16" s="1" t="s">
        <v>328</v>
      </c>
      <c r="U16" s="1">
        <v>0</v>
      </c>
      <c r="V16" s="1">
        <v>0</v>
      </c>
      <c r="W16" s="1">
        <v>0</v>
      </c>
      <c r="X16" s="1">
        <v>0</v>
      </c>
      <c r="Y16" s="1">
        <v>0</v>
      </c>
      <c r="Z16" s="1">
        <v>0</v>
      </c>
      <c r="AA16" s="1">
        <v>0</v>
      </c>
      <c r="AB16" s="1">
        <v>0</v>
      </c>
      <c r="AC16" s="1">
        <v>2</v>
      </c>
      <c r="AD16" s="1">
        <v>0</v>
      </c>
      <c r="AE16" s="1">
        <v>3</v>
      </c>
      <c r="AF16" s="1">
        <v>1</v>
      </c>
      <c r="AG16" s="208" t="s">
        <v>529</v>
      </c>
      <c r="AH16" s="1">
        <v>2340</v>
      </c>
      <c r="AI16" s="1" t="s">
        <v>1843</v>
      </c>
      <c r="AJ16" s="1">
        <v>0</v>
      </c>
      <c r="AK16" s="1" t="s">
        <v>328</v>
      </c>
      <c r="AL16" s="1" t="s">
        <v>1850</v>
      </c>
      <c r="AM16" s="1">
        <v>0</v>
      </c>
      <c r="AN16" s="1">
        <v>0</v>
      </c>
      <c r="AO16" s="1">
        <v>0</v>
      </c>
      <c r="AP16" s="1">
        <v>0</v>
      </c>
      <c r="AQ16" s="1">
        <v>1</v>
      </c>
      <c r="AR16" s="1" t="s">
        <v>328</v>
      </c>
      <c r="AS16" s="1">
        <v>0</v>
      </c>
      <c r="AT16" s="1" t="s">
        <v>1806</v>
      </c>
      <c r="AU16" s="1">
        <v>0</v>
      </c>
      <c r="AV16" s="1">
        <v>4001</v>
      </c>
      <c r="AW16" s="1">
        <v>0</v>
      </c>
      <c r="AX16" t="b">
        <v>0</v>
      </c>
    </row>
    <row r="17" spans="1:50" x14ac:dyDescent="0.3">
      <c r="A17" s="1">
        <v>16</v>
      </c>
      <c r="B17" s="1" t="s">
        <v>1851</v>
      </c>
      <c r="C17" s="1" t="s">
        <v>1852</v>
      </c>
      <c r="D17" s="1">
        <v>5</v>
      </c>
      <c r="E17" s="1">
        <v>1</v>
      </c>
      <c r="F17" s="1">
        <v>4</v>
      </c>
      <c r="G17" s="1" t="s">
        <v>328</v>
      </c>
      <c r="H17" s="1" t="s">
        <v>328</v>
      </c>
      <c r="I17" s="1" t="s">
        <v>328</v>
      </c>
      <c r="J17" s="1" t="s">
        <v>328</v>
      </c>
      <c r="K17" s="1" t="s">
        <v>328</v>
      </c>
      <c r="L17" s="1" t="s">
        <v>328</v>
      </c>
      <c r="M17" s="1" t="s">
        <v>328</v>
      </c>
      <c r="N17" s="1" t="s">
        <v>328</v>
      </c>
      <c r="O17" s="1" t="s">
        <v>328</v>
      </c>
      <c r="P17" s="1" t="s">
        <v>328</v>
      </c>
      <c r="Q17" s="1" t="s">
        <v>328</v>
      </c>
      <c r="R17" s="1" t="s">
        <v>328</v>
      </c>
      <c r="S17" s="1" t="s">
        <v>348</v>
      </c>
      <c r="T17" s="1" t="s">
        <v>328</v>
      </c>
      <c r="U17" s="1">
        <v>0</v>
      </c>
      <c r="V17" s="1">
        <v>0</v>
      </c>
      <c r="W17" s="1">
        <v>0</v>
      </c>
      <c r="X17" s="1">
        <v>0</v>
      </c>
      <c r="Y17" s="1">
        <v>0</v>
      </c>
      <c r="Z17" s="1">
        <v>0</v>
      </c>
      <c r="AA17" s="1">
        <v>0</v>
      </c>
      <c r="AB17" s="1">
        <v>0</v>
      </c>
      <c r="AC17" s="1">
        <v>3</v>
      </c>
      <c r="AD17" s="1">
        <v>0</v>
      </c>
      <c r="AE17" s="1">
        <v>4</v>
      </c>
      <c r="AF17" s="1">
        <v>2</v>
      </c>
      <c r="AG17" s="208" t="s">
        <v>530</v>
      </c>
      <c r="AH17" s="1">
        <v>2940</v>
      </c>
      <c r="AI17" s="1" t="s">
        <v>1843</v>
      </c>
      <c r="AJ17" s="1">
        <v>0</v>
      </c>
      <c r="AK17" s="1" t="s">
        <v>328</v>
      </c>
      <c r="AL17" s="1" t="s">
        <v>1853</v>
      </c>
      <c r="AM17" s="1">
        <v>0</v>
      </c>
      <c r="AN17" s="1">
        <v>0</v>
      </c>
      <c r="AO17" s="1">
        <v>0</v>
      </c>
      <c r="AP17" s="1">
        <v>0</v>
      </c>
      <c r="AQ17" s="1">
        <v>1</v>
      </c>
      <c r="AR17" s="1" t="s">
        <v>328</v>
      </c>
      <c r="AS17" s="1">
        <v>0</v>
      </c>
      <c r="AT17" s="1" t="s">
        <v>1806</v>
      </c>
      <c r="AU17" s="1">
        <v>0</v>
      </c>
      <c r="AV17" s="1">
        <v>4001</v>
      </c>
      <c r="AW17" s="1">
        <v>0</v>
      </c>
      <c r="AX17" t="b">
        <v>0</v>
      </c>
    </row>
    <row r="18" spans="1:50" x14ac:dyDescent="0.3">
      <c r="A18" s="1">
        <v>17</v>
      </c>
      <c r="B18" s="1" t="s">
        <v>1854</v>
      </c>
      <c r="C18" s="1" t="s">
        <v>1855</v>
      </c>
      <c r="D18" s="1">
        <v>2</v>
      </c>
      <c r="E18" s="1">
        <v>2</v>
      </c>
      <c r="F18" s="1">
        <v>5</v>
      </c>
      <c r="G18" s="1" t="s">
        <v>328</v>
      </c>
      <c r="H18" s="1" t="s">
        <v>328</v>
      </c>
      <c r="I18" s="1" t="s">
        <v>328</v>
      </c>
      <c r="J18" s="1" t="s">
        <v>328</v>
      </c>
      <c r="K18" s="1" t="s">
        <v>328</v>
      </c>
      <c r="L18" s="1" t="s">
        <v>328</v>
      </c>
      <c r="M18" s="1" t="s">
        <v>328</v>
      </c>
      <c r="N18" s="1" t="s">
        <v>349</v>
      </c>
      <c r="O18" s="1" t="s">
        <v>328</v>
      </c>
      <c r="P18" s="1" t="s">
        <v>328</v>
      </c>
      <c r="Q18" s="1" t="s">
        <v>328</v>
      </c>
      <c r="R18" s="1" t="s">
        <v>328</v>
      </c>
      <c r="S18" s="1" t="s">
        <v>328</v>
      </c>
      <c r="T18" s="1" t="s">
        <v>328</v>
      </c>
      <c r="U18" s="1">
        <v>0</v>
      </c>
      <c r="V18" s="1">
        <v>0</v>
      </c>
      <c r="W18" s="1">
        <v>0</v>
      </c>
      <c r="X18" s="1">
        <v>0</v>
      </c>
      <c r="Y18" s="1">
        <v>0</v>
      </c>
      <c r="Z18" s="1">
        <v>0</v>
      </c>
      <c r="AA18" s="1">
        <v>0</v>
      </c>
      <c r="AB18" s="1">
        <v>0</v>
      </c>
      <c r="AC18" s="1">
        <v>0</v>
      </c>
      <c r="AD18" s="1">
        <v>2</v>
      </c>
      <c r="AE18" s="1">
        <v>0</v>
      </c>
      <c r="AF18" s="1">
        <v>0</v>
      </c>
      <c r="AG18" s="208" t="s">
        <v>531</v>
      </c>
      <c r="AH18" s="1">
        <v>900</v>
      </c>
      <c r="AI18" s="1" t="s">
        <v>1843</v>
      </c>
      <c r="AJ18" s="1">
        <v>0</v>
      </c>
      <c r="AK18" s="1" t="s">
        <v>328</v>
      </c>
      <c r="AL18" s="1" t="s">
        <v>1856</v>
      </c>
      <c r="AM18" s="1">
        <v>0</v>
      </c>
      <c r="AN18" s="1">
        <v>0</v>
      </c>
      <c r="AO18" s="1">
        <v>0</v>
      </c>
      <c r="AP18" s="1">
        <v>0</v>
      </c>
      <c r="AQ18" s="1">
        <v>1</v>
      </c>
      <c r="AR18" s="1" t="s">
        <v>328</v>
      </c>
      <c r="AS18" s="1">
        <v>0</v>
      </c>
      <c r="AT18" s="1" t="s">
        <v>1806</v>
      </c>
      <c r="AU18" s="1">
        <v>0</v>
      </c>
      <c r="AV18" s="1">
        <v>5001</v>
      </c>
      <c r="AW18" s="1">
        <v>0</v>
      </c>
      <c r="AX18" t="b">
        <v>0</v>
      </c>
    </row>
    <row r="19" spans="1:50" x14ac:dyDescent="0.3">
      <c r="A19" s="1">
        <v>18</v>
      </c>
      <c r="B19" s="1" t="s">
        <v>1857</v>
      </c>
      <c r="C19" s="1" t="s">
        <v>1858</v>
      </c>
      <c r="D19" s="1">
        <v>3</v>
      </c>
      <c r="E19" s="1">
        <v>2</v>
      </c>
      <c r="F19" s="1">
        <v>5</v>
      </c>
      <c r="G19" s="1" t="s">
        <v>328</v>
      </c>
      <c r="H19" s="1" t="s">
        <v>328</v>
      </c>
      <c r="I19" s="1" t="s">
        <v>328</v>
      </c>
      <c r="J19" s="1" t="s">
        <v>328</v>
      </c>
      <c r="K19" s="1" t="s">
        <v>328</v>
      </c>
      <c r="L19" s="1" t="s">
        <v>328</v>
      </c>
      <c r="M19" s="1" t="s">
        <v>328</v>
      </c>
      <c r="N19" s="1" t="s">
        <v>350</v>
      </c>
      <c r="O19" s="1" t="s">
        <v>328</v>
      </c>
      <c r="P19" s="1" t="s">
        <v>328</v>
      </c>
      <c r="Q19" s="1" t="s">
        <v>328</v>
      </c>
      <c r="R19" s="1" t="s">
        <v>328</v>
      </c>
      <c r="S19" s="1" t="s">
        <v>328</v>
      </c>
      <c r="T19" s="1" t="s">
        <v>328</v>
      </c>
      <c r="U19" s="1">
        <v>0</v>
      </c>
      <c r="V19" s="1">
        <v>0</v>
      </c>
      <c r="W19" s="1">
        <v>0</v>
      </c>
      <c r="X19" s="1">
        <v>0</v>
      </c>
      <c r="Y19" s="1">
        <v>0</v>
      </c>
      <c r="Z19" s="1">
        <v>0</v>
      </c>
      <c r="AA19" s="1">
        <v>0</v>
      </c>
      <c r="AB19" s="1">
        <v>0</v>
      </c>
      <c r="AC19" s="1">
        <v>0</v>
      </c>
      <c r="AD19" s="1">
        <v>2</v>
      </c>
      <c r="AE19" s="1">
        <v>0</v>
      </c>
      <c r="AF19" s="1">
        <v>1</v>
      </c>
      <c r="AG19" s="208" t="s">
        <v>532</v>
      </c>
      <c r="AH19" s="1">
        <v>1800</v>
      </c>
      <c r="AI19" s="1" t="s">
        <v>1843</v>
      </c>
      <c r="AJ19" s="1">
        <v>0</v>
      </c>
      <c r="AK19" s="1" t="s">
        <v>328</v>
      </c>
      <c r="AL19" s="1" t="s">
        <v>1859</v>
      </c>
      <c r="AM19" s="1">
        <v>0.08</v>
      </c>
      <c r="AN19" s="1">
        <v>0.5</v>
      </c>
      <c r="AO19" s="1">
        <v>0.3</v>
      </c>
      <c r="AP19" s="1">
        <v>0.3</v>
      </c>
      <c r="AQ19" s="1">
        <v>1</v>
      </c>
      <c r="AR19" s="1" t="s">
        <v>1471</v>
      </c>
      <c r="AS19" s="1">
        <v>0</v>
      </c>
      <c r="AT19" s="1" t="s">
        <v>1806</v>
      </c>
      <c r="AU19" s="1">
        <v>10</v>
      </c>
      <c r="AV19" s="1">
        <v>5001</v>
      </c>
      <c r="AW19" s="1">
        <v>0</v>
      </c>
      <c r="AX19" t="b">
        <v>0</v>
      </c>
    </row>
    <row r="20" spans="1:50" x14ac:dyDescent="0.3">
      <c r="A20" s="1">
        <v>19</v>
      </c>
      <c r="B20" s="1" t="s">
        <v>1860</v>
      </c>
      <c r="C20" s="1" t="s">
        <v>1861</v>
      </c>
      <c r="D20" s="1">
        <v>4</v>
      </c>
      <c r="E20" s="1">
        <v>2</v>
      </c>
      <c r="F20" s="1">
        <v>5</v>
      </c>
      <c r="G20" s="1" t="s">
        <v>328</v>
      </c>
      <c r="H20" s="1" t="s">
        <v>328</v>
      </c>
      <c r="I20" s="1" t="s">
        <v>328</v>
      </c>
      <c r="J20" s="1" t="s">
        <v>328</v>
      </c>
      <c r="K20" s="1" t="s">
        <v>328</v>
      </c>
      <c r="L20" s="1" t="s">
        <v>328</v>
      </c>
      <c r="M20" s="1" t="s">
        <v>328</v>
      </c>
      <c r="N20" s="1" t="s">
        <v>351</v>
      </c>
      <c r="O20" s="1" t="s">
        <v>328</v>
      </c>
      <c r="P20" s="1" t="s">
        <v>328</v>
      </c>
      <c r="Q20" s="1" t="s">
        <v>328</v>
      </c>
      <c r="R20" s="1" t="s">
        <v>328</v>
      </c>
      <c r="S20" s="1" t="s">
        <v>328</v>
      </c>
      <c r="T20" s="1" t="s">
        <v>328</v>
      </c>
      <c r="U20" s="1">
        <v>0</v>
      </c>
      <c r="V20" s="1">
        <v>0</v>
      </c>
      <c r="W20" s="1">
        <v>0</v>
      </c>
      <c r="X20" s="1">
        <v>0</v>
      </c>
      <c r="Y20" s="1">
        <v>0</v>
      </c>
      <c r="Z20" s="1">
        <v>0</v>
      </c>
      <c r="AA20" s="1">
        <v>0</v>
      </c>
      <c r="AB20" s="1">
        <v>0</v>
      </c>
      <c r="AC20" s="1">
        <v>0</v>
      </c>
      <c r="AD20" s="1">
        <v>3</v>
      </c>
      <c r="AE20" s="1">
        <v>1</v>
      </c>
      <c r="AF20" s="1">
        <v>2</v>
      </c>
      <c r="AG20" s="208" t="s">
        <v>533</v>
      </c>
      <c r="AH20" s="1">
        <v>2700</v>
      </c>
      <c r="AI20" s="1" t="s">
        <v>1843</v>
      </c>
      <c r="AJ20" s="1">
        <v>0</v>
      </c>
      <c r="AK20" s="1" t="s">
        <v>328</v>
      </c>
      <c r="AL20" s="1" t="s">
        <v>1862</v>
      </c>
      <c r="AM20" s="1">
        <v>0.08</v>
      </c>
      <c r="AN20" s="1">
        <v>0.5</v>
      </c>
      <c r="AO20" s="1">
        <v>0.3</v>
      </c>
      <c r="AP20" s="1">
        <v>0.3</v>
      </c>
      <c r="AQ20" s="1">
        <v>1</v>
      </c>
      <c r="AR20" s="1" t="s">
        <v>1471</v>
      </c>
      <c r="AS20" s="1">
        <v>0</v>
      </c>
      <c r="AT20" s="1" t="s">
        <v>1806</v>
      </c>
      <c r="AU20" s="1">
        <v>10</v>
      </c>
      <c r="AV20" s="1">
        <v>5001</v>
      </c>
      <c r="AW20" s="1">
        <v>0</v>
      </c>
      <c r="AX20" t="b">
        <v>0</v>
      </c>
    </row>
    <row r="21" spans="1:50" x14ac:dyDescent="0.3">
      <c r="A21" s="1">
        <v>20</v>
      </c>
      <c r="B21" s="1" t="s">
        <v>1863</v>
      </c>
      <c r="C21" s="1" t="s">
        <v>1864</v>
      </c>
      <c r="D21" s="1">
        <v>5</v>
      </c>
      <c r="E21" s="1">
        <v>2</v>
      </c>
      <c r="F21" s="1">
        <v>5</v>
      </c>
      <c r="G21" s="1" t="s">
        <v>328</v>
      </c>
      <c r="H21" s="1" t="s">
        <v>328</v>
      </c>
      <c r="I21" s="1" t="s">
        <v>328</v>
      </c>
      <c r="J21" s="1" t="s">
        <v>328</v>
      </c>
      <c r="K21" s="1" t="s">
        <v>328</v>
      </c>
      <c r="L21" s="1" t="s">
        <v>328</v>
      </c>
      <c r="M21" s="1" t="s">
        <v>328</v>
      </c>
      <c r="N21" s="1" t="s">
        <v>352</v>
      </c>
      <c r="O21" s="1" t="s">
        <v>328</v>
      </c>
      <c r="P21" s="1" t="s">
        <v>328</v>
      </c>
      <c r="Q21" s="1" t="s">
        <v>328</v>
      </c>
      <c r="R21" s="1" t="s">
        <v>328</v>
      </c>
      <c r="S21" s="1" t="s">
        <v>328</v>
      </c>
      <c r="T21" s="1" t="s">
        <v>328</v>
      </c>
      <c r="U21" s="1">
        <v>0</v>
      </c>
      <c r="V21" s="1">
        <v>0</v>
      </c>
      <c r="W21" s="1">
        <v>0</v>
      </c>
      <c r="X21" s="1">
        <v>0</v>
      </c>
      <c r="Y21" s="1">
        <v>0</v>
      </c>
      <c r="Z21" s="1">
        <v>0</v>
      </c>
      <c r="AA21" s="1">
        <v>0</v>
      </c>
      <c r="AB21" s="1">
        <v>0</v>
      </c>
      <c r="AC21" s="1">
        <v>0</v>
      </c>
      <c r="AD21" s="1">
        <v>4</v>
      </c>
      <c r="AE21" s="1">
        <v>2</v>
      </c>
      <c r="AF21" s="1">
        <v>3</v>
      </c>
      <c r="AG21" s="208" t="s">
        <v>534</v>
      </c>
      <c r="AH21" s="1">
        <v>3300</v>
      </c>
      <c r="AI21" s="1" t="s">
        <v>1843</v>
      </c>
      <c r="AJ21" s="1">
        <v>0</v>
      </c>
      <c r="AK21" s="1" t="s">
        <v>328</v>
      </c>
      <c r="AL21" s="1" t="s">
        <v>1865</v>
      </c>
      <c r="AM21" s="1">
        <v>0.08</v>
      </c>
      <c r="AN21" s="1">
        <v>0.5</v>
      </c>
      <c r="AO21" s="1">
        <v>0.3</v>
      </c>
      <c r="AP21" s="1">
        <v>0.3</v>
      </c>
      <c r="AQ21" s="1">
        <v>1</v>
      </c>
      <c r="AR21" s="1" t="s">
        <v>1471</v>
      </c>
      <c r="AS21" s="1">
        <v>0</v>
      </c>
      <c r="AT21" s="1" t="s">
        <v>1806</v>
      </c>
      <c r="AU21" s="1">
        <v>10</v>
      </c>
      <c r="AV21" s="1">
        <v>5001</v>
      </c>
      <c r="AW21" s="1">
        <v>0</v>
      </c>
      <c r="AX21" t="b">
        <v>0</v>
      </c>
    </row>
    <row r="22" spans="1:50" x14ac:dyDescent="0.3">
      <c r="A22" s="1">
        <v>21</v>
      </c>
      <c r="B22" s="1" t="s">
        <v>5510</v>
      </c>
      <c r="C22" s="1" t="s">
        <v>5511</v>
      </c>
      <c r="D22" s="1">
        <v>2</v>
      </c>
      <c r="E22" s="1">
        <v>2</v>
      </c>
      <c r="F22" s="1">
        <v>6</v>
      </c>
      <c r="G22" s="1" t="s">
        <v>328</v>
      </c>
      <c r="H22" s="1" t="s">
        <v>328</v>
      </c>
      <c r="I22" s="1" t="s">
        <v>328</v>
      </c>
      <c r="J22" s="1" t="s">
        <v>328</v>
      </c>
      <c r="K22" s="1" t="s">
        <v>328</v>
      </c>
      <c r="L22" s="1" t="s">
        <v>328</v>
      </c>
      <c r="M22" s="1" t="s">
        <v>328</v>
      </c>
      <c r="N22" s="1" t="s">
        <v>328</v>
      </c>
      <c r="O22" s="1" t="s">
        <v>328</v>
      </c>
      <c r="P22" s="1" t="s">
        <v>328</v>
      </c>
      <c r="Q22" s="1" t="s">
        <v>328</v>
      </c>
      <c r="R22" s="1" t="s">
        <v>328</v>
      </c>
      <c r="S22" s="1" t="s">
        <v>328</v>
      </c>
      <c r="T22" s="1" t="s">
        <v>328</v>
      </c>
      <c r="U22" s="1">
        <v>0</v>
      </c>
      <c r="V22" s="1">
        <v>0</v>
      </c>
      <c r="W22" s="1">
        <v>0</v>
      </c>
      <c r="X22" s="1">
        <v>0</v>
      </c>
      <c r="Y22" s="1">
        <v>0</v>
      </c>
      <c r="Z22" s="1">
        <v>0</v>
      </c>
      <c r="AA22" s="1">
        <v>0</v>
      </c>
      <c r="AB22" s="1">
        <v>0</v>
      </c>
      <c r="AC22" s="1">
        <v>0</v>
      </c>
      <c r="AD22" s="1">
        <v>2</v>
      </c>
      <c r="AE22" s="1">
        <v>0</v>
      </c>
      <c r="AF22" s="1">
        <v>0</v>
      </c>
      <c r="AG22" s="208" t="s">
        <v>889</v>
      </c>
      <c r="AH22" s="1">
        <v>840</v>
      </c>
      <c r="AI22" s="1" t="s">
        <v>328</v>
      </c>
      <c r="AJ22" s="1">
        <v>0</v>
      </c>
      <c r="AK22" s="1" t="s">
        <v>328</v>
      </c>
      <c r="AL22" s="1" t="s">
        <v>5512</v>
      </c>
      <c r="AM22" s="1">
        <v>0</v>
      </c>
      <c r="AN22" s="1">
        <v>0</v>
      </c>
      <c r="AO22" s="1">
        <v>0</v>
      </c>
      <c r="AP22" s="1">
        <v>0</v>
      </c>
      <c r="AQ22" s="1">
        <v>1</v>
      </c>
      <c r="AR22" s="1" t="s">
        <v>328</v>
      </c>
      <c r="AS22" s="1">
        <v>0</v>
      </c>
      <c r="AT22" s="1" t="s">
        <v>1806</v>
      </c>
      <c r="AU22" s="1">
        <v>0</v>
      </c>
      <c r="AV22" s="1">
        <v>6001</v>
      </c>
      <c r="AW22" s="1">
        <v>0</v>
      </c>
      <c r="AX22" t="b">
        <v>1</v>
      </c>
    </row>
    <row r="23" spans="1:50" x14ac:dyDescent="0.3">
      <c r="A23" s="1">
        <v>22</v>
      </c>
      <c r="B23" s="1" t="s">
        <v>5513</v>
      </c>
      <c r="C23" s="1" t="s">
        <v>5514</v>
      </c>
      <c r="D23" s="1">
        <v>3</v>
      </c>
      <c r="E23" s="1">
        <v>2</v>
      </c>
      <c r="F23" s="1">
        <v>6</v>
      </c>
      <c r="G23" s="1" t="s">
        <v>328</v>
      </c>
      <c r="H23" s="1" t="s">
        <v>328</v>
      </c>
      <c r="I23" s="1" t="s">
        <v>328</v>
      </c>
      <c r="J23" s="1" t="s">
        <v>328</v>
      </c>
      <c r="K23" s="1" t="s">
        <v>328</v>
      </c>
      <c r="L23" s="1" t="s">
        <v>328</v>
      </c>
      <c r="M23" s="1" t="s">
        <v>328</v>
      </c>
      <c r="N23" s="1" t="s">
        <v>328</v>
      </c>
      <c r="O23" s="1" t="s">
        <v>328</v>
      </c>
      <c r="P23" s="1" t="s">
        <v>328</v>
      </c>
      <c r="Q23" s="1" t="s">
        <v>328</v>
      </c>
      <c r="R23" s="1" t="s">
        <v>328</v>
      </c>
      <c r="S23" s="1" t="s">
        <v>328</v>
      </c>
      <c r="T23" s="1" t="s">
        <v>328</v>
      </c>
      <c r="U23" s="1">
        <v>0</v>
      </c>
      <c r="V23" s="1">
        <v>0</v>
      </c>
      <c r="W23" s="1">
        <v>0</v>
      </c>
      <c r="X23" s="1">
        <v>0</v>
      </c>
      <c r="Y23" s="1">
        <v>0</v>
      </c>
      <c r="Z23" s="1">
        <v>0</v>
      </c>
      <c r="AA23" s="1">
        <v>0</v>
      </c>
      <c r="AB23" s="1">
        <v>0</v>
      </c>
      <c r="AC23" s="1">
        <v>0</v>
      </c>
      <c r="AD23" s="1">
        <v>2</v>
      </c>
      <c r="AE23" s="1">
        <v>0</v>
      </c>
      <c r="AF23" s="1">
        <v>1</v>
      </c>
      <c r="AG23" s="208" t="s">
        <v>5515</v>
      </c>
      <c r="AH23" s="1">
        <v>1740</v>
      </c>
      <c r="AI23" s="1" t="s">
        <v>328</v>
      </c>
      <c r="AJ23" s="1">
        <v>0</v>
      </c>
      <c r="AK23" s="1" t="s">
        <v>328</v>
      </c>
      <c r="AL23" s="1" t="s">
        <v>5516</v>
      </c>
      <c r="AM23" s="1">
        <v>0</v>
      </c>
      <c r="AN23" s="1">
        <v>0</v>
      </c>
      <c r="AO23" s="1">
        <v>0</v>
      </c>
      <c r="AP23" s="1">
        <v>0</v>
      </c>
      <c r="AQ23" s="1">
        <v>1</v>
      </c>
      <c r="AR23" s="1" t="s">
        <v>328</v>
      </c>
      <c r="AS23" s="1">
        <v>0</v>
      </c>
      <c r="AT23" s="1" t="s">
        <v>1806</v>
      </c>
      <c r="AU23" s="1">
        <v>0</v>
      </c>
      <c r="AV23" s="1">
        <v>6001</v>
      </c>
      <c r="AW23" s="1">
        <v>0</v>
      </c>
      <c r="AX23" t="b">
        <v>1</v>
      </c>
    </row>
    <row r="24" spans="1:50" x14ac:dyDescent="0.3">
      <c r="A24" s="1">
        <v>23</v>
      </c>
      <c r="B24" s="1" t="s">
        <v>5517</v>
      </c>
      <c r="C24" s="1" t="s">
        <v>5518</v>
      </c>
      <c r="D24" s="1">
        <v>4</v>
      </c>
      <c r="E24" s="1">
        <v>2</v>
      </c>
      <c r="F24" s="1">
        <v>6</v>
      </c>
      <c r="G24" s="1" t="s">
        <v>328</v>
      </c>
      <c r="H24" s="1" t="s">
        <v>328</v>
      </c>
      <c r="I24" s="1" t="s">
        <v>328</v>
      </c>
      <c r="J24" s="1" t="s">
        <v>328</v>
      </c>
      <c r="K24" s="1" t="s">
        <v>328</v>
      </c>
      <c r="L24" s="1" t="s">
        <v>328</v>
      </c>
      <c r="M24" s="1" t="s">
        <v>328</v>
      </c>
      <c r="N24" s="1" t="s">
        <v>328</v>
      </c>
      <c r="O24" s="1" t="s">
        <v>328</v>
      </c>
      <c r="P24" s="1" t="s">
        <v>328</v>
      </c>
      <c r="Q24" s="1" t="s">
        <v>328</v>
      </c>
      <c r="R24" s="1" t="s">
        <v>328</v>
      </c>
      <c r="S24" s="1" t="s">
        <v>328</v>
      </c>
      <c r="T24" s="1" t="s">
        <v>328</v>
      </c>
      <c r="U24" s="1">
        <v>0</v>
      </c>
      <c r="V24" s="1">
        <v>0</v>
      </c>
      <c r="W24" s="1">
        <v>0</v>
      </c>
      <c r="X24" s="1">
        <v>0</v>
      </c>
      <c r="Y24" s="1">
        <v>0</v>
      </c>
      <c r="Z24" s="1">
        <v>0</v>
      </c>
      <c r="AA24" s="1">
        <v>0</v>
      </c>
      <c r="AB24" s="1">
        <v>0</v>
      </c>
      <c r="AC24" s="1">
        <v>0</v>
      </c>
      <c r="AD24" s="1">
        <v>3</v>
      </c>
      <c r="AE24" s="1">
        <v>1</v>
      </c>
      <c r="AF24" s="1">
        <v>2</v>
      </c>
      <c r="AG24" s="208" t="s">
        <v>4909</v>
      </c>
      <c r="AH24" s="1">
        <v>2640</v>
      </c>
      <c r="AI24" s="1" t="s">
        <v>328</v>
      </c>
      <c r="AJ24" s="1">
        <v>0</v>
      </c>
      <c r="AK24" s="1" t="s">
        <v>328</v>
      </c>
      <c r="AL24" s="1" t="s">
        <v>5519</v>
      </c>
      <c r="AM24" s="1">
        <v>0</v>
      </c>
      <c r="AN24" s="1">
        <v>0</v>
      </c>
      <c r="AO24" s="1">
        <v>0</v>
      </c>
      <c r="AP24" s="1">
        <v>0</v>
      </c>
      <c r="AQ24" s="1">
        <v>1</v>
      </c>
      <c r="AR24" s="1" t="s">
        <v>328</v>
      </c>
      <c r="AS24" s="1">
        <v>0</v>
      </c>
      <c r="AT24" s="1" t="s">
        <v>1806</v>
      </c>
      <c r="AU24" s="1">
        <v>0</v>
      </c>
      <c r="AV24" s="1">
        <v>6001</v>
      </c>
      <c r="AW24" s="1">
        <v>0</v>
      </c>
      <c r="AX24" t="b">
        <v>1</v>
      </c>
    </row>
    <row r="25" spans="1:50" x14ac:dyDescent="0.3">
      <c r="A25" s="1">
        <v>24</v>
      </c>
      <c r="B25" s="1" t="s">
        <v>5520</v>
      </c>
      <c r="C25" s="1" t="s">
        <v>5521</v>
      </c>
      <c r="D25" s="1">
        <v>5</v>
      </c>
      <c r="E25" s="1">
        <v>2</v>
      </c>
      <c r="F25" s="1">
        <v>6</v>
      </c>
      <c r="G25" s="1" t="s">
        <v>328</v>
      </c>
      <c r="H25" s="1" t="s">
        <v>328</v>
      </c>
      <c r="I25" s="1" t="s">
        <v>328</v>
      </c>
      <c r="J25" s="1" t="s">
        <v>328</v>
      </c>
      <c r="K25" s="1" t="s">
        <v>328</v>
      </c>
      <c r="L25" s="1" t="s">
        <v>328</v>
      </c>
      <c r="M25" s="1" t="s">
        <v>328</v>
      </c>
      <c r="N25" s="1" t="s">
        <v>328</v>
      </c>
      <c r="O25" s="1" t="s">
        <v>328</v>
      </c>
      <c r="P25" s="1" t="s">
        <v>328</v>
      </c>
      <c r="Q25" s="1" t="s">
        <v>328</v>
      </c>
      <c r="R25" s="1" t="s">
        <v>328</v>
      </c>
      <c r="S25" s="1" t="s">
        <v>328</v>
      </c>
      <c r="T25" s="1" t="s">
        <v>328</v>
      </c>
      <c r="U25" s="1">
        <v>0</v>
      </c>
      <c r="V25" s="1">
        <v>0</v>
      </c>
      <c r="W25" s="1">
        <v>0</v>
      </c>
      <c r="X25" s="1">
        <v>0</v>
      </c>
      <c r="Y25" s="1">
        <v>0</v>
      </c>
      <c r="Z25" s="1">
        <v>0</v>
      </c>
      <c r="AA25" s="1">
        <v>0</v>
      </c>
      <c r="AB25" s="1">
        <v>0</v>
      </c>
      <c r="AC25" s="1">
        <v>0</v>
      </c>
      <c r="AD25" s="1">
        <v>4</v>
      </c>
      <c r="AE25" s="1">
        <v>2</v>
      </c>
      <c r="AF25" s="1">
        <v>3</v>
      </c>
      <c r="AG25" s="208" t="s">
        <v>1472</v>
      </c>
      <c r="AH25" s="1">
        <v>3240</v>
      </c>
      <c r="AI25" s="1" t="s">
        <v>328</v>
      </c>
      <c r="AJ25" s="1">
        <v>0</v>
      </c>
      <c r="AK25" s="1" t="s">
        <v>328</v>
      </c>
      <c r="AL25" s="1" t="s">
        <v>5522</v>
      </c>
      <c r="AM25" s="1">
        <v>0</v>
      </c>
      <c r="AN25" s="1">
        <v>0</v>
      </c>
      <c r="AO25" s="1">
        <v>0</v>
      </c>
      <c r="AP25" s="1">
        <v>0</v>
      </c>
      <c r="AQ25" s="1">
        <v>1</v>
      </c>
      <c r="AR25" s="1" t="s">
        <v>328</v>
      </c>
      <c r="AS25" s="1">
        <v>0</v>
      </c>
      <c r="AT25" s="1" t="s">
        <v>1806</v>
      </c>
      <c r="AU25" s="1">
        <v>0</v>
      </c>
      <c r="AV25" s="1">
        <v>6001</v>
      </c>
      <c r="AW25" s="1">
        <v>0</v>
      </c>
      <c r="AX25" t="b">
        <v>1</v>
      </c>
    </row>
    <row r="26" spans="1:50" x14ac:dyDescent="0.3">
      <c r="A26" s="1">
        <v>25</v>
      </c>
      <c r="B26" s="1" t="s">
        <v>5523</v>
      </c>
      <c r="C26" s="1" t="s">
        <v>5524</v>
      </c>
      <c r="D26" s="1">
        <v>2</v>
      </c>
      <c r="E26" s="1">
        <v>2</v>
      </c>
      <c r="F26" s="1">
        <v>6</v>
      </c>
      <c r="G26" s="1" t="s">
        <v>328</v>
      </c>
      <c r="H26" s="1" t="s">
        <v>328</v>
      </c>
      <c r="I26" s="1" t="s">
        <v>328</v>
      </c>
      <c r="J26" s="1" t="s">
        <v>328</v>
      </c>
      <c r="K26" s="1" t="s">
        <v>328</v>
      </c>
      <c r="L26" s="1" t="s">
        <v>328</v>
      </c>
      <c r="M26" s="1" t="s">
        <v>328</v>
      </c>
      <c r="N26" s="1" t="s">
        <v>328</v>
      </c>
      <c r="O26" s="1" t="s">
        <v>328</v>
      </c>
      <c r="P26" s="1" t="s">
        <v>328</v>
      </c>
      <c r="Q26" s="1" t="s">
        <v>328</v>
      </c>
      <c r="R26" s="1" t="s">
        <v>328</v>
      </c>
      <c r="S26" s="1" t="s">
        <v>328</v>
      </c>
      <c r="T26" s="1" t="s">
        <v>328</v>
      </c>
      <c r="U26" s="1">
        <v>0</v>
      </c>
      <c r="V26" s="1">
        <v>0</v>
      </c>
      <c r="W26" s="1">
        <v>0</v>
      </c>
      <c r="X26" s="1">
        <v>0</v>
      </c>
      <c r="Y26" s="1">
        <v>0</v>
      </c>
      <c r="Z26" s="1">
        <v>0</v>
      </c>
      <c r="AA26" s="1">
        <v>0</v>
      </c>
      <c r="AB26" s="1">
        <v>0</v>
      </c>
      <c r="AC26" s="1">
        <v>0</v>
      </c>
      <c r="AD26" s="1">
        <v>2</v>
      </c>
      <c r="AE26" s="1">
        <v>0</v>
      </c>
      <c r="AF26" s="1">
        <v>0</v>
      </c>
      <c r="AG26" s="208" t="s">
        <v>4923</v>
      </c>
      <c r="AH26" s="1">
        <v>1020</v>
      </c>
      <c r="AI26" s="1" t="s">
        <v>328</v>
      </c>
      <c r="AJ26" s="1">
        <v>0</v>
      </c>
      <c r="AK26" s="1" t="s">
        <v>328</v>
      </c>
      <c r="AL26" s="1" t="s">
        <v>5525</v>
      </c>
      <c r="AM26" s="1">
        <v>0</v>
      </c>
      <c r="AN26" s="1">
        <v>0</v>
      </c>
      <c r="AO26" s="1">
        <v>0</v>
      </c>
      <c r="AP26" s="1">
        <v>0</v>
      </c>
      <c r="AQ26" s="1">
        <v>1</v>
      </c>
      <c r="AR26" s="1" t="s">
        <v>328</v>
      </c>
      <c r="AS26" s="1">
        <v>0</v>
      </c>
      <c r="AT26" s="1" t="s">
        <v>1806</v>
      </c>
      <c r="AU26" s="1">
        <v>0</v>
      </c>
      <c r="AV26" s="1">
        <v>6002</v>
      </c>
      <c r="AW26" s="1">
        <v>0</v>
      </c>
      <c r="AX26" t="b">
        <v>1</v>
      </c>
    </row>
    <row r="27" spans="1:50" x14ac:dyDescent="0.3">
      <c r="A27" s="1">
        <v>26</v>
      </c>
      <c r="B27" s="1" t="s">
        <v>5526</v>
      </c>
      <c r="C27" s="1" t="s">
        <v>5527</v>
      </c>
      <c r="D27" s="1">
        <v>3</v>
      </c>
      <c r="E27" s="1">
        <v>2</v>
      </c>
      <c r="F27" s="1">
        <v>6</v>
      </c>
      <c r="G27" s="1" t="s">
        <v>328</v>
      </c>
      <c r="H27" s="1" t="s">
        <v>328</v>
      </c>
      <c r="I27" s="1" t="s">
        <v>328</v>
      </c>
      <c r="J27" s="1" t="s">
        <v>328</v>
      </c>
      <c r="K27" s="1" t="s">
        <v>328</v>
      </c>
      <c r="L27" s="1" t="s">
        <v>328</v>
      </c>
      <c r="M27" s="1" t="s">
        <v>328</v>
      </c>
      <c r="N27" s="1" t="s">
        <v>328</v>
      </c>
      <c r="O27" s="1" t="s">
        <v>328</v>
      </c>
      <c r="P27" s="1" t="s">
        <v>328</v>
      </c>
      <c r="Q27" s="1" t="s">
        <v>328</v>
      </c>
      <c r="R27" s="1" t="s">
        <v>328</v>
      </c>
      <c r="S27" s="1" t="s">
        <v>328</v>
      </c>
      <c r="T27" s="1" t="s">
        <v>328</v>
      </c>
      <c r="U27" s="1">
        <v>0</v>
      </c>
      <c r="V27" s="1">
        <v>0</v>
      </c>
      <c r="W27" s="1">
        <v>0</v>
      </c>
      <c r="X27" s="1">
        <v>0</v>
      </c>
      <c r="Y27" s="1">
        <v>0</v>
      </c>
      <c r="Z27" s="1">
        <v>0</v>
      </c>
      <c r="AA27" s="1">
        <v>0</v>
      </c>
      <c r="AB27" s="1">
        <v>0</v>
      </c>
      <c r="AC27" s="1">
        <v>0</v>
      </c>
      <c r="AD27" s="1">
        <v>2</v>
      </c>
      <c r="AE27" s="1">
        <v>0</v>
      </c>
      <c r="AF27" s="1">
        <v>1</v>
      </c>
      <c r="AG27" s="208" t="s">
        <v>5528</v>
      </c>
      <c r="AH27" s="1">
        <v>1920</v>
      </c>
      <c r="AI27" s="1" t="s">
        <v>328</v>
      </c>
      <c r="AJ27" s="1">
        <v>0</v>
      </c>
      <c r="AK27" s="1" t="s">
        <v>328</v>
      </c>
      <c r="AL27" s="1" t="s">
        <v>5529</v>
      </c>
      <c r="AM27" s="1">
        <v>0</v>
      </c>
      <c r="AN27" s="1">
        <v>0</v>
      </c>
      <c r="AO27" s="1">
        <v>0</v>
      </c>
      <c r="AP27" s="1">
        <v>0</v>
      </c>
      <c r="AQ27" s="1">
        <v>1</v>
      </c>
      <c r="AR27" s="1" t="s">
        <v>328</v>
      </c>
      <c r="AS27" s="1">
        <v>0</v>
      </c>
      <c r="AT27" s="1" t="s">
        <v>1806</v>
      </c>
      <c r="AU27" s="1">
        <v>0</v>
      </c>
      <c r="AV27" s="1">
        <v>6002</v>
      </c>
      <c r="AW27" s="1">
        <v>0</v>
      </c>
      <c r="AX27" t="b">
        <v>1</v>
      </c>
    </row>
    <row r="28" spans="1:50" x14ac:dyDescent="0.3">
      <c r="A28" s="1">
        <v>27</v>
      </c>
      <c r="B28" s="1" t="s">
        <v>5530</v>
      </c>
      <c r="C28" s="1" t="s">
        <v>5531</v>
      </c>
      <c r="D28" s="1">
        <v>4</v>
      </c>
      <c r="E28" s="1">
        <v>2</v>
      </c>
      <c r="F28" s="1">
        <v>6</v>
      </c>
      <c r="G28" s="1" t="s">
        <v>328</v>
      </c>
      <c r="H28" s="1" t="s">
        <v>328</v>
      </c>
      <c r="I28" s="1" t="s">
        <v>328</v>
      </c>
      <c r="J28" s="1" t="s">
        <v>328</v>
      </c>
      <c r="K28" s="1" t="s">
        <v>328</v>
      </c>
      <c r="L28" s="1" t="s">
        <v>328</v>
      </c>
      <c r="M28" s="1" t="s">
        <v>328</v>
      </c>
      <c r="N28" s="1" t="s">
        <v>328</v>
      </c>
      <c r="O28" s="1" t="s">
        <v>328</v>
      </c>
      <c r="P28" s="1" t="s">
        <v>328</v>
      </c>
      <c r="Q28" s="1" t="s">
        <v>328</v>
      </c>
      <c r="R28" s="1" t="s">
        <v>328</v>
      </c>
      <c r="S28" s="1" t="s">
        <v>328</v>
      </c>
      <c r="T28" s="1" t="s">
        <v>328</v>
      </c>
      <c r="U28" s="1">
        <v>0</v>
      </c>
      <c r="V28" s="1">
        <v>0</v>
      </c>
      <c r="W28" s="1">
        <v>0</v>
      </c>
      <c r="X28" s="1">
        <v>0</v>
      </c>
      <c r="Y28" s="1">
        <v>0</v>
      </c>
      <c r="Z28" s="1">
        <v>0</v>
      </c>
      <c r="AA28" s="1">
        <v>0</v>
      </c>
      <c r="AB28" s="1">
        <v>0</v>
      </c>
      <c r="AC28" s="1">
        <v>0</v>
      </c>
      <c r="AD28" s="1">
        <v>3</v>
      </c>
      <c r="AE28" s="1">
        <v>1</v>
      </c>
      <c r="AF28" s="1">
        <v>2</v>
      </c>
      <c r="AG28" s="208" t="s">
        <v>353</v>
      </c>
      <c r="AH28" s="1">
        <v>2820</v>
      </c>
      <c r="AI28" s="1" t="s">
        <v>328</v>
      </c>
      <c r="AJ28" s="1">
        <v>0</v>
      </c>
      <c r="AK28" s="1" t="s">
        <v>328</v>
      </c>
      <c r="AL28" s="1" t="s">
        <v>5532</v>
      </c>
      <c r="AM28" s="1">
        <v>0</v>
      </c>
      <c r="AN28" s="1">
        <v>0</v>
      </c>
      <c r="AO28" s="1">
        <v>0</v>
      </c>
      <c r="AP28" s="1">
        <v>0</v>
      </c>
      <c r="AQ28" s="1">
        <v>1</v>
      </c>
      <c r="AR28" s="1" t="s">
        <v>328</v>
      </c>
      <c r="AS28" s="1">
        <v>0</v>
      </c>
      <c r="AT28" s="1" t="s">
        <v>1806</v>
      </c>
      <c r="AU28" s="1">
        <v>0</v>
      </c>
      <c r="AV28" s="1">
        <v>6002</v>
      </c>
      <c r="AW28" s="1">
        <v>0</v>
      </c>
      <c r="AX28" t="b">
        <v>1</v>
      </c>
    </row>
    <row r="29" spans="1:50" x14ac:dyDescent="0.3">
      <c r="A29" s="1">
        <v>28</v>
      </c>
      <c r="B29" s="1" t="s">
        <v>5533</v>
      </c>
      <c r="C29" s="1" t="s">
        <v>5534</v>
      </c>
      <c r="D29" s="1">
        <v>5</v>
      </c>
      <c r="E29" s="1">
        <v>2</v>
      </c>
      <c r="F29" s="1">
        <v>6</v>
      </c>
      <c r="G29" s="1" t="s">
        <v>328</v>
      </c>
      <c r="H29" s="1" t="s">
        <v>328</v>
      </c>
      <c r="I29" s="1" t="s">
        <v>328</v>
      </c>
      <c r="J29" s="1" t="s">
        <v>328</v>
      </c>
      <c r="K29" s="1" t="s">
        <v>328</v>
      </c>
      <c r="L29" s="1" t="s">
        <v>328</v>
      </c>
      <c r="M29" s="1" t="s">
        <v>328</v>
      </c>
      <c r="N29" s="1" t="s">
        <v>328</v>
      </c>
      <c r="O29" s="1" t="s">
        <v>328</v>
      </c>
      <c r="P29" s="1" t="s">
        <v>328</v>
      </c>
      <c r="Q29" s="1" t="s">
        <v>328</v>
      </c>
      <c r="R29" s="1" t="s">
        <v>328</v>
      </c>
      <c r="S29" s="1" t="s">
        <v>328</v>
      </c>
      <c r="T29" s="1" t="s">
        <v>328</v>
      </c>
      <c r="U29" s="1">
        <v>0</v>
      </c>
      <c r="V29" s="1">
        <v>0</v>
      </c>
      <c r="W29" s="1">
        <v>0</v>
      </c>
      <c r="X29" s="1">
        <v>0</v>
      </c>
      <c r="Y29" s="1">
        <v>0</v>
      </c>
      <c r="Z29" s="1">
        <v>0</v>
      </c>
      <c r="AA29" s="1">
        <v>0</v>
      </c>
      <c r="AB29" s="1">
        <v>0</v>
      </c>
      <c r="AC29" s="1">
        <v>0</v>
      </c>
      <c r="AD29" s="1">
        <v>4</v>
      </c>
      <c r="AE29" s="1">
        <v>2</v>
      </c>
      <c r="AF29" s="1">
        <v>3</v>
      </c>
      <c r="AG29" s="208" t="s">
        <v>4915</v>
      </c>
      <c r="AH29" s="1">
        <v>3420</v>
      </c>
      <c r="AI29" s="1" t="s">
        <v>328</v>
      </c>
      <c r="AJ29" s="1">
        <v>0</v>
      </c>
      <c r="AK29" s="1" t="s">
        <v>328</v>
      </c>
      <c r="AL29" s="1" t="s">
        <v>5535</v>
      </c>
      <c r="AM29" s="1">
        <v>0</v>
      </c>
      <c r="AN29" s="1">
        <v>0</v>
      </c>
      <c r="AO29" s="1">
        <v>0</v>
      </c>
      <c r="AP29" s="1">
        <v>0</v>
      </c>
      <c r="AQ29" s="1">
        <v>1</v>
      </c>
      <c r="AR29" s="1" t="s">
        <v>328</v>
      </c>
      <c r="AS29" s="1">
        <v>0</v>
      </c>
      <c r="AT29" s="1" t="s">
        <v>1806</v>
      </c>
      <c r="AU29" s="1">
        <v>0</v>
      </c>
      <c r="AV29" s="1">
        <v>6002</v>
      </c>
      <c r="AW29" s="1">
        <v>0</v>
      </c>
      <c r="AX29" t="b">
        <v>1</v>
      </c>
    </row>
    <row r="30" spans="1:50" x14ac:dyDescent="0.3">
      <c r="A30" s="1">
        <v>29</v>
      </c>
      <c r="B30" s="1" t="s">
        <v>1866</v>
      </c>
      <c r="C30" s="1" t="s">
        <v>1867</v>
      </c>
      <c r="D30" s="1">
        <v>2</v>
      </c>
      <c r="E30" s="1">
        <v>2</v>
      </c>
      <c r="F30" s="1">
        <v>8</v>
      </c>
      <c r="G30" s="1" t="s">
        <v>332</v>
      </c>
      <c r="H30" s="1" t="s">
        <v>328</v>
      </c>
      <c r="I30" s="1" t="s">
        <v>328</v>
      </c>
      <c r="J30" s="1" t="s">
        <v>328</v>
      </c>
      <c r="K30" s="1" t="s">
        <v>328</v>
      </c>
      <c r="L30" s="1" t="s">
        <v>328</v>
      </c>
      <c r="M30" s="1" t="s">
        <v>328</v>
      </c>
      <c r="N30" s="1" t="s">
        <v>328</v>
      </c>
      <c r="O30" s="1" t="s">
        <v>328</v>
      </c>
      <c r="P30" s="1" t="s">
        <v>328</v>
      </c>
      <c r="Q30" s="1" t="s">
        <v>328</v>
      </c>
      <c r="R30" s="1" t="s">
        <v>328</v>
      </c>
      <c r="S30" s="1" t="s">
        <v>328</v>
      </c>
      <c r="T30" s="1" t="s">
        <v>328</v>
      </c>
      <c r="U30" s="1">
        <v>0</v>
      </c>
      <c r="V30" s="1">
        <v>0</v>
      </c>
      <c r="W30" s="1">
        <v>0</v>
      </c>
      <c r="X30" s="1">
        <v>0</v>
      </c>
      <c r="Y30" s="1">
        <v>0</v>
      </c>
      <c r="Z30" s="1">
        <v>0</v>
      </c>
      <c r="AA30" s="1">
        <v>0</v>
      </c>
      <c r="AB30" s="1">
        <v>0</v>
      </c>
      <c r="AC30" s="1">
        <v>0</v>
      </c>
      <c r="AD30" s="1">
        <v>3</v>
      </c>
      <c r="AE30" s="1">
        <v>0</v>
      </c>
      <c r="AF30" s="1">
        <v>0</v>
      </c>
      <c r="AG30" s="208" t="s">
        <v>535</v>
      </c>
      <c r="AH30" s="1">
        <v>1080</v>
      </c>
      <c r="AI30" s="1" t="s">
        <v>1868</v>
      </c>
      <c r="AJ30" s="1">
        <v>0</v>
      </c>
      <c r="AK30" s="1" t="s">
        <v>328</v>
      </c>
      <c r="AL30" s="1" t="s">
        <v>1869</v>
      </c>
      <c r="AM30" s="1">
        <v>0</v>
      </c>
      <c r="AN30" s="1">
        <v>0</v>
      </c>
      <c r="AO30" s="1">
        <v>0</v>
      </c>
      <c r="AP30" s="1">
        <v>0</v>
      </c>
      <c r="AQ30" s="1">
        <v>1</v>
      </c>
      <c r="AR30" s="1" t="s">
        <v>328</v>
      </c>
      <c r="AS30" s="1">
        <v>0</v>
      </c>
      <c r="AT30" s="1" t="s">
        <v>1806</v>
      </c>
      <c r="AU30" s="1">
        <v>0</v>
      </c>
      <c r="AV30" s="1">
        <v>8001</v>
      </c>
      <c r="AW30" s="1">
        <v>0</v>
      </c>
      <c r="AX30" t="b">
        <v>0</v>
      </c>
    </row>
    <row r="31" spans="1:50" x14ac:dyDescent="0.3">
      <c r="A31" s="1">
        <v>30</v>
      </c>
      <c r="B31" s="1" t="s">
        <v>1870</v>
      </c>
      <c r="C31" s="1" t="s">
        <v>1871</v>
      </c>
      <c r="D31" s="1">
        <v>3</v>
      </c>
      <c r="E31" s="1">
        <v>2</v>
      </c>
      <c r="F31" s="1">
        <v>8</v>
      </c>
      <c r="G31" s="1" t="s">
        <v>354</v>
      </c>
      <c r="H31" s="1" t="s">
        <v>328</v>
      </c>
      <c r="I31" s="1" t="s">
        <v>328</v>
      </c>
      <c r="J31" s="1" t="s">
        <v>328</v>
      </c>
      <c r="K31" s="1" t="s">
        <v>328</v>
      </c>
      <c r="L31" s="1" t="s">
        <v>328</v>
      </c>
      <c r="M31" s="1" t="s">
        <v>328</v>
      </c>
      <c r="N31" s="1" t="s">
        <v>328</v>
      </c>
      <c r="O31" s="1" t="s">
        <v>328</v>
      </c>
      <c r="P31" s="1" t="s">
        <v>328</v>
      </c>
      <c r="Q31" s="1" t="s">
        <v>328</v>
      </c>
      <c r="R31" s="1" t="s">
        <v>328</v>
      </c>
      <c r="S31" s="1" t="s">
        <v>328</v>
      </c>
      <c r="T31" s="1" t="s">
        <v>328</v>
      </c>
      <c r="U31" s="1">
        <v>0</v>
      </c>
      <c r="V31" s="1">
        <v>0</v>
      </c>
      <c r="W31" s="1">
        <v>0</v>
      </c>
      <c r="X31" s="1">
        <v>0</v>
      </c>
      <c r="Y31" s="1">
        <v>0</v>
      </c>
      <c r="Z31" s="1">
        <v>0</v>
      </c>
      <c r="AA31" s="1">
        <v>0</v>
      </c>
      <c r="AB31" s="1">
        <v>0</v>
      </c>
      <c r="AC31" s="1">
        <v>0</v>
      </c>
      <c r="AD31" s="1">
        <v>3</v>
      </c>
      <c r="AE31" s="1">
        <v>1</v>
      </c>
      <c r="AF31" s="1">
        <v>0</v>
      </c>
      <c r="AG31" s="208" t="s">
        <v>536</v>
      </c>
      <c r="AH31" s="1">
        <v>1980</v>
      </c>
      <c r="AI31" s="1" t="s">
        <v>1868</v>
      </c>
      <c r="AJ31" s="1">
        <v>0</v>
      </c>
      <c r="AK31" s="1" t="s">
        <v>328</v>
      </c>
      <c r="AL31" s="1" t="s">
        <v>1872</v>
      </c>
      <c r="AM31" s="1">
        <v>0.15</v>
      </c>
      <c r="AN31" s="1">
        <v>0.6</v>
      </c>
      <c r="AO31" s="1">
        <v>0.38</v>
      </c>
      <c r="AP31" s="1">
        <v>0.23</v>
      </c>
      <c r="AQ31" s="1">
        <v>1</v>
      </c>
      <c r="AR31" s="1" t="s">
        <v>1473</v>
      </c>
      <c r="AS31" s="1">
        <v>0</v>
      </c>
      <c r="AT31" s="1" t="s">
        <v>1806</v>
      </c>
      <c r="AU31" s="1">
        <v>10</v>
      </c>
      <c r="AV31" s="1">
        <v>8001</v>
      </c>
      <c r="AW31" s="1">
        <v>0</v>
      </c>
      <c r="AX31" t="b">
        <v>0</v>
      </c>
    </row>
    <row r="32" spans="1:50" x14ac:dyDescent="0.3">
      <c r="A32" s="1">
        <v>31</v>
      </c>
      <c r="B32" s="1" t="s">
        <v>1873</v>
      </c>
      <c r="C32" s="1" t="s">
        <v>1874</v>
      </c>
      <c r="D32" s="1">
        <v>4</v>
      </c>
      <c r="E32" s="1">
        <v>2</v>
      </c>
      <c r="F32" s="1">
        <v>8</v>
      </c>
      <c r="G32" s="1" t="s">
        <v>355</v>
      </c>
      <c r="H32" s="1" t="s">
        <v>328</v>
      </c>
      <c r="I32" s="1" t="s">
        <v>328</v>
      </c>
      <c r="J32" s="1" t="s">
        <v>328</v>
      </c>
      <c r="K32" s="1" t="s">
        <v>328</v>
      </c>
      <c r="L32" s="1" t="s">
        <v>328</v>
      </c>
      <c r="M32" s="1" t="s">
        <v>328</v>
      </c>
      <c r="N32" s="1" t="s">
        <v>328</v>
      </c>
      <c r="O32" s="1" t="s">
        <v>328</v>
      </c>
      <c r="P32" s="1" t="s">
        <v>328</v>
      </c>
      <c r="Q32" s="1" t="s">
        <v>328</v>
      </c>
      <c r="R32" s="1" t="s">
        <v>328</v>
      </c>
      <c r="S32" s="1" t="s">
        <v>328</v>
      </c>
      <c r="T32" s="1" t="s">
        <v>328</v>
      </c>
      <c r="U32" s="1">
        <v>0</v>
      </c>
      <c r="V32" s="1">
        <v>0</v>
      </c>
      <c r="W32" s="1">
        <v>0</v>
      </c>
      <c r="X32" s="1">
        <v>0</v>
      </c>
      <c r="Y32" s="1">
        <v>0</v>
      </c>
      <c r="Z32" s="1">
        <v>0</v>
      </c>
      <c r="AA32" s="1">
        <v>0</v>
      </c>
      <c r="AB32" s="1">
        <v>0</v>
      </c>
      <c r="AC32" s="1">
        <v>0</v>
      </c>
      <c r="AD32" s="1">
        <v>4</v>
      </c>
      <c r="AE32" s="1">
        <v>2</v>
      </c>
      <c r="AF32" s="1">
        <v>1</v>
      </c>
      <c r="AG32" s="208" t="s">
        <v>537</v>
      </c>
      <c r="AH32" s="1">
        <v>2880</v>
      </c>
      <c r="AI32" s="1" t="s">
        <v>1868</v>
      </c>
      <c r="AJ32" s="1">
        <v>0</v>
      </c>
      <c r="AK32" s="1" t="s">
        <v>328</v>
      </c>
      <c r="AL32" s="1" t="s">
        <v>1875</v>
      </c>
      <c r="AM32" s="1">
        <v>0.15</v>
      </c>
      <c r="AN32" s="1">
        <v>0.6</v>
      </c>
      <c r="AO32" s="1">
        <v>0.38</v>
      </c>
      <c r="AP32" s="1">
        <v>0.23</v>
      </c>
      <c r="AQ32" s="1">
        <v>1</v>
      </c>
      <c r="AR32" s="1" t="s">
        <v>1474</v>
      </c>
      <c r="AS32" s="1">
        <v>0</v>
      </c>
      <c r="AT32" s="1" t="s">
        <v>1806</v>
      </c>
      <c r="AU32" s="1">
        <v>10</v>
      </c>
      <c r="AV32" s="1">
        <v>8001</v>
      </c>
      <c r="AW32" s="1">
        <v>0</v>
      </c>
      <c r="AX32" t="b">
        <v>0</v>
      </c>
    </row>
    <row r="33" spans="1:50" x14ac:dyDescent="0.3">
      <c r="A33" s="1">
        <v>32</v>
      </c>
      <c r="B33" s="1" t="s">
        <v>1876</v>
      </c>
      <c r="C33" s="1" t="s">
        <v>1877</v>
      </c>
      <c r="D33" s="1">
        <v>5</v>
      </c>
      <c r="E33" s="1">
        <v>2</v>
      </c>
      <c r="F33" s="1">
        <v>8</v>
      </c>
      <c r="G33" s="1" t="s">
        <v>356</v>
      </c>
      <c r="H33" s="1" t="s">
        <v>328</v>
      </c>
      <c r="I33" s="1" t="s">
        <v>328</v>
      </c>
      <c r="J33" s="1" t="s">
        <v>328</v>
      </c>
      <c r="K33" s="1" t="s">
        <v>328</v>
      </c>
      <c r="L33" s="1" t="s">
        <v>328</v>
      </c>
      <c r="M33" s="1" t="s">
        <v>328</v>
      </c>
      <c r="N33" s="1" t="s">
        <v>328</v>
      </c>
      <c r="O33" s="1" t="s">
        <v>328</v>
      </c>
      <c r="P33" s="1" t="s">
        <v>328</v>
      </c>
      <c r="Q33" s="1" t="s">
        <v>328</v>
      </c>
      <c r="R33" s="1" t="s">
        <v>328</v>
      </c>
      <c r="S33" s="1" t="s">
        <v>328</v>
      </c>
      <c r="T33" s="1" t="s">
        <v>328</v>
      </c>
      <c r="U33" s="1">
        <v>0</v>
      </c>
      <c r="V33" s="1">
        <v>0</v>
      </c>
      <c r="W33" s="1">
        <v>0</v>
      </c>
      <c r="X33" s="1">
        <v>0</v>
      </c>
      <c r="Y33" s="1">
        <v>0</v>
      </c>
      <c r="Z33" s="1">
        <v>0</v>
      </c>
      <c r="AA33" s="1">
        <v>0</v>
      </c>
      <c r="AB33" s="1">
        <v>0</v>
      </c>
      <c r="AC33" s="1">
        <v>0</v>
      </c>
      <c r="AD33" s="1">
        <v>5</v>
      </c>
      <c r="AE33" s="1">
        <v>3</v>
      </c>
      <c r="AF33" s="1">
        <v>2</v>
      </c>
      <c r="AG33" s="208" t="s">
        <v>538</v>
      </c>
      <c r="AH33" s="1">
        <v>3480</v>
      </c>
      <c r="AI33" s="1" t="s">
        <v>1868</v>
      </c>
      <c r="AJ33" s="1">
        <v>0</v>
      </c>
      <c r="AK33" s="1" t="s">
        <v>328</v>
      </c>
      <c r="AL33" s="1" t="s">
        <v>1878</v>
      </c>
      <c r="AM33" s="1">
        <v>0.15</v>
      </c>
      <c r="AN33" s="1">
        <v>0.6</v>
      </c>
      <c r="AO33" s="1">
        <v>0.38</v>
      </c>
      <c r="AP33" s="1">
        <v>0.23</v>
      </c>
      <c r="AQ33" s="1">
        <v>1</v>
      </c>
      <c r="AR33" s="1" t="s">
        <v>1475</v>
      </c>
      <c r="AS33" s="1">
        <v>0</v>
      </c>
      <c r="AT33" s="1" t="s">
        <v>1806</v>
      </c>
      <c r="AU33" s="1">
        <v>10</v>
      </c>
      <c r="AV33" s="1">
        <v>8001</v>
      </c>
      <c r="AW33" s="1">
        <v>0</v>
      </c>
      <c r="AX33" t="b">
        <v>0</v>
      </c>
    </row>
    <row r="34" spans="1:50" x14ac:dyDescent="0.3">
      <c r="A34" s="1">
        <v>33</v>
      </c>
      <c r="B34" s="1" t="s">
        <v>5536</v>
      </c>
      <c r="C34" s="1" t="s">
        <v>5537</v>
      </c>
      <c r="D34" s="1">
        <v>2</v>
      </c>
      <c r="E34" s="1">
        <v>3</v>
      </c>
      <c r="F34" s="1">
        <v>9</v>
      </c>
      <c r="G34" s="1" t="s">
        <v>328</v>
      </c>
      <c r="H34" s="1" t="s">
        <v>328</v>
      </c>
      <c r="I34" s="1" t="s">
        <v>328</v>
      </c>
      <c r="J34" s="1" t="s">
        <v>328</v>
      </c>
      <c r="K34" s="1" t="s">
        <v>328</v>
      </c>
      <c r="L34" s="1" t="s">
        <v>328</v>
      </c>
      <c r="M34" s="1" t="s">
        <v>328</v>
      </c>
      <c r="N34" s="1" t="s">
        <v>328</v>
      </c>
      <c r="O34" s="1" t="s">
        <v>328</v>
      </c>
      <c r="P34" s="1" t="s">
        <v>328</v>
      </c>
      <c r="Q34" s="1" t="s">
        <v>328</v>
      </c>
      <c r="R34" s="1" t="s">
        <v>328</v>
      </c>
      <c r="S34" s="1" t="s">
        <v>328</v>
      </c>
      <c r="T34" s="1" t="s">
        <v>328</v>
      </c>
      <c r="U34" s="1">
        <v>0</v>
      </c>
      <c r="V34" s="1">
        <v>0</v>
      </c>
      <c r="W34" s="1">
        <v>0</v>
      </c>
      <c r="X34" s="1">
        <v>0</v>
      </c>
      <c r="Y34" s="1">
        <v>0</v>
      </c>
      <c r="Z34" s="1">
        <v>0</v>
      </c>
      <c r="AA34" s="1">
        <v>0</v>
      </c>
      <c r="AB34" s="1">
        <v>0</v>
      </c>
      <c r="AC34" s="1">
        <v>1</v>
      </c>
      <c r="AD34" s="1">
        <v>1</v>
      </c>
      <c r="AE34" s="1">
        <v>0</v>
      </c>
      <c r="AF34" s="1">
        <v>0</v>
      </c>
      <c r="AG34" s="208" t="s">
        <v>5004</v>
      </c>
      <c r="AH34" s="1">
        <v>660</v>
      </c>
      <c r="AI34" s="1" t="s">
        <v>328</v>
      </c>
      <c r="AJ34" s="1">
        <v>0</v>
      </c>
      <c r="AK34" s="1" t="s">
        <v>328</v>
      </c>
      <c r="AL34" s="1" t="s">
        <v>5538</v>
      </c>
      <c r="AM34" s="1">
        <v>0</v>
      </c>
      <c r="AN34" s="1">
        <v>0</v>
      </c>
      <c r="AO34" s="1">
        <v>0</v>
      </c>
      <c r="AP34" s="1">
        <v>0</v>
      </c>
      <c r="AQ34" s="1">
        <v>1</v>
      </c>
      <c r="AR34" s="1" t="s">
        <v>328</v>
      </c>
      <c r="AS34" s="1">
        <v>0</v>
      </c>
      <c r="AT34" s="1" t="s">
        <v>1806</v>
      </c>
      <c r="AU34" s="1">
        <v>0</v>
      </c>
      <c r="AV34" s="1">
        <v>9001</v>
      </c>
      <c r="AW34" s="1">
        <v>0</v>
      </c>
      <c r="AX34" t="b">
        <v>1</v>
      </c>
    </row>
    <row r="35" spans="1:50" x14ac:dyDescent="0.3">
      <c r="A35" s="1">
        <v>34</v>
      </c>
      <c r="B35" s="1" t="s">
        <v>5539</v>
      </c>
      <c r="C35" s="1" t="s">
        <v>5540</v>
      </c>
      <c r="D35" s="1">
        <v>3</v>
      </c>
      <c r="E35" s="1">
        <v>3</v>
      </c>
      <c r="F35" s="1">
        <v>9</v>
      </c>
      <c r="G35" s="1" t="s">
        <v>328</v>
      </c>
      <c r="H35" s="1" t="s">
        <v>328</v>
      </c>
      <c r="I35" s="1" t="s">
        <v>328</v>
      </c>
      <c r="J35" s="1" t="s">
        <v>328</v>
      </c>
      <c r="K35" s="1" t="s">
        <v>328</v>
      </c>
      <c r="L35" s="1" t="s">
        <v>328</v>
      </c>
      <c r="M35" s="1" t="s">
        <v>328</v>
      </c>
      <c r="N35" s="1" t="s">
        <v>328</v>
      </c>
      <c r="O35" s="1" t="s">
        <v>328</v>
      </c>
      <c r="P35" s="1" t="s">
        <v>328</v>
      </c>
      <c r="Q35" s="1" t="s">
        <v>328</v>
      </c>
      <c r="R35" s="1" t="s">
        <v>328</v>
      </c>
      <c r="S35" s="1" t="s">
        <v>328</v>
      </c>
      <c r="T35" s="1" t="s">
        <v>328</v>
      </c>
      <c r="U35" s="1">
        <v>0</v>
      </c>
      <c r="V35" s="1">
        <v>0</v>
      </c>
      <c r="W35" s="1">
        <v>0</v>
      </c>
      <c r="X35" s="1">
        <v>0</v>
      </c>
      <c r="Y35" s="1">
        <v>0</v>
      </c>
      <c r="Z35" s="1">
        <v>0</v>
      </c>
      <c r="AA35" s="1">
        <v>0</v>
      </c>
      <c r="AB35" s="1">
        <v>0</v>
      </c>
      <c r="AC35" s="1">
        <v>2</v>
      </c>
      <c r="AD35" s="1">
        <v>1</v>
      </c>
      <c r="AE35" s="1">
        <v>0</v>
      </c>
      <c r="AF35" s="1">
        <v>0</v>
      </c>
      <c r="AG35" s="208" t="s">
        <v>5541</v>
      </c>
      <c r="AH35" s="1">
        <v>1560</v>
      </c>
      <c r="AI35" s="1" t="s">
        <v>328</v>
      </c>
      <c r="AJ35" s="1">
        <v>0</v>
      </c>
      <c r="AK35" s="1" t="s">
        <v>328</v>
      </c>
      <c r="AL35" s="1" t="s">
        <v>5542</v>
      </c>
      <c r="AM35" s="1">
        <v>0</v>
      </c>
      <c r="AN35" s="1">
        <v>0</v>
      </c>
      <c r="AO35" s="1">
        <v>0</v>
      </c>
      <c r="AP35" s="1">
        <v>0</v>
      </c>
      <c r="AQ35" s="1">
        <v>1</v>
      </c>
      <c r="AR35" s="1" t="s">
        <v>328</v>
      </c>
      <c r="AS35" s="1">
        <v>0</v>
      </c>
      <c r="AT35" s="1" t="s">
        <v>1806</v>
      </c>
      <c r="AU35" s="1">
        <v>0</v>
      </c>
      <c r="AV35" s="1">
        <v>9001</v>
      </c>
      <c r="AW35" s="1">
        <v>0</v>
      </c>
      <c r="AX35" t="b">
        <v>1</v>
      </c>
    </row>
    <row r="36" spans="1:50" x14ac:dyDescent="0.3">
      <c r="A36" s="1">
        <v>35</v>
      </c>
      <c r="B36" s="1" t="s">
        <v>5543</v>
      </c>
      <c r="C36" s="1" t="s">
        <v>5544</v>
      </c>
      <c r="D36" s="1">
        <v>4</v>
      </c>
      <c r="E36" s="1">
        <v>3</v>
      </c>
      <c r="F36" s="1">
        <v>9</v>
      </c>
      <c r="G36" s="1" t="s">
        <v>328</v>
      </c>
      <c r="H36" s="1" t="s">
        <v>328</v>
      </c>
      <c r="I36" s="1" t="s">
        <v>328</v>
      </c>
      <c r="J36" s="1" t="s">
        <v>328</v>
      </c>
      <c r="K36" s="1" t="s">
        <v>328</v>
      </c>
      <c r="L36" s="1" t="s">
        <v>328</v>
      </c>
      <c r="M36" s="1" t="s">
        <v>328</v>
      </c>
      <c r="N36" s="1" t="s">
        <v>328</v>
      </c>
      <c r="O36" s="1" t="s">
        <v>328</v>
      </c>
      <c r="P36" s="1" t="s">
        <v>328</v>
      </c>
      <c r="Q36" s="1" t="s">
        <v>328</v>
      </c>
      <c r="R36" s="1" t="s">
        <v>328</v>
      </c>
      <c r="S36" s="1" t="s">
        <v>328</v>
      </c>
      <c r="T36" s="1" t="s">
        <v>328</v>
      </c>
      <c r="U36" s="1">
        <v>0</v>
      </c>
      <c r="V36" s="1">
        <v>0</v>
      </c>
      <c r="W36" s="1">
        <v>0</v>
      </c>
      <c r="X36" s="1">
        <v>0</v>
      </c>
      <c r="Y36" s="1">
        <v>0</v>
      </c>
      <c r="Z36" s="1">
        <v>0</v>
      </c>
      <c r="AA36" s="1">
        <v>0</v>
      </c>
      <c r="AB36" s="1">
        <v>0</v>
      </c>
      <c r="AC36" s="1">
        <v>3</v>
      </c>
      <c r="AD36" s="1">
        <v>2</v>
      </c>
      <c r="AE36" s="1">
        <v>0</v>
      </c>
      <c r="AF36" s="1">
        <v>1</v>
      </c>
      <c r="AG36" s="208" t="s">
        <v>5416</v>
      </c>
      <c r="AH36" s="1">
        <v>2460</v>
      </c>
      <c r="AI36" s="1" t="s">
        <v>328</v>
      </c>
      <c r="AJ36" s="1">
        <v>0</v>
      </c>
      <c r="AK36" s="1" t="s">
        <v>328</v>
      </c>
      <c r="AL36" s="1" t="s">
        <v>5545</v>
      </c>
      <c r="AM36" s="1">
        <v>0</v>
      </c>
      <c r="AN36" s="1">
        <v>0</v>
      </c>
      <c r="AO36" s="1">
        <v>0</v>
      </c>
      <c r="AP36" s="1">
        <v>0</v>
      </c>
      <c r="AQ36" s="1">
        <v>1</v>
      </c>
      <c r="AR36" s="1" t="s">
        <v>328</v>
      </c>
      <c r="AS36" s="1">
        <v>0</v>
      </c>
      <c r="AT36" s="1" t="s">
        <v>1806</v>
      </c>
      <c r="AU36" s="1">
        <v>0</v>
      </c>
      <c r="AV36" s="1">
        <v>9001</v>
      </c>
      <c r="AW36" s="1">
        <v>0</v>
      </c>
      <c r="AX36" t="b">
        <v>1</v>
      </c>
    </row>
    <row r="37" spans="1:50" x14ac:dyDescent="0.3">
      <c r="A37" s="1">
        <v>36</v>
      </c>
      <c r="B37" s="1" t="s">
        <v>5546</v>
      </c>
      <c r="C37" s="1" t="s">
        <v>5547</v>
      </c>
      <c r="D37" s="1">
        <v>5</v>
      </c>
      <c r="E37" s="1">
        <v>3</v>
      </c>
      <c r="F37" s="1">
        <v>9</v>
      </c>
      <c r="G37" s="1" t="s">
        <v>328</v>
      </c>
      <c r="H37" s="1" t="s">
        <v>328</v>
      </c>
      <c r="I37" s="1" t="s">
        <v>328</v>
      </c>
      <c r="J37" s="1" t="s">
        <v>328</v>
      </c>
      <c r="K37" s="1" t="s">
        <v>328</v>
      </c>
      <c r="L37" s="1" t="s">
        <v>328</v>
      </c>
      <c r="M37" s="1" t="s">
        <v>328</v>
      </c>
      <c r="N37" s="1" t="s">
        <v>328</v>
      </c>
      <c r="O37" s="1" t="s">
        <v>328</v>
      </c>
      <c r="P37" s="1" t="s">
        <v>328</v>
      </c>
      <c r="Q37" s="1" t="s">
        <v>328</v>
      </c>
      <c r="R37" s="1" t="s">
        <v>328</v>
      </c>
      <c r="S37" s="1" t="s">
        <v>328</v>
      </c>
      <c r="T37" s="1" t="s">
        <v>328</v>
      </c>
      <c r="U37" s="1">
        <v>0</v>
      </c>
      <c r="V37" s="1">
        <v>0</v>
      </c>
      <c r="W37" s="1">
        <v>0</v>
      </c>
      <c r="X37" s="1">
        <v>0</v>
      </c>
      <c r="Y37" s="1">
        <v>0</v>
      </c>
      <c r="Z37" s="1">
        <v>0</v>
      </c>
      <c r="AA37" s="1">
        <v>0</v>
      </c>
      <c r="AB37" s="1">
        <v>0</v>
      </c>
      <c r="AC37" s="1">
        <v>4</v>
      </c>
      <c r="AD37" s="1">
        <v>3</v>
      </c>
      <c r="AE37" s="1">
        <v>0</v>
      </c>
      <c r="AF37" s="1">
        <v>2</v>
      </c>
      <c r="AG37" s="208" t="s">
        <v>357</v>
      </c>
      <c r="AH37" s="1">
        <v>3060</v>
      </c>
      <c r="AI37" s="1" t="s">
        <v>328</v>
      </c>
      <c r="AJ37" s="1">
        <v>0</v>
      </c>
      <c r="AK37" s="1" t="s">
        <v>328</v>
      </c>
      <c r="AL37" s="1" t="s">
        <v>5548</v>
      </c>
      <c r="AM37" s="1">
        <v>0</v>
      </c>
      <c r="AN37" s="1">
        <v>0</v>
      </c>
      <c r="AO37" s="1">
        <v>0</v>
      </c>
      <c r="AP37" s="1">
        <v>0</v>
      </c>
      <c r="AQ37" s="1">
        <v>1</v>
      </c>
      <c r="AR37" s="1" t="s">
        <v>328</v>
      </c>
      <c r="AS37" s="1">
        <v>0</v>
      </c>
      <c r="AT37" s="1" t="s">
        <v>1806</v>
      </c>
      <c r="AU37" s="1">
        <v>0</v>
      </c>
      <c r="AV37" s="1">
        <v>9001</v>
      </c>
      <c r="AW37" s="1">
        <v>0</v>
      </c>
      <c r="AX37" t="b">
        <v>1</v>
      </c>
    </row>
    <row r="38" spans="1:50" x14ac:dyDescent="0.3">
      <c r="A38" s="1">
        <v>37</v>
      </c>
      <c r="B38" s="1" t="s">
        <v>1879</v>
      </c>
      <c r="C38" s="1" t="s">
        <v>1880</v>
      </c>
      <c r="D38" s="1">
        <v>2</v>
      </c>
      <c r="E38" s="1">
        <v>3</v>
      </c>
      <c r="F38" s="1">
        <v>10</v>
      </c>
      <c r="G38" s="1" t="s">
        <v>340</v>
      </c>
      <c r="H38" s="1" t="s">
        <v>328</v>
      </c>
      <c r="I38" s="1" t="s">
        <v>358</v>
      </c>
      <c r="J38" s="1" t="s">
        <v>328</v>
      </c>
      <c r="K38" s="1" t="s">
        <v>328</v>
      </c>
      <c r="L38" s="1" t="s">
        <v>328</v>
      </c>
      <c r="M38" s="1" t="s">
        <v>328</v>
      </c>
      <c r="N38" s="1" t="s">
        <v>328</v>
      </c>
      <c r="O38" s="1" t="s">
        <v>328</v>
      </c>
      <c r="P38" s="1" t="s">
        <v>328</v>
      </c>
      <c r="Q38" s="1" t="s">
        <v>328</v>
      </c>
      <c r="R38" s="1" t="s">
        <v>328</v>
      </c>
      <c r="S38" s="1" t="s">
        <v>328</v>
      </c>
      <c r="T38" s="1" t="s">
        <v>328</v>
      </c>
      <c r="U38" s="1">
        <v>0</v>
      </c>
      <c r="V38" s="1">
        <v>0</v>
      </c>
      <c r="W38" s="1">
        <v>0</v>
      </c>
      <c r="X38" s="1">
        <v>0</v>
      </c>
      <c r="Y38" s="1">
        <v>0</v>
      </c>
      <c r="Z38" s="1">
        <v>0</v>
      </c>
      <c r="AA38" s="1">
        <v>0</v>
      </c>
      <c r="AB38" s="1">
        <v>0</v>
      </c>
      <c r="AC38" s="1">
        <v>1</v>
      </c>
      <c r="AD38" s="1">
        <v>0</v>
      </c>
      <c r="AE38" s="1">
        <v>0</v>
      </c>
      <c r="AF38" s="1">
        <v>1</v>
      </c>
      <c r="AG38" s="208" t="s">
        <v>539</v>
      </c>
      <c r="AH38" s="1">
        <v>720</v>
      </c>
      <c r="AI38" s="1" t="s">
        <v>1843</v>
      </c>
      <c r="AJ38" s="1">
        <v>0</v>
      </c>
      <c r="AK38" s="1" t="s">
        <v>328</v>
      </c>
      <c r="AL38" s="1" t="s">
        <v>1881</v>
      </c>
      <c r="AM38" s="1">
        <v>0</v>
      </c>
      <c r="AN38" s="1">
        <v>0</v>
      </c>
      <c r="AO38" s="1">
        <v>0</v>
      </c>
      <c r="AP38" s="1">
        <v>0</v>
      </c>
      <c r="AQ38" s="1">
        <v>1</v>
      </c>
      <c r="AR38" s="1" t="s">
        <v>328</v>
      </c>
      <c r="AS38" s="1">
        <v>0</v>
      </c>
      <c r="AT38" s="1" t="s">
        <v>1806</v>
      </c>
      <c r="AU38" s="1">
        <v>0</v>
      </c>
      <c r="AV38" s="1">
        <v>10001</v>
      </c>
      <c r="AW38" s="1">
        <v>0</v>
      </c>
      <c r="AX38" t="b">
        <v>0</v>
      </c>
    </row>
    <row r="39" spans="1:50" x14ac:dyDescent="0.3">
      <c r="A39" s="1">
        <v>38</v>
      </c>
      <c r="B39" s="1" t="s">
        <v>1882</v>
      </c>
      <c r="C39" s="1" t="s">
        <v>1883</v>
      </c>
      <c r="D39" s="1">
        <v>3</v>
      </c>
      <c r="E39" s="1">
        <v>3</v>
      </c>
      <c r="F39" s="1">
        <v>10</v>
      </c>
      <c r="G39" s="1" t="s">
        <v>336</v>
      </c>
      <c r="H39" s="1" t="s">
        <v>328</v>
      </c>
      <c r="I39" s="1" t="s">
        <v>359</v>
      </c>
      <c r="J39" s="1" t="s">
        <v>328</v>
      </c>
      <c r="K39" s="1" t="s">
        <v>328</v>
      </c>
      <c r="L39" s="1" t="s">
        <v>328</v>
      </c>
      <c r="M39" s="1" t="s">
        <v>328</v>
      </c>
      <c r="N39" s="1" t="s">
        <v>328</v>
      </c>
      <c r="O39" s="1" t="s">
        <v>328</v>
      </c>
      <c r="P39" s="1" t="s">
        <v>328</v>
      </c>
      <c r="Q39" s="1" t="s">
        <v>328</v>
      </c>
      <c r="R39" s="1" t="s">
        <v>328</v>
      </c>
      <c r="S39" s="1" t="s">
        <v>328</v>
      </c>
      <c r="T39" s="1" t="s">
        <v>328</v>
      </c>
      <c r="U39" s="1">
        <v>0</v>
      </c>
      <c r="V39" s="1">
        <v>0</v>
      </c>
      <c r="W39" s="1">
        <v>0</v>
      </c>
      <c r="X39" s="1">
        <v>0</v>
      </c>
      <c r="Y39" s="1">
        <v>0</v>
      </c>
      <c r="Z39" s="1">
        <v>0</v>
      </c>
      <c r="AA39" s="1">
        <v>0</v>
      </c>
      <c r="AB39" s="1">
        <v>0</v>
      </c>
      <c r="AC39" s="1">
        <v>2</v>
      </c>
      <c r="AD39" s="1">
        <v>1</v>
      </c>
      <c r="AE39" s="1">
        <v>0</v>
      </c>
      <c r="AF39" s="1">
        <v>2</v>
      </c>
      <c r="AG39" s="208" t="s">
        <v>540</v>
      </c>
      <c r="AH39" s="1">
        <v>1620</v>
      </c>
      <c r="AI39" s="1" t="s">
        <v>1843</v>
      </c>
      <c r="AJ39" s="1">
        <v>0</v>
      </c>
      <c r="AK39" s="1" t="s">
        <v>328</v>
      </c>
      <c r="AL39" s="1" t="s">
        <v>1884</v>
      </c>
      <c r="AM39" s="1">
        <v>0.3</v>
      </c>
      <c r="AN39" s="1">
        <v>0.23</v>
      </c>
      <c r="AO39" s="1">
        <v>0.15</v>
      </c>
      <c r="AP39" s="1">
        <v>0.38</v>
      </c>
      <c r="AQ39" s="1">
        <v>1</v>
      </c>
      <c r="AR39" s="1" t="s">
        <v>1476</v>
      </c>
      <c r="AS39" s="1">
        <v>0</v>
      </c>
      <c r="AT39" s="1" t="s">
        <v>1806</v>
      </c>
      <c r="AU39" s="1">
        <v>10</v>
      </c>
      <c r="AV39" s="1">
        <v>10001</v>
      </c>
      <c r="AW39" s="1">
        <v>0</v>
      </c>
      <c r="AX39" t="b">
        <v>0</v>
      </c>
    </row>
    <row r="40" spans="1:50" x14ac:dyDescent="0.3">
      <c r="A40" s="1">
        <v>39</v>
      </c>
      <c r="B40" s="1" t="s">
        <v>1885</v>
      </c>
      <c r="C40" s="1" t="s">
        <v>1886</v>
      </c>
      <c r="D40" s="1">
        <v>4</v>
      </c>
      <c r="E40" s="1">
        <v>3</v>
      </c>
      <c r="F40" s="1">
        <v>10</v>
      </c>
      <c r="G40" s="1" t="s">
        <v>360</v>
      </c>
      <c r="H40" s="1" t="s">
        <v>328</v>
      </c>
      <c r="I40" s="1" t="s">
        <v>361</v>
      </c>
      <c r="J40" s="1" t="s">
        <v>328</v>
      </c>
      <c r="K40" s="1" t="s">
        <v>328</v>
      </c>
      <c r="L40" s="1" t="s">
        <v>328</v>
      </c>
      <c r="M40" s="1" t="s">
        <v>328</v>
      </c>
      <c r="N40" s="1" t="s">
        <v>328</v>
      </c>
      <c r="O40" s="1" t="s">
        <v>328</v>
      </c>
      <c r="P40" s="1" t="s">
        <v>328</v>
      </c>
      <c r="Q40" s="1" t="s">
        <v>328</v>
      </c>
      <c r="R40" s="1" t="s">
        <v>328</v>
      </c>
      <c r="S40" s="1" t="s">
        <v>328</v>
      </c>
      <c r="T40" s="1" t="s">
        <v>328</v>
      </c>
      <c r="U40" s="1">
        <v>0</v>
      </c>
      <c r="V40" s="1">
        <v>0</v>
      </c>
      <c r="W40" s="1">
        <v>0</v>
      </c>
      <c r="X40" s="1">
        <v>0</v>
      </c>
      <c r="Y40" s="1">
        <v>0</v>
      </c>
      <c r="Z40" s="1">
        <v>0</v>
      </c>
      <c r="AA40" s="1">
        <v>0</v>
      </c>
      <c r="AB40" s="1">
        <v>0</v>
      </c>
      <c r="AC40" s="1">
        <v>3</v>
      </c>
      <c r="AD40" s="1">
        <v>1</v>
      </c>
      <c r="AE40" s="1">
        <v>0</v>
      </c>
      <c r="AF40" s="1">
        <v>3</v>
      </c>
      <c r="AG40" s="208" t="s">
        <v>541</v>
      </c>
      <c r="AH40" s="1">
        <v>2520</v>
      </c>
      <c r="AI40" s="1" t="s">
        <v>1843</v>
      </c>
      <c r="AJ40" s="1">
        <v>0</v>
      </c>
      <c r="AK40" s="1" t="s">
        <v>328</v>
      </c>
      <c r="AL40" s="1" t="s">
        <v>1887</v>
      </c>
      <c r="AM40" s="1">
        <v>0.3</v>
      </c>
      <c r="AN40" s="1">
        <v>0.23</v>
      </c>
      <c r="AO40" s="1">
        <v>0.15</v>
      </c>
      <c r="AP40" s="1">
        <v>0.38</v>
      </c>
      <c r="AQ40" s="1">
        <v>1</v>
      </c>
      <c r="AR40" s="1" t="s">
        <v>1476</v>
      </c>
      <c r="AS40" s="1">
        <v>0</v>
      </c>
      <c r="AT40" s="1" t="s">
        <v>1806</v>
      </c>
      <c r="AU40" s="1">
        <v>10</v>
      </c>
      <c r="AV40" s="1">
        <v>10001</v>
      </c>
      <c r="AW40" s="1">
        <v>0</v>
      </c>
      <c r="AX40" t="b">
        <v>0</v>
      </c>
    </row>
    <row r="41" spans="1:50" x14ac:dyDescent="0.3">
      <c r="A41" s="1">
        <v>40</v>
      </c>
      <c r="B41" s="1" t="s">
        <v>1888</v>
      </c>
      <c r="C41" s="1" t="s">
        <v>1889</v>
      </c>
      <c r="D41" s="1">
        <v>5</v>
      </c>
      <c r="E41" s="1">
        <v>3</v>
      </c>
      <c r="F41" s="1">
        <v>10</v>
      </c>
      <c r="G41" s="1" t="s">
        <v>362</v>
      </c>
      <c r="H41" s="1" t="s">
        <v>328</v>
      </c>
      <c r="I41" s="1" t="s">
        <v>363</v>
      </c>
      <c r="J41" s="1" t="s">
        <v>328</v>
      </c>
      <c r="K41" s="1" t="s">
        <v>328</v>
      </c>
      <c r="L41" s="1" t="s">
        <v>328</v>
      </c>
      <c r="M41" s="1" t="s">
        <v>328</v>
      </c>
      <c r="N41" s="1" t="s">
        <v>328</v>
      </c>
      <c r="O41" s="1" t="s">
        <v>328</v>
      </c>
      <c r="P41" s="1" t="s">
        <v>328</v>
      </c>
      <c r="Q41" s="1" t="s">
        <v>328</v>
      </c>
      <c r="R41" s="1" t="s">
        <v>328</v>
      </c>
      <c r="S41" s="1" t="s">
        <v>328</v>
      </c>
      <c r="T41" s="1" t="s">
        <v>328</v>
      </c>
      <c r="U41" s="1">
        <v>0</v>
      </c>
      <c r="V41" s="1">
        <v>0</v>
      </c>
      <c r="W41" s="1">
        <v>0</v>
      </c>
      <c r="X41" s="1">
        <v>0</v>
      </c>
      <c r="Y41" s="1">
        <v>0</v>
      </c>
      <c r="Z41" s="1">
        <v>0</v>
      </c>
      <c r="AA41" s="1">
        <v>0</v>
      </c>
      <c r="AB41" s="1">
        <v>0</v>
      </c>
      <c r="AC41" s="1">
        <v>4</v>
      </c>
      <c r="AD41" s="1">
        <v>2</v>
      </c>
      <c r="AE41" s="1">
        <v>0</v>
      </c>
      <c r="AF41" s="1">
        <v>4</v>
      </c>
      <c r="AG41" s="208" t="s">
        <v>542</v>
      </c>
      <c r="AH41" s="1">
        <v>3120</v>
      </c>
      <c r="AI41" s="1" t="s">
        <v>1843</v>
      </c>
      <c r="AJ41" s="1">
        <v>0</v>
      </c>
      <c r="AK41" s="1" t="s">
        <v>328</v>
      </c>
      <c r="AL41" s="1" t="s">
        <v>1890</v>
      </c>
      <c r="AM41" s="1">
        <v>0.3</v>
      </c>
      <c r="AN41" s="1">
        <v>0.23</v>
      </c>
      <c r="AO41" s="1">
        <v>0.15</v>
      </c>
      <c r="AP41" s="1">
        <v>0.38</v>
      </c>
      <c r="AQ41" s="1">
        <v>1</v>
      </c>
      <c r="AR41" s="1" t="s">
        <v>1476</v>
      </c>
      <c r="AS41" s="1">
        <v>0</v>
      </c>
      <c r="AT41" s="1" t="s">
        <v>1806</v>
      </c>
      <c r="AU41" s="1">
        <v>10</v>
      </c>
      <c r="AV41" s="1">
        <v>10001</v>
      </c>
      <c r="AW41" s="1">
        <v>0</v>
      </c>
      <c r="AX41" t="b">
        <v>0</v>
      </c>
    </row>
    <row r="42" spans="1:50" x14ac:dyDescent="0.3">
      <c r="A42" s="1">
        <v>42</v>
      </c>
      <c r="B42" s="1" t="s">
        <v>1891</v>
      </c>
      <c r="C42" s="1" t="s">
        <v>1892</v>
      </c>
      <c r="D42" s="1">
        <v>3</v>
      </c>
      <c r="E42" s="1">
        <v>3</v>
      </c>
      <c r="F42" s="1">
        <v>11</v>
      </c>
      <c r="G42" s="1" t="s">
        <v>328</v>
      </c>
      <c r="H42" s="1" t="s">
        <v>328</v>
      </c>
      <c r="I42" s="1" t="s">
        <v>330</v>
      </c>
      <c r="J42" s="1" t="s">
        <v>328</v>
      </c>
      <c r="K42" s="1" t="s">
        <v>328</v>
      </c>
      <c r="L42" s="1" t="s">
        <v>328</v>
      </c>
      <c r="M42" s="1" t="s">
        <v>328</v>
      </c>
      <c r="N42" s="1" t="s">
        <v>328</v>
      </c>
      <c r="O42" s="1" t="s">
        <v>364</v>
      </c>
      <c r="P42" s="1" t="s">
        <v>328</v>
      </c>
      <c r="Q42" s="1" t="s">
        <v>328</v>
      </c>
      <c r="R42" s="1" t="s">
        <v>328</v>
      </c>
      <c r="S42" s="1" t="s">
        <v>328</v>
      </c>
      <c r="T42" s="1" t="s">
        <v>328</v>
      </c>
      <c r="U42" s="1">
        <v>0</v>
      </c>
      <c r="V42" s="1">
        <v>0</v>
      </c>
      <c r="W42" s="1">
        <v>0</v>
      </c>
      <c r="X42" s="1">
        <v>0</v>
      </c>
      <c r="Y42" s="1">
        <v>0</v>
      </c>
      <c r="Z42" s="1">
        <v>0</v>
      </c>
      <c r="AA42" s="1">
        <v>0</v>
      </c>
      <c r="AB42" s="1">
        <v>0</v>
      </c>
      <c r="AC42" s="1">
        <v>0</v>
      </c>
      <c r="AD42" s="1">
        <v>0</v>
      </c>
      <c r="AE42" s="1">
        <v>2</v>
      </c>
      <c r="AF42" s="1">
        <v>2</v>
      </c>
      <c r="AG42" s="208" t="s">
        <v>543</v>
      </c>
      <c r="AH42" s="1">
        <v>1560</v>
      </c>
      <c r="AI42" s="1" t="s">
        <v>1843</v>
      </c>
      <c r="AJ42" s="1">
        <v>0</v>
      </c>
      <c r="AK42" s="1" t="s">
        <v>328</v>
      </c>
      <c r="AL42" s="1" t="s">
        <v>1893</v>
      </c>
      <c r="AM42" s="1">
        <v>0.23</v>
      </c>
      <c r="AN42" s="1">
        <v>0.23</v>
      </c>
      <c r="AO42" s="1">
        <v>0.33</v>
      </c>
      <c r="AP42" s="1">
        <v>0.33</v>
      </c>
      <c r="AQ42" s="1">
        <v>1</v>
      </c>
      <c r="AR42" s="1" t="s">
        <v>1477</v>
      </c>
      <c r="AS42" s="1">
        <v>0</v>
      </c>
      <c r="AT42" s="1" t="s">
        <v>1806</v>
      </c>
      <c r="AU42" s="1">
        <v>10</v>
      </c>
      <c r="AV42" s="1">
        <v>11001</v>
      </c>
      <c r="AW42" s="1">
        <v>0</v>
      </c>
      <c r="AX42" t="b">
        <v>0</v>
      </c>
    </row>
    <row r="43" spans="1:50" x14ac:dyDescent="0.3">
      <c r="A43" s="1">
        <v>43</v>
      </c>
      <c r="B43" s="1" t="s">
        <v>1894</v>
      </c>
      <c r="C43" s="1" t="s">
        <v>1895</v>
      </c>
      <c r="D43" s="1">
        <v>4</v>
      </c>
      <c r="E43" s="1">
        <v>3</v>
      </c>
      <c r="F43" s="1">
        <v>11</v>
      </c>
      <c r="G43" s="1" t="s">
        <v>328</v>
      </c>
      <c r="H43" s="1" t="s">
        <v>328</v>
      </c>
      <c r="I43" s="1" t="s">
        <v>330</v>
      </c>
      <c r="J43" s="1" t="s">
        <v>328</v>
      </c>
      <c r="K43" s="1" t="s">
        <v>328</v>
      </c>
      <c r="L43" s="1" t="s">
        <v>328</v>
      </c>
      <c r="M43" s="1" t="s">
        <v>328</v>
      </c>
      <c r="N43" s="1" t="s">
        <v>328</v>
      </c>
      <c r="O43" s="1" t="s">
        <v>365</v>
      </c>
      <c r="P43" s="1" t="s">
        <v>328</v>
      </c>
      <c r="Q43" s="1" t="s">
        <v>328</v>
      </c>
      <c r="R43" s="1" t="s">
        <v>328</v>
      </c>
      <c r="S43" s="1" t="s">
        <v>328</v>
      </c>
      <c r="T43" s="1" t="s">
        <v>328</v>
      </c>
      <c r="U43" s="1">
        <v>0</v>
      </c>
      <c r="V43" s="1">
        <v>0</v>
      </c>
      <c r="W43" s="1">
        <v>0</v>
      </c>
      <c r="X43" s="1">
        <v>0</v>
      </c>
      <c r="Y43" s="1">
        <v>0</v>
      </c>
      <c r="Z43" s="1">
        <v>0</v>
      </c>
      <c r="AA43" s="1">
        <v>0</v>
      </c>
      <c r="AB43" s="1">
        <v>0</v>
      </c>
      <c r="AC43" s="1">
        <v>1</v>
      </c>
      <c r="AD43" s="1">
        <v>1</v>
      </c>
      <c r="AE43" s="1">
        <v>2</v>
      </c>
      <c r="AF43" s="1">
        <v>2</v>
      </c>
      <c r="AG43" s="208" t="s">
        <v>544</v>
      </c>
      <c r="AH43" s="1">
        <v>2460</v>
      </c>
      <c r="AI43" s="1" t="s">
        <v>1843</v>
      </c>
      <c r="AJ43" s="1">
        <v>0</v>
      </c>
      <c r="AK43" s="1" t="s">
        <v>328</v>
      </c>
      <c r="AL43" s="1" t="s">
        <v>1896</v>
      </c>
      <c r="AM43" s="1">
        <v>0.23</v>
      </c>
      <c r="AN43" s="1">
        <v>0.23</v>
      </c>
      <c r="AO43" s="1">
        <v>0.33</v>
      </c>
      <c r="AP43" s="1">
        <v>0.33</v>
      </c>
      <c r="AQ43" s="1">
        <v>1</v>
      </c>
      <c r="AR43" s="1" t="s">
        <v>1477</v>
      </c>
      <c r="AS43" s="1">
        <v>0</v>
      </c>
      <c r="AT43" s="1" t="s">
        <v>1806</v>
      </c>
      <c r="AU43" s="1">
        <v>10</v>
      </c>
      <c r="AV43" s="1">
        <v>11001</v>
      </c>
      <c r="AW43" s="1">
        <v>0</v>
      </c>
      <c r="AX43" t="b">
        <v>0</v>
      </c>
    </row>
    <row r="44" spans="1:50" x14ac:dyDescent="0.3">
      <c r="A44" s="1">
        <v>44</v>
      </c>
      <c r="B44" s="1" t="s">
        <v>1897</v>
      </c>
      <c r="C44" s="1" t="s">
        <v>1898</v>
      </c>
      <c r="D44" s="1">
        <v>5</v>
      </c>
      <c r="E44" s="1">
        <v>3</v>
      </c>
      <c r="F44" s="1">
        <v>11</v>
      </c>
      <c r="G44" s="1" t="s">
        <v>328</v>
      </c>
      <c r="H44" s="1" t="s">
        <v>328</v>
      </c>
      <c r="I44" s="1" t="s">
        <v>366</v>
      </c>
      <c r="J44" s="1" t="s">
        <v>328</v>
      </c>
      <c r="K44" s="1" t="s">
        <v>328</v>
      </c>
      <c r="L44" s="1" t="s">
        <v>328</v>
      </c>
      <c r="M44" s="1" t="s">
        <v>328</v>
      </c>
      <c r="N44" s="1" t="s">
        <v>328</v>
      </c>
      <c r="O44" s="1" t="s">
        <v>358</v>
      </c>
      <c r="P44" s="1" t="s">
        <v>328</v>
      </c>
      <c r="Q44" s="1" t="s">
        <v>328</v>
      </c>
      <c r="R44" s="1" t="s">
        <v>328</v>
      </c>
      <c r="S44" s="1" t="s">
        <v>328</v>
      </c>
      <c r="T44" s="1" t="s">
        <v>328</v>
      </c>
      <c r="U44" s="1">
        <v>0</v>
      </c>
      <c r="V44" s="1">
        <v>0</v>
      </c>
      <c r="W44" s="1">
        <v>0</v>
      </c>
      <c r="X44" s="1">
        <v>0</v>
      </c>
      <c r="Y44" s="1">
        <v>0</v>
      </c>
      <c r="Z44" s="1">
        <v>0</v>
      </c>
      <c r="AA44" s="1">
        <v>0</v>
      </c>
      <c r="AB44" s="1">
        <v>0</v>
      </c>
      <c r="AC44" s="1">
        <v>2</v>
      </c>
      <c r="AD44" s="1">
        <v>2</v>
      </c>
      <c r="AE44" s="1">
        <v>3</v>
      </c>
      <c r="AF44" s="1">
        <v>3</v>
      </c>
      <c r="AG44" s="208" t="s">
        <v>545</v>
      </c>
      <c r="AH44" s="1">
        <v>3060</v>
      </c>
      <c r="AI44" s="1" t="s">
        <v>1843</v>
      </c>
      <c r="AJ44" s="1">
        <v>0</v>
      </c>
      <c r="AK44" s="1" t="s">
        <v>328</v>
      </c>
      <c r="AL44" s="1" t="s">
        <v>1899</v>
      </c>
      <c r="AM44" s="1">
        <v>0.23</v>
      </c>
      <c r="AN44" s="1">
        <v>0.23</v>
      </c>
      <c r="AO44" s="1">
        <v>0.33</v>
      </c>
      <c r="AP44" s="1">
        <v>0.33</v>
      </c>
      <c r="AQ44" s="1">
        <v>1</v>
      </c>
      <c r="AR44" s="1" t="s">
        <v>1477</v>
      </c>
      <c r="AS44" s="1">
        <v>0</v>
      </c>
      <c r="AT44" s="1" t="s">
        <v>1806</v>
      </c>
      <c r="AU44" s="1">
        <v>10</v>
      </c>
      <c r="AV44" s="1">
        <v>11001</v>
      </c>
      <c r="AW44" s="1">
        <v>0</v>
      </c>
      <c r="AX44" t="b">
        <v>0</v>
      </c>
    </row>
    <row r="45" spans="1:50" x14ac:dyDescent="0.3">
      <c r="A45" s="1">
        <v>45</v>
      </c>
      <c r="B45" s="1" t="s">
        <v>5550</v>
      </c>
      <c r="C45" s="1" t="s">
        <v>5551</v>
      </c>
      <c r="D45" s="1">
        <v>2</v>
      </c>
      <c r="E45" s="1">
        <v>3</v>
      </c>
      <c r="F45" s="1">
        <v>12</v>
      </c>
      <c r="G45" s="1" t="s">
        <v>328</v>
      </c>
      <c r="H45" s="1" t="s">
        <v>328</v>
      </c>
      <c r="I45" s="1" t="s">
        <v>328</v>
      </c>
      <c r="J45" s="1" t="s">
        <v>328</v>
      </c>
      <c r="K45" s="1" t="s">
        <v>328</v>
      </c>
      <c r="L45" s="1" t="s">
        <v>328</v>
      </c>
      <c r="M45" s="1" t="s">
        <v>328</v>
      </c>
      <c r="N45" s="1" t="s">
        <v>328</v>
      </c>
      <c r="O45" s="1" t="s">
        <v>328</v>
      </c>
      <c r="P45" s="1" t="s">
        <v>328</v>
      </c>
      <c r="Q45" s="1" t="s">
        <v>328</v>
      </c>
      <c r="R45" s="1" t="s">
        <v>328</v>
      </c>
      <c r="S45" s="1" t="s">
        <v>328</v>
      </c>
      <c r="T45" s="1" t="s">
        <v>328</v>
      </c>
      <c r="U45" s="1">
        <v>0</v>
      </c>
      <c r="V45" s="1">
        <v>0</v>
      </c>
      <c r="W45" s="1">
        <v>0</v>
      </c>
      <c r="X45" s="1">
        <v>0</v>
      </c>
      <c r="Y45" s="1">
        <v>0</v>
      </c>
      <c r="Z45" s="1">
        <v>0</v>
      </c>
      <c r="AA45" s="1">
        <v>0</v>
      </c>
      <c r="AB45" s="1">
        <v>0</v>
      </c>
      <c r="AC45" s="1">
        <v>2</v>
      </c>
      <c r="AD45" s="1">
        <v>0</v>
      </c>
      <c r="AE45" s="1">
        <v>0</v>
      </c>
      <c r="AF45" s="1">
        <v>1</v>
      </c>
      <c r="AG45" s="208" t="s">
        <v>5552</v>
      </c>
      <c r="AH45" s="1">
        <v>1200</v>
      </c>
      <c r="AI45" s="1" t="s">
        <v>328</v>
      </c>
      <c r="AJ45" s="1">
        <v>0</v>
      </c>
      <c r="AK45" s="1" t="s">
        <v>328</v>
      </c>
      <c r="AL45" s="1" t="s">
        <v>5553</v>
      </c>
      <c r="AM45" s="1">
        <v>0</v>
      </c>
      <c r="AN45" s="1">
        <v>0</v>
      </c>
      <c r="AO45" s="1">
        <v>0</v>
      </c>
      <c r="AP45" s="1">
        <v>0</v>
      </c>
      <c r="AQ45" s="1">
        <v>1</v>
      </c>
      <c r="AR45" s="1" t="s">
        <v>328</v>
      </c>
      <c r="AS45" s="1">
        <v>0</v>
      </c>
      <c r="AT45" s="1" t="s">
        <v>1806</v>
      </c>
      <c r="AU45" s="1">
        <v>0</v>
      </c>
      <c r="AV45" s="1">
        <v>12001</v>
      </c>
      <c r="AW45" s="1">
        <v>0</v>
      </c>
      <c r="AX45" t="b">
        <v>1</v>
      </c>
    </row>
    <row r="46" spans="1:50" x14ac:dyDescent="0.3">
      <c r="A46" s="1">
        <v>46</v>
      </c>
      <c r="B46" s="1" t="s">
        <v>5554</v>
      </c>
      <c r="C46" s="1" t="s">
        <v>5555</v>
      </c>
      <c r="D46" s="1">
        <v>3</v>
      </c>
      <c r="E46" s="1">
        <v>3</v>
      </c>
      <c r="F46" s="1">
        <v>12</v>
      </c>
      <c r="G46" s="1" t="s">
        <v>328</v>
      </c>
      <c r="H46" s="1" t="s">
        <v>328</v>
      </c>
      <c r="I46" s="1" t="s">
        <v>328</v>
      </c>
      <c r="J46" s="1" t="s">
        <v>328</v>
      </c>
      <c r="K46" s="1" t="s">
        <v>328</v>
      </c>
      <c r="L46" s="1" t="s">
        <v>328</v>
      </c>
      <c r="M46" s="1" t="s">
        <v>328</v>
      </c>
      <c r="N46" s="1" t="s">
        <v>328</v>
      </c>
      <c r="O46" s="1" t="s">
        <v>328</v>
      </c>
      <c r="P46" s="1" t="s">
        <v>328</v>
      </c>
      <c r="Q46" s="1" t="s">
        <v>328</v>
      </c>
      <c r="R46" s="1" t="s">
        <v>328</v>
      </c>
      <c r="S46" s="1" t="s">
        <v>328</v>
      </c>
      <c r="T46" s="1" t="s">
        <v>328</v>
      </c>
      <c r="U46" s="1">
        <v>0</v>
      </c>
      <c r="V46" s="1">
        <v>0</v>
      </c>
      <c r="W46" s="1">
        <v>0</v>
      </c>
      <c r="X46" s="1">
        <v>0</v>
      </c>
      <c r="Y46" s="1">
        <v>0</v>
      </c>
      <c r="Z46" s="1">
        <v>0</v>
      </c>
      <c r="AA46" s="1">
        <v>0</v>
      </c>
      <c r="AB46" s="1">
        <v>0</v>
      </c>
      <c r="AC46" s="1">
        <v>3</v>
      </c>
      <c r="AD46" s="1">
        <v>0</v>
      </c>
      <c r="AE46" s="1">
        <v>0</v>
      </c>
      <c r="AF46" s="1">
        <v>1</v>
      </c>
      <c r="AG46" s="208" t="s">
        <v>367</v>
      </c>
      <c r="AH46" s="1">
        <v>2100</v>
      </c>
      <c r="AI46" s="1" t="s">
        <v>328</v>
      </c>
      <c r="AJ46" s="1">
        <v>0</v>
      </c>
      <c r="AK46" s="1" t="s">
        <v>328</v>
      </c>
      <c r="AL46" s="1" t="s">
        <v>5556</v>
      </c>
      <c r="AM46" s="1">
        <v>0</v>
      </c>
      <c r="AN46" s="1">
        <v>0</v>
      </c>
      <c r="AO46" s="1">
        <v>0</v>
      </c>
      <c r="AP46" s="1">
        <v>0</v>
      </c>
      <c r="AQ46" s="1">
        <v>1</v>
      </c>
      <c r="AR46" s="1" t="s">
        <v>328</v>
      </c>
      <c r="AS46" s="1">
        <v>0</v>
      </c>
      <c r="AT46" s="1" t="s">
        <v>1806</v>
      </c>
      <c r="AU46" s="1">
        <v>0</v>
      </c>
      <c r="AV46" s="1">
        <v>12001</v>
      </c>
      <c r="AW46" s="1">
        <v>0</v>
      </c>
      <c r="AX46" t="b">
        <v>1</v>
      </c>
    </row>
    <row r="47" spans="1:50" x14ac:dyDescent="0.3">
      <c r="A47" s="1">
        <v>47</v>
      </c>
      <c r="B47" s="1" t="s">
        <v>5557</v>
      </c>
      <c r="C47" s="1" t="s">
        <v>5558</v>
      </c>
      <c r="D47" s="1">
        <v>4</v>
      </c>
      <c r="E47" s="1">
        <v>3</v>
      </c>
      <c r="F47" s="1">
        <v>12</v>
      </c>
      <c r="G47" s="1" t="s">
        <v>328</v>
      </c>
      <c r="H47" s="1" t="s">
        <v>328</v>
      </c>
      <c r="I47" s="1" t="s">
        <v>328</v>
      </c>
      <c r="J47" s="1" t="s">
        <v>328</v>
      </c>
      <c r="K47" s="1" t="s">
        <v>328</v>
      </c>
      <c r="L47" s="1" t="s">
        <v>328</v>
      </c>
      <c r="M47" s="1" t="s">
        <v>328</v>
      </c>
      <c r="N47" s="1" t="s">
        <v>328</v>
      </c>
      <c r="O47" s="1" t="s">
        <v>328</v>
      </c>
      <c r="P47" s="1" t="s">
        <v>328</v>
      </c>
      <c r="Q47" s="1" t="s">
        <v>328</v>
      </c>
      <c r="R47" s="1" t="s">
        <v>328</v>
      </c>
      <c r="S47" s="1" t="s">
        <v>328</v>
      </c>
      <c r="T47" s="1" t="s">
        <v>328</v>
      </c>
      <c r="U47" s="1">
        <v>0</v>
      </c>
      <c r="V47" s="1">
        <v>0</v>
      </c>
      <c r="W47" s="1">
        <v>0</v>
      </c>
      <c r="X47" s="1">
        <v>0</v>
      </c>
      <c r="Y47" s="1">
        <v>0</v>
      </c>
      <c r="Z47" s="1">
        <v>0</v>
      </c>
      <c r="AA47" s="1">
        <v>0</v>
      </c>
      <c r="AB47" s="1">
        <v>0</v>
      </c>
      <c r="AC47" s="1">
        <v>4</v>
      </c>
      <c r="AD47" s="1">
        <v>1</v>
      </c>
      <c r="AE47" s="1">
        <v>1</v>
      </c>
      <c r="AF47" s="1">
        <v>2</v>
      </c>
      <c r="AG47" s="208" t="s">
        <v>5559</v>
      </c>
      <c r="AH47" s="1">
        <v>3000</v>
      </c>
      <c r="AI47" s="1" t="s">
        <v>328</v>
      </c>
      <c r="AJ47" s="1">
        <v>0</v>
      </c>
      <c r="AK47" s="1" t="s">
        <v>328</v>
      </c>
      <c r="AL47" s="1" t="s">
        <v>5560</v>
      </c>
      <c r="AM47" s="1">
        <v>0</v>
      </c>
      <c r="AN47" s="1">
        <v>0</v>
      </c>
      <c r="AO47" s="1">
        <v>0</v>
      </c>
      <c r="AP47" s="1">
        <v>0</v>
      </c>
      <c r="AQ47" s="1">
        <v>1</v>
      </c>
      <c r="AR47" s="1" t="s">
        <v>328</v>
      </c>
      <c r="AS47" s="1">
        <v>0</v>
      </c>
      <c r="AT47" s="1" t="s">
        <v>1806</v>
      </c>
      <c r="AU47" s="1">
        <v>0</v>
      </c>
      <c r="AV47" s="1">
        <v>12001</v>
      </c>
      <c r="AW47" s="1">
        <v>0</v>
      </c>
      <c r="AX47" t="b">
        <v>1</v>
      </c>
    </row>
    <row r="48" spans="1:50" x14ac:dyDescent="0.3">
      <c r="A48" s="1">
        <v>48</v>
      </c>
      <c r="B48" s="1" t="s">
        <v>5561</v>
      </c>
      <c r="C48" s="1" t="s">
        <v>5562</v>
      </c>
      <c r="D48" s="1">
        <v>5</v>
      </c>
      <c r="E48" s="1">
        <v>3</v>
      </c>
      <c r="F48" s="1">
        <v>12</v>
      </c>
      <c r="G48" s="1" t="s">
        <v>328</v>
      </c>
      <c r="H48" s="1" t="s">
        <v>328</v>
      </c>
      <c r="I48" s="1" t="s">
        <v>328</v>
      </c>
      <c r="J48" s="1" t="s">
        <v>328</v>
      </c>
      <c r="K48" s="1" t="s">
        <v>328</v>
      </c>
      <c r="L48" s="1" t="s">
        <v>328</v>
      </c>
      <c r="M48" s="1" t="s">
        <v>328</v>
      </c>
      <c r="N48" s="1" t="s">
        <v>328</v>
      </c>
      <c r="O48" s="1" t="s">
        <v>328</v>
      </c>
      <c r="P48" s="1" t="s">
        <v>328</v>
      </c>
      <c r="Q48" s="1" t="s">
        <v>328</v>
      </c>
      <c r="R48" s="1" t="s">
        <v>328</v>
      </c>
      <c r="S48" s="1" t="s">
        <v>328</v>
      </c>
      <c r="T48" s="1" t="s">
        <v>328</v>
      </c>
      <c r="U48" s="1">
        <v>0</v>
      </c>
      <c r="V48" s="1">
        <v>0</v>
      </c>
      <c r="W48" s="1">
        <v>0</v>
      </c>
      <c r="X48" s="1">
        <v>0</v>
      </c>
      <c r="Y48" s="1">
        <v>0</v>
      </c>
      <c r="Z48" s="1">
        <v>0</v>
      </c>
      <c r="AA48" s="1">
        <v>0</v>
      </c>
      <c r="AB48" s="1">
        <v>0</v>
      </c>
      <c r="AC48" s="1">
        <v>5</v>
      </c>
      <c r="AD48" s="1">
        <v>1</v>
      </c>
      <c r="AE48" s="1">
        <v>1</v>
      </c>
      <c r="AF48" s="1">
        <v>3</v>
      </c>
      <c r="AG48" s="208" t="s">
        <v>883</v>
      </c>
      <c r="AH48" s="1">
        <v>3600</v>
      </c>
      <c r="AI48" s="1" t="s">
        <v>328</v>
      </c>
      <c r="AJ48" s="1">
        <v>0</v>
      </c>
      <c r="AK48" s="1" t="s">
        <v>328</v>
      </c>
      <c r="AL48" s="1" t="s">
        <v>5563</v>
      </c>
      <c r="AM48" s="1">
        <v>0</v>
      </c>
      <c r="AN48" s="1">
        <v>0</v>
      </c>
      <c r="AO48" s="1">
        <v>0</v>
      </c>
      <c r="AP48" s="1">
        <v>0</v>
      </c>
      <c r="AQ48" s="1">
        <v>1</v>
      </c>
      <c r="AR48" s="1" t="s">
        <v>328</v>
      </c>
      <c r="AS48" s="1">
        <v>0</v>
      </c>
      <c r="AT48" s="1" t="s">
        <v>1806</v>
      </c>
      <c r="AU48" s="1">
        <v>0</v>
      </c>
      <c r="AV48" s="1">
        <v>12001</v>
      </c>
      <c r="AW48" s="1">
        <v>0</v>
      </c>
      <c r="AX48" t="b">
        <v>1</v>
      </c>
    </row>
    <row r="49" spans="1:50" x14ac:dyDescent="0.3">
      <c r="A49" s="1">
        <v>49</v>
      </c>
      <c r="B49" s="1" t="s">
        <v>5564</v>
      </c>
      <c r="C49" s="1" t="s">
        <v>5565</v>
      </c>
      <c r="D49" s="1">
        <v>5</v>
      </c>
      <c r="E49" s="1">
        <v>1</v>
      </c>
      <c r="F49" s="1">
        <v>4</v>
      </c>
      <c r="G49" s="1" t="s">
        <v>328</v>
      </c>
      <c r="H49" s="1" t="s">
        <v>328</v>
      </c>
      <c r="I49" s="1" t="s">
        <v>328</v>
      </c>
      <c r="J49" s="1" t="s">
        <v>328</v>
      </c>
      <c r="K49" s="1" t="s">
        <v>328</v>
      </c>
      <c r="L49" s="1" t="s">
        <v>328</v>
      </c>
      <c r="M49" s="1" t="s">
        <v>328</v>
      </c>
      <c r="N49" s="1" t="s">
        <v>328</v>
      </c>
      <c r="O49" s="1" t="s">
        <v>328</v>
      </c>
      <c r="P49" s="1" t="s">
        <v>328</v>
      </c>
      <c r="Q49" s="1" t="s">
        <v>328</v>
      </c>
      <c r="R49" s="1" t="s">
        <v>328</v>
      </c>
      <c r="S49" s="1" t="s">
        <v>368</v>
      </c>
      <c r="T49" s="1" t="s">
        <v>328</v>
      </c>
      <c r="U49" s="1">
        <v>0</v>
      </c>
      <c r="V49" s="1">
        <v>0</v>
      </c>
      <c r="W49" s="1">
        <v>0</v>
      </c>
      <c r="X49" s="1">
        <v>0</v>
      </c>
      <c r="Y49" s="1">
        <v>0</v>
      </c>
      <c r="Z49" s="1">
        <v>0</v>
      </c>
      <c r="AA49" s="1">
        <v>0</v>
      </c>
      <c r="AB49" s="1">
        <v>0</v>
      </c>
      <c r="AC49" s="1">
        <v>3</v>
      </c>
      <c r="AD49" s="1">
        <v>0</v>
      </c>
      <c r="AE49" s="1">
        <v>4</v>
      </c>
      <c r="AF49" s="1">
        <v>2</v>
      </c>
      <c r="AG49" s="208" t="s">
        <v>5566</v>
      </c>
      <c r="AH49" s="1">
        <v>3120</v>
      </c>
      <c r="AI49" s="1" t="s">
        <v>1918</v>
      </c>
      <c r="AJ49" s="1">
        <v>0</v>
      </c>
      <c r="AK49" s="1" t="s">
        <v>328</v>
      </c>
      <c r="AL49" s="1" t="s">
        <v>5567</v>
      </c>
      <c r="AM49" s="1">
        <v>0</v>
      </c>
      <c r="AN49" s="1">
        <v>0</v>
      </c>
      <c r="AO49" s="1">
        <v>0</v>
      </c>
      <c r="AP49" s="1">
        <v>0</v>
      </c>
      <c r="AQ49" s="1">
        <v>1</v>
      </c>
      <c r="AR49" s="1" t="s">
        <v>328</v>
      </c>
      <c r="AS49" s="1">
        <v>0</v>
      </c>
      <c r="AT49" s="1" t="s">
        <v>1806</v>
      </c>
      <c r="AU49" s="1">
        <v>0</v>
      </c>
      <c r="AV49" s="1">
        <v>4001</v>
      </c>
      <c r="AW49" s="1">
        <v>0</v>
      </c>
      <c r="AX49" t="b">
        <v>1</v>
      </c>
    </row>
    <row r="50" spans="1:50" x14ac:dyDescent="0.3">
      <c r="A50" s="1">
        <v>50</v>
      </c>
      <c r="B50" s="1" t="s">
        <v>5568</v>
      </c>
      <c r="C50" s="1" t="s">
        <v>5569</v>
      </c>
      <c r="D50" s="1">
        <v>5</v>
      </c>
      <c r="E50" s="1">
        <v>2</v>
      </c>
      <c r="F50" s="1">
        <v>5</v>
      </c>
      <c r="G50" s="1" t="s">
        <v>328</v>
      </c>
      <c r="H50" s="1" t="s">
        <v>328</v>
      </c>
      <c r="I50" s="1" t="s">
        <v>328</v>
      </c>
      <c r="J50" s="1" t="s">
        <v>328</v>
      </c>
      <c r="K50" s="1" t="s">
        <v>328</v>
      </c>
      <c r="L50" s="1" t="s">
        <v>328</v>
      </c>
      <c r="M50" s="1" t="s">
        <v>328</v>
      </c>
      <c r="N50" s="1" t="s">
        <v>5570</v>
      </c>
      <c r="O50" s="1" t="s">
        <v>328</v>
      </c>
      <c r="P50" s="1" t="s">
        <v>328</v>
      </c>
      <c r="Q50" s="1" t="s">
        <v>328</v>
      </c>
      <c r="R50" s="1" t="s">
        <v>328</v>
      </c>
      <c r="S50" s="1" t="s">
        <v>328</v>
      </c>
      <c r="T50" s="1" t="s">
        <v>328</v>
      </c>
      <c r="U50" s="1">
        <v>0</v>
      </c>
      <c r="V50" s="1">
        <v>0</v>
      </c>
      <c r="W50" s="1">
        <v>0</v>
      </c>
      <c r="X50" s="1">
        <v>0</v>
      </c>
      <c r="Y50" s="1">
        <v>0</v>
      </c>
      <c r="Z50" s="1">
        <v>0</v>
      </c>
      <c r="AA50" s="1">
        <v>0</v>
      </c>
      <c r="AB50" s="1">
        <v>0</v>
      </c>
      <c r="AC50" s="1">
        <v>0</v>
      </c>
      <c r="AD50" s="1">
        <v>4</v>
      </c>
      <c r="AE50" s="1">
        <v>2</v>
      </c>
      <c r="AF50" s="1">
        <v>3</v>
      </c>
      <c r="AG50" s="208" t="s">
        <v>5571</v>
      </c>
      <c r="AH50" s="1">
        <v>3420</v>
      </c>
      <c r="AI50" s="1" t="s">
        <v>1918</v>
      </c>
      <c r="AJ50" s="1">
        <v>0</v>
      </c>
      <c r="AK50" s="1" t="s">
        <v>328</v>
      </c>
      <c r="AL50" s="1" t="s">
        <v>5572</v>
      </c>
      <c r="AM50" s="1">
        <v>0.08</v>
      </c>
      <c r="AN50" s="1">
        <v>0.55000000000000004</v>
      </c>
      <c r="AO50" s="1">
        <v>0.3</v>
      </c>
      <c r="AP50" s="1">
        <v>0.3</v>
      </c>
      <c r="AQ50" s="1">
        <v>1</v>
      </c>
      <c r="AR50" s="1" t="s">
        <v>1471</v>
      </c>
      <c r="AS50" s="1">
        <v>0</v>
      </c>
      <c r="AT50" s="1" t="s">
        <v>1806</v>
      </c>
      <c r="AU50" s="1">
        <v>10</v>
      </c>
      <c r="AV50" s="1">
        <v>5001</v>
      </c>
      <c r="AW50" s="1">
        <v>0</v>
      </c>
      <c r="AX50" t="b">
        <v>1</v>
      </c>
    </row>
    <row r="51" spans="1:50" x14ac:dyDescent="0.3">
      <c r="A51" s="1">
        <v>51</v>
      </c>
      <c r="B51" s="1" t="s">
        <v>5573</v>
      </c>
      <c r="C51" s="1" t="s">
        <v>5574</v>
      </c>
      <c r="D51" s="1">
        <v>2</v>
      </c>
      <c r="E51" s="1">
        <v>2</v>
      </c>
      <c r="F51" s="1">
        <v>5</v>
      </c>
      <c r="G51" s="1" t="s">
        <v>369</v>
      </c>
      <c r="H51" s="1" t="s">
        <v>328</v>
      </c>
      <c r="I51" s="1" t="s">
        <v>328</v>
      </c>
      <c r="J51" s="1" t="s">
        <v>328</v>
      </c>
      <c r="K51" s="1" t="s">
        <v>328</v>
      </c>
      <c r="L51" s="1" t="s">
        <v>328</v>
      </c>
      <c r="M51" s="1" t="s">
        <v>328</v>
      </c>
      <c r="N51" s="1" t="s">
        <v>5575</v>
      </c>
      <c r="O51" s="1" t="s">
        <v>328</v>
      </c>
      <c r="P51" s="1" t="s">
        <v>328</v>
      </c>
      <c r="Q51" s="1" t="s">
        <v>328</v>
      </c>
      <c r="R51" s="1" t="s">
        <v>328</v>
      </c>
      <c r="S51" s="1" t="s">
        <v>328</v>
      </c>
      <c r="T51" s="1" t="s">
        <v>328</v>
      </c>
      <c r="U51" s="1">
        <v>0</v>
      </c>
      <c r="V51" s="1">
        <v>0</v>
      </c>
      <c r="W51" s="1">
        <v>0</v>
      </c>
      <c r="X51" s="1">
        <v>0</v>
      </c>
      <c r="Y51" s="1">
        <v>0</v>
      </c>
      <c r="Z51" s="1">
        <v>0</v>
      </c>
      <c r="AA51" s="1">
        <v>0</v>
      </c>
      <c r="AB51" s="1">
        <v>0</v>
      </c>
      <c r="AC51" s="1">
        <v>0</v>
      </c>
      <c r="AD51" s="1">
        <v>2</v>
      </c>
      <c r="AE51" s="1">
        <v>0</v>
      </c>
      <c r="AF51" s="1">
        <v>0</v>
      </c>
      <c r="AG51" s="208" t="s">
        <v>4881</v>
      </c>
      <c r="AH51" s="1">
        <v>960</v>
      </c>
      <c r="AI51" s="1" t="s">
        <v>1843</v>
      </c>
      <c r="AJ51" s="1">
        <v>0</v>
      </c>
      <c r="AK51" s="1" t="s">
        <v>328</v>
      </c>
      <c r="AL51" s="1" t="s">
        <v>5576</v>
      </c>
      <c r="AM51" s="1">
        <v>0</v>
      </c>
      <c r="AN51" s="1">
        <v>0</v>
      </c>
      <c r="AO51" s="1">
        <v>0</v>
      </c>
      <c r="AP51" s="1">
        <v>0</v>
      </c>
      <c r="AQ51" s="1">
        <v>1</v>
      </c>
      <c r="AR51" s="1" t="s">
        <v>328</v>
      </c>
      <c r="AS51" s="1">
        <v>0</v>
      </c>
      <c r="AT51" s="1" t="s">
        <v>1806</v>
      </c>
      <c r="AU51" s="1">
        <v>0</v>
      </c>
      <c r="AV51" s="1">
        <v>5002</v>
      </c>
      <c r="AW51" s="1">
        <v>0</v>
      </c>
      <c r="AX51" t="b">
        <v>1</v>
      </c>
    </row>
    <row r="52" spans="1:50" x14ac:dyDescent="0.3">
      <c r="A52" s="1">
        <v>52</v>
      </c>
      <c r="B52" s="1" t="s">
        <v>5577</v>
      </c>
      <c r="C52" s="1" t="s">
        <v>5578</v>
      </c>
      <c r="D52" s="1">
        <v>3</v>
      </c>
      <c r="E52" s="1">
        <v>2</v>
      </c>
      <c r="F52" s="1">
        <v>5</v>
      </c>
      <c r="G52" s="1" t="s">
        <v>892</v>
      </c>
      <c r="H52" s="1" t="s">
        <v>328</v>
      </c>
      <c r="I52" s="1" t="s">
        <v>328</v>
      </c>
      <c r="J52" s="1" t="s">
        <v>328</v>
      </c>
      <c r="K52" s="1" t="s">
        <v>328</v>
      </c>
      <c r="L52" s="1" t="s">
        <v>328</v>
      </c>
      <c r="M52" s="1" t="s">
        <v>328</v>
      </c>
      <c r="N52" s="1" t="s">
        <v>5579</v>
      </c>
      <c r="O52" s="1" t="s">
        <v>328</v>
      </c>
      <c r="P52" s="1" t="s">
        <v>328</v>
      </c>
      <c r="Q52" s="1" t="s">
        <v>328</v>
      </c>
      <c r="R52" s="1" t="s">
        <v>328</v>
      </c>
      <c r="S52" s="1" t="s">
        <v>328</v>
      </c>
      <c r="T52" s="1" t="s">
        <v>328</v>
      </c>
      <c r="U52" s="1">
        <v>0</v>
      </c>
      <c r="V52" s="1">
        <v>0</v>
      </c>
      <c r="W52" s="1">
        <v>0</v>
      </c>
      <c r="X52" s="1">
        <v>0</v>
      </c>
      <c r="Y52" s="1">
        <v>0</v>
      </c>
      <c r="Z52" s="1">
        <v>0</v>
      </c>
      <c r="AA52" s="1">
        <v>0</v>
      </c>
      <c r="AB52" s="1">
        <v>0</v>
      </c>
      <c r="AC52" s="1">
        <v>0</v>
      </c>
      <c r="AD52" s="1">
        <v>2</v>
      </c>
      <c r="AE52" s="1">
        <v>0</v>
      </c>
      <c r="AF52" s="1">
        <v>1</v>
      </c>
      <c r="AG52" s="208" t="s">
        <v>370</v>
      </c>
      <c r="AH52" s="1">
        <v>1860</v>
      </c>
      <c r="AI52" s="1" t="s">
        <v>1843</v>
      </c>
      <c r="AJ52" s="1">
        <v>0</v>
      </c>
      <c r="AK52" s="1" t="s">
        <v>328</v>
      </c>
      <c r="AL52" s="1" t="s">
        <v>5580</v>
      </c>
      <c r="AM52" s="1">
        <v>0</v>
      </c>
      <c r="AN52" s="1">
        <v>0</v>
      </c>
      <c r="AO52" s="1">
        <v>0</v>
      </c>
      <c r="AP52" s="1">
        <v>0</v>
      </c>
      <c r="AQ52" s="1">
        <v>1</v>
      </c>
      <c r="AR52" s="1" t="s">
        <v>328</v>
      </c>
      <c r="AS52" s="1">
        <v>0</v>
      </c>
      <c r="AT52" s="1" t="s">
        <v>1806</v>
      </c>
      <c r="AU52" s="1">
        <v>0</v>
      </c>
      <c r="AV52" s="1">
        <v>5002</v>
      </c>
      <c r="AW52" s="1">
        <v>0</v>
      </c>
      <c r="AX52" t="b">
        <v>1</v>
      </c>
    </row>
    <row r="53" spans="1:50" x14ac:dyDescent="0.3">
      <c r="A53" s="1">
        <v>53</v>
      </c>
      <c r="B53" s="1" t="s">
        <v>5581</v>
      </c>
      <c r="C53" s="1" t="s">
        <v>5582</v>
      </c>
      <c r="D53" s="1">
        <v>4</v>
      </c>
      <c r="E53" s="1">
        <v>2</v>
      </c>
      <c r="F53" s="1">
        <v>5</v>
      </c>
      <c r="G53" s="1" t="s">
        <v>893</v>
      </c>
      <c r="H53" s="1" t="s">
        <v>328</v>
      </c>
      <c r="I53" s="1" t="s">
        <v>328</v>
      </c>
      <c r="J53" s="1" t="s">
        <v>328</v>
      </c>
      <c r="K53" s="1" t="s">
        <v>328</v>
      </c>
      <c r="L53" s="1" t="s">
        <v>328</v>
      </c>
      <c r="M53" s="1" t="s">
        <v>328</v>
      </c>
      <c r="N53" s="1" t="s">
        <v>5583</v>
      </c>
      <c r="O53" s="1" t="s">
        <v>328</v>
      </c>
      <c r="P53" s="1" t="s">
        <v>328</v>
      </c>
      <c r="Q53" s="1" t="s">
        <v>328</v>
      </c>
      <c r="R53" s="1" t="s">
        <v>328</v>
      </c>
      <c r="S53" s="1" t="s">
        <v>328</v>
      </c>
      <c r="T53" s="1" t="s">
        <v>328</v>
      </c>
      <c r="U53" s="1">
        <v>0</v>
      </c>
      <c r="V53" s="1">
        <v>0</v>
      </c>
      <c r="W53" s="1">
        <v>0</v>
      </c>
      <c r="X53" s="1">
        <v>0</v>
      </c>
      <c r="Y53" s="1">
        <v>0</v>
      </c>
      <c r="Z53" s="1">
        <v>0</v>
      </c>
      <c r="AA53" s="1">
        <v>0</v>
      </c>
      <c r="AB53" s="1">
        <v>0</v>
      </c>
      <c r="AC53" s="1">
        <v>0</v>
      </c>
      <c r="AD53" s="1">
        <v>3</v>
      </c>
      <c r="AE53" s="1">
        <v>1</v>
      </c>
      <c r="AF53" s="1">
        <v>2</v>
      </c>
      <c r="AG53" s="208" t="s">
        <v>4952</v>
      </c>
      <c r="AH53" s="1">
        <v>2760</v>
      </c>
      <c r="AI53" s="1" t="s">
        <v>1843</v>
      </c>
      <c r="AJ53" s="1">
        <v>0</v>
      </c>
      <c r="AK53" s="1" t="s">
        <v>328</v>
      </c>
      <c r="AL53" s="1" t="s">
        <v>5584</v>
      </c>
      <c r="AM53" s="1">
        <v>0</v>
      </c>
      <c r="AN53" s="1">
        <v>0</v>
      </c>
      <c r="AO53" s="1">
        <v>0</v>
      </c>
      <c r="AP53" s="1">
        <v>0</v>
      </c>
      <c r="AQ53" s="1">
        <v>1</v>
      </c>
      <c r="AR53" s="1" t="s">
        <v>328</v>
      </c>
      <c r="AS53" s="1">
        <v>0</v>
      </c>
      <c r="AT53" s="1" t="s">
        <v>1806</v>
      </c>
      <c r="AU53" s="1">
        <v>0</v>
      </c>
      <c r="AV53" s="1">
        <v>5002</v>
      </c>
      <c r="AW53" s="1">
        <v>0</v>
      </c>
      <c r="AX53" t="b">
        <v>1</v>
      </c>
    </row>
    <row r="54" spans="1:50" x14ac:dyDescent="0.3">
      <c r="A54" s="1">
        <v>54</v>
      </c>
      <c r="B54" s="1" t="s">
        <v>5585</v>
      </c>
      <c r="C54" s="1" t="s">
        <v>5586</v>
      </c>
      <c r="D54" s="1">
        <v>5</v>
      </c>
      <c r="E54" s="1">
        <v>2</v>
      </c>
      <c r="F54" s="1">
        <v>5</v>
      </c>
      <c r="G54" s="1" t="s">
        <v>5587</v>
      </c>
      <c r="H54" s="1" t="s">
        <v>328</v>
      </c>
      <c r="I54" s="1" t="s">
        <v>328</v>
      </c>
      <c r="J54" s="1" t="s">
        <v>328</v>
      </c>
      <c r="K54" s="1" t="s">
        <v>328</v>
      </c>
      <c r="L54" s="1" t="s">
        <v>328</v>
      </c>
      <c r="M54" s="1" t="s">
        <v>328</v>
      </c>
      <c r="N54" s="1" t="s">
        <v>5588</v>
      </c>
      <c r="O54" s="1" t="s">
        <v>328</v>
      </c>
      <c r="P54" s="1" t="s">
        <v>328</v>
      </c>
      <c r="Q54" s="1" t="s">
        <v>328</v>
      </c>
      <c r="R54" s="1" t="s">
        <v>328</v>
      </c>
      <c r="S54" s="1" t="s">
        <v>328</v>
      </c>
      <c r="T54" s="1" t="s">
        <v>328</v>
      </c>
      <c r="U54" s="1">
        <v>0</v>
      </c>
      <c r="V54" s="1">
        <v>0</v>
      </c>
      <c r="W54" s="1">
        <v>0</v>
      </c>
      <c r="X54" s="1">
        <v>0</v>
      </c>
      <c r="Y54" s="1">
        <v>0</v>
      </c>
      <c r="Z54" s="1">
        <v>0</v>
      </c>
      <c r="AA54" s="1">
        <v>0</v>
      </c>
      <c r="AB54" s="1">
        <v>0</v>
      </c>
      <c r="AC54" s="1">
        <v>0</v>
      </c>
      <c r="AD54" s="1">
        <v>4</v>
      </c>
      <c r="AE54" s="1">
        <v>2</v>
      </c>
      <c r="AF54" s="1">
        <v>3</v>
      </c>
      <c r="AG54" s="208" t="s">
        <v>371</v>
      </c>
      <c r="AH54" s="1">
        <v>3360</v>
      </c>
      <c r="AI54" s="1" t="s">
        <v>1843</v>
      </c>
      <c r="AJ54" s="1">
        <v>0</v>
      </c>
      <c r="AK54" s="1" t="s">
        <v>328</v>
      </c>
      <c r="AL54" s="1" t="s">
        <v>5589</v>
      </c>
      <c r="AM54" s="1">
        <v>0</v>
      </c>
      <c r="AN54" s="1">
        <v>0</v>
      </c>
      <c r="AO54" s="1">
        <v>0</v>
      </c>
      <c r="AP54" s="1">
        <v>0</v>
      </c>
      <c r="AQ54" s="1">
        <v>1</v>
      </c>
      <c r="AR54" s="1" t="s">
        <v>328</v>
      </c>
      <c r="AS54" s="1">
        <v>0</v>
      </c>
      <c r="AT54" s="1" t="s">
        <v>1806</v>
      </c>
      <c r="AU54" s="1">
        <v>0</v>
      </c>
      <c r="AV54" s="1">
        <v>5002</v>
      </c>
      <c r="AW54" s="1">
        <v>0</v>
      </c>
      <c r="AX54" t="b">
        <v>1</v>
      </c>
    </row>
    <row r="55" spans="1:50" x14ac:dyDescent="0.3">
      <c r="A55" s="1">
        <v>55</v>
      </c>
      <c r="B55" s="1" t="s">
        <v>1900</v>
      </c>
      <c r="C55" s="1" t="s">
        <v>1901</v>
      </c>
      <c r="D55" s="1">
        <v>2</v>
      </c>
      <c r="E55" s="1">
        <v>3</v>
      </c>
      <c r="F55" s="1">
        <v>10</v>
      </c>
      <c r="G55" s="1" t="s">
        <v>328</v>
      </c>
      <c r="H55" s="1" t="s">
        <v>328</v>
      </c>
      <c r="I55" s="1" t="s">
        <v>334</v>
      </c>
      <c r="J55" s="1" t="s">
        <v>328</v>
      </c>
      <c r="K55" s="1" t="s">
        <v>328</v>
      </c>
      <c r="L55" s="1" t="s">
        <v>328</v>
      </c>
      <c r="M55" s="1" t="s">
        <v>328</v>
      </c>
      <c r="N55" s="1" t="s">
        <v>328</v>
      </c>
      <c r="O55" s="1" t="s">
        <v>328</v>
      </c>
      <c r="P55" s="1" t="s">
        <v>328</v>
      </c>
      <c r="Q55" s="1" t="s">
        <v>328</v>
      </c>
      <c r="R55" s="1" t="s">
        <v>328</v>
      </c>
      <c r="S55" s="1" t="s">
        <v>328</v>
      </c>
      <c r="T55" s="1" t="s">
        <v>328</v>
      </c>
      <c r="U55" s="1">
        <v>0</v>
      </c>
      <c r="V55" s="1">
        <v>0</v>
      </c>
      <c r="W55" s="1">
        <v>0</v>
      </c>
      <c r="X55" s="1">
        <v>0</v>
      </c>
      <c r="Y55" s="1">
        <v>0</v>
      </c>
      <c r="Z55" s="1">
        <v>0</v>
      </c>
      <c r="AA55" s="1">
        <v>0</v>
      </c>
      <c r="AB55" s="1">
        <v>0</v>
      </c>
      <c r="AC55" s="1">
        <v>1</v>
      </c>
      <c r="AD55" s="1">
        <v>0</v>
      </c>
      <c r="AE55" s="1">
        <v>0</v>
      </c>
      <c r="AF55" s="1">
        <v>1</v>
      </c>
      <c r="AG55" s="208" t="s">
        <v>546</v>
      </c>
      <c r="AH55" s="1">
        <v>720</v>
      </c>
      <c r="AI55" s="1" t="s">
        <v>1843</v>
      </c>
      <c r="AJ55" s="1">
        <v>0</v>
      </c>
      <c r="AK55" s="1" t="s">
        <v>328</v>
      </c>
      <c r="AL55" s="1" t="s">
        <v>1902</v>
      </c>
      <c r="AM55" s="1">
        <v>0</v>
      </c>
      <c r="AN55" s="1">
        <v>0</v>
      </c>
      <c r="AO55" s="1">
        <v>0</v>
      </c>
      <c r="AP55" s="1">
        <v>0</v>
      </c>
      <c r="AQ55" s="1">
        <v>1</v>
      </c>
      <c r="AR55" s="1" t="s">
        <v>328</v>
      </c>
      <c r="AS55" s="1">
        <v>0</v>
      </c>
      <c r="AT55" s="1" t="s">
        <v>1806</v>
      </c>
      <c r="AU55" s="1">
        <v>0</v>
      </c>
      <c r="AV55" s="1">
        <v>10002</v>
      </c>
      <c r="AW55" s="1">
        <v>0</v>
      </c>
      <c r="AX55" t="b">
        <v>0</v>
      </c>
    </row>
    <row r="56" spans="1:50" x14ac:dyDescent="0.3">
      <c r="A56" s="1">
        <v>56</v>
      </c>
      <c r="B56" s="1" t="s">
        <v>1903</v>
      </c>
      <c r="C56" s="1" t="s">
        <v>1904</v>
      </c>
      <c r="D56" s="1">
        <v>3</v>
      </c>
      <c r="E56" s="1">
        <v>3</v>
      </c>
      <c r="F56" s="1">
        <v>10</v>
      </c>
      <c r="G56" s="1" t="s">
        <v>328</v>
      </c>
      <c r="H56" s="1" t="s">
        <v>328</v>
      </c>
      <c r="I56" s="1" t="s">
        <v>365</v>
      </c>
      <c r="J56" s="1" t="s">
        <v>328</v>
      </c>
      <c r="K56" s="1" t="s">
        <v>328</v>
      </c>
      <c r="L56" s="1" t="s">
        <v>328</v>
      </c>
      <c r="M56" s="1" t="s">
        <v>328</v>
      </c>
      <c r="N56" s="1" t="s">
        <v>328</v>
      </c>
      <c r="O56" s="1" t="s">
        <v>328</v>
      </c>
      <c r="P56" s="1" t="s">
        <v>328</v>
      </c>
      <c r="Q56" s="1" t="s">
        <v>328</v>
      </c>
      <c r="R56" s="1" t="s">
        <v>328</v>
      </c>
      <c r="S56" s="1" t="s">
        <v>328</v>
      </c>
      <c r="T56" s="1" t="s">
        <v>328</v>
      </c>
      <c r="U56" s="1">
        <v>0</v>
      </c>
      <c r="V56" s="1">
        <v>0</v>
      </c>
      <c r="W56" s="1">
        <v>0</v>
      </c>
      <c r="X56" s="1">
        <v>0</v>
      </c>
      <c r="Y56" s="1">
        <v>0</v>
      </c>
      <c r="Z56" s="1">
        <v>0</v>
      </c>
      <c r="AA56" s="1">
        <v>0</v>
      </c>
      <c r="AB56" s="1">
        <v>0</v>
      </c>
      <c r="AC56" s="1">
        <v>2</v>
      </c>
      <c r="AD56" s="1">
        <v>1</v>
      </c>
      <c r="AE56" s="1">
        <v>0</v>
      </c>
      <c r="AF56" s="1">
        <v>2</v>
      </c>
      <c r="AG56" s="208" t="s">
        <v>547</v>
      </c>
      <c r="AH56" s="1">
        <v>1620</v>
      </c>
      <c r="AI56" s="1" t="s">
        <v>1843</v>
      </c>
      <c r="AJ56" s="1">
        <v>0</v>
      </c>
      <c r="AK56" s="1" t="s">
        <v>328</v>
      </c>
      <c r="AL56" s="1" t="s">
        <v>1905</v>
      </c>
      <c r="AM56" s="1">
        <v>0.3</v>
      </c>
      <c r="AN56" s="1">
        <v>0.25</v>
      </c>
      <c r="AO56" s="1">
        <v>0.12</v>
      </c>
      <c r="AP56" s="1">
        <v>0.38</v>
      </c>
      <c r="AQ56" s="1">
        <v>1</v>
      </c>
      <c r="AR56" s="1" t="s">
        <v>1478</v>
      </c>
      <c r="AS56" s="1">
        <v>0</v>
      </c>
      <c r="AT56" s="1" t="s">
        <v>1806</v>
      </c>
      <c r="AU56" s="1">
        <v>10</v>
      </c>
      <c r="AV56" s="1">
        <v>10002</v>
      </c>
      <c r="AW56" s="1">
        <v>0</v>
      </c>
      <c r="AX56" t="b">
        <v>0</v>
      </c>
    </row>
    <row r="57" spans="1:50" x14ac:dyDescent="0.3">
      <c r="A57" s="1">
        <v>57</v>
      </c>
      <c r="B57" s="1" t="s">
        <v>1906</v>
      </c>
      <c r="C57" s="1" t="s">
        <v>1907</v>
      </c>
      <c r="D57" s="1">
        <v>4</v>
      </c>
      <c r="E57" s="1">
        <v>3</v>
      </c>
      <c r="F57" s="1">
        <v>10</v>
      </c>
      <c r="G57" s="1" t="s">
        <v>328</v>
      </c>
      <c r="H57" s="1" t="s">
        <v>328</v>
      </c>
      <c r="I57" s="1" t="s">
        <v>372</v>
      </c>
      <c r="J57" s="1" t="s">
        <v>328</v>
      </c>
      <c r="K57" s="1" t="s">
        <v>328</v>
      </c>
      <c r="L57" s="1" t="s">
        <v>328</v>
      </c>
      <c r="M57" s="1" t="s">
        <v>328</v>
      </c>
      <c r="N57" s="1" t="s">
        <v>328</v>
      </c>
      <c r="O57" s="1" t="s">
        <v>328</v>
      </c>
      <c r="P57" s="1" t="s">
        <v>328</v>
      </c>
      <c r="Q57" s="1" t="s">
        <v>328</v>
      </c>
      <c r="R57" s="1" t="s">
        <v>328</v>
      </c>
      <c r="S57" s="1" t="s">
        <v>328</v>
      </c>
      <c r="T57" s="1" t="s">
        <v>328</v>
      </c>
      <c r="U57" s="1">
        <v>0</v>
      </c>
      <c r="V57" s="1">
        <v>0</v>
      </c>
      <c r="W57" s="1">
        <v>0</v>
      </c>
      <c r="X57" s="1">
        <v>0</v>
      </c>
      <c r="Y57" s="1">
        <v>0</v>
      </c>
      <c r="Z57" s="1">
        <v>0</v>
      </c>
      <c r="AA57" s="1">
        <v>0</v>
      </c>
      <c r="AB57" s="1">
        <v>0</v>
      </c>
      <c r="AC57" s="1">
        <v>3</v>
      </c>
      <c r="AD57" s="1">
        <v>1</v>
      </c>
      <c r="AE57" s="1">
        <v>0</v>
      </c>
      <c r="AF57" s="1">
        <v>3</v>
      </c>
      <c r="AG57" s="208" t="s">
        <v>548</v>
      </c>
      <c r="AH57" s="1">
        <v>2520</v>
      </c>
      <c r="AI57" s="1" t="s">
        <v>1843</v>
      </c>
      <c r="AJ57" s="1">
        <v>0</v>
      </c>
      <c r="AK57" s="1" t="s">
        <v>328</v>
      </c>
      <c r="AL57" s="1" t="s">
        <v>1908</v>
      </c>
      <c r="AM57" s="1">
        <v>0.3</v>
      </c>
      <c r="AN57" s="1">
        <v>0.25</v>
      </c>
      <c r="AO57" s="1">
        <v>0.12</v>
      </c>
      <c r="AP57" s="1">
        <v>0.38</v>
      </c>
      <c r="AQ57" s="1">
        <v>1</v>
      </c>
      <c r="AR57" s="1" t="s">
        <v>1479</v>
      </c>
      <c r="AS57" s="1">
        <v>0</v>
      </c>
      <c r="AT57" s="1" t="s">
        <v>1806</v>
      </c>
      <c r="AU57" s="1">
        <v>10</v>
      </c>
      <c r="AV57" s="1">
        <v>10002</v>
      </c>
      <c r="AW57" s="1">
        <v>0</v>
      </c>
      <c r="AX57" t="b">
        <v>0</v>
      </c>
    </row>
    <row r="58" spans="1:50" x14ac:dyDescent="0.3">
      <c r="A58" s="1">
        <v>58</v>
      </c>
      <c r="B58" s="1" t="s">
        <v>1909</v>
      </c>
      <c r="C58" s="1" t="s">
        <v>1910</v>
      </c>
      <c r="D58" s="1">
        <v>5</v>
      </c>
      <c r="E58" s="1">
        <v>3</v>
      </c>
      <c r="F58" s="1">
        <v>10</v>
      </c>
      <c r="G58" s="1" t="s">
        <v>328</v>
      </c>
      <c r="H58" s="1" t="s">
        <v>328</v>
      </c>
      <c r="I58" s="1" t="s">
        <v>356</v>
      </c>
      <c r="J58" s="1" t="s">
        <v>328</v>
      </c>
      <c r="K58" s="1" t="s">
        <v>328</v>
      </c>
      <c r="L58" s="1" t="s">
        <v>328</v>
      </c>
      <c r="M58" s="1" t="s">
        <v>328</v>
      </c>
      <c r="N58" s="1" t="s">
        <v>328</v>
      </c>
      <c r="O58" s="1" t="s">
        <v>328</v>
      </c>
      <c r="P58" s="1" t="s">
        <v>328</v>
      </c>
      <c r="Q58" s="1" t="s">
        <v>328</v>
      </c>
      <c r="R58" s="1" t="s">
        <v>328</v>
      </c>
      <c r="S58" s="1" t="s">
        <v>328</v>
      </c>
      <c r="T58" s="1" t="s">
        <v>328</v>
      </c>
      <c r="U58" s="1">
        <v>0</v>
      </c>
      <c r="V58" s="1">
        <v>0</v>
      </c>
      <c r="W58" s="1">
        <v>0</v>
      </c>
      <c r="X58" s="1">
        <v>0</v>
      </c>
      <c r="Y58" s="1">
        <v>0</v>
      </c>
      <c r="Z58" s="1">
        <v>0</v>
      </c>
      <c r="AA58" s="1">
        <v>0</v>
      </c>
      <c r="AB58" s="1">
        <v>0</v>
      </c>
      <c r="AC58" s="1">
        <v>4</v>
      </c>
      <c r="AD58" s="1">
        <v>2</v>
      </c>
      <c r="AE58" s="1">
        <v>0</v>
      </c>
      <c r="AF58" s="1">
        <v>4</v>
      </c>
      <c r="AG58" s="208" t="s">
        <v>549</v>
      </c>
      <c r="AH58" s="1">
        <v>3120</v>
      </c>
      <c r="AI58" s="1" t="s">
        <v>1843</v>
      </c>
      <c r="AJ58" s="1">
        <v>0</v>
      </c>
      <c r="AK58" s="1" t="s">
        <v>328</v>
      </c>
      <c r="AL58" s="1" t="s">
        <v>1911</v>
      </c>
      <c r="AM58" s="1">
        <v>0.3</v>
      </c>
      <c r="AN58" s="1">
        <v>0.25</v>
      </c>
      <c r="AO58" s="1">
        <v>0.12</v>
      </c>
      <c r="AP58" s="1">
        <v>0.38</v>
      </c>
      <c r="AQ58" s="1">
        <v>1</v>
      </c>
      <c r="AR58" s="1" t="s">
        <v>1480</v>
      </c>
      <c r="AS58" s="1">
        <v>0</v>
      </c>
      <c r="AT58" s="1" t="s">
        <v>1806</v>
      </c>
      <c r="AU58" s="1">
        <v>10</v>
      </c>
      <c r="AV58" s="1">
        <v>10002</v>
      </c>
      <c r="AW58" s="1">
        <v>0</v>
      </c>
      <c r="AX58" t="b">
        <v>0</v>
      </c>
    </row>
    <row r="59" spans="1:50" x14ac:dyDescent="0.3">
      <c r="A59" s="1">
        <v>59</v>
      </c>
      <c r="B59" s="1" t="s">
        <v>1912</v>
      </c>
      <c r="C59" s="1" t="s">
        <v>1913</v>
      </c>
      <c r="D59" s="1">
        <v>5</v>
      </c>
      <c r="E59" s="1">
        <v>2</v>
      </c>
      <c r="F59" s="1">
        <v>19</v>
      </c>
      <c r="G59" s="1" t="s">
        <v>328</v>
      </c>
      <c r="H59" s="1" t="s">
        <v>328</v>
      </c>
      <c r="I59" s="1" t="s">
        <v>328</v>
      </c>
      <c r="J59" s="1" t="s">
        <v>328</v>
      </c>
      <c r="K59" s="1" t="s">
        <v>373</v>
      </c>
      <c r="L59" s="1" t="s">
        <v>328</v>
      </c>
      <c r="M59" s="1" t="s">
        <v>328</v>
      </c>
      <c r="N59" s="1" t="s">
        <v>374</v>
      </c>
      <c r="O59" s="1" t="s">
        <v>328</v>
      </c>
      <c r="P59" s="1" t="s">
        <v>328</v>
      </c>
      <c r="Q59" s="1" t="s">
        <v>328</v>
      </c>
      <c r="R59" s="1" t="s">
        <v>328</v>
      </c>
      <c r="S59" s="1" t="s">
        <v>328</v>
      </c>
      <c r="T59" s="1" t="s">
        <v>328</v>
      </c>
      <c r="U59" s="1">
        <v>0</v>
      </c>
      <c r="V59" s="1">
        <v>0</v>
      </c>
      <c r="W59" s="1">
        <v>0</v>
      </c>
      <c r="X59" s="1">
        <v>0</v>
      </c>
      <c r="Y59" s="1">
        <v>0</v>
      </c>
      <c r="Z59" s="1">
        <v>0</v>
      </c>
      <c r="AA59" s="1">
        <v>0</v>
      </c>
      <c r="AB59" s="1">
        <v>0</v>
      </c>
      <c r="AC59" s="1">
        <v>0</v>
      </c>
      <c r="AD59" s="1">
        <v>4</v>
      </c>
      <c r="AE59" s="1">
        <v>2</v>
      </c>
      <c r="AF59" s="1">
        <v>3</v>
      </c>
      <c r="AG59" s="208" t="s">
        <v>87</v>
      </c>
      <c r="AH59" s="1">
        <v>3420</v>
      </c>
      <c r="AI59" s="1" t="s">
        <v>1914</v>
      </c>
      <c r="AJ59" s="1">
        <v>0</v>
      </c>
      <c r="AK59" s="1" t="s">
        <v>357</v>
      </c>
      <c r="AL59" s="1" t="s">
        <v>1915</v>
      </c>
      <c r="AM59" s="1">
        <v>0.08</v>
      </c>
      <c r="AN59" s="1">
        <v>0.55000000000000004</v>
      </c>
      <c r="AO59" s="1">
        <v>0.3</v>
      </c>
      <c r="AP59" s="1">
        <v>0.3</v>
      </c>
      <c r="AQ59" s="1">
        <v>3</v>
      </c>
      <c r="AR59" s="1" t="s">
        <v>1481</v>
      </c>
      <c r="AS59" s="1">
        <v>0</v>
      </c>
      <c r="AT59" s="1" t="s">
        <v>1806</v>
      </c>
      <c r="AU59" s="1">
        <v>10</v>
      </c>
      <c r="AV59" s="1">
        <v>19001</v>
      </c>
      <c r="AW59" s="1">
        <v>0</v>
      </c>
      <c r="AX59" t="b">
        <v>0</v>
      </c>
    </row>
    <row r="60" spans="1:50" x14ac:dyDescent="0.3">
      <c r="A60" s="1">
        <v>60</v>
      </c>
      <c r="B60" s="1" t="s">
        <v>1916</v>
      </c>
      <c r="C60" s="1" t="s">
        <v>1917</v>
      </c>
      <c r="D60" s="1">
        <v>5</v>
      </c>
      <c r="E60" s="1">
        <v>2</v>
      </c>
      <c r="F60" s="1">
        <v>19</v>
      </c>
      <c r="G60" s="1" t="s">
        <v>375</v>
      </c>
      <c r="H60" s="1" t="s">
        <v>376</v>
      </c>
      <c r="I60" s="1" t="s">
        <v>328</v>
      </c>
      <c r="J60" s="1" t="s">
        <v>328</v>
      </c>
      <c r="K60" s="1" t="s">
        <v>328</v>
      </c>
      <c r="L60" s="1" t="s">
        <v>328</v>
      </c>
      <c r="M60" s="1" t="s">
        <v>328</v>
      </c>
      <c r="N60" s="1" t="s">
        <v>328</v>
      </c>
      <c r="O60" s="1" t="s">
        <v>328</v>
      </c>
      <c r="P60" s="1" t="s">
        <v>328</v>
      </c>
      <c r="Q60" s="1" t="s">
        <v>328</v>
      </c>
      <c r="R60" s="1" t="s">
        <v>328</v>
      </c>
      <c r="S60" s="1" t="s">
        <v>328</v>
      </c>
      <c r="T60" s="1" t="s">
        <v>328</v>
      </c>
      <c r="U60" s="1">
        <v>0</v>
      </c>
      <c r="V60" s="1">
        <v>0</v>
      </c>
      <c r="W60" s="1">
        <v>0</v>
      </c>
      <c r="X60" s="1">
        <v>0</v>
      </c>
      <c r="Y60" s="1">
        <v>0</v>
      </c>
      <c r="Z60" s="1">
        <v>0</v>
      </c>
      <c r="AA60" s="1">
        <v>0</v>
      </c>
      <c r="AB60" s="1">
        <v>0</v>
      </c>
      <c r="AC60" s="1">
        <v>0</v>
      </c>
      <c r="AD60" s="1">
        <v>5</v>
      </c>
      <c r="AE60" s="1">
        <v>3</v>
      </c>
      <c r="AF60" s="1">
        <v>2</v>
      </c>
      <c r="AG60" s="208" t="s">
        <v>100</v>
      </c>
      <c r="AH60" s="1">
        <v>3420</v>
      </c>
      <c r="AI60" s="1" t="s">
        <v>1918</v>
      </c>
      <c r="AJ60" s="1">
        <v>0</v>
      </c>
      <c r="AK60" s="1" t="s">
        <v>377</v>
      </c>
      <c r="AL60" s="1" t="s">
        <v>1919</v>
      </c>
      <c r="AM60" s="1">
        <v>0.15</v>
      </c>
      <c r="AN60" s="1">
        <v>0.6</v>
      </c>
      <c r="AO60" s="1">
        <v>0.38</v>
      </c>
      <c r="AP60" s="1">
        <v>0.23</v>
      </c>
      <c r="AQ60" s="1">
        <v>3</v>
      </c>
      <c r="AR60" s="1" t="s">
        <v>1482</v>
      </c>
      <c r="AS60" s="1">
        <v>0</v>
      </c>
      <c r="AT60" s="1" t="s">
        <v>1806</v>
      </c>
      <c r="AU60" s="1">
        <v>10</v>
      </c>
      <c r="AV60" s="1">
        <v>19002</v>
      </c>
      <c r="AW60" s="1">
        <v>0</v>
      </c>
      <c r="AX60" t="b">
        <v>0</v>
      </c>
    </row>
    <row r="61" spans="1:50" x14ac:dyDescent="0.3">
      <c r="A61" s="1">
        <v>61</v>
      </c>
      <c r="B61" s="1" t="s">
        <v>1920</v>
      </c>
      <c r="C61" s="1" t="s">
        <v>1921</v>
      </c>
      <c r="D61" s="1">
        <v>5</v>
      </c>
      <c r="E61" s="1">
        <v>3</v>
      </c>
      <c r="F61" s="1">
        <v>20</v>
      </c>
      <c r="G61" s="1" t="s">
        <v>378</v>
      </c>
      <c r="H61" s="1" t="s">
        <v>328</v>
      </c>
      <c r="I61" s="1" t="s">
        <v>328</v>
      </c>
      <c r="J61" s="1" t="s">
        <v>328</v>
      </c>
      <c r="K61" s="1" t="s">
        <v>379</v>
      </c>
      <c r="L61" s="1" t="s">
        <v>328</v>
      </c>
      <c r="M61" s="1" t="s">
        <v>328</v>
      </c>
      <c r="N61" s="1" t="s">
        <v>328</v>
      </c>
      <c r="O61" s="1" t="s">
        <v>328</v>
      </c>
      <c r="P61" s="1" t="s">
        <v>328</v>
      </c>
      <c r="Q61" s="1" t="s">
        <v>328</v>
      </c>
      <c r="R61" s="1" t="s">
        <v>328</v>
      </c>
      <c r="S61" s="1" t="s">
        <v>328</v>
      </c>
      <c r="T61" s="1" t="s">
        <v>354</v>
      </c>
      <c r="U61" s="1">
        <v>0</v>
      </c>
      <c r="V61" s="1">
        <v>0</v>
      </c>
      <c r="W61" s="1">
        <v>0</v>
      </c>
      <c r="X61" s="1">
        <v>0</v>
      </c>
      <c r="Y61" s="1">
        <v>0</v>
      </c>
      <c r="Z61" s="1">
        <v>0</v>
      </c>
      <c r="AA61" s="1">
        <v>0</v>
      </c>
      <c r="AB61" s="1">
        <v>0</v>
      </c>
      <c r="AC61" s="1">
        <v>0</v>
      </c>
      <c r="AD61" s="1">
        <v>5</v>
      </c>
      <c r="AE61" s="1">
        <v>3</v>
      </c>
      <c r="AF61" s="1">
        <v>2</v>
      </c>
      <c r="AG61" s="208" t="s">
        <v>105</v>
      </c>
      <c r="AH61" s="1">
        <v>3420</v>
      </c>
      <c r="AI61" s="1" t="s">
        <v>1918</v>
      </c>
      <c r="AJ61" s="1">
        <v>0</v>
      </c>
      <c r="AK61" s="1" t="s">
        <v>380</v>
      </c>
      <c r="AL61" s="1" t="s">
        <v>1922</v>
      </c>
      <c r="AM61" s="1">
        <v>0.1</v>
      </c>
      <c r="AN61" s="1">
        <v>0.1</v>
      </c>
      <c r="AO61" s="1">
        <v>0.1</v>
      </c>
      <c r="AP61" s="1">
        <v>0.55000000000000004</v>
      </c>
      <c r="AQ61" s="1">
        <v>3</v>
      </c>
      <c r="AR61" s="1" t="s">
        <v>1483</v>
      </c>
      <c r="AS61" s="1">
        <v>0</v>
      </c>
      <c r="AT61" s="1" t="s">
        <v>1806</v>
      </c>
      <c r="AU61" s="1">
        <v>10</v>
      </c>
      <c r="AV61" s="1">
        <v>20001</v>
      </c>
      <c r="AW61" s="1">
        <v>0</v>
      </c>
      <c r="AX61" t="b">
        <v>0</v>
      </c>
    </row>
    <row r="62" spans="1:50" x14ac:dyDescent="0.3">
      <c r="A62" s="1">
        <v>62</v>
      </c>
      <c r="B62" s="1" t="s">
        <v>1923</v>
      </c>
      <c r="C62" s="1" t="s">
        <v>1924</v>
      </c>
      <c r="D62" s="1">
        <v>5</v>
      </c>
      <c r="E62" s="1">
        <v>3</v>
      </c>
      <c r="F62" s="1">
        <v>20</v>
      </c>
      <c r="G62" s="1" t="s">
        <v>381</v>
      </c>
      <c r="H62" s="1" t="s">
        <v>328</v>
      </c>
      <c r="I62" s="1" t="s">
        <v>382</v>
      </c>
      <c r="J62" s="1" t="s">
        <v>328</v>
      </c>
      <c r="K62" s="1" t="s">
        <v>328</v>
      </c>
      <c r="L62" s="1" t="s">
        <v>328</v>
      </c>
      <c r="M62" s="1" t="s">
        <v>328</v>
      </c>
      <c r="N62" s="1" t="s">
        <v>328</v>
      </c>
      <c r="O62" s="1" t="s">
        <v>328</v>
      </c>
      <c r="P62" s="1" t="s">
        <v>328</v>
      </c>
      <c r="Q62" s="1" t="s">
        <v>328</v>
      </c>
      <c r="R62" s="1" t="s">
        <v>328</v>
      </c>
      <c r="S62" s="1" t="s">
        <v>328</v>
      </c>
      <c r="T62" s="1" t="s">
        <v>328</v>
      </c>
      <c r="U62" s="1">
        <v>0</v>
      </c>
      <c r="V62" s="1">
        <v>0</v>
      </c>
      <c r="W62" s="1">
        <v>0</v>
      </c>
      <c r="X62" s="1">
        <v>0</v>
      </c>
      <c r="Y62" s="1">
        <v>0</v>
      </c>
      <c r="Z62" s="1">
        <v>0</v>
      </c>
      <c r="AA62" s="1">
        <v>0</v>
      </c>
      <c r="AB62" s="1">
        <v>0</v>
      </c>
      <c r="AC62" s="1">
        <v>4</v>
      </c>
      <c r="AD62" s="1">
        <v>2</v>
      </c>
      <c r="AE62" s="1">
        <v>0</v>
      </c>
      <c r="AF62" s="1">
        <v>4</v>
      </c>
      <c r="AG62" s="208" t="s">
        <v>729</v>
      </c>
      <c r="AH62" s="1">
        <v>3120</v>
      </c>
      <c r="AI62" s="1" t="s">
        <v>1918</v>
      </c>
      <c r="AJ62" s="1">
        <v>0</v>
      </c>
      <c r="AK62" s="1" t="s">
        <v>383</v>
      </c>
      <c r="AL62" s="1" t="s">
        <v>1925</v>
      </c>
      <c r="AM62" s="1">
        <v>0.3</v>
      </c>
      <c r="AN62" s="1">
        <v>0.25</v>
      </c>
      <c r="AO62" s="1">
        <v>0.12</v>
      </c>
      <c r="AP62" s="1">
        <v>0.38</v>
      </c>
      <c r="AQ62" s="1">
        <v>3</v>
      </c>
      <c r="AR62" s="1" t="s">
        <v>1484</v>
      </c>
      <c r="AS62" s="1">
        <v>0</v>
      </c>
      <c r="AT62" s="1" t="s">
        <v>1806</v>
      </c>
      <c r="AU62" s="1">
        <v>10</v>
      </c>
      <c r="AV62" s="1">
        <v>20002</v>
      </c>
      <c r="AW62" s="1">
        <v>0</v>
      </c>
      <c r="AX62" t="b">
        <v>0</v>
      </c>
    </row>
    <row r="63" spans="1:50" x14ac:dyDescent="0.3">
      <c r="A63" s="1">
        <v>63</v>
      </c>
      <c r="B63" s="1" t="s">
        <v>1926</v>
      </c>
      <c r="C63" s="1" t="s">
        <v>1927</v>
      </c>
      <c r="D63" s="1">
        <v>2</v>
      </c>
      <c r="E63" s="1">
        <v>1</v>
      </c>
      <c r="F63" s="1">
        <v>13</v>
      </c>
      <c r="G63" s="1" t="s">
        <v>328</v>
      </c>
      <c r="H63" s="1" t="s">
        <v>328</v>
      </c>
      <c r="I63" s="1" t="s">
        <v>332</v>
      </c>
      <c r="J63" s="1" t="s">
        <v>328</v>
      </c>
      <c r="K63" s="1" t="s">
        <v>328</v>
      </c>
      <c r="L63" s="1" t="s">
        <v>328</v>
      </c>
      <c r="M63" s="1" t="s">
        <v>365</v>
      </c>
      <c r="N63" s="1" t="s">
        <v>328</v>
      </c>
      <c r="O63" s="1" t="s">
        <v>328</v>
      </c>
      <c r="P63" s="1" t="s">
        <v>328</v>
      </c>
      <c r="Q63" s="1" t="s">
        <v>328</v>
      </c>
      <c r="R63" s="1" t="s">
        <v>328</v>
      </c>
      <c r="S63" s="1" t="s">
        <v>328</v>
      </c>
      <c r="T63" s="1" t="s">
        <v>328</v>
      </c>
      <c r="U63" s="1">
        <v>0</v>
      </c>
      <c r="V63" s="1">
        <v>0</v>
      </c>
      <c r="W63" s="1">
        <v>0</v>
      </c>
      <c r="X63" s="1">
        <v>0</v>
      </c>
      <c r="Y63" s="1">
        <v>0</v>
      </c>
      <c r="Z63" s="1">
        <v>0</v>
      </c>
      <c r="AA63" s="1">
        <v>0</v>
      </c>
      <c r="AB63" s="1">
        <v>0</v>
      </c>
      <c r="AC63" s="1">
        <v>2</v>
      </c>
      <c r="AD63" s="1">
        <v>0</v>
      </c>
      <c r="AE63" s="1">
        <v>0</v>
      </c>
      <c r="AF63" s="1">
        <v>0</v>
      </c>
      <c r="AG63" s="208" t="s">
        <v>550</v>
      </c>
      <c r="AH63" s="1">
        <v>420</v>
      </c>
      <c r="AI63" s="1" t="s">
        <v>1928</v>
      </c>
      <c r="AJ63" s="1">
        <v>0</v>
      </c>
      <c r="AK63" s="1" t="s">
        <v>328</v>
      </c>
      <c r="AL63" s="1" t="s">
        <v>1929</v>
      </c>
      <c r="AM63" s="1">
        <v>0</v>
      </c>
      <c r="AN63" s="1">
        <v>0</v>
      </c>
      <c r="AO63" s="1">
        <v>0</v>
      </c>
      <c r="AP63" s="1">
        <v>0</v>
      </c>
      <c r="AQ63" s="1">
        <v>1</v>
      </c>
      <c r="AR63" s="1" t="s">
        <v>328</v>
      </c>
      <c r="AS63" s="1">
        <v>0</v>
      </c>
      <c r="AT63" s="1" t="s">
        <v>1806</v>
      </c>
      <c r="AU63" s="1">
        <v>0</v>
      </c>
      <c r="AV63" s="1">
        <v>13001</v>
      </c>
      <c r="AW63" s="1">
        <v>0</v>
      </c>
      <c r="AX63" t="b">
        <v>0</v>
      </c>
    </row>
    <row r="64" spans="1:50" x14ac:dyDescent="0.3">
      <c r="A64" s="1">
        <v>64</v>
      </c>
      <c r="B64" s="1" t="s">
        <v>1930</v>
      </c>
      <c r="C64" s="1" t="s">
        <v>1931</v>
      </c>
      <c r="D64" s="1">
        <v>3</v>
      </c>
      <c r="E64" s="1">
        <v>1</v>
      </c>
      <c r="F64" s="1">
        <v>13</v>
      </c>
      <c r="G64" s="1" t="s">
        <v>328</v>
      </c>
      <c r="H64" s="1" t="s">
        <v>328</v>
      </c>
      <c r="I64" s="1" t="s">
        <v>364</v>
      </c>
      <c r="J64" s="1" t="s">
        <v>328</v>
      </c>
      <c r="K64" s="1" t="s">
        <v>328</v>
      </c>
      <c r="L64" s="1" t="s">
        <v>328</v>
      </c>
      <c r="M64" s="1" t="s">
        <v>358</v>
      </c>
      <c r="N64" s="1" t="s">
        <v>328</v>
      </c>
      <c r="O64" s="1" t="s">
        <v>328</v>
      </c>
      <c r="P64" s="1" t="s">
        <v>328</v>
      </c>
      <c r="Q64" s="1" t="s">
        <v>328</v>
      </c>
      <c r="R64" s="1" t="s">
        <v>328</v>
      </c>
      <c r="S64" s="1" t="s">
        <v>328</v>
      </c>
      <c r="T64" s="1" t="s">
        <v>328</v>
      </c>
      <c r="U64" s="1">
        <v>0</v>
      </c>
      <c r="V64" s="1">
        <v>0</v>
      </c>
      <c r="W64" s="1">
        <v>0</v>
      </c>
      <c r="X64" s="1">
        <v>0</v>
      </c>
      <c r="Y64" s="1">
        <v>0</v>
      </c>
      <c r="Z64" s="1">
        <v>0</v>
      </c>
      <c r="AA64" s="1">
        <v>0</v>
      </c>
      <c r="AB64" s="1">
        <v>0</v>
      </c>
      <c r="AC64" s="1">
        <v>3</v>
      </c>
      <c r="AD64" s="1">
        <v>0</v>
      </c>
      <c r="AE64" s="1">
        <v>0</v>
      </c>
      <c r="AF64" s="1">
        <v>0</v>
      </c>
      <c r="AG64" s="208" t="s">
        <v>551</v>
      </c>
      <c r="AH64" s="1">
        <v>1320</v>
      </c>
      <c r="AI64" s="1" t="s">
        <v>1928</v>
      </c>
      <c r="AJ64" s="1">
        <v>0</v>
      </c>
      <c r="AK64" s="1" t="s">
        <v>328</v>
      </c>
      <c r="AL64" s="1" t="s">
        <v>1932</v>
      </c>
      <c r="AM64" s="1">
        <v>0.55000000000000004</v>
      </c>
      <c r="AN64" s="1">
        <v>0.23</v>
      </c>
      <c r="AO64" s="1">
        <v>0.23</v>
      </c>
      <c r="AP64" s="1">
        <v>0.23</v>
      </c>
      <c r="AQ64" s="1">
        <v>1</v>
      </c>
      <c r="AR64" s="1" t="s">
        <v>1485</v>
      </c>
      <c r="AS64" s="1">
        <v>0</v>
      </c>
      <c r="AT64" s="1" t="s">
        <v>1806</v>
      </c>
      <c r="AU64" s="1">
        <v>10</v>
      </c>
      <c r="AV64" s="1">
        <v>13001</v>
      </c>
      <c r="AW64" s="1">
        <v>0</v>
      </c>
      <c r="AX64" t="b">
        <v>0</v>
      </c>
    </row>
    <row r="65" spans="1:50" x14ac:dyDescent="0.3">
      <c r="A65" s="1">
        <v>65</v>
      </c>
      <c r="B65" s="1" t="s">
        <v>1933</v>
      </c>
      <c r="C65" s="1" t="s">
        <v>1934</v>
      </c>
      <c r="D65" s="1">
        <v>4</v>
      </c>
      <c r="E65" s="1">
        <v>1</v>
      </c>
      <c r="F65" s="1">
        <v>13</v>
      </c>
      <c r="G65" s="1" t="s">
        <v>328</v>
      </c>
      <c r="H65" s="1" t="s">
        <v>328</v>
      </c>
      <c r="I65" s="1" t="s">
        <v>365</v>
      </c>
      <c r="J65" s="1" t="s">
        <v>328</v>
      </c>
      <c r="K65" s="1" t="s">
        <v>328</v>
      </c>
      <c r="L65" s="1" t="s">
        <v>328</v>
      </c>
      <c r="M65" s="1" t="s">
        <v>384</v>
      </c>
      <c r="N65" s="1" t="s">
        <v>328</v>
      </c>
      <c r="O65" s="1" t="s">
        <v>328</v>
      </c>
      <c r="P65" s="1" t="s">
        <v>328</v>
      </c>
      <c r="Q65" s="1" t="s">
        <v>328</v>
      </c>
      <c r="R65" s="1" t="s">
        <v>328</v>
      </c>
      <c r="S65" s="1" t="s">
        <v>328</v>
      </c>
      <c r="T65" s="1" t="s">
        <v>328</v>
      </c>
      <c r="U65" s="1">
        <v>0</v>
      </c>
      <c r="V65" s="1">
        <v>0</v>
      </c>
      <c r="W65" s="1">
        <v>0</v>
      </c>
      <c r="X65" s="1">
        <v>0</v>
      </c>
      <c r="Y65" s="1">
        <v>0</v>
      </c>
      <c r="Z65" s="1">
        <v>0</v>
      </c>
      <c r="AA65" s="1">
        <v>0</v>
      </c>
      <c r="AB65" s="1">
        <v>0</v>
      </c>
      <c r="AC65" s="1">
        <v>3</v>
      </c>
      <c r="AD65" s="1">
        <v>1</v>
      </c>
      <c r="AE65" s="1">
        <v>1</v>
      </c>
      <c r="AF65" s="1">
        <v>1</v>
      </c>
      <c r="AG65" s="208" t="s">
        <v>552</v>
      </c>
      <c r="AH65" s="1">
        <v>2220</v>
      </c>
      <c r="AI65" s="1" t="s">
        <v>1928</v>
      </c>
      <c r="AJ65" s="1">
        <v>0</v>
      </c>
      <c r="AK65" s="1" t="s">
        <v>328</v>
      </c>
      <c r="AL65" s="1" t="s">
        <v>1935</v>
      </c>
      <c r="AM65" s="1">
        <v>0.55000000000000004</v>
      </c>
      <c r="AN65" s="1">
        <v>0.23</v>
      </c>
      <c r="AO65" s="1">
        <v>0.23</v>
      </c>
      <c r="AP65" s="1">
        <v>0.23</v>
      </c>
      <c r="AQ65" s="1">
        <v>1</v>
      </c>
      <c r="AR65" s="1" t="s">
        <v>1485</v>
      </c>
      <c r="AS65" s="1">
        <v>0</v>
      </c>
      <c r="AT65" s="1" t="s">
        <v>1806</v>
      </c>
      <c r="AU65" s="1">
        <v>10</v>
      </c>
      <c r="AV65" s="1">
        <v>13001</v>
      </c>
      <c r="AW65" s="1">
        <v>0</v>
      </c>
      <c r="AX65" t="b">
        <v>0</v>
      </c>
    </row>
    <row r="66" spans="1:50" x14ac:dyDescent="0.3">
      <c r="A66" s="1">
        <v>66</v>
      </c>
      <c r="B66" s="1" t="s">
        <v>1936</v>
      </c>
      <c r="C66" s="1" t="s">
        <v>1937</v>
      </c>
      <c r="D66" s="1">
        <v>5</v>
      </c>
      <c r="E66" s="1">
        <v>1</v>
      </c>
      <c r="F66" s="1">
        <v>13</v>
      </c>
      <c r="G66" s="1" t="s">
        <v>328</v>
      </c>
      <c r="H66" s="1" t="s">
        <v>328</v>
      </c>
      <c r="I66" s="1" t="s">
        <v>358</v>
      </c>
      <c r="J66" s="1" t="s">
        <v>328</v>
      </c>
      <c r="K66" s="1" t="s">
        <v>328</v>
      </c>
      <c r="L66" s="1" t="s">
        <v>328</v>
      </c>
      <c r="M66" s="1" t="s">
        <v>385</v>
      </c>
      <c r="N66" s="1" t="s">
        <v>328</v>
      </c>
      <c r="O66" s="1" t="s">
        <v>328</v>
      </c>
      <c r="P66" s="1" t="s">
        <v>328</v>
      </c>
      <c r="Q66" s="1" t="s">
        <v>328</v>
      </c>
      <c r="R66" s="1" t="s">
        <v>328</v>
      </c>
      <c r="S66" s="1" t="s">
        <v>328</v>
      </c>
      <c r="T66" s="1" t="s">
        <v>328</v>
      </c>
      <c r="U66" s="1">
        <v>0</v>
      </c>
      <c r="V66" s="1">
        <v>0</v>
      </c>
      <c r="W66" s="1">
        <v>0</v>
      </c>
      <c r="X66" s="1">
        <v>0</v>
      </c>
      <c r="Y66" s="1">
        <v>0</v>
      </c>
      <c r="Z66" s="1">
        <v>0</v>
      </c>
      <c r="AA66" s="1">
        <v>0</v>
      </c>
      <c r="AB66" s="1">
        <v>0</v>
      </c>
      <c r="AC66" s="1">
        <v>4</v>
      </c>
      <c r="AD66" s="1">
        <v>2</v>
      </c>
      <c r="AE66" s="1">
        <v>2</v>
      </c>
      <c r="AF66" s="1">
        <v>2</v>
      </c>
      <c r="AG66" s="208" t="s">
        <v>553</v>
      </c>
      <c r="AH66" s="1">
        <v>2820</v>
      </c>
      <c r="AI66" s="1" t="s">
        <v>1928</v>
      </c>
      <c r="AJ66" s="1">
        <v>0</v>
      </c>
      <c r="AK66" s="1" t="s">
        <v>328</v>
      </c>
      <c r="AL66" s="1" t="s">
        <v>1938</v>
      </c>
      <c r="AM66" s="1">
        <v>0.55000000000000004</v>
      </c>
      <c r="AN66" s="1">
        <v>0.23</v>
      </c>
      <c r="AO66" s="1">
        <v>0.23</v>
      </c>
      <c r="AP66" s="1">
        <v>0.23</v>
      </c>
      <c r="AQ66" s="1">
        <v>1</v>
      </c>
      <c r="AR66" s="1" t="s">
        <v>1486</v>
      </c>
      <c r="AS66" s="1">
        <v>0</v>
      </c>
      <c r="AT66" s="1" t="s">
        <v>1806</v>
      </c>
      <c r="AU66" s="1">
        <v>10</v>
      </c>
      <c r="AV66" s="1">
        <v>13001</v>
      </c>
      <c r="AW66" s="1">
        <v>0</v>
      </c>
      <c r="AX66" t="b">
        <v>0</v>
      </c>
    </row>
    <row r="67" spans="1:50" x14ac:dyDescent="0.3">
      <c r="A67" s="1">
        <v>67</v>
      </c>
      <c r="B67" s="1" t="s">
        <v>1939</v>
      </c>
      <c r="C67" s="1" t="s">
        <v>1940</v>
      </c>
      <c r="D67" s="1">
        <v>4</v>
      </c>
      <c r="E67" s="1">
        <v>3</v>
      </c>
      <c r="F67" s="1">
        <v>14</v>
      </c>
      <c r="G67" s="1" t="s">
        <v>328</v>
      </c>
      <c r="H67" s="1" t="s">
        <v>328</v>
      </c>
      <c r="I67" s="1" t="s">
        <v>330</v>
      </c>
      <c r="J67" s="1" t="s">
        <v>328</v>
      </c>
      <c r="K67" s="1" t="s">
        <v>328</v>
      </c>
      <c r="L67" s="1" t="s">
        <v>328</v>
      </c>
      <c r="M67" s="1" t="s">
        <v>328</v>
      </c>
      <c r="N67" s="1" t="s">
        <v>328</v>
      </c>
      <c r="O67" s="1" t="s">
        <v>328</v>
      </c>
      <c r="P67" s="1" t="s">
        <v>328</v>
      </c>
      <c r="Q67" s="1" t="s">
        <v>328</v>
      </c>
      <c r="R67" s="1" t="s">
        <v>328</v>
      </c>
      <c r="S67" s="1" t="s">
        <v>328</v>
      </c>
      <c r="T67" s="1" t="s">
        <v>329</v>
      </c>
      <c r="U67" s="1">
        <v>0</v>
      </c>
      <c r="V67" s="1">
        <v>0</v>
      </c>
      <c r="W67" s="1">
        <v>0</v>
      </c>
      <c r="X67" s="1">
        <v>0</v>
      </c>
      <c r="Y67" s="1">
        <v>0</v>
      </c>
      <c r="Z67" s="1">
        <v>0</v>
      </c>
      <c r="AA67" s="1">
        <v>0</v>
      </c>
      <c r="AB67" s="1">
        <v>0</v>
      </c>
      <c r="AC67" s="1">
        <v>0</v>
      </c>
      <c r="AD67" s="1">
        <v>0</v>
      </c>
      <c r="AE67" s="1">
        <v>0</v>
      </c>
      <c r="AF67" s="1">
        <v>4</v>
      </c>
      <c r="AG67" s="208" t="s">
        <v>554</v>
      </c>
      <c r="AH67" s="1">
        <v>2820</v>
      </c>
      <c r="AI67" s="1" t="s">
        <v>1843</v>
      </c>
      <c r="AJ67" s="1">
        <v>0</v>
      </c>
      <c r="AK67" s="1" t="s">
        <v>328</v>
      </c>
      <c r="AL67" s="1" t="s">
        <v>1941</v>
      </c>
      <c r="AM67" s="1">
        <v>0.1</v>
      </c>
      <c r="AN67" s="1">
        <v>0.1</v>
      </c>
      <c r="AO67" s="1">
        <v>0.1</v>
      </c>
      <c r="AP67" s="1">
        <v>0.55000000000000004</v>
      </c>
      <c r="AQ67" s="1">
        <v>1</v>
      </c>
      <c r="AR67" s="1" t="s">
        <v>1487</v>
      </c>
      <c r="AS67" s="1">
        <v>0</v>
      </c>
      <c r="AT67" s="1" t="s">
        <v>1806</v>
      </c>
      <c r="AU67" s="1">
        <v>10</v>
      </c>
      <c r="AV67" s="1">
        <v>14001</v>
      </c>
      <c r="AW67" s="1">
        <v>0</v>
      </c>
      <c r="AX67" t="b">
        <v>0</v>
      </c>
    </row>
    <row r="68" spans="1:50" x14ac:dyDescent="0.3">
      <c r="A68" s="1">
        <v>68</v>
      </c>
      <c r="B68" s="1" t="s">
        <v>1942</v>
      </c>
      <c r="C68" s="1" t="s">
        <v>1943</v>
      </c>
      <c r="D68" s="1">
        <v>5</v>
      </c>
      <c r="E68" s="1">
        <v>3</v>
      </c>
      <c r="F68" s="1">
        <v>14</v>
      </c>
      <c r="G68" s="1" t="s">
        <v>328</v>
      </c>
      <c r="H68" s="1" t="s">
        <v>328</v>
      </c>
      <c r="I68" s="1" t="s">
        <v>366</v>
      </c>
      <c r="J68" s="1" t="s">
        <v>328</v>
      </c>
      <c r="K68" s="1" t="s">
        <v>328</v>
      </c>
      <c r="L68" s="1" t="s">
        <v>328</v>
      </c>
      <c r="M68" s="1" t="s">
        <v>328</v>
      </c>
      <c r="N68" s="1" t="s">
        <v>328</v>
      </c>
      <c r="O68" s="1" t="s">
        <v>328</v>
      </c>
      <c r="P68" s="1" t="s">
        <v>328</v>
      </c>
      <c r="Q68" s="1" t="s">
        <v>328</v>
      </c>
      <c r="R68" s="1" t="s">
        <v>328</v>
      </c>
      <c r="S68" s="1" t="s">
        <v>328</v>
      </c>
      <c r="T68" s="1" t="s">
        <v>334</v>
      </c>
      <c r="U68" s="1">
        <v>0</v>
      </c>
      <c r="V68" s="1">
        <v>0</v>
      </c>
      <c r="W68" s="1">
        <v>0</v>
      </c>
      <c r="X68" s="1">
        <v>0</v>
      </c>
      <c r="Y68" s="1">
        <v>0</v>
      </c>
      <c r="Z68" s="1">
        <v>0</v>
      </c>
      <c r="AA68" s="1">
        <v>0</v>
      </c>
      <c r="AB68" s="1">
        <v>0</v>
      </c>
      <c r="AC68" s="1">
        <v>1</v>
      </c>
      <c r="AD68" s="1">
        <v>1</v>
      </c>
      <c r="AE68" s="1">
        <v>1</v>
      </c>
      <c r="AF68" s="1">
        <v>5</v>
      </c>
      <c r="AG68" s="208" t="s">
        <v>555</v>
      </c>
      <c r="AH68" s="1">
        <v>3420</v>
      </c>
      <c r="AI68" s="1" t="s">
        <v>1843</v>
      </c>
      <c r="AJ68" s="1">
        <v>0</v>
      </c>
      <c r="AK68" s="1" t="s">
        <v>328</v>
      </c>
      <c r="AL68" s="1" t="s">
        <v>1944</v>
      </c>
      <c r="AM68" s="1">
        <v>0.1</v>
      </c>
      <c r="AN68" s="1">
        <v>0.1</v>
      </c>
      <c r="AO68" s="1">
        <v>0.1</v>
      </c>
      <c r="AP68" s="1">
        <v>0.55000000000000004</v>
      </c>
      <c r="AQ68" s="1">
        <v>1</v>
      </c>
      <c r="AR68" s="1" t="s">
        <v>1488</v>
      </c>
      <c r="AS68" s="1">
        <v>0</v>
      </c>
      <c r="AT68" s="1" t="s">
        <v>1806</v>
      </c>
      <c r="AU68" s="1">
        <v>10</v>
      </c>
      <c r="AV68" s="1">
        <v>14001</v>
      </c>
      <c r="AW68" s="1">
        <v>0</v>
      </c>
      <c r="AX68" t="b">
        <v>0</v>
      </c>
    </row>
    <row r="69" spans="1:50" x14ac:dyDescent="0.3">
      <c r="A69" s="1">
        <v>69</v>
      </c>
      <c r="B69" s="1" t="s">
        <v>1945</v>
      </c>
      <c r="C69" s="1" t="s">
        <v>1946</v>
      </c>
      <c r="D69" s="1">
        <v>2</v>
      </c>
      <c r="E69" s="1">
        <v>2</v>
      </c>
      <c r="F69" s="1">
        <v>6</v>
      </c>
      <c r="G69" s="1" t="s">
        <v>329</v>
      </c>
      <c r="H69" s="1" t="s">
        <v>328</v>
      </c>
      <c r="I69" s="1" t="s">
        <v>328</v>
      </c>
      <c r="J69" s="1" t="s">
        <v>328</v>
      </c>
      <c r="K69" s="1" t="s">
        <v>328</v>
      </c>
      <c r="L69" s="1" t="s">
        <v>328</v>
      </c>
      <c r="M69" s="1" t="s">
        <v>328</v>
      </c>
      <c r="N69" s="1" t="s">
        <v>330</v>
      </c>
      <c r="O69" s="1" t="s">
        <v>328</v>
      </c>
      <c r="P69" s="1" t="s">
        <v>328</v>
      </c>
      <c r="Q69" s="1" t="s">
        <v>328</v>
      </c>
      <c r="R69" s="1" t="s">
        <v>328</v>
      </c>
      <c r="S69" s="1" t="s">
        <v>328</v>
      </c>
      <c r="T69" s="1" t="s">
        <v>328</v>
      </c>
      <c r="U69" s="1">
        <v>0</v>
      </c>
      <c r="V69" s="1">
        <v>0</v>
      </c>
      <c r="W69" s="1">
        <v>0</v>
      </c>
      <c r="X69" s="1">
        <v>0</v>
      </c>
      <c r="Y69" s="1">
        <v>0</v>
      </c>
      <c r="Z69" s="1">
        <v>0</v>
      </c>
      <c r="AA69" s="1">
        <v>0</v>
      </c>
      <c r="AB69" s="1">
        <v>0</v>
      </c>
      <c r="AC69" s="1">
        <v>1</v>
      </c>
      <c r="AD69" s="1">
        <v>1</v>
      </c>
      <c r="AE69" s="1">
        <v>0</v>
      </c>
      <c r="AF69" s="1">
        <v>0</v>
      </c>
      <c r="AG69" s="208" t="s">
        <v>556</v>
      </c>
      <c r="AH69" s="1">
        <v>780</v>
      </c>
      <c r="AI69" s="1" t="s">
        <v>1947</v>
      </c>
      <c r="AJ69" s="1">
        <v>0</v>
      </c>
      <c r="AK69" s="1" t="s">
        <v>328</v>
      </c>
      <c r="AL69" s="1" t="s">
        <v>1948</v>
      </c>
      <c r="AM69" s="1">
        <v>0</v>
      </c>
      <c r="AN69" s="1">
        <v>0</v>
      </c>
      <c r="AO69" s="1">
        <v>0</v>
      </c>
      <c r="AP69" s="1">
        <v>0</v>
      </c>
      <c r="AQ69" s="1">
        <v>1</v>
      </c>
      <c r="AR69" s="1" t="s">
        <v>328</v>
      </c>
      <c r="AS69" s="1">
        <v>0</v>
      </c>
      <c r="AT69" s="1" t="s">
        <v>1806</v>
      </c>
      <c r="AU69" s="1">
        <v>0</v>
      </c>
      <c r="AV69" s="1">
        <v>6003</v>
      </c>
      <c r="AW69" s="1">
        <v>0</v>
      </c>
      <c r="AX69" t="b">
        <v>0</v>
      </c>
    </row>
    <row r="70" spans="1:50" x14ac:dyDescent="0.3">
      <c r="A70" s="1">
        <v>70</v>
      </c>
      <c r="B70" s="1" t="s">
        <v>1949</v>
      </c>
      <c r="C70" s="1" t="s">
        <v>1950</v>
      </c>
      <c r="D70" s="1">
        <v>3</v>
      </c>
      <c r="E70" s="1">
        <v>2</v>
      </c>
      <c r="F70" s="1">
        <v>6</v>
      </c>
      <c r="G70" s="1" t="s">
        <v>334</v>
      </c>
      <c r="H70" s="1" t="s">
        <v>328</v>
      </c>
      <c r="I70" s="1" t="s">
        <v>328</v>
      </c>
      <c r="J70" s="1" t="s">
        <v>328</v>
      </c>
      <c r="K70" s="1" t="s">
        <v>328</v>
      </c>
      <c r="L70" s="1" t="s">
        <v>328</v>
      </c>
      <c r="M70" s="1" t="s">
        <v>328</v>
      </c>
      <c r="N70" s="1" t="s">
        <v>366</v>
      </c>
      <c r="O70" s="1" t="s">
        <v>328</v>
      </c>
      <c r="P70" s="1" t="s">
        <v>328</v>
      </c>
      <c r="Q70" s="1" t="s">
        <v>328</v>
      </c>
      <c r="R70" s="1" t="s">
        <v>328</v>
      </c>
      <c r="S70" s="1" t="s">
        <v>328</v>
      </c>
      <c r="T70" s="1" t="s">
        <v>328</v>
      </c>
      <c r="U70" s="1">
        <v>0</v>
      </c>
      <c r="V70" s="1">
        <v>0</v>
      </c>
      <c r="W70" s="1">
        <v>0</v>
      </c>
      <c r="X70" s="1">
        <v>0</v>
      </c>
      <c r="Y70" s="1">
        <v>0</v>
      </c>
      <c r="Z70" s="1">
        <v>0</v>
      </c>
      <c r="AA70" s="1">
        <v>0</v>
      </c>
      <c r="AB70" s="1">
        <v>0</v>
      </c>
      <c r="AC70" s="1">
        <v>2</v>
      </c>
      <c r="AD70" s="1">
        <v>2</v>
      </c>
      <c r="AE70" s="1">
        <v>0</v>
      </c>
      <c r="AF70" s="1">
        <v>1</v>
      </c>
      <c r="AG70" s="208" t="s">
        <v>557</v>
      </c>
      <c r="AH70" s="1">
        <v>1680</v>
      </c>
      <c r="AI70" s="1" t="s">
        <v>1947</v>
      </c>
      <c r="AJ70" s="1">
        <v>0</v>
      </c>
      <c r="AK70" s="1" t="s">
        <v>328</v>
      </c>
      <c r="AL70" s="1" t="s">
        <v>1951</v>
      </c>
      <c r="AM70" s="1">
        <v>0.48</v>
      </c>
      <c r="AN70" s="1">
        <v>0.48</v>
      </c>
      <c r="AO70" s="1">
        <v>0.08</v>
      </c>
      <c r="AP70" s="1">
        <v>0.25</v>
      </c>
      <c r="AQ70" s="1">
        <v>1</v>
      </c>
      <c r="AR70" s="1" t="s">
        <v>1475</v>
      </c>
      <c r="AS70" s="1">
        <v>0</v>
      </c>
      <c r="AT70" s="1" t="s">
        <v>1806</v>
      </c>
      <c r="AU70" s="1">
        <v>10</v>
      </c>
      <c r="AV70" s="1">
        <v>6003</v>
      </c>
      <c r="AW70" s="1">
        <v>0</v>
      </c>
      <c r="AX70" t="b">
        <v>0</v>
      </c>
    </row>
    <row r="71" spans="1:50" x14ac:dyDescent="0.3">
      <c r="A71" s="1">
        <v>71</v>
      </c>
      <c r="B71" s="1" t="s">
        <v>1952</v>
      </c>
      <c r="C71" s="1" t="s">
        <v>1953</v>
      </c>
      <c r="D71" s="1">
        <v>4</v>
      </c>
      <c r="E71" s="1">
        <v>2</v>
      </c>
      <c r="F71" s="1">
        <v>6</v>
      </c>
      <c r="G71" s="1" t="s">
        <v>337</v>
      </c>
      <c r="H71" s="1" t="s">
        <v>328</v>
      </c>
      <c r="I71" s="1" t="s">
        <v>328</v>
      </c>
      <c r="J71" s="1" t="s">
        <v>328</v>
      </c>
      <c r="K71" s="1" t="s">
        <v>328</v>
      </c>
      <c r="L71" s="1" t="s">
        <v>328</v>
      </c>
      <c r="M71" s="1" t="s">
        <v>328</v>
      </c>
      <c r="N71" s="1" t="s">
        <v>339</v>
      </c>
      <c r="O71" s="1" t="s">
        <v>328</v>
      </c>
      <c r="P71" s="1" t="s">
        <v>328</v>
      </c>
      <c r="Q71" s="1" t="s">
        <v>328</v>
      </c>
      <c r="R71" s="1" t="s">
        <v>328</v>
      </c>
      <c r="S71" s="1" t="s">
        <v>328</v>
      </c>
      <c r="T71" s="1" t="s">
        <v>328</v>
      </c>
      <c r="U71" s="1">
        <v>0</v>
      </c>
      <c r="V71" s="1">
        <v>0</v>
      </c>
      <c r="W71" s="1">
        <v>0</v>
      </c>
      <c r="X71" s="1">
        <v>0</v>
      </c>
      <c r="Y71" s="1">
        <v>0</v>
      </c>
      <c r="Z71" s="1">
        <v>0</v>
      </c>
      <c r="AA71" s="1">
        <v>0</v>
      </c>
      <c r="AB71" s="1">
        <v>0</v>
      </c>
      <c r="AC71" s="1">
        <v>3</v>
      </c>
      <c r="AD71" s="1">
        <v>3</v>
      </c>
      <c r="AE71" s="1">
        <v>0</v>
      </c>
      <c r="AF71" s="1">
        <v>1</v>
      </c>
      <c r="AG71" s="208" t="s">
        <v>558</v>
      </c>
      <c r="AH71" s="1">
        <v>2580</v>
      </c>
      <c r="AI71" s="1" t="s">
        <v>1947</v>
      </c>
      <c r="AJ71" s="1">
        <v>0</v>
      </c>
      <c r="AK71" s="1" t="s">
        <v>328</v>
      </c>
      <c r="AL71" s="1" t="s">
        <v>1954</v>
      </c>
      <c r="AM71" s="1">
        <v>0.48</v>
      </c>
      <c r="AN71" s="1">
        <v>0.48</v>
      </c>
      <c r="AO71" s="1">
        <v>0.08</v>
      </c>
      <c r="AP71" s="1">
        <v>0.25</v>
      </c>
      <c r="AQ71" s="1">
        <v>1</v>
      </c>
      <c r="AR71" s="1" t="s">
        <v>1489</v>
      </c>
      <c r="AS71" s="1">
        <v>0</v>
      </c>
      <c r="AT71" s="1" t="s">
        <v>1806</v>
      </c>
      <c r="AU71" s="1">
        <v>10</v>
      </c>
      <c r="AV71" s="1">
        <v>6003</v>
      </c>
      <c r="AW71" s="1">
        <v>0</v>
      </c>
      <c r="AX71" t="b">
        <v>0</v>
      </c>
    </row>
    <row r="72" spans="1:50" x14ac:dyDescent="0.3">
      <c r="A72" s="1">
        <v>72</v>
      </c>
      <c r="B72" s="1" t="s">
        <v>1955</v>
      </c>
      <c r="C72" s="1" t="s">
        <v>1956</v>
      </c>
      <c r="D72" s="1">
        <v>5</v>
      </c>
      <c r="E72" s="1">
        <v>2</v>
      </c>
      <c r="F72" s="1">
        <v>6</v>
      </c>
      <c r="G72" s="1" t="s">
        <v>341</v>
      </c>
      <c r="H72" s="1" t="s">
        <v>328</v>
      </c>
      <c r="I72" s="1" t="s">
        <v>328</v>
      </c>
      <c r="J72" s="1" t="s">
        <v>328</v>
      </c>
      <c r="K72" s="1" t="s">
        <v>328</v>
      </c>
      <c r="L72" s="1" t="s">
        <v>328</v>
      </c>
      <c r="M72" s="1" t="s">
        <v>328</v>
      </c>
      <c r="N72" s="1" t="s">
        <v>386</v>
      </c>
      <c r="O72" s="1" t="s">
        <v>328</v>
      </c>
      <c r="P72" s="1" t="s">
        <v>328</v>
      </c>
      <c r="Q72" s="1" t="s">
        <v>328</v>
      </c>
      <c r="R72" s="1" t="s">
        <v>328</v>
      </c>
      <c r="S72" s="1" t="s">
        <v>328</v>
      </c>
      <c r="T72" s="1" t="s">
        <v>328</v>
      </c>
      <c r="U72" s="1">
        <v>0</v>
      </c>
      <c r="V72" s="1">
        <v>0</v>
      </c>
      <c r="W72" s="1">
        <v>0</v>
      </c>
      <c r="X72" s="1">
        <v>0</v>
      </c>
      <c r="Y72" s="1">
        <v>0</v>
      </c>
      <c r="Z72" s="1">
        <v>0</v>
      </c>
      <c r="AA72" s="1">
        <v>0</v>
      </c>
      <c r="AB72" s="1">
        <v>0</v>
      </c>
      <c r="AC72" s="1">
        <v>4</v>
      </c>
      <c r="AD72" s="1">
        <v>4</v>
      </c>
      <c r="AE72" s="1">
        <v>0</v>
      </c>
      <c r="AF72" s="1">
        <v>2</v>
      </c>
      <c r="AG72" s="208" t="s">
        <v>559</v>
      </c>
      <c r="AH72" s="1">
        <v>3180</v>
      </c>
      <c r="AI72" s="1" t="s">
        <v>1947</v>
      </c>
      <c r="AJ72" s="1">
        <v>0</v>
      </c>
      <c r="AK72" s="1" t="s">
        <v>328</v>
      </c>
      <c r="AL72" s="1" t="s">
        <v>1957</v>
      </c>
      <c r="AM72" s="1">
        <v>0.48</v>
      </c>
      <c r="AN72" s="1">
        <v>0.48</v>
      </c>
      <c r="AO72" s="1">
        <v>0.08</v>
      </c>
      <c r="AP72" s="1">
        <v>0.25</v>
      </c>
      <c r="AQ72" s="1">
        <v>1</v>
      </c>
      <c r="AR72" s="1" t="s">
        <v>1489</v>
      </c>
      <c r="AS72" s="1">
        <v>0</v>
      </c>
      <c r="AT72" s="1" t="s">
        <v>1806</v>
      </c>
      <c r="AU72" s="1">
        <v>10</v>
      </c>
      <c r="AV72" s="1">
        <v>6003</v>
      </c>
      <c r="AW72" s="1">
        <v>0</v>
      </c>
      <c r="AX72" t="b">
        <v>0</v>
      </c>
    </row>
    <row r="73" spans="1:50" x14ac:dyDescent="0.3">
      <c r="A73" s="1">
        <v>73</v>
      </c>
      <c r="B73" s="1" t="s">
        <v>1958</v>
      </c>
      <c r="C73" s="1" t="s">
        <v>1959</v>
      </c>
      <c r="D73" s="1">
        <v>2</v>
      </c>
      <c r="E73" s="1">
        <v>2</v>
      </c>
      <c r="F73" s="1">
        <v>7</v>
      </c>
      <c r="G73" s="1" t="s">
        <v>329</v>
      </c>
      <c r="H73" s="1" t="s">
        <v>328</v>
      </c>
      <c r="I73" s="1" t="s">
        <v>328</v>
      </c>
      <c r="J73" s="1" t="s">
        <v>328</v>
      </c>
      <c r="K73" s="1" t="s">
        <v>328</v>
      </c>
      <c r="L73" s="1" t="s">
        <v>354</v>
      </c>
      <c r="M73" s="1" t="s">
        <v>328</v>
      </c>
      <c r="N73" s="1" t="s">
        <v>328</v>
      </c>
      <c r="O73" s="1" t="s">
        <v>328</v>
      </c>
      <c r="P73" s="1" t="s">
        <v>328</v>
      </c>
      <c r="Q73" s="1" t="s">
        <v>328</v>
      </c>
      <c r="R73" s="1" t="s">
        <v>328</v>
      </c>
      <c r="S73" s="1" t="s">
        <v>328</v>
      </c>
      <c r="T73" s="1" t="s">
        <v>328</v>
      </c>
      <c r="U73" s="1">
        <v>0</v>
      </c>
      <c r="V73" s="1">
        <v>0</v>
      </c>
      <c r="W73" s="1">
        <v>0</v>
      </c>
      <c r="X73" s="1">
        <v>0</v>
      </c>
      <c r="Y73" s="1">
        <v>0</v>
      </c>
      <c r="Z73" s="1">
        <v>0</v>
      </c>
      <c r="AA73" s="1">
        <v>0</v>
      </c>
      <c r="AB73" s="1">
        <v>0</v>
      </c>
      <c r="AC73" s="1">
        <v>0</v>
      </c>
      <c r="AD73" s="1">
        <v>1</v>
      </c>
      <c r="AE73" s="1">
        <v>0</v>
      </c>
      <c r="AF73" s="1">
        <v>1</v>
      </c>
      <c r="AG73" s="208" t="s">
        <v>560</v>
      </c>
      <c r="AH73" s="1">
        <v>840</v>
      </c>
      <c r="AI73" s="1" t="s">
        <v>1843</v>
      </c>
      <c r="AJ73" s="1">
        <v>0</v>
      </c>
      <c r="AK73" s="1" t="s">
        <v>328</v>
      </c>
      <c r="AL73" s="1" t="s">
        <v>1960</v>
      </c>
      <c r="AM73" s="1">
        <v>0</v>
      </c>
      <c r="AN73" s="1">
        <v>0</v>
      </c>
      <c r="AO73" s="1">
        <v>0</v>
      </c>
      <c r="AP73" s="1">
        <v>0</v>
      </c>
      <c r="AQ73" s="1">
        <v>1</v>
      </c>
      <c r="AR73" s="1" t="s">
        <v>328</v>
      </c>
      <c r="AS73" s="1">
        <v>0</v>
      </c>
      <c r="AT73" s="1" t="s">
        <v>1806</v>
      </c>
      <c r="AU73" s="1">
        <v>0</v>
      </c>
      <c r="AV73" s="1">
        <v>7001</v>
      </c>
      <c r="AW73" s="1">
        <v>0</v>
      </c>
      <c r="AX73" t="b">
        <v>0</v>
      </c>
    </row>
    <row r="74" spans="1:50" x14ac:dyDescent="0.3">
      <c r="A74" s="1">
        <v>74</v>
      </c>
      <c r="B74" s="1" t="s">
        <v>1961</v>
      </c>
      <c r="C74" s="1" t="s">
        <v>1962</v>
      </c>
      <c r="D74" s="1">
        <v>3</v>
      </c>
      <c r="E74" s="1">
        <v>2</v>
      </c>
      <c r="F74" s="1">
        <v>7</v>
      </c>
      <c r="G74" s="1" t="s">
        <v>334</v>
      </c>
      <c r="H74" s="1" t="s">
        <v>328</v>
      </c>
      <c r="I74" s="1" t="s">
        <v>328</v>
      </c>
      <c r="J74" s="1" t="s">
        <v>328</v>
      </c>
      <c r="K74" s="1" t="s">
        <v>328</v>
      </c>
      <c r="L74" s="1" t="s">
        <v>387</v>
      </c>
      <c r="M74" s="1" t="s">
        <v>328</v>
      </c>
      <c r="N74" s="1" t="s">
        <v>328</v>
      </c>
      <c r="O74" s="1" t="s">
        <v>328</v>
      </c>
      <c r="P74" s="1" t="s">
        <v>328</v>
      </c>
      <c r="Q74" s="1" t="s">
        <v>328</v>
      </c>
      <c r="R74" s="1" t="s">
        <v>328</v>
      </c>
      <c r="S74" s="1" t="s">
        <v>328</v>
      </c>
      <c r="T74" s="1" t="s">
        <v>328</v>
      </c>
      <c r="U74" s="1">
        <v>0</v>
      </c>
      <c r="V74" s="1">
        <v>0</v>
      </c>
      <c r="W74" s="1">
        <v>0</v>
      </c>
      <c r="X74" s="1">
        <v>0</v>
      </c>
      <c r="Y74" s="1">
        <v>0</v>
      </c>
      <c r="Z74" s="1">
        <v>0</v>
      </c>
      <c r="AA74" s="1">
        <v>0</v>
      </c>
      <c r="AB74" s="1">
        <v>0</v>
      </c>
      <c r="AC74" s="1">
        <v>0</v>
      </c>
      <c r="AD74" s="1">
        <v>2</v>
      </c>
      <c r="AE74" s="1">
        <v>0</v>
      </c>
      <c r="AF74" s="1">
        <v>2</v>
      </c>
      <c r="AG74" s="208" t="s">
        <v>561</v>
      </c>
      <c r="AH74" s="1">
        <v>1740</v>
      </c>
      <c r="AI74" s="1" t="s">
        <v>1843</v>
      </c>
      <c r="AJ74" s="1">
        <v>0</v>
      </c>
      <c r="AK74" s="1" t="s">
        <v>328</v>
      </c>
      <c r="AL74" s="1" t="s">
        <v>1963</v>
      </c>
      <c r="AM74" s="1">
        <v>0.08</v>
      </c>
      <c r="AN74" s="1">
        <v>0.53</v>
      </c>
      <c r="AO74" s="1">
        <v>0.08</v>
      </c>
      <c r="AP74" s="1">
        <v>0.45</v>
      </c>
      <c r="AQ74" s="1">
        <v>1</v>
      </c>
      <c r="AR74" s="1" t="s">
        <v>1490</v>
      </c>
      <c r="AS74" s="1">
        <v>0</v>
      </c>
      <c r="AT74" s="1" t="s">
        <v>1806</v>
      </c>
      <c r="AU74" s="1">
        <v>10</v>
      </c>
      <c r="AV74" s="1">
        <v>7001</v>
      </c>
      <c r="AW74" s="1">
        <v>0</v>
      </c>
      <c r="AX74" t="b">
        <v>0</v>
      </c>
    </row>
    <row r="75" spans="1:50" x14ac:dyDescent="0.3">
      <c r="A75" s="1">
        <v>75</v>
      </c>
      <c r="B75" s="1" t="s">
        <v>1964</v>
      </c>
      <c r="C75" s="1" t="s">
        <v>1965</v>
      </c>
      <c r="D75" s="1">
        <v>4</v>
      </c>
      <c r="E75" s="1">
        <v>2</v>
      </c>
      <c r="F75" s="1">
        <v>7</v>
      </c>
      <c r="G75" s="1" t="s">
        <v>337</v>
      </c>
      <c r="H75" s="1" t="s">
        <v>328</v>
      </c>
      <c r="I75" s="1" t="s">
        <v>328</v>
      </c>
      <c r="J75" s="1" t="s">
        <v>328</v>
      </c>
      <c r="K75" s="1" t="s">
        <v>328</v>
      </c>
      <c r="L75" s="1" t="s">
        <v>388</v>
      </c>
      <c r="M75" s="1" t="s">
        <v>328</v>
      </c>
      <c r="N75" s="1" t="s">
        <v>328</v>
      </c>
      <c r="O75" s="1" t="s">
        <v>328</v>
      </c>
      <c r="P75" s="1" t="s">
        <v>328</v>
      </c>
      <c r="Q75" s="1" t="s">
        <v>328</v>
      </c>
      <c r="R75" s="1" t="s">
        <v>328</v>
      </c>
      <c r="S75" s="1" t="s">
        <v>328</v>
      </c>
      <c r="T75" s="1" t="s">
        <v>328</v>
      </c>
      <c r="U75" s="1">
        <v>0</v>
      </c>
      <c r="V75" s="1">
        <v>0</v>
      </c>
      <c r="W75" s="1">
        <v>0</v>
      </c>
      <c r="X75" s="1">
        <v>0</v>
      </c>
      <c r="Y75" s="1">
        <v>0</v>
      </c>
      <c r="Z75" s="1">
        <v>0</v>
      </c>
      <c r="AA75" s="1">
        <v>0</v>
      </c>
      <c r="AB75" s="1">
        <v>0</v>
      </c>
      <c r="AC75" s="1">
        <v>1</v>
      </c>
      <c r="AD75" s="1">
        <v>3</v>
      </c>
      <c r="AE75" s="1">
        <v>1</v>
      </c>
      <c r="AF75" s="1">
        <v>2</v>
      </c>
      <c r="AG75" s="208" t="s">
        <v>562</v>
      </c>
      <c r="AH75" s="1">
        <v>2640</v>
      </c>
      <c r="AI75" s="1" t="s">
        <v>1843</v>
      </c>
      <c r="AJ75" s="1">
        <v>0</v>
      </c>
      <c r="AK75" s="1" t="s">
        <v>328</v>
      </c>
      <c r="AL75" s="1" t="s">
        <v>1966</v>
      </c>
      <c r="AM75" s="1">
        <v>0.08</v>
      </c>
      <c r="AN75" s="1">
        <v>0.53</v>
      </c>
      <c r="AO75" s="1">
        <v>0.08</v>
      </c>
      <c r="AP75" s="1">
        <v>0.45</v>
      </c>
      <c r="AQ75" s="1">
        <v>1</v>
      </c>
      <c r="AR75" s="1" t="s">
        <v>1491</v>
      </c>
      <c r="AS75" s="1">
        <v>0</v>
      </c>
      <c r="AT75" s="1" t="s">
        <v>1806</v>
      </c>
      <c r="AU75" s="1">
        <v>10</v>
      </c>
      <c r="AV75" s="1">
        <v>7001</v>
      </c>
      <c r="AW75" s="1">
        <v>0</v>
      </c>
      <c r="AX75" t="b">
        <v>0</v>
      </c>
    </row>
    <row r="76" spans="1:50" x14ac:dyDescent="0.3">
      <c r="A76" s="1">
        <v>76</v>
      </c>
      <c r="B76" s="1" t="s">
        <v>1967</v>
      </c>
      <c r="C76" s="1" t="s">
        <v>1968</v>
      </c>
      <c r="D76" s="1">
        <v>5</v>
      </c>
      <c r="E76" s="1">
        <v>2</v>
      </c>
      <c r="F76" s="1">
        <v>7</v>
      </c>
      <c r="G76" s="1" t="s">
        <v>341</v>
      </c>
      <c r="H76" s="1" t="s">
        <v>328</v>
      </c>
      <c r="I76" s="1" t="s">
        <v>328</v>
      </c>
      <c r="J76" s="1" t="s">
        <v>328</v>
      </c>
      <c r="K76" s="1" t="s">
        <v>328</v>
      </c>
      <c r="L76" s="1" t="s">
        <v>389</v>
      </c>
      <c r="M76" s="1" t="s">
        <v>328</v>
      </c>
      <c r="N76" s="1" t="s">
        <v>328</v>
      </c>
      <c r="O76" s="1" t="s">
        <v>328</v>
      </c>
      <c r="P76" s="1" t="s">
        <v>328</v>
      </c>
      <c r="Q76" s="1" t="s">
        <v>328</v>
      </c>
      <c r="R76" s="1" t="s">
        <v>328</v>
      </c>
      <c r="S76" s="1" t="s">
        <v>328</v>
      </c>
      <c r="T76" s="1" t="s">
        <v>328</v>
      </c>
      <c r="U76" s="1">
        <v>0</v>
      </c>
      <c r="V76" s="1">
        <v>0</v>
      </c>
      <c r="W76" s="1">
        <v>0</v>
      </c>
      <c r="X76" s="1">
        <v>0</v>
      </c>
      <c r="Y76" s="1">
        <v>0</v>
      </c>
      <c r="Z76" s="1">
        <v>0</v>
      </c>
      <c r="AA76" s="1">
        <v>0</v>
      </c>
      <c r="AB76" s="1">
        <v>0</v>
      </c>
      <c r="AC76" s="1">
        <v>1</v>
      </c>
      <c r="AD76" s="1">
        <v>4</v>
      </c>
      <c r="AE76" s="1">
        <v>1</v>
      </c>
      <c r="AF76" s="1">
        <v>3</v>
      </c>
      <c r="AG76" s="208" t="s">
        <v>563</v>
      </c>
      <c r="AH76" s="1">
        <v>3240</v>
      </c>
      <c r="AI76" s="1" t="s">
        <v>1843</v>
      </c>
      <c r="AJ76" s="1">
        <v>0</v>
      </c>
      <c r="AK76" s="1" t="s">
        <v>328</v>
      </c>
      <c r="AL76" s="1" t="s">
        <v>1969</v>
      </c>
      <c r="AM76" s="1">
        <v>0.08</v>
      </c>
      <c r="AN76" s="1">
        <v>0.53</v>
      </c>
      <c r="AO76" s="1">
        <v>0.08</v>
      </c>
      <c r="AP76" s="1">
        <v>0.45</v>
      </c>
      <c r="AQ76" s="1">
        <v>1</v>
      </c>
      <c r="AR76" s="1" t="s">
        <v>1490</v>
      </c>
      <c r="AS76" s="1">
        <v>0</v>
      </c>
      <c r="AT76" s="1" t="s">
        <v>1806</v>
      </c>
      <c r="AU76" s="1">
        <v>10</v>
      </c>
      <c r="AV76" s="1">
        <v>7001</v>
      </c>
      <c r="AW76" s="1">
        <v>0</v>
      </c>
      <c r="AX76" t="b">
        <v>0</v>
      </c>
    </row>
    <row r="77" spans="1:50" x14ac:dyDescent="0.3">
      <c r="A77" s="1">
        <v>77</v>
      </c>
      <c r="B77" s="1" t="s">
        <v>1970</v>
      </c>
      <c r="C77" s="1" t="s">
        <v>1971</v>
      </c>
      <c r="D77" s="1">
        <v>2</v>
      </c>
      <c r="E77" s="1">
        <v>2</v>
      </c>
      <c r="F77" s="1">
        <v>7</v>
      </c>
      <c r="G77" s="1" t="s">
        <v>328</v>
      </c>
      <c r="H77" s="1" t="s">
        <v>331</v>
      </c>
      <c r="I77" s="1" t="s">
        <v>328</v>
      </c>
      <c r="J77" s="1" t="s">
        <v>328</v>
      </c>
      <c r="K77" s="1" t="s">
        <v>328</v>
      </c>
      <c r="L77" s="1" t="s">
        <v>328</v>
      </c>
      <c r="M77" s="1" t="s">
        <v>328</v>
      </c>
      <c r="N77" s="1" t="s">
        <v>328</v>
      </c>
      <c r="O77" s="1" t="s">
        <v>328</v>
      </c>
      <c r="P77" s="1" t="s">
        <v>328</v>
      </c>
      <c r="Q77" s="1" t="s">
        <v>328</v>
      </c>
      <c r="R77" s="1" t="s">
        <v>328</v>
      </c>
      <c r="S77" s="1" t="s">
        <v>328</v>
      </c>
      <c r="T77" s="1" t="s">
        <v>328</v>
      </c>
      <c r="U77" s="1">
        <v>0</v>
      </c>
      <c r="V77" s="1">
        <v>0</v>
      </c>
      <c r="W77" s="1">
        <v>0</v>
      </c>
      <c r="X77" s="1">
        <v>0</v>
      </c>
      <c r="Y77" s="1">
        <v>0</v>
      </c>
      <c r="Z77" s="1">
        <v>0</v>
      </c>
      <c r="AA77" s="1">
        <v>0</v>
      </c>
      <c r="AB77" s="1">
        <v>0</v>
      </c>
      <c r="AC77" s="1">
        <v>0</v>
      </c>
      <c r="AD77" s="1">
        <v>1</v>
      </c>
      <c r="AE77" s="1">
        <v>0</v>
      </c>
      <c r="AF77" s="1">
        <v>1</v>
      </c>
      <c r="AG77" s="208" t="s">
        <v>564</v>
      </c>
      <c r="AH77" s="1">
        <v>840</v>
      </c>
      <c r="AI77" s="1" t="s">
        <v>1843</v>
      </c>
      <c r="AJ77" s="1">
        <v>0</v>
      </c>
      <c r="AK77" s="1" t="s">
        <v>328</v>
      </c>
      <c r="AL77" s="1" t="s">
        <v>1972</v>
      </c>
      <c r="AM77" s="1">
        <v>0</v>
      </c>
      <c r="AN77" s="1">
        <v>0</v>
      </c>
      <c r="AO77" s="1">
        <v>0</v>
      </c>
      <c r="AP77" s="1">
        <v>0</v>
      </c>
      <c r="AQ77" s="1">
        <v>1</v>
      </c>
      <c r="AR77" s="1" t="s">
        <v>328</v>
      </c>
      <c r="AS77" s="1">
        <v>300701</v>
      </c>
      <c r="AT77" s="1" t="s">
        <v>1806</v>
      </c>
      <c r="AU77" s="1">
        <v>0</v>
      </c>
      <c r="AV77" s="1">
        <v>7002</v>
      </c>
      <c r="AW77" s="1">
        <v>0</v>
      </c>
      <c r="AX77" t="b">
        <v>0</v>
      </c>
    </row>
    <row r="78" spans="1:50" x14ac:dyDescent="0.3">
      <c r="A78" s="1">
        <v>78</v>
      </c>
      <c r="B78" s="1" t="s">
        <v>1973</v>
      </c>
      <c r="C78" s="1" t="s">
        <v>1974</v>
      </c>
      <c r="D78" s="1">
        <v>3</v>
      </c>
      <c r="E78" s="1">
        <v>2</v>
      </c>
      <c r="F78" s="1">
        <v>7</v>
      </c>
      <c r="G78" s="1" t="s">
        <v>328</v>
      </c>
      <c r="H78" s="1" t="s">
        <v>354</v>
      </c>
      <c r="I78" s="1" t="s">
        <v>328</v>
      </c>
      <c r="J78" s="1" t="s">
        <v>328</v>
      </c>
      <c r="K78" s="1" t="s">
        <v>328</v>
      </c>
      <c r="L78" s="1" t="s">
        <v>328</v>
      </c>
      <c r="M78" s="1" t="s">
        <v>328</v>
      </c>
      <c r="N78" s="1" t="s">
        <v>328</v>
      </c>
      <c r="O78" s="1" t="s">
        <v>328</v>
      </c>
      <c r="P78" s="1" t="s">
        <v>328</v>
      </c>
      <c r="Q78" s="1" t="s">
        <v>328</v>
      </c>
      <c r="R78" s="1" t="s">
        <v>328</v>
      </c>
      <c r="S78" s="1" t="s">
        <v>328</v>
      </c>
      <c r="T78" s="1" t="s">
        <v>328</v>
      </c>
      <c r="U78" s="1">
        <v>0</v>
      </c>
      <c r="V78" s="1">
        <v>0</v>
      </c>
      <c r="W78" s="1">
        <v>0</v>
      </c>
      <c r="X78" s="1">
        <v>0</v>
      </c>
      <c r="Y78" s="1">
        <v>0</v>
      </c>
      <c r="Z78" s="1">
        <v>0</v>
      </c>
      <c r="AA78" s="1">
        <v>0</v>
      </c>
      <c r="AB78" s="1">
        <v>0</v>
      </c>
      <c r="AC78" s="1">
        <v>0</v>
      </c>
      <c r="AD78" s="1">
        <v>2</v>
      </c>
      <c r="AE78" s="1">
        <v>0</v>
      </c>
      <c r="AF78" s="1">
        <v>2</v>
      </c>
      <c r="AG78" s="208" t="s">
        <v>565</v>
      </c>
      <c r="AH78" s="1">
        <v>1740</v>
      </c>
      <c r="AI78" s="1" t="s">
        <v>1843</v>
      </c>
      <c r="AJ78" s="1">
        <v>0</v>
      </c>
      <c r="AK78" s="1" t="s">
        <v>328</v>
      </c>
      <c r="AL78" s="1" t="s">
        <v>1975</v>
      </c>
      <c r="AM78" s="1">
        <v>0.08</v>
      </c>
      <c r="AN78" s="1">
        <v>0.39</v>
      </c>
      <c r="AO78" s="1">
        <v>0.08</v>
      </c>
      <c r="AP78" s="1">
        <v>0.48</v>
      </c>
      <c r="AQ78" s="1">
        <v>1</v>
      </c>
      <c r="AR78" s="1" t="s">
        <v>1470</v>
      </c>
      <c r="AS78" s="1">
        <v>300701</v>
      </c>
      <c r="AT78" s="1" t="s">
        <v>1806</v>
      </c>
      <c r="AU78" s="1">
        <v>10</v>
      </c>
      <c r="AV78" s="1">
        <v>7002</v>
      </c>
      <c r="AW78" s="1">
        <v>0</v>
      </c>
      <c r="AX78" t="b">
        <v>0</v>
      </c>
    </row>
    <row r="79" spans="1:50" x14ac:dyDescent="0.3">
      <c r="A79" s="1">
        <v>79</v>
      </c>
      <c r="B79" s="1" t="s">
        <v>1976</v>
      </c>
      <c r="C79" s="1" t="s">
        <v>1977</v>
      </c>
      <c r="D79" s="1">
        <v>4</v>
      </c>
      <c r="E79" s="1">
        <v>2</v>
      </c>
      <c r="F79" s="1">
        <v>7</v>
      </c>
      <c r="G79" s="1" t="s">
        <v>328</v>
      </c>
      <c r="H79" s="1" t="s">
        <v>355</v>
      </c>
      <c r="I79" s="1" t="s">
        <v>328</v>
      </c>
      <c r="J79" s="1" t="s">
        <v>328</v>
      </c>
      <c r="K79" s="1" t="s">
        <v>328</v>
      </c>
      <c r="L79" s="1" t="s">
        <v>328</v>
      </c>
      <c r="M79" s="1" t="s">
        <v>328</v>
      </c>
      <c r="N79" s="1" t="s">
        <v>328</v>
      </c>
      <c r="O79" s="1" t="s">
        <v>328</v>
      </c>
      <c r="P79" s="1" t="s">
        <v>328</v>
      </c>
      <c r="Q79" s="1" t="s">
        <v>328</v>
      </c>
      <c r="R79" s="1" t="s">
        <v>328</v>
      </c>
      <c r="S79" s="1" t="s">
        <v>328</v>
      </c>
      <c r="T79" s="1" t="s">
        <v>328</v>
      </c>
      <c r="U79" s="1">
        <v>0</v>
      </c>
      <c r="V79" s="1">
        <v>0</v>
      </c>
      <c r="W79" s="1">
        <v>0</v>
      </c>
      <c r="X79" s="1">
        <v>0</v>
      </c>
      <c r="Y79" s="1">
        <v>0</v>
      </c>
      <c r="Z79" s="1">
        <v>0</v>
      </c>
      <c r="AA79" s="1">
        <v>0</v>
      </c>
      <c r="AB79" s="1">
        <v>0</v>
      </c>
      <c r="AC79" s="1">
        <v>1</v>
      </c>
      <c r="AD79" s="1">
        <v>2</v>
      </c>
      <c r="AE79" s="1">
        <v>1</v>
      </c>
      <c r="AF79" s="1">
        <v>3</v>
      </c>
      <c r="AG79" s="208" t="s">
        <v>566</v>
      </c>
      <c r="AH79" s="1">
        <v>2640</v>
      </c>
      <c r="AI79" s="1" t="s">
        <v>1843</v>
      </c>
      <c r="AJ79" s="1">
        <v>0</v>
      </c>
      <c r="AK79" s="1" t="s">
        <v>328</v>
      </c>
      <c r="AL79" s="1" t="s">
        <v>1978</v>
      </c>
      <c r="AM79" s="1">
        <v>0.08</v>
      </c>
      <c r="AN79" s="1">
        <v>0.39</v>
      </c>
      <c r="AO79" s="1">
        <v>0.08</v>
      </c>
      <c r="AP79" s="1">
        <v>0.48</v>
      </c>
      <c r="AQ79" s="1">
        <v>1</v>
      </c>
      <c r="AR79" s="1" t="s">
        <v>1492</v>
      </c>
      <c r="AS79" s="1">
        <v>300701</v>
      </c>
      <c r="AT79" s="1" t="s">
        <v>1806</v>
      </c>
      <c r="AU79" s="1">
        <v>10</v>
      </c>
      <c r="AV79" s="1">
        <v>7002</v>
      </c>
      <c r="AW79" s="1">
        <v>0</v>
      </c>
      <c r="AX79" t="b">
        <v>0</v>
      </c>
    </row>
    <row r="80" spans="1:50" x14ac:dyDescent="0.3">
      <c r="A80" s="1">
        <v>80</v>
      </c>
      <c r="B80" s="1" t="s">
        <v>1979</v>
      </c>
      <c r="C80" s="1" t="s">
        <v>1980</v>
      </c>
      <c r="D80" s="1">
        <v>5</v>
      </c>
      <c r="E80" s="1">
        <v>2</v>
      </c>
      <c r="F80" s="1">
        <v>7</v>
      </c>
      <c r="G80" s="1" t="s">
        <v>328</v>
      </c>
      <c r="H80" s="1" t="s">
        <v>356</v>
      </c>
      <c r="I80" s="1" t="s">
        <v>328</v>
      </c>
      <c r="J80" s="1" t="s">
        <v>328</v>
      </c>
      <c r="K80" s="1" t="s">
        <v>328</v>
      </c>
      <c r="L80" s="1" t="s">
        <v>328</v>
      </c>
      <c r="M80" s="1" t="s">
        <v>328</v>
      </c>
      <c r="N80" s="1" t="s">
        <v>328</v>
      </c>
      <c r="O80" s="1" t="s">
        <v>328</v>
      </c>
      <c r="P80" s="1" t="s">
        <v>328</v>
      </c>
      <c r="Q80" s="1" t="s">
        <v>328</v>
      </c>
      <c r="R80" s="1" t="s">
        <v>328</v>
      </c>
      <c r="S80" s="1" t="s">
        <v>328</v>
      </c>
      <c r="T80" s="1" t="s">
        <v>328</v>
      </c>
      <c r="U80" s="1">
        <v>0</v>
      </c>
      <c r="V80" s="1">
        <v>0</v>
      </c>
      <c r="W80" s="1">
        <v>0</v>
      </c>
      <c r="X80" s="1">
        <v>0</v>
      </c>
      <c r="Y80" s="1">
        <v>0</v>
      </c>
      <c r="Z80" s="1">
        <v>0</v>
      </c>
      <c r="AA80" s="1">
        <v>0</v>
      </c>
      <c r="AB80" s="1">
        <v>0</v>
      </c>
      <c r="AC80" s="1">
        <v>1</v>
      </c>
      <c r="AD80" s="1">
        <v>3</v>
      </c>
      <c r="AE80" s="1">
        <v>1</v>
      </c>
      <c r="AF80" s="1">
        <v>4</v>
      </c>
      <c r="AG80" s="208" t="s">
        <v>567</v>
      </c>
      <c r="AH80" s="1">
        <v>3240</v>
      </c>
      <c r="AI80" s="1" t="s">
        <v>1843</v>
      </c>
      <c r="AJ80" s="1">
        <v>0</v>
      </c>
      <c r="AK80" s="1" t="s">
        <v>328</v>
      </c>
      <c r="AL80" s="1" t="s">
        <v>1981</v>
      </c>
      <c r="AM80" s="1">
        <v>0.08</v>
      </c>
      <c r="AN80" s="1">
        <v>0.39</v>
      </c>
      <c r="AO80" s="1">
        <v>0.08</v>
      </c>
      <c r="AP80" s="1">
        <v>0.48</v>
      </c>
      <c r="AQ80" s="1">
        <v>1</v>
      </c>
      <c r="AR80" s="1" t="s">
        <v>1493</v>
      </c>
      <c r="AS80" s="1">
        <v>300701</v>
      </c>
      <c r="AT80" s="1" t="s">
        <v>1806</v>
      </c>
      <c r="AU80" s="1">
        <v>10</v>
      </c>
      <c r="AV80" s="1">
        <v>7002</v>
      </c>
      <c r="AW80" s="1">
        <v>0</v>
      </c>
      <c r="AX80" t="b">
        <v>0</v>
      </c>
    </row>
    <row r="81" spans="1:50" x14ac:dyDescent="0.3">
      <c r="A81" s="1">
        <v>81</v>
      </c>
      <c r="B81" s="1" t="s">
        <v>5590</v>
      </c>
      <c r="C81" s="1" t="s">
        <v>5591</v>
      </c>
      <c r="D81" s="1">
        <v>5</v>
      </c>
      <c r="E81" s="1">
        <v>3</v>
      </c>
      <c r="F81" s="1">
        <v>11</v>
      </c>
      <c r="G81" s="1" t="s">
        <v>328</v>
      </c>
      <c r="H81" s="1" t="s">
        <v>328</v>
      </c>
      <c r="I81" s="1" t="s">
        <v>333</v>
      </c>
      <c r="J81" s="1" t="s">
        <v>328</v>
      </c>
      <c r="K81" s="1" t="s">
        <v>328</v>
      </c>
      <c r="L81" s="1" t="s">
        <v>328</v>
      </c>
      <c r="M81" s="1" t="s">
        <v>328</v>
      </c>
      <c r="N81" s="1" t="s">
        <v>328</v>
      </c>
      <c r="O81" s="1" t="s">
        <v>390</v>
      </c>
      <c r="P81" s="1" t="s">
        <v>328</v>
      </c>
      <c r="Q81" s="1" t="s">
        <v>328</v>
      </c>
      <c r="R81" s="1" t="s">
        <v>328</v>
      </c>
      <c r="S81" s="1" t="s">
        <v>328</v>
      </c>
      <c r="T81" s="1" t="s">
        <v>328</v>
      </c>
      <c r="U81" s="1">
        <v>0</v>
      </c>
      <c r="V81" s="1">
        <v>0</v>
      </c>
      <c r="W81" s="1">
        <v>0</v>
      </c>
      <c r="X81" s="1">
        <v>0</v>
      </c>
      <c r="Y81" s="1">
        <v>0</v>
      </c>
      <c r="Z81" s="1">
        <v>0</v>
      </c>
      <c r="AA81" s="1">
        <v>0</v>
      </c>
      <c r="AB81" s="1">
        <v>0</v>
      </c>
      <c r="AC81" s="1">
        <v>2</v>
      </c>
      <c r="AD81" s="1">
        <v>2</v>
      </c>
      <c r="AE81" s="1">
        <v>3</v>
      </c>
      <c r="AF81" s="1">
        <v>3</v>
      </c>
      <c r="AG81" s="208" t="s">
        <v>5592</v>
      </c>
      <c r="AH81" s="1">
        <v>3060</v>
      </c>
      <c r="AI81" s="1" t="s">
        <v>1918</v>
      </c>
      <c r="AJ81" s="1">
        <v>0</v>
      </c>
      <c r="AK81" s="1" t="s">
        <v>328</v>
      </c>
      <c r="AL81" s="1" t="s">
        <v>5593</v>
      </c>
      <c r="AM81" s="1">
        <v>0.23</v>
      </c>
      <c r="AN81" s="1">
        <v>0.23</v>
      </c>
      <c r="AO81" s="1">
        <v>0.33</v>
      </c>
      <c r="AP81" s="1">
        <v>0.33</v>
      </c>
      <c r="AQ81" s="1">
        <v>1</v>
      </c>
      <c r="AR81" s="1" t="s">
        <v>1477</v>
      </c>
      <c r="AS81" s="1">
        <v>0</v>
      </c>
      <c r="AT81" s="1" t="s">
        <v>1806</v>
      </c>
      <c r="AU81" s="1">
        <v>10</v>
      </c>
      <c r="AV81" s="1">
        <v>11001</v>
      </c>
      <c r="AW81" s="1">
        <v>0</v>
      </c>
      <c r="AX81" t="b">
        <v>1</v>
      </c>
    </row>
    <row r="82" spans="1:50" x14ac:dyDescent="0.3">
      <c r="A82" s="1">
        <v>82</v>
      </c>
      <c r="B82" s="1" t="s">
        <v>5594</v>
      </c>
      <c r="C82" s="1" t="s">
        <v>5595</v>
      </c>
      <c r="D82" s="1">
        <v>5</v>
      </c>
      <c r="E82" s="1">
        <v>2</v>
      </c>
      <c r="F82" s="1">
        <v>7</v>
      </c>
      <c r="G82" s="1" t="s">
        <v>391</v>
      </c>
      <c r="H82" s="1" t="s">
        <v>328</v>
      </c>
      <c r="I82" s="1" t="s">
        <v>328</v>
      </c>
      <c r="J82" s="1" t="s">
        <v>328</v>
      </c>
      <c r="K82" s="1" t="s">
        <v>328</v>
      </c>
      <c r="L82" s="1" t="s">
        <v>392</v>
      </c>
      <c r="M82" s="1" t="s">
        <v>328</v>
      </c>
      <c r="N82" s="1" t="s">
        <v>328</v>
      </c>
      <c r="O82" s="1" t="s">
        <v>328</v>
      </c>
      <c r="P82" s="1" t="s">
        <v>328</v>
      </c>
      <c r="Q82" s="1" t="s">
        <v>328</v>
      </c>
      <c r="R82" s="1" t="s">
        <v>328</v>
      </c>
      <c r="S82" s="1" t="s">
        <v>328</v>
      </c>
      <c r="T82" s="1" t="s">
        <v>328</v>
      </c>
      <c r="U82" s="1">
        <v>0</v>
      </c>
      <c r="V82" s="1">
        <v>0</v>
      </c>
      <c r="W82" s="1">
        <v>0</v>
      </c>
      <c r="X82" s="1">
        <v>0</v>
      </c>
      <c r="Y82" s="1">
        <v>0</v>
      </c>
      <c r="Z82" s="1">
        <v>0</v>
      </c>
      <c r="AA82" s="1">
        <v>0</v>
      </c>
      <c r="AB82" s="1">
        <v>0</v>
      </c>
      <c r="AC82" s="1">
        <v>1</v>
      </c>
      <c r="AD82" s="1">
        <v>4</v>
      </c>
      <c r="AE82" s="1">
        <v>1</v>
      </c>
      <c r="AF82" s="1">
        <v>3</v>
      </c>
      <c r="AG82" s="208" t="s">
        <v>5596</v>
      </c>
      <c r="AH82" s="1">
        <v>3240</v>
      </c>
      <c r="AI82" s="1" t="s">
        <v>1918</v>
      </c>
      <c r="AJ82" s="1">
        <v>0</v>
      </c>
      <c r="AK82" s="1" t="s">
        <v>328</v>
      </c>
      <c r="AL82" s="1" t="s">
        <v>5597</v>
      </c>
      <c r="AM82" s="1">
        <v>0.08</v>
      </c>
      <c r="AN82" s="1">
        <v>0.53</v>
      </c>
      <c r="AO82" s="1">
        <v>0.08</v>
      </c>
      <c r="AP82" s="1">
        <v>0.45</v>
      </c>
      <c r="AQ82" s="1">
        <v>1</v>
      </c>
      <c r="AR82" s="1" t="s">
        <v>1490</v>
      </c>
      <c r="AS82" s="1">
        <v>0</v>
      </c>
      <c r="AT82" s="1" t="s">
        <v>1806</v>
      </c>
      <c r="AU82" s="1">
        <v>10</v>
      </c>
      <c r="AV82" s="1">
        <v>7001</v>
      </c>
      <c r="AW82" s="1">
        <v>0</v>
      </c>
      <c r="AX82" t="b">
        <v>1</v>
      </c>
    </row>
    <row r="83" spans="1:50" x14ac:dyDescent="0.3">
      <c r="A83" s="1">
        <v>83</v>
      </c>
      <c r="B83" s="1" t="s">
        <v>1982</v>
      </c>
      <c r="C83" s="1" t="s">
        <v>1983</v>
      </c>
      <c r="D83" s="1">
        <v>5</v>
      </c>
      <c r="E83" s="1">
        <v>1</v>
      </c>
      <c r="F83" s="1">
        <v>18</v>
      </c>
      <c r="G83" s="1" t="s">
        <v>328</v>
      </c>
      <c r="H83" s="1" t="s">
        <v>328</v>
      </c>
      <c r="I83" s="1" t="s">
        <v>328</v>
      </c>
      <c r="J83" s="1" t="s">
        <v>328</v>
      </c>
      <c r="K83" s="1" t="s">
        <v>328</v>
      </c>
      <c r="L83" s="1" t="s">
        <v>393</v>
      </c>
      <c r="M83" s="1" t="s">
        <v>394</v>
      </c>
      <c r="N83" s="1" t="s">
        <v>328</v>
      </c>
      <c r="O83" s="1" t="s">
        <v>328</v>
      </c>
      <c r="P83" s="1" t="s">
        <v>328</v>
      </c>
      <c r="Q83" s="1" t="s">
        <v>328</v>
      </c>
      <c r="R83" s="1" t="s">
        <v>328</v>
      </c>
      <c r="S83" s="1" t="s">
        <v>328</v>
      </c>
      <c r="T83" s="1" t="s">
        <v>328</v>
      </c>
      <c r="U83" s="1">
        <v>0</v>
      </c>
      <c r="V83" s="1">
        <v>0</v>
      </c>
      <c r="W83" s="1">
        <v>0</v>
      </c>
      <c r="X83" s="1">
        <v>0</v>
      </c>
      <c r="Y83" s="1">
        <v>0</v>
      </c>
      <c r="Z83" s="1">
        <v>0</v>
      </c>
      <c r="AA83" s="1">
        <v>0</v>
      </c>
      <c r="AB83" s="1">
        <v>0</v>
      </c>
      <c r="AC83" s="1">
        <v>4</v>
      </c>
      <c r="AD83" s="1">
        <v>0</v>
      </c>
      <c r="AE83" s="1">
        <v>3</v>
      </c>
      <c r="AF83" s="1">
        <v>2</v>
      </c>
      <c r="AG83" s="208" t="s">
        <v>707</v>
      </c>
      <c r="AH83" s="1">
        <v>2700</v>
      </c>
      <c r="AI83" s="1" t="s">
        <v>1984</v>
      </c>
      <c r="AJ83" s="1">
        <v>0</v>
      </c>
      <c r="AK83" s="1" t="s">
        <v>395</v>
      </c>
      <c r="AL83" s="1" t="s">
        <v>1985</v>
      </c>
      <c r="AM83" s="1">
        <v>0.45</v>
      </c>
      <c r="AN83" s="1">
        <v>0.15</v>
      </c>
      <c r="AO83" s="1">
        <v>0.3</v>
      </c>
      <c r="AP83" s="1">
        <v>0.15</v>
      </c>
      <c r="AQ83" s="1">
        <v>3</v>
      </c>
      <c r="AR83" s="1" t="s">
        <v>1494</v>
      </c>
      <c r="AS83" s="1">
        <v>0</v>
      </c>
      <c r="AT83" s="1" t="s">
        <v>1806</v>
      </c>
      <c r="AU83" s="1">
        <v>10</v>
      </c>
      <c r="AV83" s="1">
        <v>18001</v>
      </c>
      <c r="AW83" s="1">
        <v>0</v>
      </c>
      <c r="AX83" t="b">
        <v>0</v>
      </c>
    </row>
    <row r="84" spans="1:50" x14ac:dyDescent="0.3">
      <c r="A84" s="1">
        <v>84</v>
      </c>
      <c r="B84" s="1" t="s">
        <v>1986</v>
      </c>
      <c r="C84" s="1" t="s">
        <v>1987</v>
      </c>
      <c r="D84" s="1">
        <v>5</v>
      </c>
      <c r="E84" s="1">
        <v>1</v>
      </c>
      <c r="F84" s="1">
        <v>18</v>
      </c>
      <c r="G84" s="1" t="s">
        <v>328</v>
      </c>
      <c r="H84" s="1" t="s">
        <v>328</v>
      </c>
      <c r="I84" s="1" t="s">
        <v>328</v>
      </c>
      <c r="J84" s="1" t="s">
        <v>328</v>
      </c>
      <c r="K84" s="1" t="s">
        <v>328</v>
      </c>
      <c r="L84" s="1" t="s">
        <v>396</v>
      </c>
      <c r="M84" s="1" t="s">
        <v>394</v>
      </c>
      <c r="N84" s="1" t="s">
        <v>328</v>
      </c>
      <c r="O84" s="1" t="s">
        <v>328</v>
      </c>
      <c r="P84" s="1" t="s">
        <v>328</v>
      </c>
      <c r="Q84" s="1" t="s">
        <v>328</v>
      </c>
      <c r="R84" s="1" t="s">
        <v>328</v>
      </c>
      <c r="S84" s="1" t="s">
        <v>328</v>
      </c>
      <c r="T84" s="1" t="s">
        <v>328</v>
      </c>
      <c r="U84" s="1">
        <v>0</v>
      </c>
      <c r="V84" s="1">
        <v>0</v>
      </c>
      <c r="W84" s="1">
        <v>0</v>
      </c>
      <c r="X84" s="1">
        <v>0</v>
      </c>
      <c r="Y84" s="1">
        <v>0</v>
      </c>
      <c r="Z84" s="1">
        <v>0</v>
      </c>
      <c r="AA84" s="1">
        <v>0</v>
      </c>
      <c r="AB84" s="1">
        <v>0</v>
      </c>
      <c r="AC84" s="1">
        <v>4</v>
      </c>
      <c r="AD84" s="1">
        <v>0</v>
      </c>
      <c r="AE84" s="1">
        <v>3</v>
      </c>
      <c r="AF84" s="1">
        <v>2</v>
      </c>
      <c r="AG84" s="208" t="s">
        <v>708</v>
      </c>
      <c r="AH84" s="1">
        <v>2700</v>
      </c>
      <c r="AI84" s="1" t="s">
        <v>1984</v>
      </c>
      <c r="AJ84" s="1">
        <v>0</v>
      </c>
      <c r="AK84" s="1" t="s">
        <v>395</v>
      </c>
      <c r="AL84" s="1" t="s">
        <v>1988</v>
      </c>
      <c r="AM84" s="1">
        <v>0.45</v>
      </c>
      <c r="AN84" s="1">
        <v>0.15</v>
      </c>
      <c r="AO84" s="1">
        <v>0.3</v>
      </c>
      <c r="AP84" s="1">
        <v>0.15</v>
      </c>
      <c r="AQ84" s="1">
        <v>3</v>
      </c>
      <c r="AR84" s="1" t="s">
        <v>1495</v>
      </c>
      <c r="AS84" s="1">
        <v>0</v>
      </c>
      <c r="AT84" s="1" t="s">
        <v>1806</v>
      </c>
      <c r="AU84" s="1">
        <v>10</v>
      </c>
      <c r="AV84" s="1">
        <v>18002</v>
      </c>
      <c r="AW84" s="1">
        <v>0</v>
      </c>
      <c r="AX84" t="b">
        <v>0</v>
      </c>
    </row>
    <row r="85" spans="1:50" x14ac:dyDescent="0.3">
      <c r="A85" s="1">
        <v>85</v>
      </c>
      <c r="B85" s="1" t="s">
        <v>1989</v>
      </c>
      <c r="C85" s="1" t="s">
        <v>1990</v>
      </c>
      <c r="D85" s="1">
        <v>5</v>
      </c>
      <c r="E85" s="1">
        <v>1</v>
      </c>
      <c r="F85" s="1">
        <v>18</v>
      </c>
      <c r="G85" s="1" t="s">
        <v>328</v>
      </c>
      <c r="H85" s="1" t="s">
        <v>328</v>
      </c>
      <c r="I85" s="1" t="s">
        <v>328</v>
      </c>
      <c r="J85" s="1" t="s">
        <v>328</v>
      </c>
      <c r="K85" s="1" t="s">
        <v>328</v>
      </c>
      <c r="L85" s="1" t="s">
        <v>391</v>
      </c>
      <c r="M85" s="1" t="s">
        <v>394</v>
      </c>
      <c r="N85" s="1" t="s">
        <v>328</v>
      </c>
      <c r="O85" s="1" t="s">
        <v>328</v>
      </c>
      <c r="P85" s="1" t="s">
        <v>328</v>
      </c>
      <c r="Q85" s="1" t="s">
        <v>328</v>
      </c>
      <c r="R85" s="1" t="s">
        <v>328</v>
      </c>
      <c r="S85" s="1" t="s">
        <v>328</v>
      </c>
      <c r="T85" s="1" t="s">
        <v>328</v>
      </c>
      <c r="U85" s="1">
        <v>0</v>
      </c>
      <c r="V85" s="1">
        <v>0</v>
      </c>
      <c r="W85" s="1">
        <v>0</v>
      </c>
      <c r="X85" s="1">
        <v>0</v>
      </c>
      <c r="Y85" s="1">
        <v>0</v>
      </c>
      <c r="Z85" s="1">
        <v>0</v>
      </c>
      <c r="AA85" s="1">
        <v>0</v>
      </c>
      <c r="AB85" s="1">
        <v>0</v>
      </c>
      <c r="AC85" s="1">
        <v>4</v>
      </c>
      <c r="AD85" s="1">
        <v>0</v>
      </c>
      <c r="AE85" s="1">
        <v>3</v>
      </c>
      <c r="AF85" s="1">
        <v>2</v>
      </c>
      <c r="AG85" s="208" t="s">
        <v>709</v>
      </c>
      <c r="AH85" s="1">
        <v>2700</v>
      </c>
      <c r="AI85" s="1" t="s">
        <v>1984</v>
      </c>
      <c r="AJ85" s="1">
        <v>0</v>
      </c>
      <c r="AK85" s="1" t="s">
        <v>395</v>
      </c>
      <c r="AL85" s="1" t="s">
        <v>1991</v>
      </c>
      <c r="AM85" s="1">
        <v>0.45</v>
      </c>
      <c r="AN85" s="1">
        <v>0.15</v>
      </c>
      <c r="AO85" s="1">
        <v>0.3</v>
      </c>
      <c r="AP85" s="1">
        <v>0.15</v>
      </c>
      <c r="AQ85" s="1">
        <v>3</v>
      </c>
      <c r="AR85" s="1" t="s">
        <v>1496</v>
      </c>
      <c r="AS85" s="1">
        <v>0</v>
      </c>
      <c r="AT85" s="1" t="s">
        <v>1806</v>
      </c>
      <c r="AU85" s="1">
        <v>10</v>
      </c>
      <c r="AV85" s="1">
        <v>18003</v>
      </c>
      <c r="AW85" s="1">
        <v>0</v>
      </c>
      <c r="AX85" t="b">
        <v>0</v>
      </c>
    </row>
    <row r="86" spans="1:50" x14ac:dyDescent="0.3">
      <c r="A86" s="1">
        <v>86</v>
      </c>
      <c r="B86" s="1" t="s">
        <v>1992</v>
      </c>
      <c r="C86" s="1" t="s">
        <v>1993</v>
      </c>
      <c r="D86" s="1">
        <v>5</v>
      </c>
      <c r="E86" s="1">
        <v>3</v>
      </c>
      <c r="F86" s="1">
        <v>20</v>
      </c>
      <c r="G86" s="1" t="s">
        <v>397</v>
      </c>
      <c r="H86" s="1" t="s">
        <v>328</v>
      </c>
      <c r="I86" s="1" t="s">
        <v>398</v>
      </c>
      <c r="J86" s="1" t="s">
        <v>328</v>
      </c>
      <c r="K86" s="1" t="s">
        <v>328</v>
      </c>
      <c r="L86" s="1" t="s">
        <v>399</v>
      </c>
      <c r="M86" s="1" t="s">
        <v>328</v>
      </c>
      <c r="N86" s="1" t="s">
        <v>328</v>
      </c>
      <c r="O86" s="1" t="s">
        <v>328</v>
      </c>
      <c r="P86" s="1" t="s">
        <v>328</v>
      </c>
      <c r="Q86" s="1" t="s">
        <v>328</v>
      </c>
      <c r="R86" s="1" t="s">
        <v>328</v>
      </c>
      <c r="S86" s="1" t="s">
        <v>328</v>
      </c>
      <c r="T86" s="1" t="s">
        <v>328</v>
      </c>
      <c r="U86" s="1">
        <v>0</v>
      </c>
      <c r="V86" s="1">
        <v>0</v>
      </c>
      <c r="W86" s="1">
        <v>0</v>
      </c>
      <c r="X86" s="1">
        <v>0</v>
      </c>
      <c r="Y86" s="1">
        <v>0</v>
      </c>
      <c r="Z86" s="1">
        <v>0</v>
      </c>
      <c r="AA86" s="1">
        <v>0</v>
      </c>
      <c r="AB86" s="1">
        <v>0</v>
      </c>
      <c r="AC86" s="1">
        <v>4</v>
      </c>
      <c r="AD86" s="1">
        <v>1</v>
      </c>
      <c r="AE86" s="1">
        <v>4</v>
      </c>
      <c r="AF86" s="1">
        <v>1</v>
      </c>
      <c r="AG86" s="208" t="s">
        <v>728</v>
      </c>
      <c r="AH86" s="1">
        <v>3420</v>
      </c>
      <c r="AI86" s="1" t="s">
        <v>1918</v>
      </c>
      <c r="AJ86" s="1">
        <v>0</v>
      </c>
      <c r="AK86" s="1" t="s">
        <v>400</v>
      </c>
      <c r="AL86" s="1" t="s">
        <v>1994</v>
      </c>
      <c r="AM86" s="1">
        <v>0.6</v>
      </c>
      <c r="AN86" s="1">
        <v>0.16</v>
      </c>
      <c r="AO86" s="1">
        <v>0.6</v>
      </c>
      <c r="AP86" s="1">
        <v>0.16</v>
      </c>
      <c r="AQ86" s="1">
        <v>3</v>
      </c>
      <c r="AR86" s="1" t="s">
        <v>1497</v>
      </c>
      <c r="AS86" s="1">
        <v>0</v>
      </c>
      <c r="AT86" s="1" t="s">
        <v>1806</v>
      </c>
      <c r="AU86" s="1">
        <v>10</v>
      </c>
      <c r="AV86" s="1">
        <v>20003</v>
      </c>
      <c r="AW86" s="1">
        <v>0</v>
      </c>
      <c r="AX86" t="b">
        <v>0</v>
      </c>
    </row>
    <row r="87" spans="1:50" x14ac:dyDescent="0.3">
      <c r="A87" s="1">
        <v>87</v>
      </c>
      <c r="B87" s="1" t="s">
        <v>1995</v>
      </c>
      <c r="C87" s="1" t="s">
        <v>1996</v>
      </c>
      <c r="D87" s="1">
        <v>2</v>
      </c>
      <c r="E87" s="1">
        <v>3</v>
      </c>
      <c r="F87" s="1">
        <v>15</v>
      </c>
      <c r="G87" s="1" t="s">
        <v>328</v>
      </c>
      <c r="H87" s="1" t="s">
        <v>328</v>
      </c>
      <c r="I87" s="1" t="s">
        <v>328</v>
      </c>
      <c r="J87" s="1" t="s">
        <v>401</v>
      </c>
      <c r="K87" s="1" t="s">
        <v>328</v>
      </c>
      <c r="L87" s="1" t="s">
        <v>354</v>
      </c>
      <c r="M87" s="1" t="s">
        <v>328</v>
      </c>
      <c r="N87" s="1" t="s">
        <v>328</v>
      </c>
      <c r="O87" s="1" t="s">
        <v>328</v>
      </c>
      <c r="P87" s="1" t="s">
        <v>328</v>
      </c>
      <c r="Q87" s="1" t="s">
        <v>328</v>
      </c>
      <c r="R87" s="1" t="s">
        <v>328</v>
      </c>
      <c r="S87" s="1" t="s">
        <v>328</v>
      </c>
      <c r="T87" s="1" t="s">
        <v>328</v>
      </c>
      <c r="U87" s="1">
        <v>0</v>
      </c>
      <c r="V87" s="1">
        <v>0</v>
      </c>
      <c r="W87" s="1">
        <v>0</v>
      </c>
      <c r="X87" s="1">
        <v>0</v>
      </c>
      <c r="Y87" s="1">
        <v>0</v>
      </c>
      <c r="Z87" s="1">
        <v>0</v>
      </c>
      <c r="AA87" s="1">
        <v>0</v>
      </c>
      <c r="AB87" s="1">
        <v>0</v>
      </c>
      <c r="AC87" s="1">
        <v>1</v>
      </c>
      <c r="AD87" s="1">
        <v>0</v>
      </c>
      <c r="AE87" s="1">
        <v>2</v>
      </c>
      <c r="AF87" s="1">
        <v>0</v>
      </c>
      <c r="AG87" s="208" t="s">
        <v>568</v>
      </c>
      <c r="AH87" s="1">
        <v>960</v>
      </c>
      <c r="AI87" s="1" t="s">
        <v>1843</v>
      </c>
      <c r="AJ87" s="1">
        <v>0</v>
      </c>
      <c r="AK87" s="1" t="s">
        <v>328</v>
      </c>
      <c r="AL87" s="1" t="s">
        <v>1997</v>
      </c>
      <c r="AM87" s="1">
        <v>0</v>
      </c>
      <c r="AN87" s="1">
        <v>0</v>
      </c>
      <c r="AO87" s="1">
        <v>0</v>
      </c>
      <c r="AP87" s="1">
        <v>0</v>
      </c>
      <c r="AQ87" s="1">
        <v>1</v>
      </c>
      <c r="AR87" s="1" t="s">
        <v>328</v>
      </c>
      <c r="AS87" s="1">
        <v>0</v>
      </c>
      <c r="AT87" s="1" t="s">
        <v>1806</v>
      </c>
      <c r="AU87" s="1">
        <v>0</v>
      </c>
      <c r="AV87" s="1">
        <v>15001</v>
      </c>
      <c r="AW87" s="1">
        <v>0</v>
      </c>
      <c r="AX87" t="b">
        <v>0</v>
      </c>
    </row>
    <row r="88" spans="1:50" x14ac:dyDescent="0.3">
      <c r="A88" s="1">
        <v>88</v>
      </c>
      <c r="B88" s="1" t="s">
        <v>1998</v>
      </c>
      <c r="C88" s="1" t="s">
        <v>1999</v>
      </c>
      <c r="D88" s="1">
        <v>3</v>
      </c>
      <c r="E88" s="1">
        <v>3</v>
      </c>
      <c r="F88" s="1">
        <v>15</v>
      </c>
      <c r="G88" s="1" t="s">
        <v>328</v>
      </c>
      <c r="H88" s="1" t="s">
        <v>328</v>
      </c>
      <c r="I88" s="1" t="s">
        <v>328</v>
      </c>
      <c r="J88" s="1" t="s">
        <v>401</v>
      </c>
      <c r="K88" s="1" t="s">
        <v>328</v>
      </c>
      <c r="L88" s="1" t="s">
        <v>355</v>
      </c>
      <c r="M88" s="1" t="s">
        <v>328</v>
      </c>
      <c r="N88" s="1" t="s">
        <v>328</v>
      </c>
      <c r="O88" s="1" t="s">
        <v>328</v>
      </c>
      <c r="P88" s="1" t="s">
        <v>328</v>
      </c>
      <c r="Q88" s="1" t="s">
        <v>328</v>
      </c>
      <c r="R88" s="1" t="s">
        <v>328</v>
      </c>
      <c r="S88" s="1" t="s">
        <v>328</v>
      </c>
      <c r="T88" s="1" t="s">
        <v>328</v>
      </c>
      <c r="U88" s="1">
        <v>0</v>
      </c>
      <c r="V88" s="1">
        <v>0</v>
      </c>
      <c r="W88" s="1">
        <v>0</v>
      </c>
      <c r="X88" s="1">
        <v>0</v>
      </c>
      <c r="Y88" s="1">
        <v>0</v>
      </c>
      <c r="Z88" s="1">
        <v>0</v>
      </c>
      <c r="AA88" s="1">
        <v>0</v>
      </c>
      <c r="AB88" s="1">
        <v>0</v>
      </c>
      <c r="AC88" s="1">
        <v>2</v>
      </c>
      <c r="AD88" s="1">
        <v>0</v>
      </c>
      <c r="AE88" s="1">
        <v>3</v>
      </c>
      <c r="AF88" s="1">
        <v>0</v>
      </c>
      <c r="AG88" s="208" t="s">
        <v>569</v>
      </c>
      <c r="AH88" s="1">
        <v>1860</v>
      </c>
      <c r="AI88" s="1" t="s">
        <v>1843</v>
      </c>
      <c r="AJ88" s="1">
        <v>0</v>
      </c>
      <c r="AK88" s="1" t="s">
        <v>328</v>
      </c>
      <c r="AL88" s="1" t="s">
        <v>2000</v>
      </c>
      <c r="AM88" s="1">
        <v>0.55000000000000004</v>
      </c>
      <c r="AN88" s="1">
        <v>0.16</v>
      </c>
      <c r="AO88" s="1">
        <v>0.6</v>
      </c>
      <c r="AP88" s="1">
        <v>0.16</v>
      </c>
      <c r="AQ88" s="1">
        <v>1</v>
      </c>
      <c r="AR88" s="1" t="s">
        <v>1498</v>
      </c>
      <c r="AS88" s="1">
        <v>0</v>
      </c>
      <c r="AT88" s="1" t="s">
        <v>1806</v>
      </c>
      <c r="AU88" s="1">
        <v>10</v>
      </c>
      <c r="AV88" s="1">
        <v>15001</v>
      </c>
      <c r="AW88" s="1">
        <v>0</v>
      </c>
      <c r="AX88" t="b">
        <v>0</v>
      </c>
    </row>
    <row r="89" spans="1:50" x14ac:dyDescent="0.3">
      <c r="A89" s="1">
        <v>89</v>
      </c>
      <c r="B89" s="1" t="s">
        <v>2001</v>
      </c>
      <c r="C89" s="1" t="s">
        <v>2002</v>
      </c>
      <c r="D89" s="1">
        <v>4</v>
      </c>
      <c r="E89" s="1">
        <v>3</v>
      </c>
      <c r="F89" s="1">
        <v>15</v>
      </c>
      <c r="G89" s="1" t="s">
        <v>328</v>
      </c>
      <c r="H89" s="1" t="s">
        <v>328</v>
      </c>
      <c r="I89" s="1" t="s">
        <v>328</v>
      </c>
      <c r="J89" s="1" t="s">
        <v>401</v>
      </c>
      <c r="K89" s="1" t="s">
        <v>328</v>
      </c>
      <c r="L89" s="1" t="s">
        <v>402</v>
      </c>
      <c r="M89" s="1" t="s">
        <v>328</v>
      </c>
      <c r="N89" s="1" t="s">
        <v>328</v>
      </c>
      <c r="O89" s="1" t="s">
        <v>328</v>
      </c>
      <c r="P89" s="1" t="s">
        <v>328</v>
      </c>
      <c r="Q89" s="1" t="s">
        <v>328</v>
      </c>
      <c r="R89" s="1" t="s">
        <v>328</v>
      </c>
      <c r="S89" s="1" t="s">
        <v>328</v>
      </c>
      <c r="T89" s="1" t="s">
        <v>328</v>
      </c>
      <c r="U89" s="1">
        <v>0</v>
      </c>
      <c r="V89" s="1">
        <v>0</v>
      </c>
      <c r="W89" s="1">
        <v>0</v>
      </c>
      <c r="X89" s="1">
        <v>0</v>
      </c>
      <c r="Y89" s="1">
        <v>0</v>
      </c>
      <c r="Z89" s="1">
        <v>0</v>
      </c>
      <c r="AA89" s="1">
        <v>0</v>
      </c>
      <c r="AB89" s="1">
        <v>0</v>
      </c>
      <c r="AC89" s="1">
        <v>3</v>
      </c>
      <c r="AD89" s="1">
        <v>0</v>
      </c>
      <c r="AE89" s="1">
        <v>4</v>
      </c>
      <c r="AF89" s="1">
        <v>0</v>
      </c>
      <c r="AG89" s="208" t="s">
        <v>570</v>
      </c>
      <c r="AH89" s="1">
        <v>2760</v>
      </c>
      <c r="AI89" s="1" t="s">
        <v>1843</v>
      </c>
      <c r="AJ89" s="1">
        <v>0</v>
      </c>
      <c r="AK89" s="1" t="s">
        <v>328</v>
      </c>
      <c r="AL89" s="1" t="s">
        <v>2003</v>
      </c>
      <c r="AM89" s="1">
        <v>0.55000000000000004</v>
      </c>
      <c r="AN89" s="1">
        <v>0.16</v>
      </c>
      <c r="AO89" s="1">
        <v>0.6</v>
      </c>
      <c r="AP89" s="1">
        <v>0.16</v>
      </c>
      <c r="AQ89" s="1">
        <v>1</v>
      </c>
      <c r="AR89" s="1" t="s">
        <v>1499</v>
      </c>
      <c r="AS89" s="1">
        <v>0</v>
      </c>
      <c r="AT89" s="1" t="s">
        <v>1806</v>
      </c>
      <c r="AU89" s="1">
        <v>10</v>
      </c>
      <c r="AV89" s="1">
        <v>15001</v>
      </c>
      <c r="AW89" s="1">
        <v>0</v>
      </c>
      <c r="AX89" t="b">
        <v>0</v>
      </c>
    </row>
    <row r="90" spans="1:50" x14ac:dyDescent="0.3">
      <c r="A90" s="1">
        <v>90</v>
      </c>
      <c r="B90" s="1" t="s">
        <v>2004</v>
      </c>
      <c r="C90" s="1" t="s">
        <v>2005</v>
      </c>
      <c r="D90" s="1">
        <v>5</v>
      </c>
      <c r="E90" s="1">
        <v>3</v>
      </c>
      <c r="F90" s="1">
        <v>15</v>
      </c>
      <c r="G90" s="1" t="s">
        <v>328</v>
      </c>
      <c r="H90" s="1" t="s">
        <v>328</v>
      </c>
      <c r="I90" s="1" t="s">
        <v>328</v>
      </c>
      <c r="J90" s="1" t="s">
        <v>401</v>
      </c>
      <c r="K90" s="1" t="s">
        <v>328</v>
      </c>
      <c r="L90" s="1" t="s">
        <v>343</v>
      </c>
      <c r="M90" s="1" t="s">
        <v>328</v>
      </c>
      <c r="N90" s="1" t="s">
        <v>328</v>
      </c>
      <c r="O90" s="1" t="s">
        <v>328</v>
      </c>
      <c r="P90" s="1" t="s">
        <v>328</v>
      </c>
      <c r="Q90" s="1" t="s">
        <v>328</v>
      </c>
      <c r="R90" s="1" t="s">
        <v>328</v>
      </c>
      <c r="S90" s="1" t="s">
        <v>328</v>
      </c>
      <c r="T90" s="1" t="s">
        <v>328</v>
      </c>
      <c r="U90" s="1">
        <v>0</v>
      </c>
      <c r="V90" s="1">
        <v>0</v>
      </c>
      <c r="W90" s="1">
        <v>0</v>
      </c>
      <c r="X90" s="1">
        <v>0</v>
      </c>
      <c r="Y90" s="1">
        <v>0</v>
      </c>
      <c r="Z90" s="1">
        <v>0</v>
      </c>
      <c r="AA90" s="1">
        <v>0</v>
      </c>
      <c r="AB90" s="1">
        <v>0</v>
      </c>
      <c r="AC90" s="1">
        <v>4</v>
      </c>
      <c r="AD90" s="1">
        <v>0</v>
      </c>
      <c r="AE90" s="1">
        <v>5</v>
      </c>
      <c r="AF90" s="1">
        <v>0</v>
      </c>
      <c r="AG90" s="208" t="s">
        <v>571</v>
      </c>
      <c r="AH90" s="1">
        <v>3360</v>
      </c>
      <c r="AI90" s="1" t="s">
        <v>1843</v>
      </c>
      <c r="AJ90" s="1">
        <v>0</v>
      </c>
      <c r="AK90" s="1" t="s">
        <v>328</v>
      </c>
      <c r="AL90" s="1" t="s">
        <v>2006</v>
      </c>
      <c r="AM90" s="1">
        <v>0.55000000000000004</v>
      </c>
      <c r="AN90" s="1">
        <v>0.16</v>
      </c>
      <c r="AO90" s="1">
        <v>0.6</v>
      </c>
      <c r="AP90" s="1">
        <v>0.16</v>
      </c>
      <c r="AQ90" s="1">
        <v>1</v>
      </c>
      <c r="AR90" s="1" t="s">
        <v>1500</v>
      </c>
      <c r="AS90" s="1">
        <v>0</v>
      </c>
      <c r="AT90" s="1" t="s">
        <v>1806</v>
      </c>
      <c r="AU90" s="1">
        <v>10</v>
      </c>
      <c r="AV90" s="1">
        <v>15001</v>
      </c>
      <c r="AW90" s="1">
        <v>0</v>
      </c>
      <c r="AX90" t="b">
        <v>0</v>
      </c>
    </row>
    <row r="91" spans="1:50" x14ac:dyDescent="0.3">
      <c r="A91" s="1">
        <v>91</v>
      </c>
      <c r="B91" s="1" t="s">
        <v>2007</v>
      </c>
      <c r="C91" s="1" t="s">
        <v>2008</v>
      </c>
      <c r="D91" s="1">
        <v>5</v>
      </c>
      <c r="E91" s="1">
        <v>3</v>
      </c>
      <c r="F91" s="1">
        <v>20</v>
      </c>
      <c r="G91" s="1" t="s">
        <v>328</v>
      </c>
      <c r="H91" s="1" t="s">
        <v>403</v>
      </c>
      <c r="I91" s="1" t="s">
        <v>390</v>
      </c>
      <c r="J91" s="1" t="s">
        <v>328</v>
      </c>
      <c r="K91" s="1" t="s">
        <v>404</v>
      </c>
      <c r="L91" s="1" t="s">
        <v>328</v>
      </c>
      <c r="M91" s="1" t="s">
        <v>328</v>
      </c>
      <c r="N91" s="1" t="s">
        <v>328</v>
      </c>
      <c r="O91" s="1" t="s">
        <v>392</v>
      </c>
      <c r="P91" s="1" t="s">
        <v>328</v>
      </c>
      <c r="Q91" s="1" t="s">
        <v>328</v>
      </c>
      <c r="R91" s="1" t="s">
        <v>328</v>
      </c>
      <c r="S91" s="1" t="s">
        <v>328</v>
      </c>
      <c r="T91" s="1" t="s">
        <v>328</v>
      </c>
      <c r="U91" s="1">
        <v>0</v>
      </c>
      <c r="V91" s="1">
        <v>0</v>
      </c>
      <c r="W91" s="1">
        <v>0</v>
      </c>
      <c r="X91" s="1">
        <v>0</v>
      </c>
      <c r="Y91" s="1">
        <v>0</v>
      </c>
      <c r="Z91" s="1">
        <v>0</v>
      </c>
      <c r="AA91" s="1">
        <v>0</v>
      </c>
      <c r="AB91" s="1">
        <v>0</v>
      </c>
      <c r="AC91" s="1">
        <v>2</v>
      </c>
      <c r="AD91" s="1">
        <v>2</v>
      </c>
      <c r="AE91" s="1">
        <v>3</v>
      </c>
      <c r="AF91" s="1">
        <v>3</v>
      </c>
      <c r="AG91" s="208" t="s">
        <v>98</v>
      </c>
      <c r="AH91" s="1">
        <v>3060</v>
      </c>
      <c r="AI91" s="1" t="s">
        <v>2009</v>
      </c>
      <c r="AJ91" s="1">
        <v>0</v>
      </c>
      <c r="AK91" s="1" t="s">
        <v>371</v>
      </c>
      <c r="AL91" s="1" t="s">
        <v>2010</v>
      </c>
      <c r="AM91" s="1">
        <v>0.23</v>
      </c>
      <c r="AN91" s="1">
        <v>0.23</v>
      </c>
      <c r="AO91" s="1">
        <v>0.33</v>
      </c>
      <c r="AP91" s="1">
        <v>0.33</v>
      </c>
      <c r="AQ91" s="1">
        <v>3</v>
      </c>
      <c r="AR91" s="1" t="s">
        <v>1501</v>
      </c>
      <c r="AS91" s="1">
        <v>0</v>
      </c>
      <c r="AT91" s="1" t="s">
        <v>1806</v>
      </c>
      <c r="AU91" s="1">
        <v>10</v>
      </c>
      <c r="AV91" s="1">
        <v>20004</v>
      </c>
      <c r="AW91" s="1">
        <v>0</v>
      </c>
      <c r="AX91" t="b">
        <v>0</v>
      </c>
    </row>
    <row r="92" spans="1:50" x14ac:dyDescent="0.3">
      <c r="A92" s="1">
        <v>92</v>
      </c>
      <c r="B92" s="1" t="s">
        <v>2011</v>
      </c>
      <c r="C92" s="1" t="s">
        <v>2012</v>
      </c>
      <c r="D92" s="1">
        <v>5</v>
      </c>
      <c r="E92" s="1">
        <v>3</v>
      </c>
      <c r="F92" s="1">
        <v>20</v>
      </c>
      <c r="G92" s="1" t="s">
        <v>328</v>
      </c>
      <c r="H92" s="1" t="s">
        <v>328</v>
      </c>
      <c r="I92" s="1" t="s">
        <v>363</v>
      </c>
      <c r="J92" s="1" t="s">
        <v>328</v>
      </c>
      <c r="K92" s="1" t="s">
        <v>328</v>
      </c>
      <c r="L92" s="1" t="s">
        <v>343</v>
      </c>
      <c r="M92" s="1" t="s">
        <v>328</v>
      </c>
      <c r="N92" s="1" t="s">
        <v>328</v>
      </c>
      <c r="O92" s="1" t="s">
        <v>328</v>
      </c>
      <c r="P92" s="1" t="s">
        <v>328</v>
      </c>
      <c r="Q92" s="1" t="s">
        <v>328</v>
      </c>
      <c r="R92" s="1" t="s">
        <v>328</v>
      </c>
      <c r="S92" s="1" t="s">
        <v>328</v>
      </c>
      <c r="T92" s="1" t="s">
        <v>328</v>
      </c>
      <c r="U92" s="1">
        <v>0</v>
      </c>
      <c r="V92" s="1">
        <v>0</v>
      </c>
      <c r="W92" s="1">
        <v>0</v>
      </c>
      <c r="X92" s="1">
        <v>0</v>
      </c>
      <c r="Y92" s="1">
        <v>0</v>
      </c>
      <c r="Z92" s="1">
        <v>0</v>
      </c>
      <c r="AA92" s="1">
        <v>0</v>
      </c>
      <c r="AB92" s="1">
        <v>0</v>
      </c>
      <c r="AC92" s="1">
        <v>4</v>
      </c>
      <c r="AD92" s="1">
        <v>2</v>
      </c>
      <c r="AE92" s="1">
        <v>0</v>
      </c>
      <c r="AF92" s="1">
        <v>4</v>
      </c>
      <c r="AG92" s="208" t="s">
        <v>730</v>
      </c>
      <c r="AH92" s="1">
        <v>3120</v>
      </c>
      <c r="AI92" s="1" t="s">
        <v>1843</v>
      </c>
      <c r="AJ92" s="1">
        <v>0</v>
      </c>
      <c r="AK92" s="1" t="s">
        <v>405</v>
      </c>
      <c r="AL92" s="1" t="s">
        <v>2013</v>
      </c>
      <c r="AM92" s="1">
        <v>0.3</v>
      </c>
      <c r="AN92" s="1">
        <v>0.23</v>
      </c>
      <c r="AO92" s="1">
        <v>0.15</v>
      </c>
      <c r="AP92" s="1">
        <v>0.38</v>
      </c>
      <c r="AQ92" s="1">
        <v>3</v>
      </c>
      <c r="AR92" s="1" t="s">
        <v>1502</v>
      </c>
      <c r="AS92" s="1">
        <v>0</v>
      </c>
      <c r="AT92" s="1" t="s">
        <v>1806</v>
      </c>
      <c r="AU92" s="1">
        <v>10</v>
      </c>
      <c r="AV92" s="1">
        <v>20005</v>
      </c>
      <c r="AW92" s="1">
        <v>0</v>
      </c>
      <c r="AX92" t="b">
        <v>0</v>
      </c>
    </row>
    <row r="93" spans="1:50" x14ac:dyDescent="0.3">
      <c r="A93" s="1">
        <v>93</v>
      </c>
      <c r="B93" s="1" t="s">
        <v>2014</v>
      </c>
      <c r="C93" s="1" t="s">
        <v>2015</v>
      </c>
      <c r="D93" s="1">
        <v>5</v>
      </c>
      <c r="E93" s="1">
        <v>1</v>
      </c>
      <c r="F93" s="1">
        <v>18</v>
      </c>
      <c r="G93" s="1" t="s">
        <v>406</v>
      </c>
      <c r="H93" s="1" t="s">
        <v>328</v>
      </c>
      <c r="I93" s="1" t="s">
        <v>328</v>
      </c>
      <c r="J93" s="1" t="s">
        <v>328</v>
      </c>
      <c r="K93" s="1" t="s">
        <v>328</v>
      </c>
      <c r="L93" s="1" t="s">
        <v>328</v>
      </c>
      <c r="M93" s="1" t="s">
        <v>328</v>
      </c>
      <c r="N93" s="1" t="s">
        <v>328</v>
      </c>
      <c r="O93" s="1" t="s">
        <v>328</v>
      </c>
      <c r="P93" s="1" t="s">
        <v>328</v>
      </c>
      <c r="Q93" s="1" t="s">
        <v>328</v>
      </c>
      <c r="R93" s="1" t="s">
        <v>328</v>
      </c>
      <c r="S93" s="1" t="s">
        <v>368</v>
      </c>
      <c r="T93" s="1" t="s">
        <v>328</v>
      </c>
      <c r="U93" s="1">
        <v>0</v>
      </c>
      <c r="V93" s="1">
        <v>0</v>
      </c>
      <c r="W93" s="1">
        <v>0</v>
      </c>
      <c r="X93" s="1">
        <v>0</v>
      </c>
      <c r="Y93" s="1">
        <v>0</v>
      </c>
      <c r="Z93" s="1">
        <v>0</v>
      </c>
      <c r="AA93" s="1">
        <v>0</v>
      </c>
      <c r="AB93" s="1">
        <v>0</v>
      </c>
      <c r="AC93" s="1">
        <v>3</v>
      </c>
      <c r="AD93" s="1">
        <v>0</v>
      </c>
      <c r="AE93" s="1">
        <v>4</v>
      </c>
      <c r="AF93" s="1">
        <v>2</v>
      </c>
      <c r="AG93" s="208" t="s">
        <v>716</v>
      </c>
      <c r="AH93" s="1">
        <v>2940</v>
      </c>
      <c r="AI93" s="1" t="s">
        <v>2016</v>
      </c>
      <c r="AJ93" s="1">
        <v>0</v>
      </c>
      <c r="AK93" s="1" t="s">
        <v>407</v>
      </c>
      <c r="AL93" s="1" t="s">
        <v>2017</v>
      </c>
      <c r="AM93" s="1">
        <v>0.33</v>
      </c>
      <c r="AN93" s="1">
        <v>0.22</v>
      </c>
      <c r="AO93" s="1">
        <v>0.5</v>
      </c>
      <c r="AP93" s="1">
        <v>0.18</v>
      </c>
      <c r="AQ93" s="1">
        <v>3</v>
      </c>
      <c r="AR93" s="1" t="s">
        <v>1482</v>
      </c>
      <c r="AS93" s="1">
        <v>0</v>
      </c>
      <c r="AT93" s="1" t="s">
        <v>1806</v>
      </c>
      <c r="AU93" s="1">
        <v>10</v>
      </c>
      <c r="AV93" s="1">
        <v>18004</v>
      </c>
      <c r="AW93" s="1">
        <v>0</v>
      </c>
      <c r="AX93" t="b">
        <v>0</v>
      </c>
    </row>
    <row r="94" spans="1:50" x14ac:dyDescent="0.3">
      <c r="A94" s="1">
        <v>94</v>
      </c>
      <c r="B94" s="1" t="s">
        <v>2018</v>
      </c>
      <c r="C94" s="1" t="s">
        <v>2019</v>
      </c>
      <c r="D94" s="1">
        <v>5</v>
      </c>
      <c r="E94" s="1">
        <v>3</v>
      </c>
      <c r="F94" s="1">
        <v>20</v>
      </c>
      <c r="G94" s="1" t="s">
        <v>335</v>
      </c>
      <c r="H94" s="1" t="s">
        <v>408</v>
      </c>
      <c r="I94" s="1" t="s">
        <v>328</v>
      </c>
      <c r="J94" s="1" t="s">
        <v>328</v>
      </c>
      <c r="K94" s="1" t="s">
        <v>328</v>
      </c>
      <c r="L94" s="1" t="s">
        <v>328</v>
      </c>
      <c r="M94" s="1" t="s">
        <v>328</v>
      </c>
      <c r="N94" s="1" t="s">
        <v>328</v>
      </c>
      <c r="O94" s="1" t="s">
        <v>328</v>
      </c>
      <c r="P94" s="1" t="s">
        <v>328</v>
      </c>
      <c r="Q94" s="1" t="s">
        <v>328</v>
      </c>
      <c r="R94" s="1" t="s">
        <v>328</v>
      </c>
      <c r="S94" s="1" t="s">
        <v>328</v>
      </c>
      <c r="T94" s="1" t="s">
        <v>354</v>
      </c>
      <c r="U94" s="1">
        <v>0</v>
      </c>
      <c r="V94" s="1">
        <v>0</v>
      </c>
      <c r="W94" s="1">
        <v>0</v>
      </c>
      <c r="X94" s="1">
        <v>0</v>
      </c>
      <c r="Y94" s="1">
        <v>0</v>
      </c>
      <c r="Z94" s="1">
        <v>0</v>
      </c>
      <c r="AA94" s="1">
        <v>0</v>
      </c>
      <c r="AB94" s="1">
        <v>0</v>
      </c>
      <c r="AC94" s="1">
        <v>1</v>
      </c>
      <c r="AD94" s="1">
        <v>1</v>
      </c>
      <c r="AE94" s="1">
        <v>1</v>
      </c>
      <c r="AF94" s="1">
        <v>5</v>
      </c>
      <c r="AG94" s="208" t="s">
        <v>162</v>
      </c>
      <c r="AH94" s="1">
        <v>3420</v>
      </c>
      <c r="AI94" s="1" t="s">
        <v>1918</v>
      </c>
      <c r="AJ94" s="1">
        <v>0</v>
      </c>
      <c r="AK94" s="1" t="s">
        <v>409</v>
      </c>
      <c r="AL94" s="1" t="s">
        <v>2020</v>
      </c>
      <c r="AM94" s="1">
        <v>0.1</v>
      </c>
      <c r="AN94" s="1">
        <v>0.1</v>
      </c>
      <c r="AO94" s="1">
        <v>0.1</v>
      </c>
      <c r="AP94" s="1">
        <v>0.55000000000000004</v>
      </c>
      <c r="AQ94" s="1">
        <v>3</v>
      </c>
      <c r="AR94" s="1" t="s">
        <v>1503</v>
      </c>
      <c r="AS94" s="1">
        <v>0</v>
      </c>
      <c r="AT94" s="1" t="s">
        <v>1806</v>
      </c>
      <c r="AU94" s="1">
        <v>10</v>
      </c>
      <c r="AV94" s="1">
        <v>20006</v>
      </c>
      <c r="AW94" s="1">
        <v>0</v>
      </c>
      <c r="AX94" t="b">
        <v>0</v>
      </c>
    </row>
    <row r="95" spans="1:50" x14ac:dyDescent="0.3">
      <c r="A95" s="1">
        <v>95</v>
      </c>
      <c r="B95" s="1" t="s">
        <v>5598</v>
      </c>
      <c r="C95" s="1" t="s">
        <v>5599</v>
      </c>
      <c r="D95" s="1">
        <v>5</v>
      </c>
      <c r="E95" s="1">
        <v>2</v>
      </c>
      <c r="F95" s="1">
        <v>6</v>
      </c>
      <c r="G95" s="1" t="s">
        <v>391</v>
      </c>
      <c r="H95" s="1" t="s">
        <v>328</v>
      </c>
      <c r="I95" s="1" t="s">
        <v>328</v>
      </c>
      <c r="J95" s="1" t="s">
        <v>328</v>
      </c>
      <c r="K95" s="1" t="s">
        <v>328</v>
      </c>
      <c r="L95" s="1" t="s">
        <v>328</v>
      </c>
      <c r="M95" s="1" t="s">
        <v>328</v>
      </c>
      <c r="N95" s="1" t="s">
        <v>410</v>
      </c>
      <c r="O95" s="1" t="s">
        <v>328</v>
      </c>
      <c r="P95" s="1" t="s">
        <v>328</v>
      </c>
      <c r="Q95" s="1" t="s">
        <v>328</v>
      </c>
      <c r="R95" s="1" t="s">
        <v>328</v>
      </c>
      <c r="S95" s="1" t="s">
        <v>328</v>
      </c>
      <c r="T95" s="1" t="s">
        <v>328</v>
      </c>
      <c r="U95" s="1">
        <v>0</v>
      </c>
      <c r="V95" s="1">
        <v>0</v>
      </c>
      <c r="W95" s="1">
        <v>0</v>
      </c>
      <c r="X95" s="1">
        <v>0</v>
      </c>
      <c r="Y95" s="1">
        <v>0</v>
      </c>
      <c r="Z95" s="1">
        <v>0</v>
      </c>
      <c r="AA95" s="1">
        <v>0</v>
      </c>
      <c r="AB95" s="1">
        <v>0</v>
      </c>
      <c r="AC95" s="1">
        <v>4</v>
      </c>
      <c r="AD95" s="1">
        <v>4</v>
      </c>
      <c r="AE95" s="1">
        <v>0</v>
      </c>
      <c r="AF95" s="1">
        <v>2</v>
      </c>
      <c r="AG95" s="208" t="s">
        <v>5600</v>
      </c>
      <c r="AH95" s="1">
        <v>3180</v>
      </c>
      <c r="AI95" s="1" t="s">
        <v>1918</v>
      </c>
      <c r="AJ95" s="1">
        <v>0</v>
      </c>
      <c r="AK95" s="1" t="s">
        <v>328</v>
      </c>
      <c r="AL95" s="1" t="s">
        <v>5601</v>
      </c>
      <c r="AM95" s="1">
        <v>0.48</v>
      </c>
      <c r="AN95" s="1">
        <v>0.48</v>
      </c>
      <c r="AO95" s="1">
        <v>0.08</v>
      </c>
      <c r="AP95" s="1">
        <v>0.25</v>
      </c>
      <c r="AQ95" s="1">
        <v>1</v>
      </c>
      <c r="AR95" s="1" t="s">
        <v>1489</v>
      </c>
      <c r="AS95" s="1">
        <v>0</v>
      </c>
      <c r="AT95" s="1" t="s">
        <v>1806</v>
      </c>
      <c r="AU95" s="1">
        <v>10</v>
      </c>
      <c r="AV95" s="1">
        <v>6003</v>
      </c>
      <c r="AW95" s="1">
        <v>0</v>
      </c>
      <c r="AX95" t="b">
        <v>1</v>
      </c>
    </row>
    <row r="96" spans="1:50" x14ac:dyDescent="0.3">
      <c r="A96" s="1">
        <v>96</v>
      </c>
      <c r="B96" s="1" t="s">
        <v>5602</v>
      </c>
      <c r="C96" s="1" t="s">
        <v>5603</v>
      </c>
      <c r="D96" s="1">
        <v>5</v>
      </c>
      <c r="E96" s="1">
        <v>3</v>
      </c>
      <c r="F96" s="1">
        <v>15</v>
      </c>
      <c r="G96" s="1" t="s">
        <v>328</v>
      </c>
      <c r="H96" s="1" t="s">
        <v>328</v>
      </c>
      <c r="I96" s="1" t="s">
        <v>328</v>
      </c>
      <c r="J96" s="1" t="s">
        <v>401</v>
      </c>
      <c r="K96" s="1" t="s">
        <v>328</v>
      </c>
      <c r="L96" s="1" t="s">
        <v>392</v>
      </c>
      <c r="M96" s="1" t="s">
        <v>328</v>
      </c>
      <c r="N96" s="1" t="s">
        <v>328</v>
      </c>
      <c r="O96" s="1" t="s">
        <v>328</v>
      </c>
      <c r="P96" s="1" t="s">
        <v>328</v>
      </c>
      <c r="Q96" s="1" t="s">
        <v>328</v>
      </c>
      <c r="R96" s="1" t="s">
        <v>328</v>
      </c>
      <c r="S96" s="1" t="s">
        <v>328</v>
      </c>
      <c r="T96" s="1" t="s">
        <v>328</v>
      </c>
      <c r="U96" s="1">
        <v>0</v>
      </c>
      <c r="V96" s="1">
        <v>0</v>
      </c>
      <c r="W96" s="1">
        <v>0</v>
      </c>
      <c r="X96" s="1">
        <v>0</v>
      </c>
      <c r="Y96" s="1">
        <v>0</v>
      </c>
      <c r="Z96" s="1">
        <v>0</v>
      </c>
      <c r="AA96" s="1">
        <v>0</v>
      </c>
      <c r="AB96" s="1">
        <v>0</v>
      </c>
      <c r="AC96" s="1">
        <v>4</v>
      </c>
      <c r="AD96" s="1">
        <v>0</v>
      </c>
      <c r="AE96" s="1">
        <v>5</v>
      </c>
      <c r="AF96" s="1">
        <v>0</v>
      </c>
      <c r="AG96" s="208" t="s">
        <v>5604</v>
      </c>
      <c r="AH96" s="1">
        <v>3360</v>
      </c>
      <c r="AI96" s="1" t="s">
        <v>1918</v>
      </c>
      <c r="AJ96" s="1">
        <v>0</v>
      </c>
      <c r="AK96" s="1" t="s">
        <v>328</v>
      </c>
      <c r="AL96" s="1" t="s">
        <v>5605</v>
      </c>
      <c r="AM96" s="1">
        <v>0.55000000000000004</v>
      </c>
      <c r="AN96" s="1">
        <v>0.16</v>
      </c>
      <c r="AO96" s="1">
        <v>0.6</v>
      </c>
      <c r="AP96" s="1">
        <v>0.16</v>
      </c>
      <c r="AQ96" s="1">
        <v>1</v>
      </c>
      <c r="AR96" s="1" t="s">
        <v>1500</v>
      </c>
      <c r="AS96" s="1">
        <v>0</v>
      </c>
      <c r="AT96" s="1" t="s">
        <v>1806</v>
      </c>
      <c r="AU96" s="1">
        <v>10</v>
      </c>
      <c r="AV96" s="1">
        <v>15001</v>
      </c>
      <c r="AW96" s="1">
        <v>0</v>
      </c>
      <c r="AX96" t="b">
        <v>1</v>
      </c>
    </row>
    <row r="97" spans="1:50" x14ac:dyDescent="0.3">
      <c r="A97" s="1">
        <v>97</v>
      </c>
      <c r="B97" s="1" t="s">
        <v>5606</v>
      </c>
      <c r="C97" s="1" t="s">
        <v>5607</v>
      </c>
      <c r="D97" s="1">
        <v>5</v>
      </c>
      <c r="E97" s="1">
        <v>3</v>
      </c>
      <c r="F97" s="1">
        <v>20</v>
      </c>
      <c r="G97" s="1" t="s">
        <v>328</v>
      </c>
      <c r="H97" s="1" t="s">
        <v>328</v>
      </c>
      <c r="I97" s="1" t="s">
        <v>328</v>
      </c>
      <c r="J97" s="1" t="s">
        <v>328</v>
      </c>
      <c r="K97" s="1" t="s">
        <v>328</v>
      </c>
      <c r="L97" s="1" t="s">
        <v>328</v>
      </c>
      <c r="M97" s="1" t="s">
        <v>328</v>
      </c>
      <c r="N97" s="1" t="s">
        <v>328</v>
      </c>
      <c r="O97" s="1" t="s">
        <v>5608</v>
      </c>
      <c r="P97" s="1" t="s">
        <v>328</v>
      </c>
      <c r="Q97" s="1" t="s">
        <v>328</v>
      </c>
      <c r="R97" s="1" t="s">
        <v>328</v>
      </c>
      <c r="S97" s="1" t="s">
        <v>328</v>
      </c>
      <c r="T97" s="1" t="s">
        <v>328</v>
      </c>
      <c r="U97" s="1">
        <v>0</v>
      </c>
      <c r="V97" s="1">
        <v>0</v>
      </c>
      <c r="W97" s="1">
        <v>0</v>
      </c>
      <c r="X97" s="1">
        <v>0</v>
      </c>
      <c r="Y97" s="1">
        <v>0</v>
      </c>
      <c r="Z97" s="1">
        <v>0</v>
      </c>
      <c r="AA97" s="1">
        <v>0</v>
      </c>
      <c r="AB97" s="1">
        <v>0</v>
      </c>
      <c r="AC97" s="1">
        <v>2</v>
      </c>
      <c r="AD97" s="1">
        <v>2</v>
      </c>
      <c r="AE97" s="1">
        <v>3</v>
      </c>
      <c r="AF97" s="1">
        <v>3</v>
      </c>
      <c r="AG97" s="208" t="s">
        <v>5549</v>
      </c>
      <c r="AH97" s="1">
        <v>3600</v>
      </c>
      <c r="AI97" s="1" t="s">
        <v>328</v>
      </c>
      <c r="AJ97" s="1">
        <v>0</v>
      </c>
      <c r="AK97" s="1" t="s">
        <v>5609</v>
      </c>
      <c r="AL97" s="1" t="s">
        <v>5610</v>
      </c>
      <c r="AM97" s="1">
        <v>100</v>
      </c>
      <c r="AN97" s="1">
        <v>100</v>
      </c>
      <c r="AO97" s="1">
        <v>100</v>
      </c>
      <c r="AP97" s="1">
        <v>100</v>
      </c>
      <c r="AQ97" s="1">
        <v>1</v>
      </c>
      <c r="AR97" s="1" t="s">
        <v>1477</v>
      </c>
      <c r="AS97" s="1">
        <v>0</v>
      </c>
      <c r="AT97" s="1" t="s">
        <v>1806</v>
      </c>
      <c r="AU97" s="1">
        <v>10</v>
      </c>
      <c r="AV97" s="1">
        <v>20007</v>
      </c>
      <c r="AW97" s="1">
        <v>0</v>
      </c>
      <c r="AX97" t="b">
        <v>1</v>
      </c>
    </row>
    <row r="98" spans="1:50" x14ac:dyDescent="0.3">
      <c r="A98" s="1">
        <v>98</v>
      </c>
      <c r="B98" s="1" t="s">
        <v>5611</v>
      </c>
      <c r="C98" s="1" t="s">
        <v>5612</v>
      </c>
      <c r="D98" s="1">
        <v>5</v>
      </c>
      <c r="E98" s="1">
        <v>2</v>
      </c>
      <c r="F98" s="1">
        <v>19</v>
      </c>
      <c r="G98" s="1" t="s">
        <v>328</v>
      </c>
      <c r="H98" s="1" t="s">
        <v>328</v>
      </c>
      <c r="I98" s="1" t="s">
        <v>328</v>
      </c>
      <c r="J98" s="1" t="s">
        <v>328</v>
      </c>
      <c r="K98" s="1" t="s">
        <v>328</v>
      </c>
      <c r="L98" s="1" t="s">
        <v>328</v>
      </c>
      <c r="M98" s="1" t="s">
        <v>328</v>
      </c>
      <c r="N98" s="1" t="s">
        <v>5608</v>
      </c>
      <c r="O98" s="1" t="s">
        <v>328</v>
      </c>
      <c r="P98" s="1" t="s">
        <v>328</v>
      </c>
      <c r="Q98" s="1" t="s">
        <v>328</v>
      </c>
      <c r="R98" s="1" t="s">
        <v>328</v>
      </c>
      <c r="S98" s="1" t="s">
        <v>328</v>
      </c>
      <c r="T98" s="1" t="s">
        <v>328</v>
      </c>
      <c r="U98" s="1">
        <v>0</v>
      </c>
      <c r="V98" s="1">
        <v>0</v>
      </c>
      <c r="W98" s="1">
        <v>0</v>
      </c>
      <c r="X98" s="1">
        <v>0</v>
      </c>
      <c r="Y98" s="1">
        <v>0</v>
      </c>
      <c r="Z98" s="1">
        <v>0</v>
      </c>
      <c r="AA98" s="1">
        <v>0</v>
      </c>
      <c r="AB98" s="1">
        <v>0</v>
      </c>
      <c r="AC98" s="1">
        <v>0</v>
      </c>
      <c r="AD98" s="1">
        <v>4</v>
      </c>
      <c r="AE98" s="1">
        <v>2</v>
      </c>
      <c r="AF98" s="1">
        <v>3</v>
      </c>
      <c r="AG98" s="208" t="s">
        <v>5509</v>
      </c>
      <c r="AH98" s="1">
        <v>3600</v>
      </c>
      <c r="AI98" s="1" t="s">
        <v>328</v>
      </c>
      <c r="AJ98" s="1">
        <v>0</v>
      </c>
      <c r="AK98" s="1" t="s">
        <v>5609</v>
      </c>
      <c r="AL98" s="1" t="s">
        <v>5613</v>
      </c>
      <c r="AM98" s="1">
        <v>100</v>
      </c>
      <c r="AN98" s="1">
        <v>100</v>
      </c>
      <c r="AO98" s="1">
        <v>100</v>
      </c>
      <c r="AP98" s="1">
        <v>100</v>
      </c>
      <c r="AQ98" s="1">
        <v>1</v>
      </c>
      <c r="AR98" s="1" t="s">
        <v>1471</v>
      </c>
      <c r="AS98" s="1">
        <v>0</v>
      </c>
      <c r="AT98" s="1" t="s">
        <v>1806</v>
      </c>
      <c r="AU98" s="1">
        <v>10</v>
      </c>
      <c r="AV98" s="1">
        <v>19003</v>
      </c>
      <c r="AW98" s="1">
        <v>0</v>
      </c>
      <c r="AX98" t="b">
        <v>1</v>
      </c>
    </row>
    <row r="99" spans="1:50" x14ac:dyDescent="0.3">
      <c r="A99" s="1">
        <v>99</v>
      </c>
      <c r="B99" s="1" t="s">
        <v>2021</v>
      </c>
      <c r="C99" s="1" t="s">
        <v>2022</v>
      </c>
      <c r="D99" s="1">
        <v>5</v>
      </c>
      <c r="E99" s="1">
        <v>3</v>
      </c>
      <c r="F99" s="1">
        <v>20</v>
      </c>
      <c r="G99" s="1" t="s">
        <v>391</v>
      </c>
      <c r="H99" s="1" t="s">
        <v>328</v>
      </c>
      <c r="I99" s="1" t="s">
        <v>328</v>
      </c>
      <c r="J99" s="1" t="s">
        <v>328</v>
      </c>
      <c r="K99" s="1" t="s">
        <v>391</v>
      </c>
      <c r="L99" s="1" t="s">
        <v>328</v>
      </c>
      <c r="M99" s="1" t="s">
        <v>328</v>
      </c>
      <c r="N99" s="1" t="s">
        <v>328</v>
      </c>
      <c r="O99" s="1" t="s">
        <v>325</v>
      </c>
      <c r="P99" s="1" t="s">
        <v>328</v>
      </c>
      <c r="Q99" s="1" t="s">
        <v>328</v>
      </c>
      <c r="R99" s="1" t="s">
        <v>328</v>
      </c>
      <c r="S99" s="1" t="s">
        <v>328</v>
      </c>
      <c r="T99" s="1" t="s">
        <v>328</v>
      </c>
      <c r="U99" s="1">
        <v>0</v>
      </c>
      <c r="V99" s="1">
        <v>0</v>
      </c>
      <c r="W99" s="1">
        <v>0</v>
      </c>
      <c r="X99" s="1">
        <v>0</v>
      </c>
      <c r="Y99" s="1">
        <v>0</v>
      </c>
      <c r="Z99" s="1">
        <v>0</v>
      </c>
      <c r="AA99" s="1">
        <v>0</v>
      </c>
      <c r="AB99" s="1">
        <v>0</v>
      </c>
      <c r="AC99" s="1">
        <v>1</v>
      </c>
      <c r="AD99" s="1">
        <v>4</v>
      </c>
      <c r="AE99" s="1">
        <v>4</v>
      </c>
      <c r="AF99" s="1">
        <v>1</v>
      </c>
      <c r="AG99" s="208" t="s">
        <v>255</v>
      </c>
      <c r="AH99" s="1">
        <v>3600</v>
      </c>
      <c r="AI99" s="1" t="s">
        <v>1918</v>
      </c>
      <c r="AJ99" s="1">
        <v>0</v>
      </c>
      <c r="AK99" s="1" t="s">
        <v>411</v>
      </c>
      <c r="AL99" s="1" t="s">
        <v>2023</v>
      </c>
      <c r="AM99" s="1">
        <v>0.15</v>
      </c>
      <c r="AN99" s="1">
        <v>0.6</v>
      </c>
      <c r="AO99" s="1">
        <v>0.6</v>
      </c>
      <c r="AP99" s="1">
        <v>0.15</v>
      </c>
      <c r="AQ99" s="1">
        <v>3</v>
      </c>
      <c r="AR99" s="1" t="s">
        <v>1504</v>
      </c>
      <c r="AS99" s="1">
        <v>0</v>
      </c>
      <c r="AT99" s="1" t="s">
        <v>1806</v>
      </c>
      <c r="AU99" s="1">
        <v>10</v>
      </c>
      <c r="AV99" s="1">
        <v>20008</v>
      </c>
      <c r="AW99" s="1">
        <v>0</v>
      </c>
      <c r="AX99" t="b">
        <v>0</v>
      </c>
    </row>
    <row r="100" spans="1:50" x14ac:dyDescent="0.3">
      <c r="A100" s="1">
        <v>100</v>
      </c>
      <c r="B100" s="1" t="s">
        <v>2024</v>
      </c>
      <c r="C100" s="1" t="s">
        <v>2025</v>
      </c>
      <c r="D100" s="1">
        <v>5</v>
      </c>
      <c r="E100" s="1">
        <v>1</v>
      </c>
      <c r="F100" s="1">
        <v>18</v>
      </c>
      <c r="G100" s="1" t="s">
        <v>328</v>
      </c>
      <c r="H100" s="1" t="s">
        <v>337</v>
      </c>
      <c r="I100" s="1" t="s">
        <v>328</v>
      </c>
      <c r="J100" s="1" t="s">
        <v>328</v>
      </c>
      <c r="K100" s="1" t="s">
        <v>328</v>
      </c>
      <c r="L100" s="1" t="s">
        <v>343</v>
      </c>
      <c r="M100" s="1" t="s">
        <v>328</v>
      </c>
      <c r="N100" s="1" t="s">
        <v>328</v>
      </c>
      <c r="O100" s="1" t="s">
        <v>328</v>
      </c>
      <c r="P100" s="1" t="s">
        <v>328</v>
      </c>
      <c r="Q100" s="1" t="s">
        <v>328</v>
      </c>
      <c r="R100" s="1" t="s">
        <v>328</v>
      </c>
      <c r="S100" s="1" t="s">
        <v>328</v>
      </c>
      <c r="T100" s="1" t="s">
        <v>328</v>
      </c>
      <c r="U100" s="1">
        <v>0</v>
      </c>
      <c r="V100" s="1">
        <v>0</v>
      </c>
      <c r="W100" s="1">
        <v>0</v>
      </c>
      <c r="X100" s="1">
        <v>0</v>
      </c>
      <c r="Y100" s="1">
        <v>0</v>
      </c>
      <c r="Z100" s="1">
        <v>0</v>
      </c>
      <c r="AA100" s="1">
        <v>0</v>
      </c>
      <c r="AB100" s="1">
        <v>0</v>
      </c>
      <c r="AC100" s="1">
        <v>4</v>
      </c>
      <c r="AD100" s="1">
        <v>1</v>
      </c>
      <c r="AE100" s="1">
        <v>4</v>
      </c>
      <c r="AF100" s="1">
        <v>1</v>
      </c>
      <c r="AG100" s="208" t="s">
        <v>1682</v>
      </c>
      <c r="AH100" s="1">
        <v>3600</v>
      </c>
      <c r="AI100" s="1" t="s">
        <v>1918</v>
      </c>
      <c r="AJ100" s="1">
        <v>0</v>
      </c>
      <c r="AK100" s="1" t="s">
        <v>412</v>
      </c>
      <c r="AL100" s="1" t="s">
        <v>2026</v>
      </c>
      <c r="AM100" s="1">
        <v>0.5</v>
      </c>
      <c r="AN100" s="1">
        <v>0.25</v>
      </c>
      <c r="AO100" s="1">
        <v>0.55000000000000004</v>
      </c>
      <c r="AP100" s="1">
        <v>0.15</v>
      </c>
      <c r="AQ100" s="1">
        <v>3</v>
      </c>
      <c r="AR100" s="1" t="s">
        <v>1505</v>
      </c>
      <c r="AS100" s="1">
        <v>0</v>
      </c>
      <c r="AT100" s="1" t="s">
        <v>1806</v>
      </c>
      <c r="AU100" s="1">
        <v>10</v>
      </c>
      <c r="AV100" s="1">
        <v>18005</v>
      </c>
      <c r="AW100" s="1">
        <v>0</v>
      </c>
      <c r="AX100" t="b">
        <v>0</v>
      </c>
    </row>
    <row r="101" spans="1:50" x14ac:dyDescent="0.3">
      <c r="A101" s="1">
        <v>101</v>
      </c>
      <c r="B101" s="1" t="s">
        <v>2027</v>
      </c>
      <c r="C101" s="1" t="s">
        <v>2028</v>
      </c>
      <c r="D101" s="1">
        <v>5</v>
      </c>
      <c r="E101" s="1">
        <v>2</v>
      </c>
      <c r="F101" s="1">
        <v>19</v>
      </c>
      <c r="G101" s="1" t="s">
        <v>413</v>
      </c>
      <c r="H101" s="1" t="s">
        <v>328</v>
      </c>
      <c r="I101" s="1" t="s">
        <v>328</v>
      </c>
      <c r="J101" s="1" t="s">
        <v>328</v>
      </c>
      <c r="K101" s="1" t="s">
        <v>328</v>
      </c>
      <c r="L101" s="1" t="s">
        <v>328</v>
      </c>
      <c r="M101" s="1" t="s">
        <v>328</v>
      </c>
      <c r="N101" s="1" t="s">
        <v>386</v>
      </c>
      <c r="O101" s="1" t="s">
        <v>328</v>
      </c>
      <c r="P101" s="1" t="s">
        <v>328</v>
      </c>
      <c r="Q101" s="1" t="s">
        <v>328</v>
      </c>
      <c r="R101" s="1" t="s">
        <v>328</v>
      </c>
      <c r="S101" s="1" t="s">
        <v>328</v>
      </c>
      <c r="T101" s="1" t="s">
        <v>328</v>
      </c>
      <c r="U101" s="1">
        <v>0</v>
      </c>
      <c r="V101" s="1">
        <v>0</v>
      </c>
      <c r="W101" s="1">
        <v>0</v>
      </c>
      <c r="X101" s="1">
        <v>0</v>
      </c>
      <c r="Y101" s="1">
        <v>0</v>
      </c>
      <c r="Z101" s="1">
        <v>0</v>
      </c>
      <c r="AA101" s="1">
        <v>0</v>
      </c>
      <c r="AB101" s="1">
        <v>0</v>
      </c>
      <c r="AC101" s="1">
        <v>4</v>
      </c>
      <c r="AD101" s="1">
        <v>4</v>
      </c>
      <c r="AE101" s="1">
        <v>0</v>
      </c>
      <c r="AF101" s="1">
        <v>2</v>
      </c>
      <c r="AG101" s="208" t="s">
        <v>252</v>
      </c>
      <c r="AH101" s="1">
        <v>3600</v>
      </c>
      <c r="AI101" s="1" t="s">
        <v>2029</v>
      </c>
      <c r="AJ101" s="1">
        <v>0</v>
      </c>
      <c r="AK101" s="1" t="s">
        <v>414</v>
      </c>
      <c r="AL101" s="1" t="s">
        <v>2030</v>
      </c>
      <c r="AM101" s="1">
        <v>0.48</v>
      </c>
      <c r="AN101" s="1">
        <v>0.48</v>
      </c>
      <c r="AO101" s="1">
        <v>0.08</v>
      </c>
      <c r="AP101" s="1">
        <v>0.25</v>
      </c>
      <c r="AQ101" s="1">
        <v>3</v>
      </c>
      <c r="AR101" s="1" t="s">
        <v>1506</v>
      </c>
      <c r="AS101" s="1">
        <v>0</v>
      </c>
      <c r="AT101" s="1" t="s">
        <v>1806</v>
      </c>
      <c r="AU101" s="1">
        <v>10</v>
      </c>
      <c r="AV101" s="1">
        <v>19004</v>
      </c>
      <c r="AW101" s="1">
        <v>0</v>
      </c>
      <c r="AX101" t="b">
        <v>0</v>
      </c>
    </row>
    <row r="102" spans="1:50" x14ac:dyDescent="0.3">
      <c r="A102" s="1">
        <v>102</v>
      </c>
      <c r="B102" s="1" t="s">
        <v>2031</v>
      </c>
      <c r="C102" s="1" t="s">
        <v>2032</v>
      </c>
      <c r="D102" s="1">
        <v>5</v>
      </c>
      <c r="E102" s="1">
        <v>3</v>
      </c>
      <c r="F102" s="1">
        <v>20</v>
      </c>
      <c r="G102" s="1" t="s">
        <v>381</v>
      </c>
      <c r="H102" s="1" t="s">
        <v>328</v>
      </c>
      <c r="I102" s="1" t="s">
        <v>415</v>
      </c>
      <c r="J102" s="1" t="s">
        <v>328</v>
      </c>
      <c r="K102" s="1" t="s">
        <v>331</v>
      </c>
      <c r="L102" s="1" t="s">
        <v>328</v>
      </c>
      <c r="M102" s="1" t="s">
        <v>328</v>
      </c>
      <c r="N102" s="1" t="s">
        <v>328</v>
      </c>
      <c r="O102" s="1" t="s">
        <v>328</v>
      </c>
      <c r="P102" s="1" t="s">
        <v>328</v>
      </c>
      <c r="Q102" s="1" t="s">
        <v>328</v>
      </c>
      <c r="R102" s="1" t="s">
        <v>328</v>
      </c>
      <c r="S102" s="1" t="s">
        <v>328</v>
      </c>
      <c r="T102" s="1" t="s">
        <v>328</v>
      </c>
      <c r="U102" s="1">
        <v>0</v>
      </c>
      <c r="V102" s="1">
        <v>0</v>
      </c>
      <c r="W102" s="1">
        <v>0</v>
      </c>
      <c r="X102" s="1">
        <v>0</v>
      </c>
      <c r="Y102" s="1">
        <v>0</v>
      </c>
      <c r="Z102" s="1">
        <v>0</v>
      </c>
      <c r="AA102" s="1">
        <v>0</v>
      </c>
      <c r="AB102" s="1">
        <v>0</v>
      </c>
      <c r="AC102" s="1">
        <v>4</v>
      </c>
      <c r="AD102" s="1">
        <v>2</v>
      </c>
      <c r="AE102" s="1">
        <v>0</v>
      </c>
      <c r="AF102" s="1">
        <v>4</v>
      </c>
      <c r="AG102" s="208" t="s">
        <v>261</v>
      </c>
      <c r="AH102" s="1">
        <v>3600</v>
      </c>
      <c r="AI102" s="1" t="s">
        <v>2033</v>
      </c>
      <c r="AJ102" s="1">
        <v>0</v>
      </c>
      <c r="AK102" s="1" t="s">
        <v>416</v>
      </c>
      <c r="AL102" s="1" t="s">
        <v>2034</v>
      </c>
      <c r="AM102" s="1">
        <v>0.3</v>
      </c>
      <c r="AN102" s="1">
        <v>0.25</v>
      </c>
      <c r="AO102" s="1">
        <v>0.12</v>
      </c>
      <c r="AP102" s="1">
        <v>0.38</v>
      </c>
      <c r="AQ102" s="1">
        <v>3</v>
      </c>
      <c r="AR102" s="1" t="s">
        <v>1507</v>
      </c>
      <c r="AS102" s="1">
        <v>0</v>
      </c>
      <c r="AT102" s="1" t="s">
        <v>1806</v>
      </c>
      <c r="AU102" s="1">
        <v>10</v>
      </c>
      <c r="AV102" s="1">
        <v>20009</v>
      </c>
      <c r="AW102" s="1">
        <v>0</v>
      </c>
      <c r="AX102" t="b">
        <v>0</v>
      </c>
    </row>
    <row r="103" spans="1:50" x14ac:dyDescent="0.3">
      <c r="A103" s="1">
        <v>103</v>
      </c>
      <c r="B103" s="1" t="s">
        <v>2035</v>
      </c>
      <c r="C103" s="1" t="s">
        <v>2036</v>
      </c>
      <c r="D103" s="1">
        <v>5</v>
      </c>
      <c r="E103" s="1">
        <v>1</v>
      </c>
      <c r="F103" s="1">
        <v>18</v>
      </c>
      <c r="G103" s="1" t="s">
        <v>328</v>
      </c>
      <c r="H103" s="1" t="s">
        <v>328</v>
      </c>
      <c r="I103" s="1" t="s">
        <v>413</v>
      </c>
      <c r="J103" s="1" t="s">
        <v>328</v>
      </c>
      <c r="K103" s="1" t="s">
        <v>328</v>
      </c>
      <c r="L103" s="1" t="s">
        <v>328</v>
      </c>
      <c r="M103" s="1" t="s">
        <v>385</v>
      </c>
      <c r="N103" s="1" t="s">
        <v>328</v>
      </c>
      <c r="O103" s="1" t="s">
        <v>328</v>
      </c>
      <c r="P103" s="1" t="s">
        <v>328</v>
      </c>
      <c r="Q103" s="1" t="s">
        <v>328</v>
      </c>
      <c r="R103" s="1" t="s">
        <v>328</v>
      </c>
      <c r="S103" s="1" t="s">
        <v>328</v>
      </c>
      <c r="T103" s="1" t="s">
        <v>328</v>
      </c>
      <c r="U103" s="1">
        <v>0</v>
      </c>
      <c r="V103" s="1">
        <v>0</v>
      </c>
      <c r="W103" s="1">
        <v>0</v>
      </c>
      <c r="X103" s="1">
        <v>0</v>
      </c>
      <c r="Y103" s="1">
        <v>0</v>
      </c>
      <c r="Z103" s="1">
        <v>0</v>
      </c>
      <c r="AA103" s="1">
        <v>0</v>
      </c>
      <c r="AB103" s="1">
        <v>0</v>
      </c>
      <c r="AC103" s="1">
        <v>4</v>
      </c>
      <c r="AD103" s="1">
        <v>2</v>
      </c>
      <c r="AE103" s="1">
        <v>2</v>
      </c>
      <c r="AF103" s="1">
        <v>2</v>
      </c>
      <c r="AG103" s="208" t="s">
        <v>740</v>
      </c>
      <c r="AH103" s="1">
        <v>3600</v>
      </c>
      <c r="AI103" s="1" t="s">
        <v>2037</v>
      </c>
      <c r="AJ103" s="1">
        <v>0</v>
      </c>
      <c r="AK103" s="1" t="s">
        <v>417</v>
      </c>
      <c r="AL103" s="1" t="s">
        <v>2038</v>
      </c>
      <c r="AM103" s="1">
        <v>0.55000000000000004</v>
      </c>
      <c r="AN103" s="1">
        <v>0.25</v>
      </c>
      <c r="AO103" s="1">
        <v>0.25</v>
      </c>
      <c r="AP103" s="1">
        <v>0.23</v>
      </c>
      <c r="AQ103" s="1">
        <v>3</v>
      </c>
      <c r="AR103" s="1" t="s">
        <v>1508</v>
      </c>
      <c r="AS103" s="1">
        <v>0</v>
      </c>
      <c r="AT103" s="1" t="s">
        <v>1806</v>
      </c>
      <c r="AU103" s="1">
        <v>10</v>
      </c>
      <c r="AV103" s="1">
        <v>18006</v>
      </c>
      <c r="AW103" s="1">
        <v>0</v>
      </c>
      <c r="AX103" t="b">
        <v>0</v>
      </c>
    </row>
    <row r="104" spans="1:50" x14ac:dyDescent="0.3">
      <c r="A104" s="1">
        <v>104</v>
      </c>
      <c r="B104" s="1" t="s">
        <v>2039</v>
      </c>
      <c r="C104" s="1" t="s">
        <v>2040</v>
      </c>
      <c r="D104" s="1">
        <v>5</v>
      </c>
      <c r="E104" s="1">
        <v>1</v>
      </c>
      <c r="F104" s="1">
        <v>18</v>
      </c>
      <c r="G104" s="1" t="s">
        <v>328</v>
      </c>
      <c r="H104" s="1" t="s">
        <v>328</v>
      </c>
      <c r="I104" s="1" t="s">
        <v>328</v>
      </c>
      <c r="J104" s="1" t="s">
        <v>328</v>
      </c>
      <c r="K104" s="1" t="s">
        <v>334</v>
      </c>
      <c r="L104" s="1" t="s">
        <v>328</v>
      </c>
      <c r="M104" s="1" t="s">
        <v>327</v>
      </c>
      <c r="N104" s="1" t="s">
        <v>328</v>
      </c>
      <c r="O104" s="1" t="s">
        <v>328</v>
      </c>
      <c r="P104" s="1" t="s">
        <v>328</v>
      </c>
      <c r="Q104" s="1" t="s">
        <v>328</v>
      </c>
      <c r="R104" s="1" t="s">
        <v>328</v>
      </c>
      <c r="S104" s="1" t="s">
        <v>328</v>
      </c>
      <c r="T104" s="1" t="s">
        <v>328</v>
      </c>
      <c r="U104" s="1">
        <v>0</v>
      </c>
      <c r="V104" s="1">
        <v>0</v>
      </c>
      <c r="W104" s="1">
        <v>0</v>
      </c>
      <c r="X104" s="1">
        <v>0</v>
      </c>
      <c r="Y104" s="1">
        <v>0</v>
      </c>
      <c r="Z104" s="1">
        <v>0</v>
      </c>
      <c r="AA104" s="1">
        <v>0</v>
      </c>
      <c r="AB104" s="1">
        <v>0</v>
      </c>
      <c r="AC104" s="1">
        <v>3</v>
      </c>
      <c r="AD104" s="1">
        <v>2</v>
      </c>
      <c r="AE104" s="1">
        <v>4</v>
      </c>
      <c r="AF104" s="1">
        <v>1</v>
      </c>
      <c r="AG104" s="208" t="s">
        <v>1417</v>
      </c>
      <c r="AH104" s="1">
        <v>3600</v>
      </c>
      <c r="AI104" s="1" t="s">
        <v>2041</v>
      </c>
      <c r="AJ104" s="1">
        <v>0</v>
      </c>
      <c r="AK104" s="1" t="s">
        <v>418</v>
      </c>
      <c r="AL104" s="1" t="s">
        <v>2042</v>
      </c>
      <c r="AM104" s="1">
        <v>0.4</v>
      </c>
      <c r="AN104" s="1">
        <v>0.2</v>
      </c>
      <c r="AO104" s="1">
        <v>0.6</v>
      </c>
      <c r="AP104" s="1">
        <v>0.18</v>
      </c>
      <c r="AQ104" s="1">
        <v>3</v>
      </c>
      <c r="AR104" s="1" t="s">
        <v>1509</v>
      </c>
      <c r="AS104" s="1">
        <v>0</v>
      </c>
      <c r="AT104" s="1" t="s">
        <v>1806</v>
      </c>
      <c r="AU104" s="1">
        <v>10</v>
      </c>
      <c r="AV104" s="1">
        <v>18007</v>
      </c>
      <c r="AW104" s="1">
        <v>0</v>
      </c>
      <c r="AX104" t="b">
        <v>0</v>
      </c>
    </row>
    <row r="105" spans="1:50" x14ac:dyDescent="0.3">
      <c r="A105" s="1">
        <v>105</v>
      </c>
      <c r="B105" s="1" t="s">
        <v>2043</v>
      </c>
      <c r="C105" s="1" t="s">
        <v>2044</v>
      </c>
      <c r="D105" s="1">
        <v>5</v>
      </c>
      <c r="E105" s="1">
        <v>1</v>
      </c>
      <c r="F105" s="1">
        <v>18</v>
      </c>
      <c r="G105" s="1" t="s">
        <v>328</v>
      </c>
      <c r="H105" s="1" t="s">
        <v>328</v>
      </c>
      <c r="I105" s="1" t="s">
        <v>328</v>
      </c>
      <c r="J105" s="1" t="s">
        <v>328</v>
      </c>
      <c r="K105" s="1" t="s">
        <v>328</v>
      </c>
      <c r="L105" s="1" t="s">
        <v>391</v>
      </c>
      <c r="M105" s="1" t="s">
        <v>419</v>
      </c>
      <c r="N105" s="1" t="s">
        <v>328</v>
      </c>
      <c r="O105" s="1" t="s">
        <v>328</v>
      </c>
      <c r="P105" s="1" t="s">
        <v>328</v>
      </c>
      <c r="Q105" s="1" t="s">
        <v>328</v>
      </c>
      <c r="R105" s="1" t="s">
        <v>328</v>
      </c>
      <c r="S105" s="1" t="s">
        <v>328</v>
      </c>
      <c r="T105" s="1" t="s">
        <v>328</v>
      </c>
      <c r="U105" s="1">
        <v>0</v>
      </c>
      <c r="V105" s="1">
        <v>0</v>
      </c>
      <c r="W105" s="1">
        <v>0</v>
      </c>
      <c r="X105" s="1">
        <v>0</v>
      </c>
      <c r="Y105" s="1">
        <v>0</v>
      </c>
      <c r="Z105" s="1">
        <v>0</v>
      </c>
      <c r="AA105" s="1">
        <v>0</v>
      </c>
      <c r="AB105" s="1">
        <v>0</v>
      </c>
      <c r="AC105" s="1">
        <v>4</v>
      </c>
      <c r="AD105" s="1">
        <v>0</v>
      </c>
      <c r="AE105" s="1">
        <v>3</v>
      </c>
      <c r="AF105" s="1">
        <v>2</v>
      </c>
      <c r="AG105" s="208" t="s">
        <v>93</v>
      </c>
      <c r="AH105" s="1">
        <v>3600</v>
      </c>
      <c r="AI105" s="1" t="s">
        <v>2045</v>
      </c>
      <c r="AJ105" s="1">
        <v>0</v>
      </c>
      <c r="AK105" s="1" t="s">
        <v>367</v>
      </c>
      <c r="AL105" s="1" t="s">
        <v>2046</v>
      </c>
      <c r="AM105" s="1">
        <v>0.45</v>
      </c>
      <c r="AN105" s="1">
        <v>0.15</v>
      </c>
      <c r="AO105" s="1">
        <v>0.3</v>
      </c>
      <c r="AP105" s="1">
        <v>0.15</v>
      </c>
      <c r="AQ105" s="1">
        <v>3</v>
      </c>
      <c r="AR105" s="1" t="s">
        <v>1510</v>
      </c>
      <c r="AS105" s="1">
        <v>0</v>
      </c>
      <c r="AT105" s="1" t="s">
        <v>1806</v>
      </c>
      <c r="AU105" s="1">
        <v>10</v>
      </c>
      <c r="AV105" s="1">
        <v>18008</v>
      </c>
      <c r="AW105" s="1">
        <v>0</v>
      </c>
      <c r="AX105" t="b">
        <v>0</v>
      </c>
    </row>
    <row r="106" spans="1:50" x14ac:dyDescent="0.3">
      <c r="A106" s="1">
        <v>106</v>
      </c>
      <c r="B106" s="1" t="s">
        <v>2047</v>
      </c>
      <c r="C106" s="1" t="s">
        <v>2048</v>
      </c>
      <c r="D106" s="1">
        <v>5</v>
      </c>
      <c r="E106" s="1">
        <v>1</v>
      </c>
      <c r="F106" s="1">
        <v>18</v>
      </c>
      <c r="G106" s="1" t="s">
        <v>337</v>
      </c>
      <c r="H106" s="1" t="s">
        <v>338</v>
      </c>
      <c r="I106" s="1" t="s">
        <v>328</v>
      </c>
      <c r="J106" s="1" t="s">
        <v>328</v>
      </c>
      <c r="K106" s="1" t="s">
        <v>328</v>
      </c>
      <c r="L106" s="1" t="s">
        <v>328</v>
      </c>
      <c r="M106" s="1" t="s">
        <v>385</v>
      </c>
      <c r="N106" s="1" t="s">
        <v>328</v>
      </c>
      <c r="O106" s="1" t="s">
        <v>328</v>
      </c>
      <c r="P106" s="1" t="s">
        <v>328</v>
      </c>
      <c r="Q106" s="1" t="s">
        <v>328</v>
      </c>
      <c r="R106" s="1" t="s">
        <v>328</v>
      </c>
      <c r="S106" s="1" t="s">
        <v>328</v>
      </c>
      <c r="T106" s="1" t="s">
        <v>328</v>
      </c>
      <c r="U106" s="1">
        <v>0</v>
      </c>
      <c r="V106" s="1">
        <v>0</v>
      </c>
      <c r="W106" s="1">
        <v>0</v>
      </c>
      <c r="X106" s="1">
        <v>0</v>
      </c>
      <c r="Y106" s="1">
        <v>0</v>
      </c>
      <c r="Z106" s="1">
        <v>0</v>
      </c>
      <c r="AA106" s="1">
        <v>0</v>
      </c>
      <c r="AB106" s="1">
        <v>0</v>
      </c>
      <c r="AC106" s="1">
        <v>4</v>
      </c>
      <c r="AD106" s="1">
        <v>0</v>
      </c>
      <c r="AE106" s="1">
        <v>3</v>
      </c>
      <c r="AF106" s="1">
        <v>2</v>
      </c>
      <c r="AG106" s="208" t="s">
        <v>223</v>
      </c>
      <c r="AH106" s="1">
        <v>3600</v>
      </c>
      <c r="AI106" s="1" t="s">
        <v>1918</v>
      </c>
      <c r="AJ106" s="1">
        <v>0</v>
      </c>
      <c r="AK106" s="1" t="s">
        <v>420</v>
      </c>
      <c r="AL106" s="1" t="s">
        <v>2049</v>
      </c>
      <c r="AM106" s="1">
        <v>0.45</v>
      </c>
      <c r="AN106" s="1">
        <v>0.15</v>
      </c>
      <c r="AO106" s="1">
        <v>0.3</v>
      </c>
      <c r="AP106" s="1">
        <v>0.15</v>
      </c>
      <c r="AQ106" s="1">
        <v>3</v>
      </c>
      <c r="AR106" s="1" t="s">
        <v>1511</v>
      </c>
      <c r="AS106" s="1">
        <v>0</v>
      </c>
      <c r="AT106" s="1" t="s">
        <v>1806</v>
      </c>
      <c r="AU106" s="1">
        <v>10</v>
      </c>
      <c r="AV106" s="1">
        <v>18009</v>
      </c>
      <c r="AW106" s="1">
        <v>0</v>
      </c>
      <c r="AX106" t="b">
        <v>0</v>
      </c>
    </row>
    <row r="107" spans="1:50" x14ac:dyDescent="0.3">
      <c r="A107" s="1">
        <v>107</v>
      </c>
      <c r="B107" s="1" t="s">
        <v>2050</v>
      </c>
      <c r="C107" s="1" t="s">
        <v>2051</v>
      </c>
      <c r="D107" s="1">
        <v>5</v>
      </c>
      <c r="E107" s="1">
        <v>3</v>
      </c>
      <c r="F107" s="1">
        <v>20</v>
      </c>
      <c r="G107" s="1" t="s">
        <v>421</v>
      </c>
      <c r="H107" s="1" t="s">
        <v>404</v>
      </c>
      <c r="I107" s="1" t="s">
        <v>333</v>
      </c>
      <c r="J107" s="1" t="s">
        <v>328</v>
      </c>
      <c r="K107" s="1" t="s">
        <v>328</v>
      </c>
      <c r="L107" s="1" t="s">
        <v>328</v>
      </c>
      <c r="M107" s="1" t="s">
        <v>328</v>
      </c>
      <c r="N107" s="1" t="s">
        <v>328</v>
      </c>
      <c r="O107" s="1" t="s">
        <v>328</v>
      </c>
      <c r="P107" s="1" t="s">
        <v>328</v>
      </c>
      <c r="Q107" s="1" t="s">
        <v>328</v>
      </c>
      <c r="R107" s="1" t="s">
        <v>328</v>
      </c>
      <c r="S107" s="1" t="s">
        <v>328</v>
      </c>
      <c r="T107" s="1" t="s">
        <v>422</v>
      </c>
      <c r="U107" s="1">
        <v>0</v>
      </c>
      <c r="V107" s="1">
        <v>0</v>
      </c>
      <c r="W107" s="1">
        <v>0</v>
      </c>
      <c r="X107" s="1">
        <v>0</v>
      </c>
      <c r="Y107" s="1">
        <v>0</v>
      </c>
      <c r="Z107" s="1">
        <v>0</v>
      </c>
      <c r="AA107" s="1">
        <v>0</v>
      </c>
      <c r="AB107" s="1">
        <v>0</v>
      </c>
      <c r="AC107" s="1">
        <v>1</v>
      </c>
      <c r="AD107" s="1">
        <v>1</v>
      </c>
      <c r="AE107" s="1">
        <v>1</v>
      </c>
      <c r="AF107" s="1">
        <v>5</v>
      </c>
      <c r="AG107" s="208" t="s">
        <v>114</v>
      </c>
      <c r="AH107" s="1">
        <v>3600</v>
      </c>
      <c r="AI107" s="1" t="s">
        <v>1918</v>
      </c>
      <c r="AJ107" s="1">
        <v>0</v>
      </c>
      <c r="AK107" s="1" t="s">
        <v>423</v>
      </c>
      <c r="AL107" s="1" t="s">
        <v>2052</v>
      </c>
      <c r="AM107" s="1">
        <v>0.1</v>
      </c>
      <c r="AN107" s="1">
        <v>0.1</v>
      </c>
      <c r="AO107" s="1">
        <v>0.1</v>
      </c>
      <c r="AP107" s="1">
        <v>0.55000000000000004</v>
      </c>
      <c r="AQ107" s="1">
        <v>3</v>
      </c>
      <c r="AR107" s="1" t="s">
        <v>1483</v>
      </c>
      <c r="AS107" s="1">
        <v>0</v>
      </c>
      <c r="AT107" s="1" t="s">
        <v>1806</v>
      </c>
      <c r="AU107" s="1">
        <v>10</v>
      </c>
      <c r="AV107" s="1">
        <v>20010</v>
      </c>
      <c r="AW107" s="1">
        <v>0</v>
      </c>
      <c r="AX107" t="b">
        <v>0</v>
      </c>
    </row>
    <row r="108" spans="1:50" x14ac:dyDescent="0.3">
      <c r="A108" s="1">
        <v>108</v>
      </c>
      <c r="B108" s="1" t="s">
        <v>2053</v>
      </c>
      <c r="C108" s="1" t="s">
        <v>2054</v>
      </c>
      <c r="D108" s="1">
        <v>5</v>
      </c>
      <c r="E108" s="1">
        <v>3</v>
      </c>
      <c r="F108" s="1">
        <v>20</v>
      </c>
      <c r="G108" s="1" t="s">
        <v>328</v>
      </c>
      <c r="H108" s="1" t="s">
        <v>328</v>
      </c>
      <c r="I108" s="1" t="s">
        <v>328</v>
      </c>
      <c r="J108" s="1" t="s">
        <v>401</v>
      </c>
      <c r="K108" s="1" t="s">
        <v>331</v>
      </c>
      <c r="L108" s="1" t="s">
        <v>343</v>
      </c>
      <c r="M108" s="1" t="s">
        <v>328</v>
      </c>
      <c r="N108" s="1" t="s">
        <v>328</v>
      </c>
      <c r="O108" s="1" t="s">
        <v>328</v>
      </c>
      <c r="P108" s="1" t="s">
        <v>328</v>
      </c>
      <c r="Q108" s="1" t="s">
        <v>328</v>
      </c>
      <c r="R108" s="1" t="s">
        <v>328</v>
      </c>
      <c r="S108" s="1" t="s">
        <v>328</v>
      </c>
      <c r="T108" s="1" t="s">
        <v>328</v>
      </c>
      <c r="U108" s="1">
        <v>0</v>
      </c>
      <c r="V108" s="1">
        <v>0</v>
      </c>
      <c r="W108" s="1">
        <v>0</v>
      </c>
      <c r="X108" s="1">
        <v>0</v>
      </c>
      <c r="Y108" s="1">
        <v>0</v>
      </c>
      <c r="Z108" s="1">
        <v>0</v>
      </c>
      <c r="AA108" s="1">
        <v>0</v>
      </c>
      <c r="AB108" s="1">
        <v>0</v>
      </c>
      <c r="AC108" s="1">
        <v>4</v>
      </c>
      <c r="AD108" s="1">
        <v>0</v>
      </c>
      <c r="AE108" s="1">
        <v>5</v>
      </c>
      <c r="AF108" s="1">
        <v>0</v>
      </c>
      <c r="AG108" s="208" t="s">
        <v>91</v>
      </c>
      <c r="AH108" s="1">
        <v>3600</v>
      </c>
      <c r="AI108" s="1" t="s">
        <v>1918</v>
      </c>
      <c r="AJ108" s="1">
        <v>0</v>
      </c>
      <c r="AK108" s="1" t="s">
        <v>424</v>
      </c>
      <c r="AL108" s="1" t="s">
        <v>2055</v>
      </c>
      <c r="AM108" s="1">
        <v>0.55000000000000004</v>
      </c>
      <c r="AN108" s="1">
        <v>0.16</v>
      </c>
      <c r="AO108" s="1">
        <v>0.6</v>
      </c>
      <c r="AP108" s="1">
        <v>0.16</v>
      </c>
      <c r="AQ108" s="1">
        <v>3</v>
      </c>
      <c r="AR108" s="1" t="s">
        <v>1512</v>
      </c>
      <c r="AS108" s="1">
        <v>0</v>
      </c>
      <c r="AT108" s="1" t="s">
        <v>1806</v>
      </c>
      <c r="AU108" s="1">
        <v>10</v>
      </c>
      <c r="AV108" s="1">
        <v>20011</v>
      </c>
      <c r="AW108" s="1">
        <v>0</v>
      </c>
      <c r="AX108" t="b">
        <v>0</v>
      </c>
    </row>
    <row r="109" spans="1:50" x14ac:dyDescent="0.3">
      <c r="A109" s="1">
        <v>109</v>
      </c>
      <c r="B109" s="1" t="s">
        <v>5614</v>
      </c>
      <c r="C109" s="1" t="s">
        <v>5615</v>
      </c>
      <c r="D109" s="1">
        <v>5</v>
      </c>
      <c r="E109" s="1">
        <v>1</v>
      </c>
      <c r="F109" s="1">
        <v>1</v>
      </c>
      <c r="G109" s="1" t="s">
        <v>328</v>
      </c>
      <c r="H109" s="1" t="s">
        <v>328</v>
      </c>
      <c r="I109" s="1" t="s">
        <v>328</v>
      </c>
      <c r="J109" s="1" t="s">
        <v>328</v>
      </c>
      <c r="K109" s="1" t="s">
        <v>328</v>
      </c>
      <c r="L109" s="1" t="s">
        <v>328</v>
      </c>
      <c r="M109" s="1" t="s">
        <v>419</v>
      </c>
      <c r="N109" s="1" t="s">
        <v>328</v>
      </c>
      <c r="O109" s="1" t="s">
        <v>328</v>
      </c>
      <c r="P109" s="1" t="s">
        <v>328</v>
      </c>
      <c r="Q109" s="1" t="s">
        <v>328</v>
      </c>
      <c r="R109" s="1" t="s">
        <v>328</v>
      </c>
      <c r="S109" s="1" t="s">
        <v>328</v>
      </c>
      <c r="T109" s="1" t="s">
        <v>328</v>
      </c>
      <c r="U109" s="1">
        <v>0</v>
      </c>
      <c r="V109" s="1">
        <v>0</v>
      </c>
      <c r="W109" s="1">
        <v>0</v>
      </c>
      <c r="X109" s="1">
        <v>0</v>
      </c>
      <c r="Y109" s="1">
        <v>0</v>
      </c>
      <c r="Z109" s="1">
        <v>0</v>
      </c>
      <c r="AA109" s="1">
        <v>0</v>
      </c>
      <c r="AB109" s="1">
        <v>0</v>
      </c>
      <c r="AC109" s="1">
        <v>4</v>
      </c>
      <c r="AD109" s="1">
        <v>0</v>
      </c>
      <c r="AE109" s="1">
        <v>3</v>
      </c>
      <c r="AF109" s="1">
        <v>2</v>
      </c>
      <c r="AG109" s="208" t="s">
        <v>5616</v>
      </c>
      <c r="AH109" s="1">
        <v>3600</v>
      </c>
      <c r="AI109" s="1" t="s">
        <v>1918</v>
      </c>
      <c r="AJ109" s="1">
        <v>0</v>
      </c>
      <c r="AK109" s="1" t="s">
        <v>328</v>
      </c>
      <c r="AL109" s="1" t="s">
        <v>5617</v>
      </c>
      <c r="AM109" s="1">
        <v>0.45</v>
      </c>
      <c r="AN109" s="1">
        <v>0.15</v>
      </c>
      <c r="AO109" s="1">
        <v>0.3</v>
      </c>
      <c r="AP109" s="1">
        <v>0.15</v>
      </c>
      <c r="AQ109" s="1">
        <v>1</v>
      </c>
      <c r="AR109" s="1" t="s">
        <v>1467</v>
      </c>
      <c r="AS109" s="1">
        <v>0</v>
      </c>
      <c r="AT109" s="1" t="s">
        <v>1806</v>
      </c>
      <c r="AU109" s="1">
        <v>10</v>
      </c>
      <c r="AV109" s="1">
        <v>1001</v>
      </c>
      <c r="AW109" s="1">
        <v>0</v>
      </c>
      <c r="AX109" t="b">
        <v>1</v>
      </c>
    </row>
    <row r="110" spans="1:50" x14ac:dyDescent="0.3">
      <c r="A110" s="1">
        <v>110</v>
      </c>
      <c r="B110" s="1" t="s">
        <v>5618</v>
      </c>
      <c r="C110" s="1" t="s">
        <v>5619</v>
      </c>
      <c r="D110" s="1">
        <v>5</v>
      </c>
      <c r="E110" s="1">
        <v>2</v>
      </c>
      <c r="F110" s="1">
        <v>8</v>
      </c>
      <c r="G110" s="1" t="s">
        <v>425</v>
      </c>
      <c r="H110" s="1" t="s">
        <v>328</v>
      </c>
      <c r="I110" s="1" t="s">
        <v>328</v>
      </c>
      <c r="J110" s="1" t="s">
        <v>328</v>
      </c>
      <c r="K110" s="1" t="s">
        <v>328</v>
      </c>
      <c r="L110" s="1" t="s">
        <v>328</v>
      </c>
      <c r="M110" s="1" t="s">
        <v>328</v>
      </c>
      <c r="N110" s="1" t="s">
        <v>328</v>
      </c>
      <c r="O110" s="1" t="s">
        <v>328</v>
      </c>
      <c r="P110" s="1" t="s">
        <v>328</v>
      </c>
      <c r="Q110" s="1" t="s">
        <v>328</v>
      </c>
      <c r="R110" s="1" t="s">
        <v>328</v>
      </c>
      <c r="S110" s="1" t="s">
        <v>328</v>
      </c>
      <c r="T110" s="1" t="s">
        <v>328</v>
      </c>
      <c r="U110" s="1">
        <v>0</v>
      </c>
      <c r="V110" s="1">
        <v>0</v>
      </c>
      <c r="W110" s="1">
        <v>0</v>
      </c>
      <c r="X110" s="1">
        <v>0</v>
      </c>
      <c r="Y110" s="1">
        <v>0</v>
      </c>
      <c r="Z110" s="1">
        <v>0</v>
      </c>
      <c r="AA110" s="1">
        <v>0</v>
      </c>
      <c r="AB110" s="1">
        <v>0</v>
      </c>
      <c r="AC110" s="1">
        <v>0</v>
      </c>
      <c r="AD110" s="1">
        <v>5</v>
      </c>
      <c r="AE110" s="1">
        <v>3</v>
      </c>
      <c r="AF110" s="1">
        <v>2</v>
      </c>
      <c r="AG110" s="208" t="s">
        <v>5620</v>
      </c>
      <c r="AH110" s="1">
        <v>3600</v>
      </c>
      <c r="AI110" s="1" t="s">
        <v>1918</v>
      </c>
      <c r="AJ110" s="1">
        <v>0</v>
      </c>
      <c r="AK110" s="1" t="s">
        <v>328</v>
      </c>
      <c r="AL110" s="1" t="s">
        <v>5621</v>
      </c>
      <c r="AM110" s="1">
        <v>0.15</v>
      </c>
      <c r="AN110" s="1">
        <v>0.6</v>
      </c>
      <c r="AO110" s="1">
        <v>0.38</v>
      </c>
      <c r="AP110" s="1">
        <v>0.23</v>
      </c>
      <c r="AQ110" s="1">
        <v>1</v>
      </c>
      <c r="AR110" s="1" t="s">
        <v>1475</v>
      </c>
      <c r="AS110" s="1">
        <v>0</v>
      </c>
      <c r="AT110" s="1" t="s">
        <v>1806</v>
      </c>
      <c r="AU110" s="1">
        <v>10</v>
      </c>
      <c r="AV110" s="1">
        <v>8001</v>
      </c>
      <c r="AW110" s="1">
        <v>0</v>
      </c>
      <c r="AX110" t="b">
        <v>1</v>
      </c>
    </row>
    <row r="111" spans="1:50" x14ac:dyDescent="0.3">
      <c r="A111" s="1">
        <v>111</v>
      </c>
      <c r="B111" s="1" t="s">
        <v>2056</v>
      </c>
      <c r="C111" s="1" t="s">
        <v>2057</v>
      </c>
      <c r="D111" s="1">
        <v>5</v>
      </c>
      <c r="E111" s="1">
        <v>1</v>
      </c>
      <c r="F111" s="1">
        <v>18</v>
      </c>
      <c r="G111" s="1" t="s">
        <v>328</v>
      </c>
      <c r="H111" s="1" t="s">
        <v>334</v>
      </c>
      <c r="I111" s="1" t="s">
        <v>328</v>
      </c>
      <c r="J111" s="1" t="s">
        <v>328</v>
      </c>
      <c r="K111" s="1" t="s">
        <v>328</v>
      </c>
      <c r="L111" s="1" t="s">
        <v>328</v>
      </c>
      <c r="M111" s="1" t="s">
        <v>397</v>
      </c>
      <c r="N111" s="1" t="s">
        <v>328</v>
      </c>
      <c r="O111" s="1" t="s">
        <v>328</v>
      </c>
      <c r="P111" s="1" t="s">
        <v>328</v>
      </c>
      <c r="Q111" s="1" t="s">
        <v>328</v>
      </c>
      <c r="R111" s="1" t="s">
        <v>328</v>
      </c>
      <c r="S111" s="1" t="s">
        <v>328</v>
      </c>
      <c r="T111" s="1" t="s">
        <v>328</v>
      </c>
      <c r="U111" s="1">
        <v>0</v>
      </c>
      <c r="V111" s="1">
        <v>0</v>
      </c>
      <c r="W111" s="1">
        <v>0</v>
      </c>
      <c r="X111" s="1">
        <v>0</v>
      </c>
      <c r="Y111" s="1">
        <v>0</v>
      </c>
      <c r="Z111" s="1">
        <v>0</v>
      </c>
      <c r="AA111" s="1">
        <v>0</v>
      </c>
      <c r="AB111" s="1">
        <v>0</v>
      </c>
      <c r="AC111" s="1">
        <v>4</v>
      </c>
      <c r="AD111" s="1">
        <v>0</v>
      </c>
      <c r="AE111" s="1">
        <v>3</v>
      </c>
      <c r="AF111" s="1">
        <v>2</v>
      </c>
      <c r="AG111" s="208" t="s">
        <v>1679</v>
      </c>
      <c r="AH111" s="1">
        <v>3600</v>
      </c>
      <c r="AI111" s="1" t="s">
        <v>2058</v>
      </c>
      <c r="AJ111" s="1">
        <v>0</v>
      </c>
      <c r="AK111" s="1" t="s">
        <v>426</v>
      </c>
      <c r="AL111" s="1" t="s">
        <v>2059</v>
      </c>
      <c r="AM111" s="1">
        <v>0.45</v>
      </c>
      <c r="AN111" s="1">
        <v>0.15</v>
      </c>
      <c r="AO111" s="1">
        <v>0.3</v>
      </c>
      <c r="AP111" s="1">
        <v>0.15</v>
      </c>
      <c r="AQ111" s="1">
        <v>3</v>
      </c>
      <c r="AR111" s="1" t="s">
        <v>1513</v>
      </c>
      <c r="AS111" s="1">
        <v>0</v>
      </c>
      <c r="AT111" s="1" t="s">
        <v>1806</v>
      </c>
      <c r="AU111" s="1">
        <v>10</v>
      </c>
      <c r="AV111" s="1">
        <v>18010</v>
      </c>
      <c r="AW111" s="1">
        <v>0</v>
      </c>
      <c r="AX111" t="b">
        <v>0</v>
      </c>
    </row>
    <row r="112" spans="1:50" x14ac:dyDescent="0.3">
      <c r="A112" s="1">
        <v>112</v>
      </c>
      <c r="B112" s="1" t="s">
        <v>2060</v>
      </c>
      <c r="C112" s="1" t="s">
        <v>2061</v>
      </c>
      <c r="D112" s="1">
        <v>5</v>
      </c>
      <c r="E112" s="1">
        <v>1</v>
      </c>
      <c r="F112" s="1">
        <v>18</v>
      </c>
      <c r="G112" s="1" t="s">
        <v>328</v>
      </c>
      <c r="H112" s="1" t="s">
        <v>343</v>
      </c>
      <c r="I112" s="1" t="s">
        <v>328</v>
      </c>
      <c r="J112" s="1" t="s">
        <v>328</v>
      </c>
      <c r="K112" s="1" t="s">
        <v>344</v>
      </c>
      <c r="L112" s="1" t="s">
        <v>328</v>
      </c>
      <c r="M112" s="1" t="s">
        <v>392</v>
      </c>
      <c r="N112" s="1" t="s">
        <v>328</v>
      </c>
      <c r="O112" s="1" t="s">
        <v>328</v>
      </c>
      <c r="P112" s="1" t="s">
        <v>328</v>
      </c>
      <c r="Q112" s="1" t="s">
        <v>328</v>
      </c>
      <c r="R112" s="1" t="s">
        <v>328</v>
      </c>
      <c r="S112" s="1" t="s">
        <v>328</v>
      </c>
      <c r="T112" s="1" t="s">
        <v>328</v>
      </c>
      <c r="U112" s="1">
        <v>0</v>
      </c>
      <c r="V112" s="1">
        <v>0</v>
      </c>
      <c r="W112" s="1">
        <v>0</v>
      </c>
      <c r="X112" s="1">
        <v>0</v>
      </c>
      <c r="Y112" s="1">
        <v>0</v>
      </c>
      <c r="Z112" s="1">
        <v>0</v>
      </c>
      <c r="AA112" s="1">
        <v>0</v>
      </c>
      <c r="AB112" s="1">
        <v>0</v>
      </c>
      <c r="AC112" s="1">
        <v>4</v>
      </c>
      <c r="AD112" s="1">
        <v>0</v>
      </c>
      <c r="AE112" s="1">
        <v>3</v>
      </c>
      <c r="AF112" s="1">
        <v>2</v>
      </c>
      <c r="AG112" s="208" t="s">
        <v>259</v>
      </c>
      <c r="AH112" s="1">
        <v>3600</v>
      </c>
      <c r="AI112" s="1" t="s">
        <v>2062</v>
      </c>
      <c r="AJ112" s="1">
        <v>0</v>
      </c>
      <c r="AK112" s="1" t="s">
        <v>427</v>
      </c>
      <c r="AL112" s="1" t="s">
        <v>2063</v>
      </c>
      <c r="AM112" s="1">
        <v>0.45</v>
      </c>
      <c r="AN112" s="1">
        <v>0.15</v>
      </c>
      <c r="AO112" s="1">
        <v>0.3</v>
      </c>
      <c r="AP112" s="1">
        <v>0.15</v>
      </c>
      <c r="AQ112" s="1">
        <v>3</v>
      </c>
      <c r="AR112" s="1" t="s">
        <v>1514</v>
      </c>
      <c r="AS112" s="1">
        <v>0</v>
      </c>
      <c r="AT112" s="1" t="s">
        <v>1806</v>
      </c>
      <c r="AU112" s="1">
        <v>10</v>
      </c>
      <c r="AV112" s="1">
        <v>18011</v>
      </c>
      <c r="AW112" s="1">
        <v>0</v>
      </c>
      <c r="AX112" t="b">
        <v>0</v>
      </c>
    </row>
    <row r="113" spans="1:50" x14ac:dyDescent="0.3">
      <c r="A113" s="1">
        <v>113</v>
      </c>
      <c r="B113" s="1" t="s">
        <v>2064</v>
      </c>
      <c r="C113" s="1" t="s">
        <v>2065</v>
      </c>
      <c r="D113" s="1">
        <v>5</v>
      </c>
      <c r="E113" s="1">
        <v>1</v>
      </c>
      <c r="F113" s="1">
        <v>18</v>
      </c>
      <c r="G113" s="1" t="s">
        <v>328</v>
      </c>
      <c r="H113" s="1" t="s">
        <v>331</v>
      </c>
      <c r="I113" s="1" t="s">
        <v>341</v>
      </c>
      <c r="J113" s="1" t="s">
        <v>328</v>
      </c>
      <c r="K113" s="1" t="s">
        <v>328</v>
      </c>
      <c r="L113" s="1" t="s">
        <v>328</v>
      </c>
      <c r="M113" s="1" t="s">
        <v>385</v>
      </c>
      <c r="N113" s="1" t="s">
        <v>328</v>
      </c>
      <c r="O113" s="1" t="s">
        <v>328</v>
      </c>
      <c r="P113" s="1" t="s">
        <v>328</v>
      </c>
      <c r="Q113" s="1" t="s">
        <v>328</v>
      </c>
      <c r="R113" s="1" t="s">
        <v>328</v>
      </c>
      <c r="S113" s="1" t="s">
        <v>328</v>
      </c>
      <c r="T113" s="1" t="s">
        <v>328</v>
      </c>
      <c r="U113" s="1">
        <v>0</v>
      </c>
      <c r="V113" s="1">
        <v>0</v>
      </c>
      <c r="W113" s="1">
        <v>0</v>
      </c>
      <c r="X113" s="1">
        <v>0</v>
      </c>
      <c r="Y113" s="1">
        <v>0</v>
      </c>
      <c r="Z113" s="1">
        <v>0</v>
      </c>
      <c r="AA113" s="1">
        <v>0</v>
      </c>
      <c r="AB113" s="1">
        <v>0</v>
      </c>
      <c r="AC113" s="1">
        <v>4</v>
      </c>
      <c r="AD113" s="1">
        <v>2</v>
      </c>
      <c r="AE113" s="1">
        <v>2</v>
      </c>
      <c r="AF113" s="1">
        <v>2</v>
      </c>
      <c r="AG113" s="208" t="s">
        <v>784</v>
      </c>
      <c r="AH113" s="1">
        <v>3600</v>
      </c>
      <c r="AI113" s="1" t="s">
        <v>2066</v>
      </c>
      <c r="AJ113" s="1">
        <v>0</v>
      </c>
      <c r="AK113" s="1" t="s">
        <v>428</v>
      </c>
      <c r="AL113" s="1" t="s">
        <v>2067</v>
      </c>
      <c r="AM113" s="1">
        <v>0.55000000000000004</v>
      </c>
      <c r="AN113" s="1">
        <v>0.23</v>
      </c>
      <c r="AO113" s="1">
        <v>0.23</v>
      </c>
      <c r="AP113" s="1">
        <v>0.23</v>
      </c>
      <c r="AQ113" s="1">
        <v>3</v>
      </c>
      <c r="AR113" s="1" t="s">
        <v>1515</v>
      </c>
      <c r="AS113" s="1">
        <v>0</v>
      </c>
      <c r="AT113" s="1" t="s">
        <v>1806</v>
      </c>
      <c r="AU113" s="1">
        <v>10</v>
      </c>
      <c r="AV113" s="1">
        <v>18012</v>
      </c>
      <c r="AW113" s="1">
        <v>0</v>
      </c>
      <c r="AX113" t="b">
        <v>0</v>
      </c>
    </row>
    <row r="114" spans="1:50" x14ac:dyDescent="0.3">
      <c r="A114" s="1">
        <v>114</v>
      </c>
      <c r="B114" s="1" t="s">
        <v>2068</v>
      </c>
      <c r="C114" s="1" t="s">
        <v>2069</v>
      </c>
      <c r="D114" s="1">
        <v>5</v>
      </c>
      <c r="E114" s="1">
        <v>1</v>
      </c>
      <c r="F114" s="1">
        <v>18</v>
      </c>
      <c r="G114" s="1" t="s">
        <v>328</v>
      </c>
      <c r="H114" s="1" t="s">
        <v>354</v>
      </c>
      <c r="I114" s="1" t="s">
        <v>358</v>
      </c>
      <c r="J114" s="1" t="s">
        <v>328</v>
      </c>
      <c r="K114" s="1" t="s">
        <v>328</v>
      </c>
      <c r="L114" s="1" t="s">
        <v>328</v>
      </c>
      <c r="M114" s="1" t="s">
        <v>385</v>
      </c>
      <c r="N114" s="1" t="s">
        <v>328</v>
      </c>
      <c r="O114" s="1" t="s">
        <v>328</v>
      </c>
      <c r="P114" s="1" t="s">
        <v>328</v>
      </c>
      <c r="Q114" s="1" t="s">
        <v>328</v>
      </c>
      <c r="R114" s="1" t="s">
        <v>328</v>
      </c>
      <c r="S114" s="1" t="s">
        <v>328</v>
      </c>
      <c r="T114" s="1" t="s">
        <v>328</v>
      </c>
      <c r="U114" s="1">
        <v>0</v>
      </c>
      <c r="V114" s="1">
        <v>0</v>
      </c>
      <c r="W114" s="1">
        <v>0</v>
      </c>
      <c r="X114" s="1">
        <v>0</v>
      </c>
      <c r="Y114" s="1">
        <v>0</v>
      </c>
      <c r="Z114" s="1">
        <v>0</v>
      </c>
      <c r="AA114" s="1">
        <v>0</v>
      </c>
      <c r="AB114" s="1">
        <v>0</v>
      </c>
      <c r="AC114" s="1">
        <v>4</v>
      </c>
      <c r="AD114" s="1">
        <v>2</v>
      </c>
      <c r="AE114" s="1">
        <v>2</v>
      </c>
      <c r="AF114" s="1">
        <v>2</v>
      </c>
      <c r="AG114" s="208" t="s">
        <v>1683</v>
      </c>
      <c r="AH114" s="1">
        <v>3600</v>
      </c>
      <c r="AI114" s="1" t="s">
        <v>2070</v>
      </c>
      <c r="AJ114" s="1">
        <v>0</v>
      </c>
      <c r="AK114" s="1" t="s">
        <v>429</v>
      </c>
      <c r="AL114" s="1" t="s">
        <v>2071</v>
      </c>
      <c r="AM114" s="1">
        <v>0.55000000000000004</v>
      </c>
      <c r="AN114" s="1">
        <v>0.23</v>
      </c>
      <c r="AO114" s="1">
        <v>0.23</v>
      </c>
      <c r="AP114" s="1">
        <v>0.23</v>
      </c>
      <c r="AQ114" s="1">
        <v>3</v>
      </c>
      <c r="AR114" s="1" t="s">
        <v>1516</v>
      </c>
      <c r="AS114" s="1">
        <v>0</v>
      </c>
      <c r="AT114" s="1" t="s">
        <v>1806</v>
      </c>
      <c r="AU114" s="1">
        <v>10</v>
      </c>
      <c r="AV114" s="1">
        <v>18013</v>
      </c>
      <c r="AW114" s="1">
        <v>0</v>
      </c>
      <c r="AX114" t="b">
        <v>0</v>
      </c>
    </row>
    <row r="115" spans="1:50" x14ac:dyDescent="0.3">
      <c r="A115" s="1">
        <v>115</v>
      </c>
      <c r="B115" s="1" t="s">
        <v>2072</v>
      </c>
      <c r="C115" s="1" t="s">
        <v>2073</v>
      </c>
      <c r="D115" s="1">
        <v>5</v>
      </c>
      <c r="E115" s="1">
        <v>3</v>
      </c>
      <c r="F115" s="1">
        <v>20</v>
      </c>
      <c r="G115" s="1" t="s">
        <v>334</v>
      </c>
      <c r="H115" s="1" t="s">
        <v>328</v>
      </c>
      <c r="I115" s="1" t="s">
        <v>328</v>
      </c>
      <c r="J115" s="1" t="s">
        <v>401</v>
      </c>
      <c r="K115" s="1" t="s">
        <v>328</v>
      </c>
      <c r="L115" s="1" t="s">
        <v>343</v>
      </c>
      <c r="M115" s="1" t="s">
        <v>328</v>
      </c>
      <c r="N115" s="1" t="s">
        <v>328</v>
      </c>
      <c r="O115" s="1" t="s">
        <v>328</v>
      </c>
      <c r="P115" s="1" t="s">
        <v>328</v>
      </c>
      <c r="Q115" s="1" t="s">
        <v>328</v>
      </c>
      <c r="R115" s="1" t="s">
        <v>328</v>
      </c>
      <c r="S115" s="1" t="s">
        <v>328</v>
      </c>
      <c r="T115" s="1" t="s">
        <v>328</v>
      </c>
      <c r="U115" s="1">
        <v>0</v>
      </c>
      <c r="V115" s="1">
        <v>0</v>
      </c>
      <c r="W115" s="1">
        <v>0</v>
      </c>
      <c r="X115" s="1">
        <v>0</v>
      </c>
      <c r="Y115" s="1">
        <v>0</v>
      </c>
      <c r="Z115" s="1">
        <v>0</v>
      </c>
      <c r="AA115" s="1">
        <v>0</v>
      </c>
      <c r="AB115" s="1">
        <v>0</v>
      </c>
      <c r="AC115" s="1">
        <v>4</v>
      </c>
      <c r="AD115" s="1">
        <v>0</v>
      </c>
      <c r="AE115" s="1">
        <v>5</v>
      </c>
      <c r="AF115" s="1">
        <v>0</v>
      </c>
      <c r="AG115" s="208" t="s">
        <v>1680</v>
      </c>
      <c r="AH115" s="1">
        <v>3600</v>
      </c>
      <c r="AI115" s="1" t="s">
        <v>2074</v>
      </c>
      <c r="AJ115" s="1">
        <v>0</v>
      </c>
      <c r="AK115" s="1" t="s">
        <v>430</v>
      </c>
      <c r="AL115" s="1" t="s">
        <v>2075</v>
      </c>
      <c r="AM115" s="1">
        <v>0.55000000000000004</v>
      </c>
      <c r="AN115" s="1">
        <v>0.16</v>
      </c>
      <c r="AO115" s="1">
        <v>0.6</v>
      </c>
      <c r="AP115" s="1">
        <v>0.16</v>
      </c>
      <c r="AQ115" s="1">
        <v>3</v>
      </c>
      <c r="AR115" s="1" t="s">
        <v>1517</v>
      </c>
      <c r="AS115" s="1">
        <v>0</v>
      </c>
      <c r="AT115" s="1" t="s">
        <v>1806</v>
      </c>
      <c r="AU115" s="1">
        <v>10</v>
      </c>
      <c r="AV115" s="1">
        <v>20012</v>
      </c>
      <c r="AW115" s="1">
        <v>0</v>
      </c>
      <c r="AX115" t="b">
        <v>0</v>
      </c>
    </row>
    <row r="116" spans="1:50" x14ac:dyDescent="0.3">
      <c r="A116" s="1">
        <v>117</v>
      </c>
      <c r="B116" s="1" t="s">
        <v>2076</v>
      </c>
      <c r="C116" s="1" t="s">
        <v>2077</v>
      </c>
      <c r="D116" s="1">
        <v>5</v>
      </c>
      <c r="E116" s="1">
        <v>1</v>
      </c>
      <c r="F116" s="1">
        <v>18</v>
      </c>
      <c r="G116" s="1" t="s">
        <v>328</v>
      </c>
      <c r="H116" s="1" t="s">
        <v>328</v>
      </c>
      <c r="I116" s="1" t="s">
        <v>328</v>
      </c>
      <c r="J116" s="1" t="s">
        <v>328</v>
      </c>
      <c r="K116" s="1" t="s">
        <v>328</v>
      </c>
      <c r="L116" s="1" t="s">
        <v>328</v>
      </c>
      <c r="M116" s="1" t="s">
        <v>328</v>
      </c>
      <c r="N116" s="1" t="s">
        <v>328</v>
      </c>
      <c r="O116" s="1" t="s">
        <v>328</v>
      </c>
      <c r="P116" s="1" t="s">
        <v>328</v>
      </c>
      <c r="Q116" s="1" t="s">
        <v>328</v>
      </c>
      <c r="R116" s="1" t="s">
        <v>328</v>
      </c>
      <c r="S116" s="1" t="s">
        <v>368</v>
      </c>
      <c r="T116" s="1" t="s">
        <v>328</v>
      </c>
      <c r="U116" s="1">
        <v>30</v>
      </c>
      <c r="V116" s="1">
        <v>0</v>
      </c>
      <c r="W116" s="1">
        <v>0</v>
      </c>
      <c r="X116" s="1">
        <v>0</v>
      </c>
      <c r="Y116" s="1">
        <v>0</v>
      </c>
      <c r="Z116" s="1">
        <v>0</v>
      </c>
      <c r="AA116" s="1">
        <v>0</v>
      </c>
      <c r="AB116" s="1">
        <v>0</v>
      </c>
      <c r="AC116" s="1">
        <v>3</v>
      </c>
      <c r="AD116" s="1">
        <v>0</v>
      </c>
      <c r="AE116" s="1">
        <v>4</v>
      </c>
      <c r="AF116" s="1">
        <v>2</v>
      </c>
      <c r="AG116" s="208" t="s">
        <v>717</v>
      </c>
      <c r="AH116" s="1">
        <v>3600</v>
      </c>
      <c r="AI116" s="1" t="s">
        <v>2078</v>
      </c>
      <c r="AJ116" s="1">
        <v>0</v>
      </c>
      <c r="AK116" s="1" t="s">
        <v>431</v>
      </c>
      <c r="AL116" s="1" t="s">
        <v>2079</v>
      </c>
      <c r="AM116" s="1">
        <v>0</v>
      </c>
      <c r="AN116" s="1">
        <v>0</v>
      </c>
      <c r="AO116" s="1">
        <v>0</v>
      </c>
      <c r="AP116" s="1">
        <v>0</v>
      </c>
      <c r="AQ116" s="1">
        <v>3</v>
      </c>
      <c r="AR116" s="1" t="s">
        <v>328</v>
      </c>
      <c r="AS116" s="1">
        <v>109406</v>
      </c>
      <c r="AT116" s="1" t="s">
        <v>1806</v>
      </c>
      <c r="AU116" s="1">
        <v>0</v>
      </c>
      <c r="AV116" s="1">
        <v>18014</v>
      </c>
      <c r="AW116" s="1">
        <v>0</v>
      </c>
      <c r="AX116" t="b">
        <v>0</v>
      </c>
    </row>
    <row r="117" spans="1:50" x14ac:dyDescent="0.3">
      <c r="A117" s="1">
        <v>118</v>
      </c>
      <c r="B117" s="1" t="s">
        <v>2080</v>
      </c>
      <c r="C117" s="1" t="s">
        <v>2081</v>
      </c>
      <c r="D117" s="1">
        <v>5</v>
      </c>
      <c r="E117" s="1">
        <v>1</v>
      </c>
      <c r="F117" s="1">
        <v>18</v>
      </c>
      <c r="G117" s="1" t="s">
        <v>328</v>
      </c>
      <c r="H117" s="1" t="s">
        <v>328</v>
      </c>
      <c r="I117" s="1" t="s">
        <v>328</v>
      </c>
      <c r="J117" s="1" t="s">
        <v>328</v>
      </c>
      <c r="K117" s="1" t="s">
        <v>328</v>
      </c>
      <c r="L117" s="1" t="s">
        <v>328</v>
      </c>
      <c r="M117" s="1" t="s">
        <v>328</v>
      </c>
      <c r="N117" s="1" t="s">
        <v>328</v>
      </c>
      <c r="O117" s="1" t="s">
        <v>328</v>
      </c>
      <c r="P117" s="1" t="s">
        <v>328</v>
      </c>
      <c r="Q117" s="1" t="s">
        <v>328</v>
      </c>
      <c r="R117" s="1" t="s">
        <v>328</v>
      </c>
      <c r="S117" s="1" t="s">
        <v>368</v>
      </c>
      <c r="T117" s="1" t="s">
        <v>328</v>
      </c>
      <c r="U117" s="1">
        <v>30</v>
      </c>
      <c r="V117" s="1">
        <v>0</v>
      </c>
      <c r="W117" s="1">
        <v>0</v>
      </c>
      <c r="X117" s="1">
        <v>0</v>
      </c>
      <c r="Y117" s="1">
        <v>0</v>
      </c>
      <c r="Z117" s="1">
        <v>0</v>
      </c>
      <c r="AA117" s="1">
        <v>0</v>
      </c>
      <c r="AB117" s="1">
        <v>0</v>
      </c>
      <c r="AC117" s="1">
        <v>3</v>
      </c>
      <c r="AD117" s="1">
        <v>0</v>
      </c>
      <c r="AE117" s="1">
        <v>4</v>
      </c>
      <c r="AF117" s="1">
        <v>2</v>
      </c>
      <c r="AG117" s="208" t="s">
        <v>718</v>
      </c>
      <c r="AH117" s="1">
        <v>3600</v>
      </c>
      <c r="AI117" s="1" t="s">
        <v>2078</v>
      </c>
      <c r="AJ117" s="1">
        <v>0</v>
      </c>
      <c r="AK117" s="1" t="s">
        <v>432</v>
      </c>
      <c r="AL117" s="1" t="s">
        <v>2082</v>
      </c>
      <c r="AM117" s="1">
        <v>0</v>
      </c>
      <c r="AN117" s="1">
        <v>0</v>
      </c>
      <c r="AO117" s="1">
        <v>0</v>
      </c>
      <c r="AP117" s="1">
        <v>0</v>
      </c>
      <c r="AQ117" s="1">
        <v>3</v>
      </c>
      <c r="AR117" s="1" t="s">
        <v>328</v>
      </c>
      <c r="AS117" s="1">
        <v>109504</v>
      </c>
      <c r="AT117" s="1" t="s">
        <v>1806</v>
      </c>
      <c r="AU117" s="1">
        <v>0</v>
      </c>
      <c r="AV117" s="1">
        <v>18015</v>
      </c>
      <c r="AW117" s="1">
        <v>0</v>
      </c>
      <c r="AX117" t="b">
        <v>0</v>
      </c>
    </row>
    <row r="118" spans="1:50" x14ac:dyDescent="0.3">
      <c r="A118" s="1">
        <v>119</v>
      </c>
      <c r="B118" s="1" t="s">
        <v>2083</v>
      </c>
      <c r="C118" s="1" t="s">
        <v>2084</v>
      </c>
      <c r="D118" s="1">
        <v>5</v>
      </c>
      <c r="E118" s="1">
        <v>1</v>
      </c>
      <c r="F118" s="1">
        <v>18</v>
      </c>
      <c r="G118" s="1" t="s">
        <v>354</v>
      </c>
      <c r="H118" s="1" t="s">
        <v>331</v>
      </c>
      <c r="I118" s="1" t="s">
        <v>328</v>
      </c>
      <c r="J118" s="1" t="s">
        <v>328</v>
      </c>
      <c r="K118" s="1" t="s">
        <v>328</v>
      </c>
      <c r="L118" s="1" t="s">
        <v>328</v>
      </c>
      <c r="M118" s="1" t="s">
        <v>327</v>
      </c>
      <c r="N118" s="1" t="s">
        <v>328</v>
      </c>
      <c r="O118" s="1" t="s">
        <v>328</v>
      </c>
      <c r="P118" s="1" t="s">
        <v>328</v>
      </c>
      <c r="Q118" s="1" t="s">
        <v>328</v>
      </c>
      <c r="R118" s="1" t="s">
        <v>328</v>
      </c>
      <c r="S118" s="1" t="s">
        <v>328</v>
      </c>
      <c r="T118" s="1" t="s">
        <v>328</v>
      </c>
      <c r="U118" s="1">
        <v>0</v>
      </c>
      <c r="V118" s="1">
        <v>0</v>
      </c>
      <c r="W118" s="1">
        <v>0</v>
      </c>
      <c r="X118" s="1">
        <v>0</v>
      </c>
      <c r="Y118" s="1">
        <v>0</v>
      </c>
      <c r="Z118" s="1">
        <v>0</v>
      </c>
      <c r="AA118" s="1">
        <v>0</v>
      </c>
      <c r="AB118" s="1">
        <v>0</v>
      </c>
      <c r="AC118" s="1">
        <v>4</v>
      </c>
      <c r="AD118" s="1">
        <v>0</v>
      </c>
      <c r="AE118" s="1">
        <v>3</v>
      </c>
      <c r="AF118" s="1">
        <v>2</v>
      </c>
      <c r="AG118" s="208" t="s">
        <v>710</v>
      </c>
      <c r="AH118" s="1">
        <v>3600</v>
      </c>
      <c r="AI118" s="1" t="s">
        <v>2085</v>
      </c>
      <c r="AJ118" s="1">
        <v>0</v>
      </c>
      <c r="AK118" s="1" t="s">
        <v>433</v>
      </c>
      <c r="AL118" s="1" t="s">
        <v>2086</v>
      </c>
      <c r="AM118" s="1">
        <v>0.45</v>
      </c>
      <c r="AN118" s="1">
        <v>0.15</v>
      </c>
      <c r="AO118" s="1">
        <v>0.3</v>
      </c>
      <c r="AP118" s="1">
        <v>0.15</v>
      </c>
      <c r="AQ118" s="1">
        <v>3</v>
      </c>
      <c r="AR118" s="1" t="s">
        <v>1518</v>
      </c>
      <c r="AS118" s="1">
        <v>0</v>
      </c>
      <c r="AT118" s="1" t="s">
        <v>1806</v>
      </c>
      <c r="AU118" s="1">
        <v>10</v>
      </c>
      <c r="AV118" s="1">
        <v>18016</v>
      </c>
      <c r="AW118" s="1">
        <v>0</v>
      </c>
      <c r="AX118" t="b">
        <v>0</v>
      </c>
    </row>
    <row r="119" spans="1:50" x14ac:dyDescent="0.3">
      <c r="A119" s="1">
        <v>120</v>
      </c>
      <c r="B119" s="1" t="s">
        <v>5622</v>
      </c>
      <c r="C119" s="1" t="s">
        <v>5623</v>
      </c>
      <c r="D119" s="1">
        <v>5</v>
      </c>
      <c r="E119" s="1">
        <v>1</v>
      </c>
      <c r="F119" s="1">
        <v>3</v>
      </c>
      <c r="G119" s="1" t="s">
        <v>328</v>
      </c>
      <c r="H119" s="1" t="s">
        <v>392</v>
      </c>
      <c r="I119" s="1" t="s">
        <v>328</v>
      </c>
      <c r="J119" s="1" t="s">
        <v>328</v>
      </c>
      <c r="K119" s="1" t="s">
        <v>330</v>
      </c>
      <c r="L119" s="1" t="s">
        <v>328</v>
      </c>
      <c r="M119" s="1" t="s">
        <v>328</v>
      </c>
      <c r="N119" s="1" t="s">
        <v>328</v>
      </c>
      <c r="O119" s="1" t="s">
        <v>328</v>
      </c>
      <c r="P119" s="1" t="s">
        <v>328</v>
      </c>
      <c r="Q119" s="1" t="s">
        <v>328</v>
      </c>
      <c r="R119" s="1" t="s">
        <v>328</v>
      </c>
      <c r="S119" s="1" t="s">
        <v>328</v>
      </c>
      <c r="T119" s="1" t="s">
        <v>328</v>
      </c>
      <c r="U119" s="1">
        <v>0</v>
      </c>
      <c r="V119" s="1">
        <v>0</v>
      </c>
      <c r="W119" s="1">
        <v>0</v>
      </c>
      <c r="X119" s="1">
        <v>0</v>
      </c>
      <c r="Y119" s="1">
        <v>0</v>
      </c>
      <c r="Z119" s="1">
        <v>0</v>
      </c>
      <c r="AA119" s="1">
        <v>0</v>
      </c>
      <c r="AB119" s="1">
        <v>0</v>
      </c>
      <c r="AC119" s="1">
        <v>3</v>
      </c>
      <c r="AD119" s="1">
        <v>0</v>
      </c>
      <c r="AE119" s="1">
        <v>4</v>
      </c>
      <c r="AF119" s="1">
        <v>2</v>
      </c>
      <c r="AG119" s="208" t="s">
        <v>5624</v>
      </c>
      <c r="AH119" s="1">
        <v>3600</v>
      </c>
      <c r="AI119" s="1" t="s">
        <v>1918</v>
      </c>
      <c r="AJ119" s="1">
        <v>0</v>
      </c>
      <c r="AK119" s="1" t="s">
        <v>328</v>
      </c>
      <c r="AL119" s="1" t="s">
        <v>5625</v>
      </c>
      <c r="AM119" s="1">
        <v>0.45</v>
      </c>
      <c r="AN119" s="1">
        <v>0.15</v>
      </c>
      <c r="AO119" s="1">
        <v>0.3</v>
      </c>
      <c r="AP119" s="1">
        <v>0.15</v>
      </c>
      <c r="AQ119" s="1">
        <v>1</v>
      </c>
      <c r="AR119" s="1" t="s">
        <v>1470</v>
      </c>
      <c r="AS119" s="1">
        <v>0</v>
      </c>
      <c r="AT119" s="1" t="s">
        <v>1806</v>
      </c>
      <c r="AU119" s="1">
        <v>10</v>
      </c>
      <c r="AV119" s="1">
        <v>3001</v>
      </c>
      <c r="AW119" s="1">
        <v>0</v>
      </c>
      <c r="AX119" t="b">
        <v>1</v>
      </c>
    </row>
    <row r="120" spans="1:50" x14ac:dyDescent="0.3">
      <c r="A120" s="1">
        <v>121</v>
      </c>
      <c r="B120" s="1" t="s">
        <v>5626</v>
      </c>
      <c r="C120" s="1" t="s">
        <v>5627</v>
      </c>
      <c r="D120" s="1">
        <v>5</v>
      </c>
      <c r="E120" s="1">
        <v>3</v>
      </c>
      <c r="F120" s="1">
        <v>10</v>
      </c>
      <c r="G120" s="1" t="s">
        <v>434</v>
      </c>
      <c r="H120" s="1" t="s">
        <v>328</v>
      </c>
      <c r="I120" s="1" t="s">
        <v>396</v>
      </c>
      <c r="J120" s="1" t="s">
        <v>328</v>
      </c>
      <c r="K120" s="1" t="s">
        <v>328</v>
      </c>
      <c r="L120" s="1" t="s">
        <v>328</v>
      </c>
      <c r="M120" s="1" t="s">
        <v>328</v>
      </c>
      <c r="N120" s="1" t="s">
        <v>328</v>
      </c>
      <c r="O120" s="1" t="s">
        <v>328</v>
      </c>
      <c r="P120" s="1" t="s">
        <v>328</v>
      </c>
      <c r="Q120" s="1" t="s">
        <v>328</v>
      </c>
      <c r="R120" s="1" t="s">
        <v>328</v>
      </c>
      <c r="S120" s="1" t="s">
        <v>328</v>
      </c>
      <c r="T120" s="1" t="s">
        <v>328</v>
      </c>
      <c r="U120" s="1">
        <v>0</v>
      </c>
      <c r="V120" s="1">
        <v>0</v>
      </c>
      <c r="W120" s="1">
        <v>0</v>
      </c>
      <c r="X120" s="1">
        <v>0</v>
      </c>
      <c r="Y120" s="1">
        <v>0</v>
      </c>
      <c r="Z120" s="1">
        <v>0</v>
      </c>
      <c r="AA120" s="1">
        <v>0</v>
      </c>
      <c r="AB120" s="1">
        <v>0</v>
      </c>
      <c r="AC120" s="1">
        <v>4</v>
      </c>
      <c r="AD120" s="1">
        <v>2</v>
      </c>
      <c r="AE120" s="1">
        <v>0</v>
      </c>
      <c r="AF120" s="1">
        <v>4</v>
      </c>
      <c r="AG120" s="208" t="s">
        <v>5628</v>
      </c>
      <c r="AH120" s="1">
        <v>3600</v>
      </c>
      <c r="AI120" s="1" t="s">
        <v>1918</v>
      </c>
      <c r="AJ120" s="1">
        <v>0</v>
      </c>
      <c r="AK120" s="1" t="s">
        <v>328</v>
      </c>
      <c r="AL120" s="1" t="s">
        <v>5629</v>
      </c>
      <c r="AM120" s="1">
        <v>0.3</v>
      </c>
      <c r="AN120" s="1">
        <v>0.23</v>
      </c>
      <c r="AO120" s="1">
        <v>0.15</v>
      </c>
      <c r="AP120" s="1">
        <v>0.38</v>
      </c>
      <c r="AQ120" s="1">
        <v>1</v>
      </c>
      <c r="AR120" s="1" t="s">
        <v>1476</v>
      </c>
      <c r="AS120" s="1">
        <v>0</v>
      </c>
      <c r="AT120" s="1" t="s">
        <v>1806</v>
      </c>
      <c r="AU120" s="1">
        <v>10</v>
      </c>
      <c r="AV120" s="1">
        <v>10001</v>
      </c>
      <c r="AW120" s="1">
        <v>0</v>
      </c>
      <c r="AX120" t="b">
        <v>1</v>
      </c>
    </row>
    <row r="121" spans="1:50" x14ac:dyDescent="0.3">
      <c r="A121" s="1">
        <v>122</v>
      </c>
      <c r="B121" s="1" t="s">
        <v>2087</v>
      </c>
      <c r="C121" s="1" t="s">
        <v>2088</v>
      </c>
      <c r="D121" s="1">
        <v>5</v>
      </c>
      <c r="E121" s="1">
        <v>1</v>
      </c>
      <c r="F121" s="1">
        <v>18</v>
      </c>
      <c r="G121" s="1" t="s">
        <v>331</v>
      </c>
      <c r="H121" s="1" t="s">
        <v>328</v>
      </c>
      <c r="I121" s="1" t="s">
        <v>358</v>
      </c>
      <c r="J121" s="1" t="s">
        <v>328</v>
      </c>
      <c r="K121" s="1" t="s">
        <v>328</v>
      </c>
      <c r="L121" s="1" t="s">
        <v>328</v>
      </c>
      <c r="M121" s="1" t="s">
        <v>385</v>
      </c>
      <c r="N121" s="1" t="s">
        <v>328</v>
      </c>
      <c r="O121" s="1" t="s">
        <v>328</v>
      </c>
      <c r="P121" s="1" t="s">
        <v>328</v>
      </c>
      <c r="Q121" s="1" t="s">
        <v>328</v>
      </c>
      <c r="R121" s="1" t="s">
        <v>328</v>
      </c>
      <c r="S121" s="1" t="s">
        <v>328</v>
      </c>
      <c r="T121" s="1" t="s">
        <v>328</v>
      </c>
      <c r="U121" s="1">
        <v>0</v>
      </c>
      <c r="V121" s="1">
        <v>0</v>
      </c>
      <c r="W121" s="1">
        <v>0</v>
      </c>
      <c r="X121" s="1">
        <v>0</v>
      </c>
      <c r="Y121" s="1">
        <v>0</v>
      </c>
      <c r="Z121" s="1">
        <v>0</v>
      </c>
      <c r="AA121" s="1">
        <v>0</v>
      </c>
      <c r="AB121" s="1">
        <v>0</v>
      </c>
      <c r="AC121" s="1">
        <v>4</v>
      </c>
      <c r="AD121" s="1">
        <v>2</v>
      </c>
      <c r="AE121" s="1">
        <v>2</v>
      </c>
      <c r="AF121" s="1">
        <v>2</v>
      </c>
      <c r="AG121" s="208" t="s">
        <v>266</v>
      </c>
      <c r="AH121" s="1">
        <v>2820</v>
      </c>
      <c r="AI121" s="1" t="s">
        <v>2062</v>
      </c>
      <c r="AJ121" s="1">
        <v>0</v>
      </c>
      <c r="AK121" s="1" t="s">
        <v>435</v>
      </c>
      <c r="AL121" s="1" t="s">
        <v>2089</v>
      </c>
      <c r="AM121" s="1">
        <v>0.55000000000000004</v>
      </c>
      <c r="AN121" s="1">
        <v>0.23</v>
      </c>
      <c r="AO121" s="1">
        <v>0.23</v>
      </c>
      <c r="AP121" s="1">
        <v>0.23</v>
      </c>
      <c r="AQ121" s="1">
        <v>3</v>
      </c>
      <c r="AR121" s="1" t="s">
        <v>1519</v>
      </c>
      <c r="AS121" s="1">
        <v>0</v>
      </c>
      <c r="AT121" s="1" t="s">
        <v>1806</v>
      </c>
      <c r="AU121" s="1">
        <v>10</v>
      </c>
      <c r="AV121" s="1">
        <v>18017</v>
      </c>
      <c r="AW121" s="1">
        <v>0</v>
      </c>
      <c r="AX121" t="b">
        <v>0</v>
      </c>
    </row>
    <row r="122" spans="1:50" x14ac:dyDescent="0.3">
      <c r="A122" s="1">
        <v>123</v>
      </c>
      <c r="B122" s="1" t="s">
        <v>2090</v>
      </c>
      <c r="C122" s="1" t="s">
        <v>2091</v>
      </c>
      <c r="D122" s="1">
        <v>5</v>
      </c>
      <c r="E122" s="1">
        <v>1</v>
      </c>
      <c r="F122" s="1">
        <v>18</v>
      </c>
      <c r="G122" s="1" t="s">
        <v>334</v>
      </c>
      <c r="H122" s="1" t="s">
        <v>343</v>
      </c>
      <c r="I122" s="1" t="s">
        <v>328</v>
      </c>
      <c r="J122" s="1" t="s">
        <v>328</v>
      </c>
      <c r="K122" s="1" t="s">
        <v>328</v>
      </c>
      <c r="L122" s="1" t="s">
        <v>328</v>
      </c>
      <c r="M122" s="1" t="s">
        <v>392</v>
      </c>
      <c r="N122" s="1" t="s">
        <v>328</v>
      </c>
      <c r="O122" s="1" t="s">
        <v>328</v>
      </c>
      <c r="P122" s="1" t="s">
        <v>328</v>
      </c>
      <c r="Q122" s="1" t="s">
        <v>328</v>
      </c>
      <c r="R122" s="1" t="s">
        <v>328</v>
      </c>
      <c r="S122" s="1" t="s">
        <v>328</v>
      </c>
      <c r="T122" s="1" t="s">
        <v>328</v>
      </c>
      <c r="U122" s="1">
        <v>0</v>
      </c>
      <c r="V122" s="1">
        <v>0</v>
      </c>
      <c r="W122" s="1">
        <v>0</v>
      </c>
      <c r="X122" s="1">
        <v>0</v>
      </c>
      <c r="Y122" s="1">
        <v>0</v>
      </c>
      <c r="Z122" s="1">
        <v>0</v>
      </c>
      <c r="AA122" s="1">
        <v>0</v>
      </c>
      <c r="AB122" s="1">
        <v>0</v>
      </c>
      <c r="AC122" s="1">
        <v>4</v>
      </c>
      <c r="AD122" s="1">
        <v>0</v>
      </c>
      <c r="AE122" s="1">
        <v>3</v>
      </c>
      <c r="AF122" s="1">
        <v>2</v>
      </c>
      <c r="AG122" s="208" t="s">
        <v>743</v>
      </c>
      <c r="AH122" s="1">
        <v>3600</v>
      </c>
      <c r="AI122" s="1" t="s">
        <v>2092</v>
      </c>
      <c r="AJ122" s="1">
        <v>0</v>
      </c>
      <c r="AK122" s="1" t="s">
        <v>436</v>
      </c>
      <c r="AL122" s="1" t="s">
        <v>2093</v>
      </c>
      <c r="AM122" s="1">
        <v>0.45</v>
      </c>
      <c r="AN122" s="1">
        <v>0.15</v>
      </c>
      <c r="AO122" s="1">
        <v>0.3</v>
      </c>
      <c r="AP122" s="1">
        <v>0.15</v>
      </c>
      <c r="AQ122" s="1">
        <v>3</v>
      </c>
      <c r="AR122" s="1" t="s">
        <v>1520</v>
      </c>
      <c r="AS122" s="1">
        <v>0</v>
      </c>
      <c r="AT122" s="1" t="s">
        <v>1806</v>
      </c>
      <c r="AU122" s="1">
        <v>10</v>
      </c>
      <c r="AV122" s="1">
        <v>18018</v>
      </c>
      <c r="AW122" s="1">
        <v>0</v>
      </c>
      <c r="AX122" t="b">
        <v>0</v>
      </c>
    </row>
    <row r="123" spans="1:50" x14ac:dyDescent="0.3">
      <c r="A123" s="1">
        <v>124</v>
      </c>
      <c r="B123" s="1" t="s">
        <v>2094</v>
      </c>
      <c r="C123" s="1" t="s">
        <v>2095</v>
      </c>
      <c r="D123" s="1">
        <v>5</v>
      </c>
      <c r="E123" s="1">
        <v>1</v>
      </c>
      <c r="F123" s="1">
        <v>18</v>
      </c>
      <c r="G123" s="1" t="s">
        <v>354</v>
      </c>
      <c r="H123" s="1" t="s">
        <v>328</v>
      </c>
      <c r="I123" s="1" t="s">
        <v>328</v>
      </c>
      <c r="J123" s="1" t="s">
        <v>328</v>
      </c>
      <c r="K123" s="1" t="s">
        <v>328</v>
      </c>
      <c r="L123" s="1" t="s">
        <v>328</v>
      </c>
      <c r="M123" s="1" t="s">
        <v>327</v>
      </c>
      <c r="N123" s="1" t="s">
        <v>328</v>
      </c>
      <c r="O123" s="1" t="s">
        <v>328</v>
      </c>
      <c r="P123" s="1" t="s">
        <v>328</v>
      </c>
      <c r="Q123" s="1" t="s">
        <v>328</v>
      </c>
      <c r="R123" s="1" t="s">
        <v>328</v>
      </c>
      <c r="S123" s="1" t="s">
        <v>328</v>
      </c>
      <c r="T123" s="1" t="s">
        <v>328</v>
      </c>
      <c r="U123" s="1">
        <v>0</v>
      </c>
      <c r="V123" s="1">
        <v>0</v>
      </c>
      <c r="W123" s="1">
        <v>0</v>
      </c>
      <c r="X123" s="1">
        <v>0</v>
      </c>
      <c r="Y123" s="1">
        <v>0</v>
      </c>
      <c r="Z123" s="1">
        <v>0</v>
      </c>
      <c r="AA123" s="1">
        <v>0</v>
      </c>
      <c r="AB123" s="1">
        <v>0</v>
      </c>
      <c r="AC123" s="1">
        <v>4</v>
      </c>
      <c r="AD123" s="1">
        <v>0</v>
      </c>
      <c r="AE123" s="1">
        <v>3</v>
      </c>
      <c r="AF123" s="1">
        <v>2</v>
      </c>
      <c r="AG123" s="208" t="s">
        <v>1427</v>
      </c>
      <c r="AH123" s="1">
        <v>3600</v>
      </c>
      <c r="AI123" s="1" t="s">
        <v>2096</v>
      </c>
      <c r="AJ123" s="1">
        <v>0</v>
      </c>
      <c r="AK123" s="1" t="s">
        <v>437</v>
      </c>
      <c r="AL123" s="1" t="s">
        <v>2097</v>
      </c>
      <c r="AM123" s="1">
        <v>0.45</v>
      </c>
      <c r="AN123" s="1">
        <v>0.15</v>
      </c>
      <c r="AO123" s="1">
        <v>0.3</v>
      </c>
      <c r="AP123" s="1">
        <v>0.15</v>
      </c>
      <c r="AQ123" s="1">
        <v>3</v>
      </c>
      <c r="AR123" s="1" t="s">
        <v>1521</v>
      </c>
      <c r="AS123" s="1">
        <v>0</v>
      </c>
      <c r="AT123" s="1" t="s">
        <v>1806</v>
      </c>
      <c r="AU123" s="1">
        <v>10</v>
      </c>
      <c r="AV123" s="1">
        <v>18019</v>
      </c>
      <c r="AW123" s="1">
        <v>0</v>
      </c>
      <c r="AX123" t="b">
        <v>0</v>
      </c>
    </row>
    <row r="124" spans="1:50" x14ac:dyDescent="0.3">
      <c r="A124" s="1">
        <v>125</v>
      </c>
      <c r="B124" s="1" t="s">
        <v>2098</v>
      </c>
      <c r="C124" s="1" t="s">
        <v>2099</v>
      </c>
      <c r="D124" s="1">
        <v>5</v>
      </c>
      <c r="E124" s="1">
        <v>1</v>
      </c>
      <c r="F124" s="1">
        <v>18</v>
      </c>
      <c r="G124" s="1" t="s">
        <v>328</v>
      </c>
      <c r="H124" s="1" t="s">
        <v>328</v>
      </c>
      <c r="I124" s="1" t="s">
        <v>341</v>
      </c>
      <c r="J124" s="1" t="s">
        <v>328</v>
      </c>
      <c r="K124" s="1" t="s">
        <v>328</v>
      </c>
      <c r="L124" s="1" t="s">
        <v>328</v>
      </c>
      <c r="M124" s="1" t="s">
        <v>438</v>
      </c>
      <c r="N124" s="1" t="s">
        <v>328</v>
      </c>
      <c r="O124" s="1" t="s">
        <v>328</v>
      </c>
      <c r="P124" s="1" t="s">
        <v>328</v>
      </c>
      <c r="Q124" s="1" t="s">
        <v>328</v>
      </c>
      <c r="R124" s="1" t="s">
        <v>328</v>
      </c>
      <c r="S124" s="1" t="s">
        <v>328</v>
      </c>
      <c r="T124" s="1" t="s">
        <v>328</v>
      </c>
      <c r="U124" s="1">
        <v>0</v>
      </c>
      <c r="V124" s="1">
        <v>0</v>
      </c>
      <c r="W124" s="1">
        <v>0</v>
      </c>
      <c r="X124" s="1">
        <v>0</v>
      </c>
      <c r="Y124" s="1">
        <v>0</v>
      </c>
      <c r="Z124" s="1">
        <v>0</v>
      </c>
      <c r="AA124" s="1">
        <v>0</v>
      </c>
      <c r="AB124" s="1">
        <v>0</v>
      </c>
      <c r="AC124" s="1">
        <v>4</v>
      </c>
      <c r="AD124" s="1">
        <v>0</v>
      </c>
      <c r="AE124" s="1">
        <v>3</v>
      </c>
      <c r="AF124" s="1">
        <v>2</v>
      </c>
      <c r="AG124" s="208" t="s">
        <v>264</v>
      </c>
      <c r="AH124" s="1">
        <v>3600</v>
      </c>
      <c r="AI124" s="1" t="s">
        <v>2100</v>
      </c>
      <c r="AJ124" s="1">
        <v>0</v>
      </c>
      <c r="AK124" s="1" t="s">
        <v>439</v>
      </c>
      <c r="AL124" s="1" t="s">
        <v>2101</v>
      </c>
      <c r="AM124" s="1">
        <v>0.55000000000000004</v>
      </c>
      <c r="AN124" s="1">
        <v>0.23</v>
      </c>
      <c r="AO124" s="1">
        <v>0.23</v>
      </c>
      <c r="AP124" s="1">
        <v>0.23</v>
      </c>
      <c r="AQ124" s="1">
        <v>3</v>
      </c>
      <c r="AR124" s="1" t="s">
        <v>1522</v>
      </c>
      <c r="AS124" s="1">
        <v>0</v>
      </c>
      <c r="AT124" s="1" t="s">
        <v>1806</v>
      </c>
      <c r="AU124" s="1">
        <v>10</v>
      </c>
      <c r="AV124" s="1">
        <v>18020</v>
      </c>
      <c r="AW124" s="1">
        <v>0</v>
      </c>
      <c r="AX124" t="b">
        <v>0</v>
      </c>
    </row>
    <row r="125" spans="1:50" x14ac:dyDescent="0.3">
      <c r="A125" s="1">
        <v>126</v>
      </c>
      <c r="B125" s="1" t="s">
        <v>2102</v>
      </c>
      <c r="C125" s="1" t="s">
        <v>2103</v>
      </c>
      <c r="D125" s="1">
        <v>5</v>
      </c>
      <c r="E125" s="1">
        <v>1</v>
      </c>
      <c r="F125" s="1">
        <v>18</v>
      </c>
      <c r="G125" s="1" t="s">
        <v>440</v>
      </c>
      <c r="H125" s="1" t="s">
        <v>338</v>
      </c>
      <c r="I125" s="1" t="s">
        <v>328</v>
      </c>
      <c r="J125" s="1" t="s">
        <v>328</v>
      </c>
      <c r="K125" s="1" t="s">
        <v>378</v>
      </c>
      <c r="L125" s="1" t="s">
        <v>328</v>
      </c>
      <c r="M125" s="1" t="s">
        <v>328</v>
      </c>
      <c r="N125" s="1" t="s">
        <v>328</v>
      </c>
      <c r="O125" s="1" t="s">
        <v>328</v>
      </c>
      <c r="P125" s="1" t="s">
        <v>328</v>
      </c>
      <c r="Q125" s="1" t="s">
        <v>328</v>
      </c>
      <c r="R125" s="1" t="s">
        <v>328</v>
      </c>
      <c r="S125" s="1" t="s">
        <v>328</v>
      </c>
      <c r="T125" s="1" t="s">
        <v>328</v>
      </c>
      <c r="U125" s="1">
        <v>0</v>
      </c>
      <c r="V125" s="1">
        <v>0</v>
      </c>
      <c r="W125" s="1">
        <v>0</v>
      </c>
      <c r="X125" s="1">
        <v>0</v>
      </c>
      <c r="Y125" s="1">
        <v>0</v>
      </c>
      <c r="Z125" s="1">
        <v>0</v>
      </c>
      <c r="AA125" s="1">
        <v>0</v>
      </c>
      <c r="AB125" s="1">
        <v>0</v>
      </c>
      <c r="AC125" s="1">
        <v>4</v>
      </c>
      <c r="AD125" s="1">
        <v>0</v>
      </c>
      <c r="AE125" s="1">
        <v>3</v>
      </c>
      <c r="AF125" s="1">
        <v>2</v>
      </c>
      <c r="AG125" s="208" t="s">
        <v>256</v>
      </c>
      <c r="AH125" s="1">
        <v>3600</v>
      </c>
      <c r="AI125" s="1" t="s">
        <v>2100</v>
      </c>
      <c r="AJ125" s="1">
        <v>0</v>
      </c>
      <c r="AK125" s="1" t="s">
        <v>441</v>
      </c>
      <c r="AL125" s="1" t="s">
        <v>2104</v>
      </c>
      <c r="AM125" s="1">
        <v>0.45</v>
      </c>
      <c r="AN125" s="1">
        <v>0.15</v>
      </c>
      <c r="AO125" s="1">
        <v>0.3</v>
      </c>
      <c r="AP125" s="1">
        <v>0.15</v>
      </c>
      <c r="AQ125" s="1">
        <v>3</v>
      </c>
      <c r="AR125" s="1" t="s">
        <v>1523</v>
      </c>
      <c r="AS125" s="1">
        <v>0</v>
      </c>
      <c r="AT125" s="1" t="s">
        <v>1806</v>
      </c>
      <c r="AU125" s="1">
        <v>10</v>
      </c>
      <c r="AV125" s="1">
        <v>18021</v>
      </c>
      <c r="AW125" s="1">
        <v>0</v>
      </c>
      <c r="AX125" t="b">
        <v>0</v>
      </c>
    </row>
    <row r="126" spans="1:50" x14ac:dyDescent="0.3">
      <c r="A126" s="1">
        <v>127</v>
      </c>
      <c r="B126" s="1" t="s">
        <v>2105</v>
      </c>
      <c r="C126" s="1" t="s">
        <v>2106</v>
      </c>
      <c r="D126" s="1">
        <v>5</v>
      </c>
      <c r="E126" s="1">
        <v>3</v>
      </c>
      <c r="F126" s="1">
        <v>20</v>
      </c>
      <c r="G126" s="1" t="s">
        <v>391</v>
      </c>
      <c r="H126" s="1" t="s">
        <v>406</v>
      </c>
      <c r="I126" s="1" t="s">
        <v>425</v>
      </c>
      <c r="J126" s="1" t="s">
        <v>328</v>
      </c>
      <c r="K126" s="1" t="s">
        <v>328</v>
      </c>
      <c r="L126" s="1" t="s">
        <v>328</v>
      </c>
      <c r="M126" s="1" t="s">
        <v>328</v>
      </c>
      <c r="N126" s="1" t="s">
        <v>328</v>
      </c>
      <c r="O126" s="1" t="s">
        <v>328</v>
      </c>
      <c r="P126" s="1" t="s">
        <v>328</v>
      </c>
      <c r="Q126" s="1" t="s">
        <v>328</v>
      </c>
      <c r="R126" s="1" t="s">
        <v>328</v>
      </c>
      <c r="S126" s="1" t="s">
        <v>328</v>
      </c>
      <c r="T126" s="1" t="s">
        <v>328</v>
      </c>
      <c r="U126" s="1">
        <v>0</v>
      </c>
      <c r="V126" s="1">
        <v>0</v>
      </c>
      <c r="W126" s="1">
        <v>0</v>
      </c>
      <c r="X126" s="1">
        <v>0</v>
      </c>
      <c r="Y126" s="1">
        <v>0</v>
      </c>
      <c r="Z126" s="1">
        <v>0</v>
      </c>
      <c r="AA126" s="1">
        <v>0</v>
      </c>
      <c r="AB126" s="1">
        <v>0</v>
      </c>
      <c r="AC126" s="1">
        <v>4</v>
      </c>
      <c r="AD126" s="1">
        <v>2</v>
      </c>
      <c r="AE126" s="1">
        <v>0</v>
      </c>
      <c r="AF126" s="1">
        <v>4</v>
      </c>
      <c r="AG126" s="208" t="s">
        <v>734</v>
      </c>
      <c r="AH126" s="1">
        <v>3600</v>
      </c>
      <c r="AI126" s="1" t="s">
        <v>2107</v>
      </c>
      <c r="AJ126" s="1">
        <v>0</v>
      </c>
      <c r="AK126" s="1" t="s">
        <v>442</v>
      </c>
      <c r="AL126" s="1" t="s">
        <v>2108</v>
      </c>
      <c r="AM126" s="1">
        <v>0.3</v>
      </c>
      <c r="AN126" s="1">
        <v>0.25</v>
      </c>
      <c r="AO126" s="1">
        <v>0.12</v>
      </c>
      <c r="AP126" s="1">
        <v>0.38</v>
      </c>
      <c r="AQ126" s="1">
        <v>3</v>
      </c>
      <c r="AR126" s="1" t="s">
        <v>1524</v>
      </c>
      <c r="AS126" s="1">
        <v>0</v>
      </c>
      <c r="AT126" s="1" t="s">
        <v>1806</v>
      </c>
      <c r="AU126" s="1">
        <v>10</v>
      </c>
      <c r="AV126" s="1">
        <v>20013</v>
      </c>
      <c r="AW126" s="1">
        <v>0</v>
      </c>
      <c r="AX126" t="b">
        <v>0</v>
      </c>
    </row>
    <row r="127" spans="1:50" x14ac:dyDescent="0.3">
      <c r="A127" s="1">
        <v>128</v>
      </c>
      <c r="B127" s="1" t="s">
        <v>2109</v>
      </c>
      <c r="C127" s="1" t="s">
        <v>2110</v>
      </c>
      <c r="D127" s="1">
        <v>5</v>
      </c>
      <c r="E127" s="1">
        <v>1</v>
      </c>
      <c r="F127" s="1">
        <v>18</v>
      </c>
      <c r="G127" s="1" t="s">
        <v>328</v>
      </c>
      <c r="H127" s="1" t="s">
        <v>328</v>
      </c>
      <c r="I127" s="1" t="s">
        <v>413</v>
      </c>
      <c r="J127" s="1" t="s">
        <v>328</v>
      </c>
      <c r="K127" s="1" t="s">
        <v>328</v>
      </c>
      <c r="L127" s="1" t="s">
        <v>328</v>
      </c>
      <c r="M127" s="1" t="s">
        <v>385</v>
      </c>
      <c r="N127" s="1" t="s">
        <v>328</v>
      </c>
      <c r="O127" s="1" t="s">
        <v>328</v>
      </c>
      <c r="P127" s="1" t="s">
        <v>328</v>
      </c>
      <c r="Q127" s="1" t="s">
        <v>328</v>
      </c>
      <c r="R127" s="1" t="s">
        <v>328</v>
      </c>
      <c r="S127" s="1" t="s">
        <v>328</v>
      </c>
      <c r="T127" s="1" t="s">
        <v>328</v>
      </c>
      <c r="U127" s="1">
        <v>0</v>
      </c>
      <c r="V127" s="1">
        <v>0</v>
      </c>
      <c r="W127" s="1">
        <v>0</v>
      </c>
      <c r="X127" s="1">
        <v>0</v>
      </c>
      <c r="Y127" s="1">
        <v>0</v>
      </c>
      <c r="Z127" s="1">
        <v>0</v>
      </c>
      <c r="AA127" s="1">
        <v>0</v>
      </c>
      <c r="AB127" s="1">
        <v>0</v>
      </c>
      <c r="AC127" s="1">
        <v>4</v>
      </c>
      <c r="AD127" s="1">
        <v>2</v>
      </c>
      <c r="AE127" s="1">
        <v>2</v>
      </c>
      <c r="AF127" s="1">
        <v>2</v>
      </c>
      <c r="AG127" s="208" t="s">
        <v>828</v>
      </c>
      <c r="AH127" s="1">
        <v>3600</v>
      </c>
      <c r="AI127" s="1" t="s">
        <v>2111</v>
      </c>
      <c r="AJ127" s="1">
        <v>0</v>
      </c>
      <c r="AK127" s="1" t="s">
        <v>443</v>
      </c>
      <c r="AL127" s="1" t="s">
        <v>2112</v>
      </c>
      <c r="AM127" s="1">
        <v>0.55000000000000004</v>
      </c>
      <c r="AN127" s="1">
        <v>0.25</v>
      </c>
      <c r="AO127" s="1">
        <v>0.25</v>
      </c>
      <c r="AP127" s="1">
        <v>0.23</v>
      </c>
      <c r="AQ127" s="1">
        <v>3</v>
      </c>
      <c r="AR127" s="1" t="s">
        <v>1508</v>
      </c>
      <c r="AS127" s="1">
        <v>0</v>
      </c>
      <c r="AT127" s="1" t="s">
        <v>1806</v>
      </c>
      <c r="AU127" s="1">
        <v>10</v>
      </c>
      <c r="AV127" s="1">
        <v>18022</v>
      </c>
      <c r="AW127" s="1">
        <v>0</v>
      </c>
      <c r="AX127" t="b">
        <v>0</v>
      </c>
    </row>
    <row r="128" spans="1:50" x14ac:dyDescent="0.3">
      <c r="A128" s="1">
        <v>129</v>
      </c>
      <c r="B128" s="1" t="s">
        <v>2113</v>
      </c>
      <c r="C128" s="1" t="s">
        <v>2114</v>
      </c>
      <c r="D128" s="1">
        <v>5</v>
      </c>
      <c r="E128" s="1">
        <v>1</v>
      </c>
      <c r="F128" s="1">
        <v>18</v>
      </c>
      <c r="G128" s="1" t="s">
        <v>328</v>
      </c>
      <c r="H128" s="1" t="s">
        <v>335</v>
      </c>
      <c r="I128" s="1" t="s">
        <v>328</v>
      </c>
      <c r="J128" s="1" t="s">
        <v>328</v>
      </c>
      <c r="K128" s="1" t="s">
        <v>328</v>
      </c>
      <c r="L128" s="1" t="s">
        <v>328</v>
      </c>
      <c r="M128" s="1" t="s">
        <v>327</v>
      </c>
      <c r="N128" s="1" t="s">
        <v>328</v>
      </c>
      <c r="O128" s="1" t="s">
        <v>328</v>
      </c>
      <c r="P128" s="1" t="s">
        <v>328</v>
      </c>
      <c r="Q128" s="1" t="s">
        <v>328</v>
      </c>
      <c r="R128" s="1" t="s">
        <v>328</v>
      </c>
      <c r="S128" s="1" t="s">
        <v>328</v>
      </c>
      <c r="T128" s="1" t="s">
        <v>328</v>
      </c>
      <c r="U128" s="1">
        <v>0</v>
      </c>
      <c r="V128" s="1">
        <v>0</v>
      </c>
      <c r="W128" s="1">
        <v>0</v>
      </c>
      <c r="X128" s="1">
        <v>0</v>
      </c>
      <c r="Y128" s="1">
        <v>0</v>
      </c>
      <c r="Z128" s="1">
        <v>0</v>
      </c>
      <c r="AA128" s="1">
        <v>0</v>
      </c>
      <c r="AB128" s="1">
        <v>0</v>
      </c>
      <c r="AC128" s="1">
        <v>4</v>
      </c>
      <c r="AD128" s="1">
        <v>0</v>
      </c>
      <c r="AE128" s="1">
        <v>3</v>
      </c>
      <c r="AF128" s="1">
        <v>2</v>
      </c>
      <c r="AG128" s="208" t="s">
        <v>254</v>
      </c>
      <c r="AH128" s="1">
        <v>3600</v>
      </c>
      <c r="AI128" s="1" t="s">
        <v>2115</v>
      </c>
      <c r="AJ128" s="1">
        <v>0</v>
      </c>
      <c r="AK128" s="1" t="s">
        <v>444</v>
      </c>
      <c r="AL128" s="1" t="s">
        <v>2116</v>
      </c>
      <c r="AM128" s="1">
        <v>0.45</v>
      </c>
      <c r="AN128" s="1">
        <v>0.15</v>
      </c>
      <c r="AO128" s="1">
        <v>0.3</v>
      </c>
      <c r="AP128" s="1">
        <v>0.15</v>
      </c>
      <c r="AQ128" s="1">
        <v>3</v>
      </c>
      <c r="AR128" s="1" t="s">
        <v>1513</v>
      </c>
      <c r="AS128" s="1">
        <v>0</v>
      </c>
      <c r="AT128" s="1" t="s">
        <v>1806</v>
      </c>
      <c r="AU128" s="1">
        <v>10</v>
      </c>
      <c r="AV128" s="1">
        <v>18023</v>
      </c>
      <c r="AW128" s="1">
        <v>0</v>
      </c>
      <c r="AX128" t="b">
        <v>0</v>
      </c>
    </row>
    <row r="129" spans="1:50" x14ac:dyDescent="0.3">
      <c r="A129" s="1">
        <v>130</v>
      </c>
      <c r="B129" s="1" t="s">
        <v>2117</v>
      </c>
      <c r="C129" s="1" t="s">
        <v>2118</v>
      </c>
      <c r="D129" s="1">
        <v>5</v>
      </c>
      <c r="E129" s="1">
        <v>1</v>
      </c>
      <c r="F129" s="1">
        <v>18</v>
      </c>
      <c r="G129" s="1" t="s">
        <v>328</v>
      </c>
      <c r="H129" s="1" t="s">
        <v>354</v>
      </c>
      <c r="I129" s="1" t="s">
        <v>328</v>
      </c>
      <c r="J129" s="1" t="s">
        <v>328</v>
      </c>
      <c r="K129" s="1" t="s">
        <v>328</v>
      </c>
      <c r="L129" s="1" t="s">
        <v>328</v>
      </c>
      <c r="M129" s="1" t="s">
        <v>327</v>
      </c>
      <c r="N129" s="1" t="s">
        <v>328</v>
      </c>
      <c r="O129" s="1" t="s">
        <v>328</v>
      </c>
      <c r="P129" s="1" t="s">
        <v>328</v>
      </c>
      <c r="Q129" s="1" t="s">
        <v>328</v>
      </c>
      <c r="R129" s="1" t="s">
        <v>328</v>
      </c>
      <c r="S129" s="1" t="s">
        <v>328</v>
      </c>
      <c r="T129" s="1" t="s">
        <v>328</v>
      </c>
      <c r="U129" s="1">
        <v>0</v>
      </c>
      <c r="V129" s="1">
        <v>0</v>
      </c>
      <c r="W129" s="1">
        <v>0</v>
      </c>
      <c r="X129" s="1">
        <v>0</v>
      </c>
      <c r="Y129" s="1">
        <v>0</v>
      </c>
      <c r="Z129" s="1">
        <v>0</v>
      </c>
      <c r="AA129" s="1">
        <v>0</v>
      </c>
      <c r="AB129" s="1">
        <v>0</v>
      </c>
      <c r="AC129" s="1">
        <v>4</v>
      </c>
      <c r="AD129" s="1">
        <v>0</v>
      </c>
      <c r="AE129" s="1">
        <v>3</v>
      </c>
      <c r="AF129" s="1">
        <v>2</v>
      </c>
      <c r="AG129" s="208" t="s">
        <v>1429</v>
      </c>
      <c r="AH129" s="1">
        <v>3600</v>
      </c>
      <c r="AI129" s="1" t="s">
        <v>2119</v>
      </c>
      <c r="AJ129" s="1">
        <v>0</v>
      </c>
      <c r="AK129" s="1" t="s">
        <v>445</v>
      </c>
      <c r="AL129" s="1" t="s">
        <v>2120</v>
      </c>
      <c r="AM129" s="1">
        <v>0.45</v>
      </c>
      <c r="AN129" s="1">
        <v>0.15</v>
      </c>
      <c r="AO129" s="1">
        <v>0.3</v>
      </c>
      <c r="AP129" s="1">
        <v>0.15</v>
      </c>
      <c r="AQ129" s="1">
        <v>3</v>
      </c>
      <c r="AR129" s="1" t="s">
        <v>1513</v>
      </c>
      <c r="AS129" s="1">
        <v>0</v>
      </c>
      <c r="AT129" s="1" t="s">
        <v>1806</v>
      </c>
      <c r="AU129" s="1">
        <v>10</v>
      </c>
      <c r="AV129" s="1">
        <v>18024</v>
      </c>
      <c r="AW129" s="1">
        <v>0</v>
      </c>
      <c r="AX129" t="b">
        <v>0</v>
      </c>
    </row>
    <row r="130" spans="1:50" x14ac:dyDescent="0.3">
      <c r="A130" s="1">
        <v>131</v>
      </c>
      <c r="B130" s="1" t="s">
        <v>2121</v>
      </c>
      <c r="C130" s="1" t="s">
        <v>2122</v>
      </c>
      <c r="D130" s="1">
        <v>5</v>
      </c>
      <c r="E130" s="1">
        <v>1</v>
      </c>
      <c r="F130" s="1">
        <v>18</v>
      </c>
      <c r="G130" s="1" t="s">
        <v>329</v>
      </c>
      <c r="H130" s="1" t="s">
        <v>446</v>
      </c>
      <c r="I130" s="1" t="s">
        <v>328</v>
      </c>
      <c r="J130" s="1" t="s">
        <v>328</v>
      </c>
      <c r="K130" s="1" t="s">
        <v>328</v>
      </c>
      <c r="L130" s="1" t="s">
        <v>328</v>
      </c>
      <c r="M130" s="1" t="s">
        <v>392</v>
      </c>
      <c r="N130" s="1" t="s">
        <v>328</v>
      </c>
      <c r="O130" s="1" t="s">
        <v>328</v>
      </c>
      <c r="P130" s="1" t="s">
        <v>328</v>
      </c>
      <c r="Q130" s="1" t="s">
        <v>328</v>
      </c>
      <c r="R130" s="1" t="s">
        <v>328</v>
      </c>
      <c r="S130" s="1" t="s">
        <v>328</v>
      </c>
      <c r="T130" s="1" t="s">
        <v>328</v>
      </c>
      <c r="U130" s="1">
        <v>0</v>
      </c>
      <c r="V130" s="1">
        <v>0</v>
      </c>
      <c r="W130" s="1">
        <v>0</v>
      </c>
      <c r="X130" s="1">
        <v>0</v>
      </c>
      <c r="Y130" s="1">
        <v>0</v>
      </c>
      <c r="Z130" s="1">
        <v>0</v>
      </c>
      <c r="AA130" s="1">
        <v>0</v>
      </c>
      <c r="AB130" s="1">
        <v>0</v>
      </c>
      <c r="AC130" s="1">
        <v>4</v>
      </c>
      <c r="AD130" s="1">
        <v>0</v>
      </c>
      <c r="AE130" s="1">
        <v>3</v>
      </c>
      <c r="AF130" s="1">
        <v>2</v>
      </c>
      <c r="AG130" s="208" t="s">
        <v>260</v>
      </c>
      <c r="AH130" s="1">
        <v>3600</v>
      </c>
      <c r="AI130" s="1" t="s">
        <v>2123</v>
      </c>
      <c r="AJ130" s="1">
        <v>0</v>
      </c>
      <c r="AK130" s="1" t="s">
        <v>447</v>
      </c>
      <c r="AL130" s="1" t="s">
        <v>2124</v>
      </c>
      <c r="AM130" s="1">
        <v>0.45</v>
      </c>
      <c r="AN130" s="1">
        <v>0.15</v>
      </c>
      <c r="AO130" s="1">
        <v>0.3</v>
      </c>
      <c r="AP130" s="1">
        <v>0.15</v>
      </c>
      <c r="AQ130" s="1">
        <v>3</v>
      </c>
      <c r="AR130" s="1" t="s">
        <v>1525</v>
      </c>
      <c r="AS130" s="1">
        <v>0</v>
      </c>
      <c r="AT130" s="1" t="s">
        <v>1806</v>
      </c>
      <c r="AU130" s="1">
        <v>10</v>
      </c>
      <c r="AV130" s="1">
        <v>18025</v>
      </c>
      <c r="AW130" s="1">
        <v>0</v>
      </c>
      <c r="AX130" t="b">
        <v>0</v>
      </c>
    </row>
    <row r="131" spans="1:50" x14ac:dyDescent="0.3">
      <c r="A131" s="1">
        <v>132</v>
      </c>
      <c r="B131" s="1" t="s">
        <v>2125</v>
      </c>
      <c r="C131" s="1" t="s">
        <v>2126</v>
      </c>
      <c r="D131" s="1">
        <v>5</v>
      </c>
      <c r="E131" s="1">
        <v>1</v>
      </c>
      <c r="F131" s="1">
        <v>18</v>
      </c>
      <c r="G131" s="1" t="s">
        <v>328</v>
      </c>
      <c r="H131" s="1" t="s">
        <v>448</v>
      </c>
      <c r="I131" s="1" t="s">
        <v>328</v>
      </c>
      <c r="J131" s="1" t="s">
        <v>328</v>
      </c>
      <c r="K131" s="1" t="s">
        <v>330</v>
      </c>
      <c r="L131" s="1" t="s">
        <v>328</v>
      </c>
      <c r="M131" s="1" t="s">
        <v>422</v>
      </c>
      <c r="N131" s="1" t="s">
        <v>328</v>
      </c>
      <c r="O131" s="1" t="s">
        <v>328</v>
      </c>
      <c r="P131" s="1" t="s">
        <v>328</v>
      </c>
      <c r="Q131" s="1" t="s">
        <v>328</v>
      </c>
      <c r="R131" s="1" t="s">
        <v>328</v>
      </c>
      <c r="S131" s="1" t="s">
        <v>328</v>
      </c>
      <c r="T131" s="1" t="s">
        <v>328</v>
      </c>
      <c r="U131" s="1">
        <v>0</v>
      </c>
      <c r="V131" s="1">
        <v>0</v>
      </c>
      <c r="W131" s="1">
        <v>0</v>
      </c>
      <c r="X131" s="1">
        <v>0</v>
      </c>
      <c r="Y131" s="1">
        <v>0</v>
      </c>
      <c r="Z131" s="1">
        <v>0</v>
      </c>
      <c r="AA131" s="1">
        <v>0</v>
      </c>
      <c r="AB131" s="1">
        <v>0</v>
      </c>
      <c r="AC131" s="1">
        <v>4</v>
      </c>
      <c r="AD131" s="1">
        <v>0</v>
      </c>
      <c r="AE131" s="1">
        <v>3</v>
      </c>
      <c r="AF131" s="1">
        <v>2</v>
      </c>
      <c r="AG131" s="208" t="s">
        <v>299</v>
      </c>
      <c r="AH131" s="1">
        <v>3600</v>
      </c>
      <c r="AI131" s="1" t="s">
        <v>2123</v>
      </c>
      <c r="AJ131" s="1">
        <v>0</v>
      </c>
      <c r="AK131" s="1" t="s">
        <v>929</v>
      </c>
      <c r="AL131" s="1" t="s">
        <v>2127</v>
      </c>
      <c r="AM131" s="1">
        <v>0.45</v>
      </c>
      <c r="AN131" s="1">
        <v>0.15</v>
      </c>
      <c r="AO131" s="1">
        <v>0.3</v>
      </c>
      <c r="AP131" s="1">
        <v>0.15</v>
      </c>
      <c r="AQ131" s="1">
        <v>3</v>
      </c>
      <c r="AR131" s="1" t="s">
        <v>1526</v>
      </c>
      <c r="AS131" s="1">
        <v>0</v>
      </c>
      <c r="AT131" s="1" t="s">
        <v>1806</v>
      </c>
      <c r="AU131" s="1">
        <v>10</v>
      </c>
      <c r="AV131" s="1">
        <v>18026</v>
      </c>
      <c r="AW131" s="1">
        <v>0</v>
      </c>
      <c r="AX131" t="b">
        <v>0</v>
      </c>
    </row>
    <row r="132" spans="1:50" x14ac:dyDescent="0.3">
      <c r="A132" s="1">
        <v>133</v>
      </c>
      <c r="B132" s="1" t="s">
        <v>2128</v>
      </c>
      <c r="C132" s="1" t="s">
        <v>2129</v>
      </c>
      <c r="D132" s="1">
        <v>5</v>
      </c>
      <c r="E132" s="1">
        <v>1</v>
      </c>
      <c r="F132" s="1">
        <v>18</v>
      </c>
      <c r="G132" s="1" t="s">
        <v>328</v>
      </c>
      <c r="H132" s="1" t="s">
        <v>331</v>
      </c>
      <c r="I132" s="1" t="s">
        <v>358</v>
      </c>
      <c r="J132" s="1" t="s">
        <v>328</v>
      </c>
      <c r="K132" s="1" t="s">
        <v>328</v>
      </c>
      <c r="L132" s="1" t="s">
        <v>328</v>
      </c>
      <c r="M132" s="1" t="s">
        <v>385</v>
      </c>
      <c r="N132" s="1" t="s">
        <v>328</v>
      </c>
      <c r="O132" s="1" t="s">
        <v>328</v>
      </c>
      <c r="P132" s="1" t="s">
        <v>328</v>
      </c>
      <c r="Q132" s="1" t="s">
        <v>328</v>
      </c>
      <c r="R132" s="1" t="s">
        <v>328</v>
      </c>
      <c r="S132" s="1" t="s">
        <v>328</v>
      </c>
      <c r="T132" s="1" t="s">
        <v>328</v>
      </c>
      <c r="U132" s="1">
        <v>0</v>
      </c>
      <c r="V132" s="1">
        <v>0</v>
      </c>
      <c r="W132" s="1">
        <v>0</v>
      </c>
      <c r="X132" s="1">
        <v>0</v>
      </c>
      <c r="Y132" s="1">
        <v>0</v>
      </c>
      <c r="Z132" s="1">
        <v>0</v>
      </c>
      <c r="AA132" s="1">
        <v>0</v>
      </c>
      <c r="AB132" s="1">
        <v>0</v>
      </c>
      <c r="AC132" s="1">
        <v>4</v>
      </c>
      <c r="AD132" s="1">
        <v>2</v>
      </c>
      <c r="AE132" s="1">
        <v>2</v>
      </c>
      <c r="AF132" s="1">
        <v>2</v>
      </c>
      <c r="AG132" s="208" t="s">
        <v>67</v>
      </c>
      <c r="AH132" s="1">
        <v>3600</v>
      </c>
      <c r="AI132" s="1" t="s">
        <v>2130</v>
      </c>
      <c r="AJ132" s="1">
        <v>0</v>
      </c>
      <c r="AK132" s="1" t="s">
        <v>449</v>
      </c>
      <c r="AL132" s="1" t="s">
        <v>2131</v>
      </c>
      <c r="AM132" s="1">
        <v>0.55000000000000004</v>
      </c>
      <c r="AN132" s="1">
        <v>0.23</v>
      </c>
      <c r="AO132" s="1">
        <v>0.23</v>
      </c>
      <c r="AP132" s="1">
        <v>0.23</v>
      </c>
      <c r="AQ132" s="1">
        <v>3</v>
      </c>
      <c r="AR132" s="1" t="s">
        <v>1527</v>
      </c>
      <c r="AS132" s="1">
        <v>300119</v>
      </c>
      <c r="AT132" s="1" t="s">
        <v>2132</v>
      </c>
      <c r="AU132" s="1">
        <v>10</v>
      </c>
      <c r="AV132" s="1">
        <v>18027</v>
      </c>
      <c r="AW132" s="1">
        <v>0</v>
      </c>
      <c r="AX132" t="b">
        <v>0</v>
      </c>
    </row>
    <row r="133" spans="1:50" x14ac:dyDescent="0.3">
      <c r="A133" s="1">
        <v>134</v>
      </c>
      <c r="B133" s="1" t="s">
        <v>2133</v>
      </c>
      <c r="C133" s="1" t="s">
        <v>2134</v>
      </c>
      <c r="D133" s="1">
        <v>5</v>
      </c>
      <c r="E133" s="1">
        <v>1</v>
      </c>
      <c r="F133" s="1">
        <v>18</v>
      </c>
      <c r="G133" s="1" t="s">
        <v>406</v>
      </c>
      <c r="H133" s="1" t="s">
        <v>450</v>
      </c>
      <c r="I133" s="1" t="s">
        <v>328</v>
      </c>
      <c r="J133" s="1" t="s">
        <v>328</v>
      </c>
      <c r="K133" s="1" t="s">
        <v>344</v>
      </c>
      <c r="L133" s="1" t="s">
        <v>328</v>
      </c>
      <c r="M133" s="1" t="s">
        <v>328</v>
      </c>
      <c r="N133" s="1" t="s">
        <v>328</v>
      </c>
      <c r="O133" s="1" t="s">
        <v>328</v>
      </c>
      <c r="P133" s="1" t="s">
        <v>328</v>
      </c>
      <c r="Q133" s="1" t="s">
        <v>328</v>
      </c>
      <c r="R133" s="1" t="s">
        <v>328</v>
      </c>
      <c r="S133" s="1" t="s">
        <v>328</v>
      </c>
      <c r="T133" s="1" t="s">
        <v>328</v>
      </c>
      <c r="U133" s="1">
        <v>0</v>
      </c>
      <c r="V133" s="1">
        <v>0</v>
      </c>
      <c r="W133" s="1">
        <v>0</v>
      </c>
      <c r="X133" s="1">
        <v>0</v>
      </c>
      <c r="Y133" s="1">
        <v>0</v>
      </c>
      <c r="Z133" s="1">
        <v>0</v>
      </c>
      <c r="AA133" s="1">
        <v>0</v>
      </c>
      <c r="AB133" s="1">
        <v>0</v>
      </c>
      <c r="AC133" s="1">
        <v>4</v>
      </c>
      <c r="AD133" s="1">
        <v>0</v>
      </c>
      <c r="AE133" s="1">
        <v>3</v>
      </c>
      <c r="AF133" s="1">
        <v>2</v>
      </c>
      <c r="AG133" s="208" t="s">
        <v>253</v>
      </c>
      <c r="AH133" s="1">
        <v>3600</v>
      </c>
      <c r="AI133" s="1" t="s">
        <v>2135</v>
      </c>
      <c r="AJ133" s="1">
        <v>0</v>
      </c>
      <c r="AK133" s="1" t="s">
        <v>451</v>
      </c>
      <c r="AL133" s="1" t="s">
        <v>2136</v>
      </c>
      <c r="AM133" s="1">
        <v>0.45</v>
      </c>
      <c r="AN133" s="1">
        <v>0.15</v>
      </c>
      <c r="AO133" s="1">
        <v>0.3</v>
      </c>
      <c r="AP133" s="1">
        <v>0.15</v>
      </c>
      <c r="AQ133" s="1">
        <v>3</v>
      </c>
      <c r="AR133" s="1" t="s">
        <v>1528</v>
      </c>
      <c r="AS133" s="1">
        <v>0</v>
      </c>
      <c r="AT133" s="1" t="s">
        <v>1806</v>
      </c>
      <c r="AU133" s="1">
        <v>10</v>
      </c>
      <c r="AV133" s="1">
        <v>18028</v>
      </c>
      <c r="AW133" s="1">
        <v>0</v>
      </c>
      <c r="AX133" t="b">
        <v>0</v>
      </c>
    </row>
    <row r="134" spans="1:50" x14ac:dyDescent="0.3">
      <c r="A134" s="1">
        <v>135</v>
      </c>
      <c r="B134" s="1" t="s">
        <v>2137</v>
      </c>
      <c r="C134" s="1" t="s">
        <v>2138</v>
      </c>
      <c r="D134" s="1">
        <v>5</v>
      </c>
      <c r="E134" s="1">
        <v>2</v>
      </c>
      <c r="F134" s="1">
        <v>19</v>
      </c>
      <c r="G134" s="1" t="s">
        <v>452</v>
      </c>
      <c r="H134" s="1" t="s">
        <v>328</v>
      </c>
      <c r="I134" s="1" t="s">
        <v>328</v>
      </c>
      <c r="J134" s="1" t="s">
        <v>328</v>
      </c>
      <c r="K134" s="1" t="s">
        <v>328</v>
      </c>
      <c r="L134" s="1" t="s">
        <v>328</v>
      </c>
      <c r="M134" s="1" t="s">
        <v>328</v>
      </c>
      <c r="N134" s="1" t="s">
        <v>328</v>
      </c>
      <c r="O134" s="1" t="s">
        <v>328</v>
      </c>
      <c r="P134" s="1" t="s">
        <v>328</v>
      </c>
      <c r="Q134" s="1" t="s">
        <v>328</v>
      </c>
      <c r="R134" s="1" t="s">
        <v>328</v>
      </c>
      <c r="S134" s="1" t="s">
        <v>328</v>
      </c>
      <c r="T134" s="1" t="s">
        <v>328</v>
      </c>
      <c r="U134" s="1">
        <v>0</v>
      </c>
      <c r="V134" s="1">
        <v>0</v>
      </c>
      <c r="W134" s="1">
        <v>0</v>
      </c>
      <c r="X134" s="1">
        <v>0</v>
      </c>
      <c r="Y134" s="1">
        <v>0</v>
      </c>
      <c r="Z134" s="1">
        <v>0</v>
      </c>
      <c r="AA134" s="1">
        <v>0</v>
      </c>
      <c r="AB134" s="1">
        <v>0</v>
      </c>
      <c r="AC134" s="1">
        <v>0</v>
      </c>
      <c r="AD134" s="1">
        <v>5</v>
      </c>
      <c r="AE134" s="1">
        <v>3</v>
      </c>
      <c r="AF134" s="1">
        <v>2</v>
      </c>
      <c r="AG134" s="208" t="s">
        <v>257</v>
      </c>
      <c r="AH134" s="1">
        <v>3600</v>
      </c>
      <c r="AI134" s="1" t="s">
        <v>2139</v>
      </c>
      <c r="AJ134" s="1">
        <v>0</v>
      </c>
      <c r="AK134" s="1" t="s">
        <v>453</v>
      </c>
      <c r="AL134" s="1" t="s">
        <v>2140</v>
      </c>
      <c r="AM134" s="1">
        <v>0.15</v>
      </c>
      <c r="AN134" s="1">
        <v>0.6</v>
      </c>
      <c r="AO134" s="1">
        <v>0.38</v>
      </c>
      <c r="AP134" s="1">
        <v>0.23</v>
      </c>
      <c r="AQ134" s="1">
        <v>3</v>
      </c>
      <c r="AR134" s="1" t="s">
        <v>1529</v>
      </c>
      <c r="AS134" s="1">
        <v>0</v>
      </c>
      <c r="AT134" s="1" t="s">
        <v>1806</v>
      </c>
      <c r="AU134" s="1">
        <v>10</v>
      </c>
      <c r="AV134" s="1">
        <v>19005</v>
      </c>
      <c r="AW134" s="1">
        <v>0</v>
      </c>
      <c r="AX134" t="b">
        <v>0</v>
      </c>
    </row>
    <row r="135" spans="1:50" x14ac:dyDescent="0.3">
      <c r="A135" s="1">
        <v>136</v>
      </c>
      <c r="B135" s="1" t="s">
        <v>2141</v>
      </c>
      <c r="C135" s="1" t="s">
        <v>2142</v>
      </c>
      <c r="D135" s="1">
        <v>5</v>
      </c>
      <c r="E135" s="1">
        <v>2</v>
      </c>
      <c r="F135" s="1">
        <v>19</v>
      </c>
      <c r="G135" s="1" t="s">
        <v>452</v>
      </c>
      <c r="H135" s="1" t="s">
        <v>328</v>
      </c>
      <c r="I135" s="1" t="s">
        <v>328</v>
      </c>
      <c r="J135" s="1" t="s">
        <v>328</v>
      </c>
      <c r="K135" s="1" t="s">
        <v>328</v>
      </c>
      <c r="L135" s="1" t="s">
        <v>328</v>
      </c>
      <c r="M135" s="1" t="s">
        <v>328</v>
      </c>
      <c r="N135" s="1" t="s">
        <v>328</v>
      </c>
      <c r="O135" s="1" t="s">
        <v>328</v>
      </c>
      <c r="P135" s="1" t="s">
        <v>328</v>
      </c>
      <c r="Q135" s="1" t="s">
        <v>328</v>
      </c>
      <c r="R135" s="1" t="s">
        <v>328</v>
      </c>
      <c r="S135" s="1" t="s">
        <v>328</v>
      </c>
      <c r="T135" s="1" t="s">
        <v>328</v>
      </c>
      <c r="U135" s="1">
        <v>0</v>
      </c>
      <c r="V135" s="1">
        <v>0</v>
      </c>
      <c r="W135" s="1">
        <v>0</v>
      </c>
      <c r="X135" s="1">
        <v>0</v>
      </c>
      <c r="Y135" s="1">
        <v>0</v>
      </c>
      <c r="Z135" s="1">
        <v>0</v>
      </c>
      <c r="AA135" s="1">
        <v>0</v>
      </c>
      <c r="AB135" s="1">
        <v>0</v>
      </c>
      <c r="AC135" s="1">
        <v>0</v>
      </c>
      <c r="AD135" s="1">
        <v>5</v>
      </c>
      <c r="AE135" s="1">
        <v>3</v>
      </c>
      <c r="AF135" s="1">
        <v>2</v>
      </c>
      <c r="AG135" s="208" t="s">
        <v>830</v>
      </c>
      <c r="AH135" s="1">
        <v>3600</v>
      </c>
      <c r="AI135" s="1" t="s">
        <v>2143</v>
      </c>
      <c r="AJ135" s="1">
        <v>0</v>
      </c>
      <c r="AK135" s="1" t="s">
        <v>454</v>
      </c>
      <c r="AL135" s="1" t="s">
        <v>2144</v>
      </c>
      <c r="AM135" s="1">
        <v>0.15</v>
      </c>
      <c r="AN135" s="1">
        <v>0.6</v>
      </c>
      <c r="AO135" s="1">
        <v>0.38</v>
      </c>
      <c r="AP135" s="1">
        <v>0.23</v>
      </c>
      <c r="AQ135" s="1">
        <v>3</v>
      </c>
      <c r="AR135" s="1" t="s">
        <v>1529</v>
      </c>
      <c r="AS135" s="1">
        <v>0</v>
      </c>
      <c r="AT135" s="1" t="s">
        <v>1806</v>
      </c>
      <c r="AU135" s="1">
        <v>10</v>
      </c>
      <c r="AV135" s="1">
        <v>19006</v>
      </c>
      <c r="AW135" s="1">
        <v>0</v>
      </c>
      <c r="AX135" t="b">
        <v>0</v>
      </c>
    </row>
    <row r="136" spans="1:50" x14ac:dyDescent="0.3">
      <c r="A136" s="1">
        <v>137</v>
      </c>
      <c r="B136" s="1" t="s">
        <v>2145</v>
      </c>
      <c r="C136" s="1" t="s">
        <v>2146</v>
      </c>
      <c r="D136" s="1">
        <v>5</v>
      </c>
      <c r="E136" s="1">
        <v>1</v>
      </c>
      <c r="F136" s="1">
        <v>18</v>
      </c>
      <c r="G136" s="1" t="s">
        <v>328</v>
      </c>
      <c r="H136" s="1" t="s">
        <v>328</v>
      </c>
      <c r="I136" s="1" t="s">
        <v>392</v>
      </c>
      <c r="J136" s="1" t="s">
        <v>328</v>
      </c>
      <c r="K136" s="1" t="s">
        <v>328</v>
      </c>
      <c r="L136" s="1" t="s">
        <v>328</v>
      </c>
      <c r="M136" s="1" t="s">
        <v>328</v>
      </c>
      <c r="N136" s="1" t="s">
        <v>328</v>
      </c>
      <c r="O136" s="1" t="s">
        <v>328</v>
      </c>
      <c r="P136" s="1" t="s">
        <v>328</v>
      </c>
      <c r="Q136" s="1" t="s">
        <v>328</v>
      </c>
      <c r="R136" s="1" t="s">
        <v>328</v>
      </c>
      <c r="S136" s="1" t="s">
        <v>328</v>
      </c>
      <c r="T136" s="1" t="s">
        <v>328</v>
      </c>
      <c r="U136" s="1">
        <v>0</v>
      </c>
      <c r="V136" s="1">
        <v>0</v>
      </c>
      <c r="W136" s="1">
        <v>0</v>
      </c>
      <c r="X136" s="1">
        <v>0</v>
      </c>
      <c r="Y136" s="1">
        <v>0</v>
      </c>
      <c r="Z136" s="1">
        <v>0</v>
      </c>
      <c r="AA136" s="1">
        <v>0</v>
      </c>
      <c r="AB136" s="1">
        <v>0</v>
      </c>
      <c r="AC136" s="1">
        <v>4</v>
      </c>
      <c r="AD136" s="1">
        <v>2</v>
      </c>
      <c r="AE136" s="1">
        <v>2</v>
      </c>
      <c r="AF136" s="1">
        <v>2</v>
      </c>
      <c r="AG136" s="208" t="s">
        <v>755</v>
      </c>
      <c r="AH136" s="1">
        <v>3600</v>
      </c>
      <c r="AI136" s="1" t="s">
        <v>2147</v>
      </c>
      <c r="AJ136" s="1">
        <v>0</v>
      </c>
      <c r="AK136" s="1" t="s">
        <v>455</v>
      </c>
      <c r="AL136" s="1" t="s">
        <v>2148</v>
      </c>
      <c r="AM136" s="1">
        <v>0</v>
      </c>
      <c r="AN136" s="1">
        <v>0</v>
      </c>
      <c r="AO136" s="1">
        <v>0</v>
      </c>
      <c r="AP136" s="1">
        <v>0</v>
      </c>
      <c r="AQ136" s="1">
        <v>3</v>
      </c>
      <c r="AR136" s="1" t="s">
        <v>328</v>
      </c>
      <c r="AS136" s="1">
        <v>0</v>
      </c>
      <c r="AT136" s="1" t="s">
        <v>2149</v>
      </c>
      <c r="AU136" s="1">
        <v>0</v>
      </c>
      <c r="AV136" s="1">
        <v>18029</v>
      </c>
      <c r="AW136" s="1">
        <v>0</v>
      </c>
      <c r="AX136" t="b">
        <v>0</v>
      </c>
    </row>
    <row r="137" spans="1:50" x14ac:dyDescent="0.3">
      <c r="A137" s="1">
        <v>138</v>
      </c>
      <c r="B137" s="1" t="s">
        <v>2150</v>
      </c>
      <c r="C137" s="1" t="s">
        <v>2151</v>
      </c>
      <c r="D137" s="1">
        <v>5</v>
      </c>
      <c r="E137" s="1">
        <v>1</v>
      </c>
      <c r="F137" s="1">
        <v>18</v>
      </c>
      <c r="G137" s="1" t="s">
        <v>328</v>
      </c>
      <c r="H137" s="1" t="s">
        <v>328</v>
      </c>
      <c r="I137" s="1" t="s">
        <v>392</v>
      </c>
      <c r="J137" s="1" t="s">
        <v>328</v>
      </c>
      <c r="K137" s="1" t="s">
        <v>328</v>
      </c>
      <c r="L137" s="1" t="s">
        <v>328</v>
      </c>
      <c r="M137" s="1" t="s">
        <v>328</v>
      </c>
      <c r="N137" s="1" t="s">
        <v>328</v>
      </c>
      <c r="O137" s="1" t="s">
        <v>328</v>
      </c>
      <c r="P137" s="1" t="s">
        <v>328</v>
      </c>
      <c r="Q137" s="1" t="s">
        <v>328</v>
      </c>
      <c r="R137" s="1" t="s">
        <v>328</v>
      </c>
      <c r="S137" s="1" t="s">
        <v>328</v>
      </c>
      <c r="T137" s="1" t="s">
        <v>328</v>
      </c>
      <c r="U137" s="1">
        <v>0</v>
      </c>
      <c r="V137" s="1">
        <v>0</v>
      </c>
      <c r="W137" s="1">
        <v>0</v>
      </c>
      <c r="X137" s="1">
        <v>0</v>
      </c>
      <c r="Y137" s="1">
        <v>0</v>
      </c>
      <c r="Z137" s="1">
        <v>0</v>
      </c>
      <c r="AA137" s="1">
        <v>0</v>
      </c>
      <c r="AB137" s="1">
        <v>0</v>
      </c>
      <c r="AC137" s="1">
        <v>4</v>
      </c>
      <c r="AD137" s="1">
        <v>2</v>
      </c>
      <c r="AE137" s="1">
        <v>2</v>
      </c>
      <c r="AF137" s="1">
        <v>2</v>
      </c>
      <c r="AG137" s="208" t="s">
        <v>756</v>
      </c>
      <c r="AH137" s="1">
        <v>3600</v>
      </c>
      <c r="AI137" s="1" t="s">
        <v>2147</v>
      </c>
      <c r="AJ137" s="1">
        <v>0</v>
      </c>
      <c r="AK137" s="1" t="s">
        <v>455</v>
      </c>
      <c r="AL137" s="1" t="s">
        <v>2152</v>
      </c>
      <c r="AM137" s="1">
        <v>0</v>
      </c>
      <c r="AN137" s="1">
        <v>0</v>
      </c>
      <c r="AO137" s="1">
        <v>0</v>
      </c>
      <c r="AP137" s="1">
        <v>0</v>
      </c>
      <c r="AQ137" s="1">
        <v>3</v>
      </c>
      <c r="AR137" s="1" t="s">
        <v>328</v>
      </c>
      <c r="AS137" s="1">
        <v>0</v>
      </c>
      <c r="AT137" s="1" t="s">
        <v>2153</v>
      </c>
      <c r="AU137" s="1">
        <v>0</v>
      </c>
      <c r="AV137" s="1">
        <v>18030</v>
      </c>
      <c r="AW137" s="1">
        <v>0</v>
      </c>
      <c r="AX137" t="b">
        <v>0</v>
      </c>
    </row>
    <row r="138" spans="1:50" x14ac:dyDescent="0.3">
      <c r="A138" s="1">
        <v>139</v>
      </c>
      <c r="B138" s="1" t="s">
        <v>2154</v>
      </c>
      <c r="C138" s="1" t="s">
        <v>2155</v>
      </c>
      <c r="D138" s="1">
        <v>5</v>
      </c>
      <c r="E138" s="1">
        <v>2</v>
      </c>
      <c r="F138" s="1">
        <v>19</v>
      </c>
      <c r="G138" s="1" t="s">
        <v>328</v>
      </c>
      <c r="H138" s="1" t="s">
        <v>328</v>
      </c>
      <c r="I138" s="1" t="s">
        <v>392</v>
      </c>
      <c r="J138" s="1" t="s">
        <v>328</v>
      </c>
      <c r="K138" s="1" t="s">
        <v>328</v>
      </c>
      <c r="L138" s="1" t="s">
        <v>328</v>
      </c>
      <c r="M138" s="1" t="s">
        <v>328</v>
      </c>
      <c r="N138" s="1" t="s">
        <v>328</v>
      </c>
      <c r="O138" s="1" t="s">
        <v>328</v>
      </c>
      <c r="P138" s="1" t="s">
        <v>328</v>
      </c>
      <c r="Q138" s="1" t="s">
        <v>328</v>
      </c>
      <c r="R138" s="1" t="s">
        <v>328</v>
      </c>
      <c r="S138" s="1" t="s">
        <v>328</v>
      </c>
      <c r="T138" s="1" t="s">
        <v>328</v>
      </c>
      <c r="U138" s="1">
        <v>0</v>
      </c>
      <c r="V138" s="1">
        <v>0</v>
      </c>
      <c r="W138" s="1">
        <v>0</v>
      </c>
      <c r="X138" s="1">
        <v>0</v>
      </c>
      <c r="Y138" s="1">
        <v>0</v>
      </c>
      <c r="Z138" s="1">
        <v>0</v>
      </c>
      <c r="AA138" s="1">
        <v>0</v>
      </c>
      <c r="AB138" s="1">
        <v>0</v>
      </c>
      <c r="AC138" s="1">
        <v>4</v>
      </c>
      <c r="AD138" s="1">
        <v>4</v>
      </c>
      <c r="AE138" s="1">
        <v>0</v>
      </c>
      <c r="AF138" s="1">
        <v>2</v>
      </c>
      <c r="AG138" s="208" t="s">
        <v>758</v>
      </c>
      <c r="AH138" s="1">
        <v>3600</v>
      </c>
      <c r="AI138" s="1" t="s">
        <v>2147</v>
      </c>
      <c r="AJ138" s="1">
        <v>0</v>
      </c>
      <c r="AK138" s="1" t="s">
        <v>455</v>
      </c>
      <c r="AL138" s="1" t="s">
        <v>2156</v>
      </c>
      <c r="AM138" s="1">
        <v>0</v>
      </c>
      <c r="AN138" s="1">
        <v>0</v>
      </c>
      <c r="AO138" s="1">
        <v>0</v>
      </c>
      <c r="AP138" s="1">
        <v>0</v>
      </c>
      <c r="AQ138" s="1">
        <v>3</v>
      </c>
      <c r="AR138" s="1" t="s">
        <v>328</v>
      </c>
      <c r="AS138" s="1">
        <v>0</v>
      </c>
      <c r="AT138" s="1" t="s">
        <v>2157</v>
      </c>
      <c r="AU138" s="1">
        <v>0</v>
      </c>
      <c r="AV138" s="1">
        <v>19007</v>
      </c>
      <c r="AW138" s="1">
        <v>0</v>
      </c>
      <c r="AX138" t="b">
        <v>0</v>
      </c>
    </row>
    <row r="139" spans="1:50" x14ac:dyDescent="0.3">
      <c r="A139" s="1">
        <v>140</v>
      </c>
      <c r="B139" s="1" t="s">
        <v>2158</v>
      </c>
      <c r="C139" s="1" t="s">
        <v>2159</v>
      </c>
      <c r="D139" s="1">
        <v>5</v>
      </c>
      <c r="E139" s="1">
        <v>2</v>
      </c>
      <c r="F139" s="1">
        <v>19</v>
      </c>
      <c r="G139" s="1" t="s">
        <v>328</v>
      </c>
      <c r="H139" s="1" t="s">
        <v>328</v>
      </c>
      <c r="I139" s="1" t="s">
        <v>392</v>
      </c>
      <c r="J139" s="1" t="s">
        <v>328</v>
      </c>
      <c r="K139" s="1" t="s">
        <v>328</v>
      </c>
      <c r="L139" s="1" t="s">
        <v>328</v>
      </c>
      <c r="M139" s="1" t="s">
        <v>328</v>
      </c>
      <c r="N139" s="1" t="s">
        <v>328</v>
      </c>
      <c r="O139" s="1" t="s">
        <v>328</v>
      </c>
      <c r="P139" s="1" t="s">
        <v>328</v>
      </c>
      <c r="Q139" s="1" t="s">
        <v>328</v>
      </c>
      <c r="R139" s="1" t="s">
        <v>328</v>
      </c>
      <c r="S139" s="1" t="s">
        <v>328</v>
      </c>
      <c r="T139" s="1" t="s">
        <v>328</v>
      </c>
      <c r="U139" s="1">
        <v>0</v>
      </c>
      <c r="V139" s="1">
        <v>0</v>
      </c>
      <c r="W139" s="1">
        <v>0</v>
      </c>
      <c r="X139" s="1">
        <v>0</v>
      </c>
      <c r="Y139" s="1">
        <v>0</v>
      </c>
      <c r="Z139" s="1">
        <v>0</v>
      </c>
      <c r="AA139" s="1">
        <v>0</v>
      </c>
      <c r="AB139" s="1">
        <v>0</v>
      </c>
      <c r="AC139" s="1">
        <v>4</v>
      </c>
      <c r="AD139" s="1">
        <v>4</v>
      </c>
      <c r="AE139" s="1">
        <v>0</v>
      </c>
      <c r="AF139" s="1">
        <v>2</v>
      </c>
      <c r="AG139" s="208" t="s">
        <v>759</v>
      </c>
      <c r="AH139" s="1">
        <v>3600</v>
      </c>
      <c r="AI139" s="1" t="s">
        <v>2147</v>
      </c>
      <c r="AJ139" s="1">
        <v>0</v>
      </c>
      <c r="AK139" s="1" t="s">
        <v>455</v>
      </c>
      <c r="AL139" s="1" t="s">
        <v>2160</v>
      </c>
      <c r="AM139" s="1">
        <v>0</v>
      </c>
      <c r="AN139" s="1">
        <v>0</v>
      </c>
      <c r="AO139" s="1">
        <v>0</v>
      </c>
      <c r="AP139" s="1">
        <v>0</v>
      </c>
      <c r="AQ139" s="1">
        <v>3</v>
      </c>
      <c r="AR139" s="1" t="s">
        <v>328</v>
      </c>
      <c r="AS139" s="1">
        <v>0</v>
      </c>
      <c r="AT139" s="1" t="s">
        <v>2161</v>
      </c>
      <c r="AU139" s="1">
        <v>0</v>
      </c>
      <c r="AV139" s="1">
        <v>19008</v>
      </c>
      <c r="AW139" s="1">
        <v>0</v>
      </c>
      <c r="AX139" t="b">
        <v>0</v>
      </c>
    </row>
    <row r="140" spans="1:50" x14ac:dyDescent="0.3">
      <c r="A140" s="1">
        <v>141</v>
      </c>
      <c r="B140" s="1" t="s">
        <v>2162</v>
      </c>
      <c r="C140" s="1" t="s">
        <v>2163</v>
      </c>
      <c r="D140" s="1">
        <v>5</v>
      </c>
      <c r="E140" s="1">
        <v>3</v>
      </c>
      <c r="F140" s="1">
        <v>20</v>
      </c>
      <c r="G140" s="1" t="s">
        <v>328</v>
      </c>
      <c r="H140" s="1" t="s">
        <v>328</v>
      </c>
      <c r="I140" s="1" t="s">
        <v>392</v>
      </c>
      <c r="J140" s="1" t="s">
        <v>328</v>
      </c>
      <c r="K140" s="1" t="s">
        <v>328</v>
      </c>
      <c r="L140" s="1" t="s">
        <v>328</v>
      </c>
      <c r="M140" s="1" t="s">
        <v>328</v>
      </c>
      <c r="N140" s="1" t="s">
        <v>328</v>
      </c>
      <c r="O140" s="1" t="s">
        <v>328</v>
      </c>
      <c r="P140" s="1" t="s">
        <v>328</v>
      </c>
      <c r="Q140" s="1" t="s">
        <v>328</v>
      </c>
      <c r="R140" s="1" t="s">
        <v>328</v>
      </c>
      <c r="S140" s="1" t="s">
        <v>328</v>
      </c>
      <c r="T140" s="1" t="s">
        <v>328</v>
      </c>
      <c r="U140" s="1">
        <v>0</v>
      </c>
      <c r="V140" s="1">
        <v>0</v>
      </c>
      <c r="W140" s="1">
        <v>0</v>
      </c>
      <c r="X140" s="1">
        <v>0</v>
      </c>
      <c r="Y140" s="1">
        <v>0</v>
      </c>
      <c r="Z140" s="1">
        <v>0</v>
      </c>
      <c r="AA140" s="1">
        <v>0</v>
      </c>
      <c r="AB140" s="1">
        <v>0</v>
      </c>
      <c r="AC140" s="1">
        <v>4</v>
      </c>
      <c r="AD140" s="1">
        <v>2</v>
      </c>
      <c r="AE140" s="1">
        <v>0</v>
      </c>
      <c r="AF140" s="1">
        <v>4</v>
      </c>
      <c r="AG140" s="208" t="s">
        <v>841</v>
      </c>
      <c r="AH140" s="1">
        <v>3600</v>
      </c>
      <c r="AI140" s="1" t="s">
        <v>2147</v>
      </c>
      <c r="AJ140" s="1">
        <v>0</v>
      </c>
      <c r="AK140" s="1" t="s">
        <v>455</v>
      </c>
      <c r="AL140" s="1" t="s">
        <v>2164</v>
      </c>
      <c r="AM140" s="1">
        <v>0</v>
      </c>
      <c r="AN140" s="1">
        <v>0</v>
      </c>
      <c r="AO140" s="1">
        <v>0</v>
      </c>
      <c r="AP140" s="1">
        <v>0</v>
      </c>
      <c r="AQ140" s="1">
        <v>3</v>
      </c>
      <c r="AR140" s="1" t="s">
        <v>328</v>
      </c>
      <c r="AS140" s="1">
        <v>0</v>
      </c>
      <c r="AT140" s="1" t="s">
        <v>2165</v>
      </c>
      <c r="AU140" s="1">
        <v>0</v>
      </c>
      <c r="AV140" s="1">
        <v>20014</v>
      </c>
      <c r="AW140" s="1">
        <v>0</v>
      </c>
      <c r="AX140" t="b">
        <v>0</v>
      </c>
    </row>
    <row r="141" spans="1:50" x14ac:dyDescent="0.3">
      <c r="A141" s="1">
        <v>142</v>
      </c>
      <c r="B141" s="1" t="s">
        <v>2166</v>
      </c>
      <c r="C141" s="1" t="s">
        <v>2167</v>
      </c>
      <c r="D141" s="1">
        <v>5</v>
      </c>
      <c r="E141" s="1">
        <v>1</v>
      </c>
      <c r="F141" s="1">
        <v>18</v>
      </c>
      <c r="G141" s="1" t="s">
        <v>328</v>
      </c>
      <c r="H141" s="1" t="s">
        <v>328</v>
      </c>
      <c r="I141" s="1" t="s">
        <v>392</v>
      </c>
      <c r="J141" s="1" t="s">
        <v>328</v>
      </c>
      <c r="K141" s="1" t="s">
        <v>328</v>
      </c>
      <c r="L141" s="1" t="s">
        <v>328</v>
      </c>
      <c r="M141" s="1" t="s">
        <v>328</v>
      </c>
      <c r="N141" s="1" t="s">
        <v>328</v>
      </c>
      <c r="O141" s="1" t="s">
        <v>328</v>
      </c>
      <c r="P141" s="1" t="s">
        <v>328</v>
      </c>
      <c r="Q141" s="1" t="s">
        <v>328</v>
      </c>
      <c r="R141" s="1" t="s">
        <v>328</v>
      </c>
      <c r="S141" s="1" t="s">
        <v>328</v>
      </c>
      <c r="T141" s="1" t="s">
        <v>328</v>
      </c>
      <c r="U141" s="1">
        <v>0</v>
      </c>
      <c r="V141" s="1">
        <v>0</v>
      </c>
      <c r="W141" s="1">
        <v>0</v>
      </c>
      <c r="X141" s="1">
        <v>0</v>
      </c>
      <c r="Y141" s="1">
        <v>0</v>
      </c>
      <c r="Z141" s="1">
        <v>0</v>
      </c>
      <c r="AA141" s="1">
        <v>0</v>
      </c>
      <c r="AB141" s="1">
        <v>0</v>
      </c>
      <c r="AC141" s="1">
        <v>4</v>
      </c>
      <c r="AD141" s="1">
        <v>2</v>
      </c>
      <c r="AE141" s="1">
        <v>2</v>
      </c>
      <c r="AF141" s="1">
        <v>2</v>
      </c>
      <c r="AG141" s="208" t="s">
        <v>754</v>
      </c>
      <c r="AH141" s="1">
        <v>3600</v>
      </c>
      <c r="AI141" s="1" t="s">
        <v>2147</v>
      </c>
      <c r="AJ141" s="1">
        <v>0</v>
      </c>
      <c r="AK141" s="1" t="s">
        <v>455</v>
      </c>
      <c r="AL141" s="1" t="s">
        <v>2168</v>
      </c>
      <c r="AM141" s="1">
        <v>0</v>
      </c>
      <c r="AN141" s="1">
        <v>0</v>
      </c>
      <c r="AO141" s="1">
        <v>0</v>
      </c>
      <c r="AP141" s="1">
        <v>0</v>
      </c>
      <c r="AQ141" s="1">
        <v>3</v>
      </c>
      <c r="AR141" s="1" t="s">
        <v>328</v>
      </c>
      <c r="AS141" s="1">
        <v>0</v>
      </c>
      <c r="AT141" s="1" t="s">
        <v>2169</v>
      </c>
      <c r="AU141" s="1">
        <v>0</v>
      </c>
      <c r="AV141" s="1">
        <v>18031</v>
      </c>
      <c r="AW141" s="1">
        <v>0</v>
      </c>
      <c r="AX141" t="b">
        <v>0</v>
      </c>
    </row>
    <row r="142" spans="1:50" x14ac:dyDescent="0.3">
      <c r="A142" s="1">
        <v>143</v>
      </c>
      <c r="B142" s="1" t="s">
        <v>2170</v>
      </c>
      <c r="C142" s="1" t="s">
        <v>2171</v>
      </c>
      <c r="D142" s="1">
        <v>5</v>
      </c>
      <c r="E142" s="1">
        <v>2</v>
      </c>
      <c r="F142" s="1">
        <v>19</v>
      </c>
      <c r="G142" s="1" t="s">
        <v>328</v>
      </c>
      <c r="H142" s="1" t="s">
        <v>328</v>
      </c>
      <c r="I142" s="1" t="s">
        <v>392</v>
      </c>
      <c r="J142" s="1" t="s">
        <v>328</v>
      </c>
      <c r="K142" s="1" t="s">
        <v>328</v>
      </c>
      <c r="L142" s="1" t="s">
        <v>328</v>
      </c>
      <c r="M142" s="1" t="s">
        <v>328</v>
      </c>
      <c r="N142" s="1" t="s">
        <v>328</v>
      </c>
      <c r="O142" s="1" t="s">
        <v>328</v>
      </c>
      <c r="P142" s="1" t="s">
        <v>328</v>
      </c>
      <c r="Q142" s="1" t="s">
        <v>328</v>
      </c>
      <c r="R142" s="1" t="s">
        <v>328</v>
      </c>
      <c r="S142" s="1" t="s">
        <v>328</v>
      </c>
      <c r="T142" s="1" t="s">
        <v>328</v>
      </c>
      <c r="U142" s="1">
        <v>0</v>
      </c>
      <c r="V142" s="1">
        <v>0</v>
      </c>
      <c r="W142" s="1">
        <v>0</v>
      </c>
      <c r="X142" s="1">
        <v>0</v>
      </c>
      <c r="Y142" s="1">
        <v>0</v>
      </c>
      <c r="Z142" s="1">
        <v>0</v>
      </c>
      <c r="AA142" s="1">
        <v>0</v>
      </c>
      <c r="AB142" s="1">
        <v>0</v>
      </c>
      <c r="AC142" s="1">
        <v>4</v>
      </c>
      <c r="AD142" s="1">
        <v>4</v>
      </c>
      <c r="AE142" s="1">
        <v>0</v>
      </c>
      <c r="AF142" s="1">
        <v>2</v>
      </c>
      <c r="AG142" s="208" t="s">
        <v>757</v>
      </c>
      <c r="AH142" s="1">
        <v>3600</v>
      </c>
      <c r="AI142" s="1" t="s">
        <v>2147</v>
      </c>
      <c r="AJ142" s="1">
        <v>0</v>
      </c>
      <c r="AK142" s="1" t="s">
        <v>455</v>
      </c>
      <c r="AL142" s="1" t="s">
        <v>2172</v>
      </c>
      <c r="AM142" s="1">
        <v>0</v>
      </c>
      <c r="AN142" s="1">
        <v>0</v>
      </c>
      <c r="AO142" s="1">
        <v>0</v>
      </c>
      <c r="AP142" s="1">
        <v>0</v>
      </c>
      <c r="AQ142" s="1">
        <v>3</v>
      </c>
      <c r="AR142" s="1" t="s">
        <v>328</v>
      </c>
      <c r="AS142" s="1">
        <v>0</v>
      </c>
      <c r="AT142" s="1" t="s">
        <v>2173</v>
      </c>
      <c r="AU142" s="1">
        <v>0</v>
      </c>
      <c r="AV142" s="1">
        <v>19009</v>
      </c>
      <c r="AW142" s="1">
        <v>0</v>
      </c>
      <c r="AX142" t="b">
        <v>0</v>
      </c>
    </row>
    <row r="143" spans="1:50" x14ac:dyDescent="0.3">
      <c r="A143" s="1">
        <v>144</v>
      </c>
      <c r="B143" s="1" t="s">
        <v>2174</v>
      </c>
      <c r="C143" s="1" t="s">
        <v>2175</v>
      </c>
      <c r="D143" s="1">
        <v>5</v>
      </c>
      <c r="E143" s="1">
        <v>3</v>
      </c>
      <c r="F143" s="1">
        <v>20</v>
      </c>
      <c r="G143" s="1" t="s">
        <v>328</v>
      </c>
      <c r="H143" s="1" t="s">
        <v>328</v>
      </c>
      <c r="I143" s="1" t="s">
        <v>392</v>
      </c>
      <c r="J143" s="1" t="s">
        <v>328</v>
      </c>
      <c r="K143" s="1" t="s">
        <v>328</v>
      </c>
      <c r="L143" s="1" t="s">
        <v>328</v>
      </c>
      <c r="M143" s="1" t="s">
        <v>328</v>
      </c>
      <c r="N143" s="1" t="s">
        <v>328</v>
      </c>
      <c r="O143" s="1" t="s">
        <v>328</v>
      </c>
      <c r="P143" s="1" t="s">
        <v>328</v>
      </c>
      <c r="Q143" s="1" t="s">
        <v>328</v>
      </c>
      <c r="R143" s="1" t="s">
        <v>328</v>
      </c>
      <c r="S143" s="1" t="s">
        <v>328</v>
      </c>
      <c r="T143" s="1" t="s">
        <v>328</v>
      </c>
      <c r="U143" s="1">
        <v>0</v>
      </c>
      <c r="V143" s="1">
        <v>0</v>
      </c>
      <c r="W143" s="1">
        <v>0</v>
      </c>
      <c r="X143" s="1">
        <v>0</v>
      </c>
      <c r="Y143" s="1">
        <v>0</v>
      </c>
      <c r="Z143" s="1">
        <v>0</v>
      </c>
      <c r="AA143" s="1">
        <v>0</v>
      </c>
      <c r="AB143" s="1">
        <v>0</v>
      </c>
      <c r="AC143" s="1">
        <v>4</v>
      </c>
      <c r="AD143" s="1">
        <v>2</v>
      </c>
      <c r="AE143" s="1">
        <v>0</v>
      </c>
      <c r="AF143" s="1">
        <v>4</v>
      </c>
      <c r="AG143" s="208" t="s">
        <v>760</v>
      </c>
      <c r="AH143" s="1">
        <v>3600</v>
      </c>
      <c r="AI143" s="1" t="s">
        <v>2147</v>
      </c>
      <c r="AJ143" s="1">
        <v>0</v>
      </c>
      <c r="AK143" s="1" t="s">
        <v>455</v>
      </c>
      <c r="AL143" s="1" t="s">
        <v>2176</v>
      </c>
      <c r="AM143" s="1">
        <v>0</v>
      </c>
      <c r="AN143" s="1">
        <v>0</v>
      </c>
      <c r="AO143" s="1">
        <v>0</v>
      </c>
      <c r="AP143" s="1">
        <v>0</v>
      </c>
      <c r="AQ143" s="1">
        <v>3</v>
      </c>
      <c r="AR143" s="1" t="s">
        <v>328</v>
      </c>
      <c r="AS143" s="1">
        <v>0</v>
      </c>
      <c r="AT143" s="1" t="s">
        <v>2177</v>
      </c>
      <c r="AU143" s="1">
        <v>0</v>
      </c>
      <c r="AV143" s="1">
        <v>20015</v>
      </c>
      <c r="AW143" s="1">
        <v>0</v>
      </c>
      <c r="AX143" t="b">
        <v>0</v>
      </c>
    </row>
    <row r="144" spans="1:50" x14ac:dyDescent="0.3">
      <c r="A144" s="1">
        <v>145</v>
      </c>
      <c r="B144" s="1" t="s">
        <v>2178</v>
      </c>
      <c r="C144" s="1" t="s">
        <v>2179</v>
      </c>
      <c r="D144" s="1">
        <v>5</v>
      </c>
      <c r="E144" s="1">
        <v>3</v>
      </c>
      <c r="F144" s="1">
        <v>20</v>
      </c>
      <c r="G144" s="1" t="s">
        <v>398</v>
      </c>
      <c r="H144" s="1" t="s">
        <v>328</v>
      </c>
      <c r="I144" s="1" t="s">
        <v>366</v>
      </c>
      <c r="J144" s="1" t="s">
        <v>328</v>
      </c>
      <c r="K144" s="1" t="s">
        <v>328</v>
      </c>
      <c r="L144" s="1" t="s">
        <v>328</v>
      </c>
      <c r="M144" s="1" t="s">
        <v>328</v>
      </c>
      <c r="N144" s="1" t="s">
        <v>328</v>
      </c>
      <c r="O144" s="1" t="s">
        <v>358</v>
      </c>
      <c r="P144" s="1" t="s">
        <v>328</v>
      </c>
      <c r="Q144" s="1" t="s">
        <v>328</v>
      </c>
      <c r="R144" s="1" t="s">
        <v>328</v>
      </c>
      <c r="S144" s="1" t="s">
        <v>328</v>
      </c>
      <c r="T144" s="1" t="s">
        <v>328</v>
      </c>
      <c r="U144" s="1">
        <v>0</v>
      </c>
      <c r="V144" s="1">
        <v>0</v>
      </c>
      <c r="W144" s="1">
        <v>0</v>
      </c>
      <c r="X144" s="1">
        <v>0</v>
      </c>
      <c r="Y144" s="1">
        <v>0</v>
      </c>
      <c r="Z144" s="1">
        <v>0</v>
      </c>
      <c r="AA144" s="1">
        <v>0</v>
      </c>
      <c r="AB144" s="1">
        <v>0</v>
      </c>
      <c r="AC144" s="1">
        <v>2</v>
      </c>
      <c r="AD144" s="1">
        <v>2</v>
      </c>
      <c r="AE144" s="1">
        <v>3</v>
      </c>
      <c r="AF144" s="1">
        <v>3</v>
      </c>
      <c r="AG144" s="208" t="s">
        <v>735</v>
      </c>
      <c r="AH144" s="1">
        <v>3600</v>
      </c>
      <c r="AI144" s="1" t="s">
        <v>2180</v>
      </c>
      <c r="AJ144" s="1">
        <v>0</v>
      </c>
      <c r="AK144" s="1" t="s">
        <v>456</v>
      </c>
      <c r="AL144" s="1" t="s">
        <v>2181</v>
      </c>
      <c r="AM144" s="1">
        <v>0.23</v>
      </c>
      <c r="AN144" s="1">
        <v>0.23</v>
      </c>
      <c r="AO144" s="1">
        <v>0.33</v>
      </c>
      <c r="AP144" s="1">
        <v>0.33</v>
      </c>
      <c r="AQ144" s="1">
        <v>3</v>
      </c>
      <c r="AR144" s="1" t="s">
        <v>1530</v>
      </c>
      <c r="AS144" s="1">
        <v>0</v>
      </c>
      <c r="AT144" s="1" t="s">
        <v>1806</v>
      </c>
      <c r="AU144" s="1">
        <v>10</v>
      </c>
      <c r="AV144" s="1">
        <v>20016</v>
      </c>
      <c r="AW144" s="1">
        <v>0</v>
      </c>
      <c r="AX144" t="b">
        <v>0</v>
      </c>
    </row>
    <row r="145" spans="1:50" x14ac:dyDescent="0.3">
      <c r="A145" s="1">
        <v>146</v>
      </c>
      <c r="B145" s="1" t="s">
        <v>2182</v>
      </c>
      <c r="C145" s="1" t="s">
        <v>2183</v>
      </c>
      <c r="D145" s="1">
        <v>5</v>
      </c>
      <c r="E145" s="1">
        <v>2</v>
      </c>
      <c r="F145" s="1">
        <v>19</v>
      </c>
      <c r="G145" s="1" t="s">
        <v>385</v>
      </c>
      <c r="H145" s="1" t="s">
        <v>328</v>
      </c>
      <c r="I145" s="1" t="s">
        <v>328</v>
      </c>
      <c r="J145" s="1" t="s">
        <v>328</v>
      </c>
      <c r="K145" s="1" t="s">
        <v>328</v>
      </c>
      <c r="L145" s="1" t="s">
        <v>328</v>
      </c>
      <c r="M145" s="1" t="s">
        <v>328</v>
      </c>
      <c r="N145" s="1" t="s">
        <v>386</v>
      </c>
      <c r="O145" s="1" t="s">
        <v>328</v>
      </c>
      <c r="P145" s="1" t="s">
        <v>328</v>
      </c>
      <c r="Q145" s="1" t="s">
        <v>328</v>
      </c>
      <c r="R145" s="1" t="s">
        <v>328</v>
      </c>
      <c r="S145" s="1" t="s">
        <v>328</v>
      </c>
      <c r="T145" s="1" t="s">
        <v>328</v>
      </c>
      <c r="U145" s="1">
        <v>0</v>
      </c>
      <c r="V145" s="1">
        <v>0</v>
      </c>
      <c r="W145" s="1">
        <v>0</v>
      </c>
      <c r="X145" s="1">
        <v>0</v>
      </c>
      <c r="Y145" s="1">
        <v>0</v>
      </c>
      <c r="Z145" s="1">
        <v>0</v>
      </c>
      <c r="AA145" s="1">
        <v>0</v>
      </c>
      <c r="AB145" s="1">
        <v>0</v>
      </c>
      <c r="AC145" s="1">
        <v>4</v>
      </c>
      <c r="AD145" s="1">
        <v>4</v>
      </c>
      <c r="AE145" s="1">
        <v>0</v>
      </c>
      <c r="AF145" s="1">
        <v>2</v>
      </c>
      <c r="AG145" s="208" t="s">
        <v>721</v>
      </c>
      <c r="AH145" s="1">
        <v>3600</v>
      </c>
      <c r="AI145" s="1" t="s">
        <v>2180</v>
      </c>
      <c r="AJ145" s="1">
        <v>0</v>
      </c>
      <c r="AK145" s="1" t="s">
        <v>457</v>
      </c>
      <c r="AL145" s="1" t="s">
        <v>2184</v>
      </c>
      <c r="AM145" s="1">
        <v>0.48</v>
      </c>
      <c r="AN145" s="1">
        <v>0.48</v>
      </c>
      <c r="AO145" s="1">
        <v>0.08</v>
      </c>
      <c r="AP145" s="1">
        <v>0.25</v>
      </c>
      <c r="AQ145" s="1">
        <v>3</v>
      </c>
      <c r="AR145" s="1" t="s">
        <v>1489</v>
      </c>
      <c r="AS145" s="1">
        <v>0</v>
      </c>
      <c r="AT145" s="1" t="s">
        <v>1806</v>
      </c>
      <c r="AU145" s="1">
        <v>10</v>
      </c>
      <c r="AV145" s="1">
        <v>19010</v>
      </c>
      <c r="AW145" s="1">
        <v>0</v>
      </c>
      <c r="AX145" t="b">
        <v>0</v>
      </c>
    </row>
    <row r="146" spans="1:50" x14ac:dyDescent="0.3">
      <c r="A146" s="1">
        <v>147</v>
      </c>
      <c r="B146" s="1" t="s">
        <v>2185</v>
      </c>
      <c r="C146" s="1" t="s">
        <v>2186</v>
      </c>
      <c r="D146" s="1">
        <v>5</v>
      </c>
      <c r="E146" s="1">
        <v>3</v>
      </c>
      <c r="F146" s="1">
        <v>20</v>
      </c>
      <c r="G146" s="1" t="s">
        <v>328</v>
      </c>
      <c r="H146" s="1" t="s">
        <v>328</v>
      </c>
      <c r="I146" s="1" t="s">
        <v>399</v>
      </c>
      <c r="J146" s="1" t="s">
        <v>328</v>
      </c>
      <c r="K146" s="1" t="s">
        <v>328</v>
      </c>
      <c r="L146" s="1" t="s">
        <v>328</v>
      </c>
      <c r="M146" s="1" t="s">
        <v>328</v>
      </c>
      <c r="N146" s="1" t="s">
        <v>328</v>
      </c>
      <c r="O146" s="1" t="s">
        <v>328</v>
      </c>
      <c r="P146" s="1" t="s">
        <v>328</v>
      </c>
      <c r="Q146" s="1" t="s">
        <v>328</v>
      </c>
      <c r="R146" s="1" t="s">
        <v>328</v>
      </c>
      <c r="S146" s="1" t="s">
        <v>328</v>
      </c>
      <c r="T146" s="1" t="s">
        <v>328</v>
      </c>
      <c r="U146" s="1">
        <v>0</v>
      </c>
      <c r="V146" s="1">
        <v>0</v>
      </c>
      <c r="W146" s="1">
        <v>0</v>
      </c>
      <c r="X146" s="1">
        <v>0</v>
      </c>
      <c r="Y146" s="1">
        <v>0</v>
      </c>
      <c r="Z146" s="1">
        <v>0</v>
      </c>
      <c r="AA146" s="1">
        <v>0</v>
      </c>
      <c r="AB146" s="1">
        <v>0</v>
      </c>
      <c r="AC146" s="1">
        <v>4</v>
      </c>
      <c r="AD146" s="1">
        <v>2</v>
      </c>
      <c r="AE146" s="1">
        <v>0</v>
      </c>
      <c r="AF146" s="1">
        <v>4</v>
      </c>
      <c r="AG146" s="208" t="s">
        <v>731</v>
      </c>
      <c r="AH146" s="1">
        <v>3600</v>
      </c>
      <c r="AI146" s="1" t="s">
        <v>2180</v>
      </c>
      <c r="AJ146" s="1">
        <v>0</v>
      </c>
      <c r="AK146" s="1" t="s">
        <v>458</v>
      </c>
      <c r="AL146" s="1" t="s">
        <v>2187</v>
      </c>
      <c r="AM146" s="1">
        <v>0.3</v>
      </c>
      <c r="AN146" s="1">
        <v>0.23</v>
      </c>
      <c r="AO146" s="1">
        <v>0.15</v>
      </c>
      <c r="AP146" s="1">
        <v>0.38</v>
      </c>
      <c r="AQ146" s="1">
        <v>3</v>
      </c>
      <c r="AR146" s="1" t="s">
        <v>1480</v>
      </c>
      <c r="AS146" s="1">
        <v>0</v>
      </c>
      <c r="AT146" s="1" t="s">
        <v>1806</v>
      </c>
      <c r="AU146" s="1">
        <v>10</v>
      </c>
      <c r="AV146" s="1">
        <v>20017</v>
      </c>
      <c r="AW146" s="1">
        <v>0</v>
      </c>
      <c r="AX146" t="b">
        <v>0</v>
      </c>
    </row>
    <row r="147" spans="1:50" x14ac:dyDescent="0.3">
      <c r="A147" s="1">
        <v>148</v>
      </c>
      <c r="B147" s="1" t="s">
        <v>2188</v>
      </c>
      <c r="C147" s="1" t="s">
        <v>2189</v>
      </c>
      <c r="D147" s="1">
        <v>5</v>
      </c>
      <c r="E147" s="1">
        <v>3</v>
      </c>
      <c r="F147" s="1">
        <v>20</v>
      </c>
      <c r="G147" s="1" t="s">
        <v>328</v>
      </c>
      <c r="H147" s="1" t="s">
        <v>328</v>
      </c>
      <c r="I147" s="1" t="s">
        <v>328</v>
      </c>
      <c r="J147" s="1" t="s">
        <v>401</v>
      </c>
      <c r="K147" s="1" t="s">
        <v>331</v>
      </c>
      <c r="L147" s="1" t="s">
        <v>399</v>
      </c>
      <c r="M147" s="1" t="s">
        <v>328</v>
      </c>
      <c r="N147" s="1" t="s">
        <v>328</v>
      </c>
      <c r="O147" s="1" t="s">
        <v>328</v>
      </c>
      <c r="P147" s="1" t="s">
        <v>328</v>
      </c>
      <c r="Q147" s="1" t="s">
        <v>328</v>
      </c>
      <c r="R147" s="1" t="s">
        <v>328</v>
      </c>
      <c r="S147" s="1" t="s">
        <v>328</v>
      </c>
      <c r="T147" s="1" t="s">
        <v>328</v>
      </c>
      <c r="U147" s="1">
        <v>0</v>
      </c>
      <c r="V147" s="1">
        <v>0</v>
      </c>
      <c r="W147" s="1">
        <v>0</v>
      </c>
      <c r="X147" s="1">
        <v>0</v>
      </c>
      <c r="Y147" s="1">
        <v>0</v>
      </c>
      <c r="Z147" s="1">
        <v>0</v>
      </c>
      <c r="AA147" s="1">
        <v>0</v>
      </c>
      <c r="AB147" s="1">
        <v>0</v>
      </c>
      <c r="AC147" s="1">
        <v>4</v>
      </c>
      <c r="AD147" s="1">
        <v>0</v>
      </c>
      <c r="AE147" s="1">
        <v>5</v>
      </c>
      <c r="AF147" s="1">
        <v>0</v>
      </c>
      <c r="AG147" s="208" t="s">
        <v>736</v>
      </c>
      <c r="AH147" s="1">
        <v>3600</v>
      </c>
      <c r="AI147" s="1" t="s">
        <v>2180</v>
      </c>
      <c r="AJ147" s="1">
        <v>0</v>
      </c>
      <c r="AK147" s="1" t="s">
        <v>459</v>
      </c>
      <c r="AL147" s="1" t="s">
        <v>2190</v>
      </c>
      <c r="AM147" s="1">
        <v>0.55000000000000004</v>
      </c>
      <c r="AN147" s="1">
        <v>0.16</v>
      </c>
      <c r="AO147" s="1">
        <v>0.6</v>
      </c>
      <c r="AP147" s="1">
        <v>0.16</v>
      </c>
      <c r="AQ147" s="1">
        <v>3</v>
      </c>
      <c r="AR147" s="1" t="s">
        <v>1531</v>
      </c>
      <c r="AS147" s="1">
        <v>0</v>
      </c>
      <c r="AT147" s="1" t="s">
        <v>1806</v>
      </c>
      <c r="AU147" s="1">
        <v>10</v>
      </c>
      <c r="AV147" s="1">
        <v>20018</v>
      </c>
      <c r="AW147" s="1">
        <v>0</v>
      </c>
      <c r="AX147" t="b">
        <v>0</v>
      </c>
    </row>
    <row r="148" spans="1:50" x14ac:dyDescent="0.3">
      <c r="A148" s="1">
        <v>149</v>
      </c>
      <c r="B148" s="1" t="s">
        <v>2191</v>
      </c>
      <c r="C148" s="1" t="s">
        <v>2192</v>
      </c>
      <c r="D148" s="1">
        <v>5</v>
      </c>
      <c r="E148" s="1">
        <v>3</v>
      </c>
      <c r="F148" s="1">
        <v>20</v>
      </c>
      <c r="G148" s="1" t="s">
        <v>398</v>
      </c>
      <c r="H148" s="1" t="s">
        <v>328</v>
      </c>
      <c r="I148" s="1" t="s">
        <v>366</v>
      </c>
      <c r="J148" s="1" t="s">
        <v>328</v>
      </c>
      <c r="K148" s="1" t="s">
        <v>328</v>
      </c>
      <c r="L148" s="1" t="s">
        <v>328</v>
      </c>
      <c r="M148" s="1" t="s">
        <v>328</v>
      </c>
      <c r="N148" s="1" t="s">
        <v>328</v>
      </c>
      <c r="O148" s="1" t="s">
        <v>328</v>
      </c>
      <c r="P148" s="1" t="s">
        <v>328</v>
      </c>
      <c r="Q148" s="1" t="s">
        <v>328</v>
      </c>
      <c r="R148" s="1" t="s">
        <v>328</v>
      </c>
      <c r="S148" s="1" t="s">
        <v>328</v>
      </c>
      <c r="T148" s="1" t="s">
        <v>354</v>
      </c>
      <c r="U148" s="1">
        <v>0</v>
      </c>
      <c r="V148" s="1">
        <v>0</v>
      </c>
      <c r="W148" s="1">
        <v>0</v>
      </c>
      <c r="X148" s="1">
        <v>0</v>
      </c>
      <c r="Y148" s="1">
        <v>0</v>
      </c>
      <c r="Z148" s="1">
        <v>0</v>
      </c>
      <c r="AA148" s="1">
        <v>0</v>
      </c>
      <c r="AB148" s="1">
        <v>0</v>
      </c>
      <c r="AC148" s="1">
        <v>4</v>
      </c>
      <c r="AD148" s="1">
        <v>0</v>
      </c>
      <c r="AE148" s="1">
        <v>5</v>
      </c>
      <c r="AF148" s="1">
        <v>0</v>
      </c>
      <c r="AG148" s="208" t="s">
        <v>737</v>
      </c>
      <c r="AH148" s="1">
        <v>3600</v>
      </c>
      <c r="AI148" s="1" t="s">
        <v>2180</v>
      </c>
      <c r="AJ148" s="1">
        <v>0</v>
      </c>
      <c r="AK148" s="1" t="s">
        <v>460</v>
      </c>
      <c r="AL148" s="1" t="s">
        <v>2193</v>
      </c>
      <c r="AM148" s="1">
        <v>0.55000000000000004</v>
      </c>
      <c r="AN148" s="1">
        <v>0.16</v>
      </c>
      <c r="AO148" s="1">
        <v>0.6</v>
      </c>
      <c r="AP148" s="1">
        <v>0.16</v>
      </c>
      <c r="AQ148" s="1">
        <v>3</v>
      </c>
      <c r="AR148" s="1" t="s">
        <v>1532</v>
      </c>
      <c r="AS148" s="1">
        <v>0</v>
      </c>
      <c r="AT148" s="1" t="s">
        <v>1806</v>
      </c>
      <c r="AU148" s="1">
        <v>10</v>
      </c>
      <c r="AV148" s="1">
        <v>20019</v>
      </c>
      <c r="AW148" s="1">
        <v>0</v>
      </c>
      <c r="AX148" t="b">
        <v>0</v>
      </c>
    </row>
    <row r="149" spans="1:50" x14ac:dyDescent="0.3">
      <c r="A149" s="1">
        <v>150</v>
      </c>
      <c r="B149" s="1" t="s">
        <v>2194</v>
      </c>
      <c r="C149" s="1" t="s">
        <v>2195</v>
      </c>
      <c r="D149" s="1">
        <v>5</v>
      </c>
      <c r="E149" s="1">
        <v>1</v>
      </c>
      <c r="F149" s="1">
        <v>18</v>
      </c>
      <c r="G149" s="1" t="s">
        <v>328</v>
      </c>
      <c r="H149" s="1" t="s">
        <v>446</v>
      </c>
      <c r="I149" s="1" t="s">
        <v>328</v>
      </c>
      <c r="J149" s="1" t="s">
        <v>328</v>
      </c>
      <c r="K149" s="1" t="s">
        <v>344</v>
      </c>
      <c r="L149" s="1" t="s">
        <v>328</v>
      </c>
      <c r="M149" s="1" t="s">
        <v>422</v>
      </c>
      <c r="N149" s="1" t="s">
        <v>328</v>
      </c>
      <c r="O149" s="1" t="s">
        <v>328</v>
      </c>
      <c r="P149" s="1" t="s">
        <v>328</v>
      </c>
      <c r="Q149" s="1" t="s">
        <v>328</v>
      </c>
      <c r="R149" s="1" t="s">
        <v>328</v>
      </c>
      <c r="S149" s="1" t="s">
        <v>328</v>
      </c>
      <c r="T149" s="1" t="s">
        <v>328</v>
      </c>
      <c r="U149" s="1">
        <v>0</v>
      </c>
      <c r="V149" s="1">
        <v>0</v>
      </c>
      <c r="W149" s="1">
        <v>0</v>
      </c>
      <c r="X149" s="1">
        <v>0</v>
      </c>
      <c r="Y149" s="1">
        <v>0</v>
      </c>
      <c r="Z149" s="1">
        <v>0</v>
      </c>
      <c r="AA149" s="1">
        <v>0</v>
      </c>
      <c r="AB149" s="1">
        <v>0</v>
      </c>
      <c r="AC149" s="1">
        <v>4</v>
      </c>
      <c r="AD149" s="1">
        <v>0</v>
      </c>
      <c r="AE149" s="1">
        <v>3</v>
      </c>
      <c r="AF149" s="1">
        <v>2</v>
      </c>
      <c r="AG149" s="208" t="s">
        <v>125</v>
      </c>
      <c r="AH149" s="1">
        <v>3600</v>
      </c>
      <c r="AI149" s="1" t="s">
        <v>2119</v>
      </c>
      <c r="AJ149" s="1">
        <v>0</v>
      </c>
      <c r="AK149" s="1" t="s">
        <v>461</v>
      </c>
      <c r="AL149" s="1" t="s">
        <v>2196</v>
      </c>
      <c r="AM149" s="1">
        <v>0.45</v>
      </c>
      <c r="AN149" s="1">
        <v>0.15</v>
      </c>
      <c r="AO149" s="1">
        <v>0.3</v>
      </c>
      <c r="AP149" s="1">
        <v>0.15</v>
      </c>
      <c r="AQ149" s="1">
        <v>3</v>
      </c>
      <c r="AR149" s="1" t="s">
        <v>1533</v>
      </c>
      <c r="AS149" s="1">
        <v>0</v>
      </c>
      <c r="AT149" s="1" t="s">
        <v>1806</v>
      </c>
      <c r="AU149" s="1">
        <v>10</v>
      </c>
      <c r="AV149" s="1">
        <v>18032</v>
      </c>
      <c r="AW149" s="1">
        <v>0</v>
      </c>
      <c r="AX149" t="b">
        <v>0</v>
      </c>
    </row>
    <row r="150" spans="1:50" x14ac:dyDescent="0.3">
      <c r="A150" s="1">
        <v>151</v>
      </c>
      <c r="B150" s="1" t="s">
        <v>2197</v>
      </c>
      <c r="C150" s="1" t="s">
        <v>2198</v>
      </c>
      <c r="D150" s="1">
        <v>5</v>
      </c>
      <c r="E150" s="1">
        <v>2</v>
      </c>
      <c r="F150" s="1">
        <v>19</v>
      </c>
      <c r="G150" s="1" t="s">
        <v>356</v>
      </c>
      <c r="H150" s="1" t="s">
        <v>331</v>
      </c>
      <c r="I150" s="1" t="s">
        <v>328</v>
      </c>
      <c r="J150" s="1" t="s">
        <v>328</v>
      </c>
      <c r="K150" s="1" t="s">
        <v>328</v>
      </c>
      <c r="L150" s="1" t="s">
        <v>450</v>
      </c>
      <c r="M150" s="1" t="s">
        <v>328</v>
      </c>
      <c r="N150" s="1" t="s">
        <v>328</v>
      </c>
      <c r="O150" s="1" t="s">
        <v>328</v>
      </c>
      <c r="P150" s="1" t="s">
        <v>328</v>
      </c>
      <c r="Q150" s="1" t="s">
        <v>328</v>
      </c>
      <c r="R150" s="1" t="s">
        <v>328</v>
      </c>
      <c r="S150" s="1" t="s">
        <v>328</v>
      </c>
      <c r="T150" s="1" t="s">
        <v>328</v>
      </c>
      <c r="U150" s="1">
        <v>0</v>
      </c>
      <c r="V150" s="1">
        <v>0</v>
      </c>
      <c r="W150" s="1">
        <v>0</v>
      </c>
      <c r="X150" s="1">
        <v>0</v>
      </c>
      <c r="Y150" s="1">
        <v>0</v>
      </c>
      <c r="Z150" s="1">
        <v>0</v>
      </c>
      <c r="AA150" s="1">
        <v>0</v>
      </c>
      <c r="AB150" s="1">
        <v>0</v>
      </c>
      <c r="AC150" s="1">
        <v>1</v>
      </c>
      <c r="AD150" s="1">
        <v>4</v>
      </c>
      <c r="AE150" s="1">
        <v>1</v>
      </c>
      <c r="AF150" s="1">
        <v>3</v>
      </c>
      <c r="AG150" s="208" t="s">
        <v>722</v>
      </c>
      <c r="AH150" s="1">
        <v>3600</v>
      </c>
      <c r="AI150" s="1" t="s">
        <v>2199</v>
      </c>
      <c r="AJ150" s="1">
        <v>0</v>
      </c>
      <c r="AK150" s="1" t="s">
        <v>462</v>
      </c>
      <c r="AL150" s="1" t="s">
        <v>2200</v>
      </c>
      <c r="AM150" s="1">
        <v>0.08</v>
      </c>
      <c r="AN150" s="1">
        <v>0.53</v>
      </c>
      <c r="AO150" s="1">
        <v>0.08</v>
      </c>
      <c r="AP150" s="1">
        <v>0.45</v>
      </c>
      <c r="AQ150" s="1">
        <v>3</v>
      </c>
      <c r="AR150" s="1" t="s">
        <v>1534</v>
      </c>
      <c r="AS150" s="1">
        <v>0</v>
      </c>
      <c r="AT150" s="1" t="s">
        <v>1806</v>
      </c>
      <c r="AU150" s="1">
        <v>10</v>
      </c>
      <c r="AV150" s="1">
        <v>19011</v>
      </c>
      <c r="AW150" s="1">
        <v>0</v>
      </c>
      <c r="AX150" t="b">
        <v>0</v>
      </c>
    </row>
    <row r="151" spans="1:50" x14ac:dyDescent="0.3">
      <c r="A151" s="1">
        <v>152</v>
      </c>
      <c r="B151" s="1" t="s">
        <v>2201</v>
      </c>
      <c r="C151" s="1" t="s">
        <v>2202</v>
      </c>
      <c r="D151" s="1">
        <v>5</v>
      </c>
      <c r="E151" s="1">
        <v>1</v>
      </c>
      <c r="F151" s="1">
        <v>18</v>
      </c>
      <c r="G151" s="1" t="s">
        <v>335</v>
      </c>
      <c r="H151" s="1" t="s">
        <v>331</v>
      </c>
      <c r="I151" s="1" t="s">
        <v>328</v>
      </c>
      <c r="J151" s="1" t="s">
        <v>328</v>
      </c>
      <c r="K151" s="1" t="s">
        <v>328</v>
      </c>
      <c r="L151" s="1" t="s">
        <v>328</v>
      </c>
      <c r="M151" s="1" t="s">
        <v>397</v>
      </c>
      <c r="N151" s="1" t="s">
        <v>328</v>
      </c>
      <c r="O151" s="1" t="s">
        <v>328</v>
      </c>
      <c r="P151" s="1" t="s">
        <v>328</v>
      </c>
      <c r="Q151" s="1" t="s">
        <v>328</v>
      </c>
      <c r="R151" s="1" t="s">
        <v>328</v>
      </c>
      <c r="S151" s="1" t="s">
        <v>328</v>
      </c>
      <c r="T151" s="1" t="s">
        <v>328</v>
      </c>
      <c r="U151" s="1">
        <v>0</v>
      </c>
      <c r="V151" s="1">
        <v>0</v>
      </c>
      <c r="W151" s="1">
        <v>0</v>
      </c>
      <c r="X151" s="1">
        <v>0</v>
      </c>
      <c r="Y151" s="1">
        <v>0</v>
      </c>
      <c r="Z151" s="1">
        <v>0</v>
      </c>
      <c r="AA151" s="1">
        <v>0</v>
      </c>
      <c r="AB151" s="1">
        <v>0</v>
      </c>
      <c r="AC151" s="1">
        <v>4</v>
      </c>
      <c r="AD151" s="1">
        <v>0</v>
      </c>
      <c r="AE151" s="1">
        <v>3</v>
      </c>
      <c r="AF151" s="1">
        <v>2</v>
      </c>
      <c r="AG151" s="208" t="s">
        <v>744</v>
      </c>
      <c r="AH151" s="1">
        <v>3600</v>
      </c>
      <c r="AI151" s="1" t="s">
        <v>2203</v>
      </c>
      <c r="AJ151" s="1">
        <v>0</v>
      </c>
      <c r="AK151" s="1" t="s">
        <v>463</v>
      </c>
      <c r="AL151" s="1" t="s">
        <v>2204</v>
      </c>
      <c r="AM151" s="1">
        <v>0.45</v>
      </c>
      <c r="AN151" s="1">
        <v>0.15</v>
      </c>
      <c r="AO151" s="1">
        <v>0.3</v>
      </c>
      <c r="AP151" s="1">
        <v>0.15</v>
      </c>
      <c r="AQ151" s="1">
        <v>3</v>
      </c>
      <c r="AR151" s="1" t="s">
        <v>1535</v>
      </c>
      <c r="AS151" s="1">
        <v>0</v>
      </c>
      <c r="AT151" s="1" t="s">
        <v>1806</v>
      </c>
      <c r="AU151" s="1">
        <v>10</v>
      </c>
      <c r="AV151" s="1">
        <v>18033</v>
      </c>
      <c r="AW151" s="1">
        <v>0</v>
      </c>
      <c r="AX151" t="b">
        <v>0</v>
      </c>
    </row>
    <row r="152" spans="1:50" x14ac:dyDescent="0.3">
      <c r="A152" s="1">
        <v>153</v>
      </c>
      <c r="B152" s="1" t="s">
        <v>2205</v>
      </c>
      <c r="C152" s="1" t="s">
        <v>2206</v>
      </c>
      <c r="D152" s="1">
        <v>5</v>
      </c>
      <c r="E152" s="1">
        <v>1</v>
      </c>
      <c r="F152" s="1">
        <v>18</v>
      </c>
      <c r="G152" s="1" t="s">
        <v>328</v>
      </c>
      <c r="H152" s="1" t="s">
        <v>337</v>
      </c>
      <c r="I152" s="1" t="s">
        <v>328</v>
      </c>
      <c r="J152" s="1" t="s">
        <v>328</v>
      </c>
      <c r="K152" s="1" t="s">
        <v>398</v>
      </c>
      <c r="L152" s="1" t="s">
        <v>328</v>
      </c>
      <c r="M152" s="1" t="s">
        <v>397</v>
      </c>
      <c r="N152" s="1" t="s">
        <v>328</v>
      </c>
      <c r="O152" s="1" t="s">
        <v>328</v>
      </c>
      <c r="P152" s="1" t="s">
        <v>328</v>
      </c>
      <c r="Q152" s="1" t="s">
        <v>328</v>
      </c>
      <c r="R152" s="1" t="s">
        <v>328</v>
      </c>
      <c r="S152" s="1" t="s">
        <v>328</v>
      </c>
      <c r="T152" s="1" t="s">
        <v>328</v>
      </c>
      <c r="U152" s="1">
        <v>0</v>
      </c>
      <c r="V152" s="1">
        <v>0</v>
      </c>
      <c r="W152" s="1">
        <v>0</v>
      </c>
      <c r="X152" s="1">
        <v>0</v>
      </c>
      <c r="Y152" s="1">
        <v>0</v>
      </c>
      <c r="Z152" s="1">
        <v>0</v>
      </c>
      <c r="AA152" s="1">
        <v>0</v>
      </c>
      <c r="AB152" s="1">
        <v>0</v>
      </c>
      <c r="AC152" s="1">
        <v>4</v>
      </c>
      <c r="AD152" s="1">
        <v>0</v>
      </c>
      <c r="AE152" s="1">
        <v>3</v>
      </c>
      <c r="AF152" s="1">
        <v>2</v>
      </c>
      <c r="AG152" s="208" t="s">
        <v>97</v>
      </c>
      <c r="AH152" s="1">
        <v>3600</v>
      </c>
      <c r="AI152" s="1" t="s">
        <v>2207</v>
      </c>
      <c r="AJ152" s="1">
        <v>0</v>
      </c>
      <c r="AK152" s="1" t="s">
        <v>370</v>
      </c>
      <c r="AL152" s="1" t="s">
        <v>2208</v>
      </c>
      <c r="AM152" s="1">
        <v>0.45</v>
      </c>
      <c r="AN152" s="1">
        <v>0.15</v>
      </c>
      <c r="AO152" s="1">
        <v>0.3</v>
      </c>
      <c r="AP152" s="1">
        <v>0.15</v>
      </c>
      <c r="AQ152" s="1">
        <v>3</v>
      </c>
      <c r="AR152" s="1" t="s">
        <v>1536</v>
      </c>
      <c r="AS152" s="1">
        <v>0</v>
      </c>
      <c r="AT152" s="1" t="s">
        <v>1806</v>
      </c>
      <c r="AU152" s="1">
        <v>10</v>
      </c>
      <c r="AV152" s="1">
        <v>18034</v>
      </c>
      <c r="AW152" s="1">
        <v>0</v>
      </c>
      <c r="AX152" t="b">
        <v>0</v>
      </c>
    </row>
    <row r="153" spans="1:50" x14ac:dyDescent="0.3">
      <c r="A153" s="1">
        <v>154</v>
      </c>
      <c r="B153" s="1" t="s">
        <v>2209</v>
      </c>
      <c r="C153" s="1" t="s">
        <v>2210</v>
      </c>
      <c r="D153" s="1">
        <v>5</v>
      </c>
      <c r="E153" s="1">
        <v>1</v>
      </c>
      <c r="F153" s="1">
        <v>18</v>
      </c>
      <c r="G153" s="1" t="s">
        <v>354</v>
      </c>
      <c r="H153" s="1" t="s">
        <v>328</v>
      </c>
      <c r="I153" s="1" t="s">
        <v>464</v>
      </c>
      <c r="J153" s="1" t="s">
        <v>328</v>
      </c>
      <c r="K153" s="1" t="s">
        <v>328</v>
      </c>
      <c r="L153" s="1" t="s">
        <v>328</v>
      </c>
      <c r="M153" s="1" t="s">
        <v>399</v>
      </c>
      <c r="N153" s="1" t="s">
        <v>328</v>
      </c>
      <c r="O153" s="1" t="s">
        <v>328</v>
      </c>
      <c r="P153" s="1" t="s">
        <v>328</v>
      </c>
      <c r="Q153" s="1" t="s">
        <v>328</v>
      </c>
      <c r="R153" s="1" t="s">
        <v>328</v>
      </c>
      <c r="S153" s="1" t="s">
        <v>328</v>
      </c>
      <c r="T153" s="1" t="s">
        <v>328</v>
      </c>
      <c r="U153" s="1">
        <v>0</v>
      </c>
      <c r="V153" s="1">
        <v>0</v>
      </c>
      <c r="W153" s="1">
        <v>0</v>
      </c>
      <c r="X153" s="1">
        <v>0</v>
      </c>
      <c r="Y153" s="1">
        <v>0</v>
      </c>
      <c r="Z153" s="1">
        <v>0</v>
      </c>
      <c r="AA153" s="1">
        <v>0</v>
      </c>
      <c r="AB153" s="1">
        <v>0</v>
      </c>
      <c r="AC153" s="1">
        <v>4</v>
      </c>
      <c r="AD153" s="1">
        <v>2</v>
      </c>
      <c r="AE153" s="1">
        <v>2</v>
      </c>
      <c r="AF153" s="1">
        <v>2</v>
      </c>
      <c r="AG153" s="208" t="s">
        <v>77</v>
      </c>
      <c r="AH153" s="1">
        <v>3600</v>
      </c>
      <c r="AI153" s="1" t="s">
        <v>2211</v>
      </c>
      <c r="AJ153" s="1">
        <v>0</v>
      </c>
      <c r="AK153" s="1" t="s">
        <v>465</v>
      </c>
      <c r="AL153" s="1" t="s">
        <v>2212</v>
      </c>
      <c r="AM153" s="1">
        <v>0.55000000000000004</v>
      </c>
      <c r="AN153" s="1">
        <v>0.23</v>
      </c>
      <c r="AO153" s="1">
        <v>0.23</v>
      </c>
      <c r="AP153" s="1">
        <v>0.23</v>
      </c>
      <c r="AQ153" s="1">
        <v>3</v>
      </c>
      <c r="AR153" s="1" t="s">
        <v>1537</v>
      </c>
      <c r="AS153" s="1">
        <v>0</v>
      </c>
      <c r="AT153" s="1" t="s">
        <v>1806</v>
      </c>
      <c r="AU153" s="1">
        <v>10</v>
      </c>
      <c r="AV153" s="1">
        <v>18035</v>
      </c>
      <c r="AW153" s="1">
        <v>0</v>
      </c>
      <c r="AX153" t="b">
        <v>0</v>
      </c>
    </row>
    <row r="154" spans="1:50" x14ac:dyDescent="0.3">
      <c r="A154" s="1">
        <v>155</v>
      </c>
      <c r="B154" s="1" t="s">
        <v>2213</v>
      </c>
      <c r="C154" s="1" t="s">
        <v>2214</v>
      </c>
      <c r="D154" s="1">
        <v>5</v>
      </c>
      <c r="E154" s="1">
        <v>1</v>
      </c>
      <c r="F154" s="1">
        <v>18</v>
      </c>
      <c r="G154" s="1" t="s">
        <v>328</v>
      </c>
      <c r="H154" s="1" t="s">
        <v>328</v>
      </c>
      <c r="I154" s="1" t="s">
        <v>466</v>
      </c>
      <c r="J154" s="1" t="s">
        <v>328</v>
      </c>
      <c r="K154" s="1" t="s">
        <v>328</v>
      </c>
      <c r="L154" s="1" t="s">
        <v>328</v>
      </c>
      <c r="M154" s="1" t="s">
        <v>399</v>
      </c>
      <c r="N154" s="1" t="s">
        <v>328</v>
      </c>
      <c r="O154" s="1" t="s">
        <v>328</v>
      </c>
      <c r="P154" s="1" t="s">
        <v>328</v>
      </c>
      <c r="Q154" s="1" t="s">
        <v>328</v>
      </c>
      <c r="R154" s="1" t="s">
        <v>328</v>
      </c>
      <c r="S154" s="1" t="s">
        <v>328</v>
      </c>
      <c r="T154" s="1" t="s">
        <v>328</v>
      </c>
      <c r="U154" s="1">
        <v>0</v>
      </c>
      <c r="V154" s="1">
        <v>0</v>
      </c>
      <c r="W154" s="1">
        <v>0</v>
      </c>
      <c r="X154" s="1">
        <v>0</v>
      </c>
      <c r="Y154" s="1">
        <v>0</v>
      </c>
      <c r="Z154" s="1">
        <v>0</v>
      </c>
      <c r="AA154" s="1">
        <v>0</v>
      </c>
      <c r="AB154" s="1">
        <v>0</v>
      </c>
      <c r="AC154" s="1">
        <v>4</v>
      </c>
      <c r="AD154" s="1">
        <v>2</v>
      </c>
      <c r="AE154" s="1">
        <v>2</v>
      </c>
      <c r="AF154" s="1">
        <v>2</v>
      </c>
      <c r="AG154" s="208" t="s">
        <v>70</v>
      </c>
      <c r="AH154" s="1">
        <v>3600</v>
      </c>
      <c r="AI154" s="1" t="s">
        <v>2215</v>
      </c>
      <c r="AJ154" s="1">
        <v>0</v>
      </c>
      <c r="AK154" s="1" t="s">
        <v>467</v>
      </c>
      <c r="AL154" s="1" t="s">
        <v>2216</v>
      </c>
      <c r="AM154" s="1">
        <v>0.55000000000000004</v>
      </c>
      <c r="AN154" s="1">
        <v>0.23</v>
      </c>
      <c r="AO154" s="1">
        <v>0.23</v>
      </c>
      <c r="AP154" s="1">
        <v>0.23</v>
      </c>
      <c r="AQ154" s="1">
        <v>3</v>
      </c>
      <c r="AR154" s="1" t="s">
        <v>1538</v>
      </c>
      <c r="AS154" s="1">
        <v>0</v>
      </c>
      <c r="AT154" s="1" t="s">
        <v>1806</v>
      </c>
      <c r="AU154" s="1">
        <v>10</v>
      </c>
      <c r="AV154" s="1">
        <v>18036</v>
      </c>
      <c r="AW154" s="1">
        <v>0</v>
      </c>
      <c r="AX154" t="b">
        <v>0</v>
      </c>
    </row>
    <row r="155" spans="1:50" x14ac:dyDescent="0.3">
      <c r="A155" s="1">
        <v>156</v>
      </c>
      <c r="B155" s="1" t="s">
        <v>2217</v>
      </c>
      <c r="C155" s="1" t="s">
        <v>2218</v>
      </c>
      <c r="D155" s="1">
        <v>5</v>
      </c>
      <c r="E155" s="1">
        <v>1</v>
      </c>
      <c r="F155" s="1">
        <v>18</v>
      </c>
      <c r="G155" s="1" t="s">
        <v>355</v>
      </c>
      <c r="H155" s="1" t="s">
        <v>338</v>
      </c>
      <c r="I155" s="1" t="s">
        <v>391</v>
      </c>
      <c r="J155" s="1" t="s">
        <v>328</v>
      </c>
      <c r="K155" s="1" t="s">
        <v>328</v>
      </c>
      <c r="L155" s="1" t="s">
        <v>328</v>
      </c>
      <c r="M155" s="1" t="s">
        <v>328</v>
      </c>
      <c r="N155" s="1" t="s">
        <v>328</v>
      </c>
      <c r="O155" s="1" t="s">
        <v>328</v>
      </c>
      <c r="P155" s="1" t="s">
        <v>328</v>
      </c>
      <c r="Q155" s="1" t="s">
        <v>328</v>
      </c>
      <c r="R155" s="1" t="s">
        <v>328</v>
      </c>
      <c r="S155" s="1" t="s">
        <v>328</v>
      </c>
      <c r="T155" s="1" t="s">
        <v>328</v>
      </c>
      <c r="U155" s="1">
        <v>0</v>
      </c>
      <c r="V155" s="1">
        <v>0</v>
      </c>
      <c r="W155" s="1">
        <v>0</v>
      </c>
      <c r="X155" s="1">
        <v>0</v>
      </c>
      <c r="Y155" s="1">
        <v>0</v>
      </c>
      <c r="Z155" s="1">
        <v>0</v>
      </c>
      <c r="AA155" s="1">
        <v>0</v>
      </c>
      <c r="AB155" s="1">
        <v>0</v>
      </c>
      <c r="AC155" s="1">
        <v>4</v>
      </c>
      <c r="AD155" s="1">
        <v>0</v>
      </c>
      <c r="AE155" s="1">
        <v>3</v>
      </c>
      <c r="AF155" s="1">
        <v>2</v>
      </c>
      <c r="AG155" s="208" t="s">
        <v>263</v>
      </c>
      <c r="AH155" s="1">
        <v>3600</v>
      </c>
      <c r="AI155" s="1" t="s">
        <v>1830</v>
      </c>
      <c r="AJ155" s="1">
        <v>0</v>
      </c>
      <c r="AK155" s="1" t="s">
        <v>468</v>
      </c>
      <c r="AL155" s="1" t="s">
        <v>2219</v>
      </c>
      <c r="AM155" s="1">
        <v>0.45</v>
      </c>
      <c r="AN155" s="1">
        <v>0.15</v>
      </c>
      <c r="AO155" s="1">
        <v>0.3</v>
      </c>
      <c r="AP155" s="1">
        <v>0.15</v>
      </c>
      <c r="AQ155" s="1">
        <v>3</v>
      </c>
      <c r="AR155" s="1" t="s">
        <v>1539</v>
      </c>
      <c r="AS155" s="1">
        <v>0</v>
      </c>
      <c r="AT155" s="1" t="s">
        <v>1806</v>
      </c>
      <c r="AU155" s="1">
        <v>10</v>
      </c>
      <c r="AV155" s="1">
        <v>18037</v>
      </c>
      <c r="AW155" s="1">
        <v>0</v>
      </c>
      <c r="AX155" t="b">
        <v>0</v>
      </c>
    </row>
    <row r="156" spans="1:50" x14ac:dyDescent="0.3">
      <c r="A156" s="1">
        <v>157</v>
      </c>
      <c r="B156" s="1" t="s">
        <v>2220</v>
      </c>
      <c r="C156" s="1" t="s">
        <v>2221</v>
      </c>
      <c r="D156" s="1">
        <v>5</v>
      </c>
      <c r="E156" s="1">
        <v>1</v>
      </c>
      <c r="F156" s="1">
        <v>18</v>
      </c>
      <c r="G156" s="1" t="s">
        <v>355</v>
      </c>
      <c r="H156" s="1" t="s">
        <v>469</v>
      </c>
      <c r="I156" s="1" t="s">
        <v>391</v>
      </c>
      <c r="J156" s="1" t="s">
        <v>328</v>
      </c>
      <c r="K156" s="1" t="s">
        <v>328</v>
      </c>
      <c r="L156" s="1" t="s">
        <v>328</v>
      </c>
      <c r="M156" s="1" t="s">
        <v>328</v>
      </c>
      <c r="N156" s="1" t="s">
        <v>328</v>
      </c>
      <c r="O156" s="1" t="s">
        <v>328</v>
      </c>
      <c r="P156" s="1" t="s">
        <v>328</v>
      </c>
      <c r="Q156" s="1" t="s">
        <v>328</v>
      </c>
      <c r="R156" s="1" t="s">
        <v>328</v>
      </c>
      <c r="S156" s="1" t="s">
        <v>328</v>
      </c>
      <c r="T156" s="1" t="s">
        <v>328</v>
      </c>
      <c r="U156" s="1">
        <v>0</v>
      </c>
      <c r="V156" s="1">
        <v>0</v>
      </c>
      <c r="W156" s="1">
        <v>0</v>
      </c>
      <c r="X156" s="1">
        <v>0</v>
      </c>
      <c r="Y156" s="1">
        <v>0</v>
      </c>
      <c r="Z156" s="1">
        <v>0</v>
      </c>
      <c r="AA156" s="1">
        <v>0</v>
      </c>
      <c r="AB156" s="1">
        <v>0</v>
      </c>
      <c r="AC156" s="1">
        <v>4</v>
      </c>
      <c r="AD156" s="1">
        <v>0</v>
      </c>
      <c r="AE156" s="1">
        <v>3</v>
      </c>
      <c r="AF156" s="1">
        <v>2</v>
      </c>
      <c r="AG156" s="208" t="s">
        <v>1409</v>
      </c>
      <c r="AH156" s="1">
        <v>3600</v>
      </c>
      <c r="AI156" s="1" t="s">
        <v>2009</v>
      </c>
      <c r="AJ156" s="1">
        <v>0</v>
      </c>
      <c r="AK156" s="1" t="s">
        <v>383</v>
      </c>
      <c r="AL156" s="1" t="s">
        <v>2222</v>
      </c>
      <c r="AM156" s="1">
        <v>0.45</v>
      </c>
      <c r="AN156" s="1">
        <v>0.15</v>
      </c>
      <c r="AO156" s="1">
        <v>0.3</v>
      </c>
      <c r="AP156" s="1">
        <v>0.15</v>
      </c>
      <c r="AQ156" s="1">
        <v>3</v>
      </c>
      <c r="AR156" s="1" t="s">
        <v>1540</v>
      </c>
      <c r="AS156" s="1">
        <v>0</v>
      </c>
      <c r="AT156" s="1" t="s">
        <v>1806</v>
      </c>
      <c r="AU156" s="1">
        <v>10</v>
      </c>
      <c r="AV156" s="1">
        <v>18038</v>
      </c>
      <c r="AW156" s="1">
        <v>0</v>
      </c>
      <c r="AX156" t="b">
        <v>0</v>
      </c>
    </row>
    <row r="157" spans="1:50" x14ac:dyDescent="0.3">
      <c r="A157" s="1">
        <v>158</v>
      </c>
      <c r="B157" s="1" t="s">
        <v>2223</v>
      </c>
      <c r="C157" s="1" t="s">
        <v>2224</v>
      </c>
      <c r="D157" s="1">
        <v>5</v>
      </c>
      <c r="E157" s="1">
        <v>1</v>
      </c>
      <c r="F157" s="1">
        <v>18</v>
      </c>
      <c r="G157" s="1" t="s">
        <v>470</v>
      </c>
      <c r="H157" s="1" t="s">
        <v>328</v>
      </c>
      <c r="I157" s="1" t="s">
        <v>328</v>
      </c>
      <c r="J157" s="1" t="s">
        <v>328</v>
      </c>
      <c r="K157" s="1" t="s">
        <v>328</v>
      </c>
      <c r="L157" s="1" t="s">
        <v>328</v>
      </c>
      <c r="M157" s="1" t="s">
        <v>397</v>
      </c>
      <c r="N157" s="1" t="s">
        <v>328</v>
      </c>
      <c r="O157" s="1" t="s">
        <v>328</v>
      </c>
      <c r="P157" s="1" t="s">
        <v>328</v>
      </c>
      <c r="Q157" s="1" t="s">
        <v>328</v>
      </c>
      <c r="R157" s="1" t="s">
        <v>328</v>
      </c>
      <c r="S157" s="1" t="s">
        <v>328</v>
      </c>
      <c r="T157" s="1" t="s">
        <v>328</v>
      </c>
      <c r="U157" s="1">
        <v>0</v>
      </c>
      <c r="V157" s="1">
        <v>0</v>
      </c>
      <c r="W157" s="1">
        <v>0</v>
      </c>
      <c r="X157" s="1">
        <v>0</v>
      </c>
      <c r="Y157" s="1">
        <v>0</v>
      </c>
      <c r="Z157" s="1">
        <v>0</v>
      </c>
      <c r="AA157" s="1">
        <v>0</v>
      </c>
      <c r="AB157" s="1">
        <v>0</v>
      </c>
      <c r="AC157" s="1">
        <v>4</v>
      </c>
      <c r="AD157" s="1">
        <v>0</v>
      </c>
      <c r="AE157" s="1">
        <v>3</v>
      </c>
      <c r="AF157" s="1">
        <v>2</v>
      </c>
      <c r="AG157" s="208" t="s">
        <v>838</v>
      </c>
      <c r="AH157" s="1">
        <v>3600</v>
      </c>
      <c r="AI157" s="1" t="s">
        <v>2225</v>
      </c>
      <c r="AJ157" s="1">
        <v>0</v>
      </c>
      <c r="AK157" s="1" t="s">
        <v>471</v>
      </c>
      <c r="AL157" s="1" t="s">
        <v>2226</v>
      </c>
      <c r="AM157" s="1">
        <v>0.45</v>
      </c>
      <c r="AN157" s="1">
        <v>0.15</v>
      </c>
      <c r="AO157" s="1">
        <v>0.3</v>
      </c>
      <c r="AP157" s="1">
        <v>0.15</v>
      </c>
      <c r="AQ157" s="1">
        <v>3</v>
      </c>
      <c r="AR157" s="1" t="s">
        <v>1541</v>
      </c>
      <c r="AS157" s="1">
        <v>0</v>
      </c>
      <c r="AT157" s="1" t="s">
        <v>1806</v>
      </c>
      <c r="AU157" s="1">
        <v>10</v>
      </c>
      <c r="AV157" s="1">
        <v>18039</v>
      </c>
      <c r="AW157" s="1">
        <v>0</v>
      </c>
      <c r="AX157" t="b">
        <v>0</v>
      </c>
    </row>
    <row r="158" spans="1:50" x14ac:dyDescent="0.3">
      <c r="A158" s="1">
        <v>159</v>
      </c>
      <c r="B158" s="1" t="s">
        <v>2227</v>
      </c>
      <c r="C158" s="1" t="s">
        <v>2228</v>
      </c>
      <c r="D158" s="1">
        <v>5</v>
      </c>
      <c r="E158" s="1">
        <v>3</v>
      </c>
      <c r="F158" s="1">
        <v>20</v>
      </c>
      <c r="G158" s="1" t="s">
        <v>391</v>
      </c>
      <c r="H158" s="1" t="s">
        <v>328</v>
      </c>
      <c r="I158" s="1" t="s">
        <v>359</v>
      </c>
      <c r="J158" s="1" t="s">
        <v>328</v>
      </c>
      <c r="K158" s="1" t="s">
        <v>328</v>
      </c>
      <c r="L158" s="1" t="s">
        <v>358</v>
      </c>
      <c r="M158" s="1" t="s">
        <v>328</v>
      </c>
      <c r="N158" s="1" t="s">
        <v>328</v>
      </c>
      <c r="O158" s="1" t="s">
        <v>328</v>
      </c>
      <c r="P158" s="1" t="s">
        <v>328</v>
      </c>
      <c r="Q158" s="1" t="s">
        <v>328</v>
      </c>
      <c r="R158" s="1" t="s">
        <v>328</v>
      </c>
      <c r="S158" s="1" t="s">
        <v>328</v>
      </c>
      <c r="T158" s="1" t="s">
        <v>328</v>
      </c>
      <c r="U158" s="1">
        <v>0</v>
      </c>
      <c r="V158" s="1">
        <v>0</v>
      </c>
      <c r="W158" s="1">
        <v>0</v>
      </c>
      <c r="X158" s="1">
        <v>0</v>
      </c>
      <c r="Y158" s="1">
        <v>0</v>
      </c>
      <c r="Z158" s="1">
        <v>0</v>
      </c>
      <c r="AA158" s="1">
        <v>0</v>
      </c>
      <c r="AB158" s="1">
        <v>0</v>
      </c>
      <c r="AC158" s="1">
        <v>4</v>
      </c>
      <c r="AD158" s="1">
        <v>2</v>
      </c>
      <c r="AE158" s="1">
        <v>0</v>
      </c>
      <c r="AF158" s="1">
        <v>4</v>
      </c>
      <c r="AG158" s="208" t="s">
        <v>258</v>
      </c>
      <c r="AH158" s="1">
        <v>3600</v>
      </c>
      <c r="AI158" s="1" t="s">
        <v>2229</v>
      </c>
      <c r="AJ158" s="1">
        <v>0</v>
      </c>
      <c r="AK158" s="1" t="s">
        <v>420</v>
      </c>
      <c r="AL158" s="1" t="s">
        <v>2230</v>
      </c>
      <c r="AM158" s="1">
        <v>0.3</v>
      </c>
      <c r="AN158" s="1">
        <v>0.23</v>
      </c>
      <c r="AO158" s="1">
        <v>0.15</v>
      </c>
      <c r="AP158" s="1">
        <v>0.38</v>
      </c>
      <c r="AQ158" s="1">
        <v>3</v>
      </c>
      <c r="AR158" s="1" t="s">
        <v>1542</v>
      </c>
      <c r="AS158" s="1">
        <v>0</v>
      </c>
      <c r="AT158" s="1" t="s">
        <v>1806</v>
      </c>
      <c r="AU158" s="1">
        <v>10</v>
      </c>
      <c r="AV158" s="1">
        <v>20020</v>
      </c>
      <c r="AW158" s="1">
        <v>0</v>
      </c>
      <c r="AX158" t="b">
        <v>0</v>
      </c>
    </row>
    <row r="159" spans="1:50" x14ac:dyDescent="0.3">
      <c r="A159" s="1">
        <v>160</v>
      </c>
      <c r="B159" s="1" t="s">
        <v>2231</v>
      </c>
      <c r="C159" s="1" t="s">
        <v>2232</v>
      </c>
      <c r="D159" s="1">
        <v>5</v>
      </c>
      <c r="E159" s="1">
        <v>1</v>
      </c>
      <c r="F159" s="1">
        <v>18</v>
      </c>
      <c r="G159" s="1" t="s">
        <v>328</v>
      </c>
      <c r="H159" s="1" t="s">
        <v>328</v>
      </c>
      <c r="I159" s="1" t="s">
        <v>328</v>
      </c>
      <c r="J159" s="1" t="s">
        <v>328</v>
      </c>
      <c r="K159" s="1" t="s">
        <v>332</v>
      </c>
      <c r="L159" s="1" t="s">
        <v>328</v>
      </c>
      <c r="M159" s="1" t="s">
        <v>419</v>
      </c>
      <c r="N159" s="1" t="s">
        <v>328</v>
      </c>
      <c r="O159" s="1" t="s">
        <v>328</v>
      </c>
      <c r="P159" s="1" t="s">
        <v>328</v>
      </c>
      <c r="Q159" s="1" t="s">
        <v>328</v>
      </c>
      <c r="R159" s="1" t="s">
        <v>328</v>
      </c>
      <c r="S159" s="1" t="s">
        <v>328</v>
      </c>
      <c r="T159" s="1" t="s">
        <v>328</v>
      </c>
      <c r="U159" s="1">
        <v>0</v>
      </c>
      <c r="V159" s="1">
        <v>0</v>
      </c>
      <c r="W159" s="1">
        <v>0</v>
      </c>
      <c r="X159" s="1">
        <v>0</v>
      </c>
      <c r="Y159" s="1">
        <v>0</v>
      </c>
      <c r="Z159" s="1">
        <v>0</v>
      </c>
      <c r="AA159" s="1">
        <v>0</v>
      </c>
      <c r="AB159" s="1">
        <v>0</v>
      </c>
      <c r="AC159" s="1">
        <v>4</v>
      </c>
      <c r="AD159" s="1">
        <v>0</v>
      </c>
      <c r="AE159" s="1">
        <v>3</v>
      </c>
      <c r="AF159" s="1">
        <v>2</v>
      </c>
      <c r="AG159" s="208" t="s">
        <v>96</v>
      </c>
      <c r="AH159" s="1">
        <v>3600</v>
      </c>
      <c r="AI159" s="1" t="s">
        <v>2233</v>
      </c>
      <c r="AJ159" s="1">
        <v>0</v>
      </c>
      <c r="AK159" s="1" t="s">
        <v>472</v>
      </c>
      <c r="AL159" s="1" t="s">
        <v>2234</v>
      </c>
      <c r="AM159" s="1">
        <v>0.45</v>
      </c>
      <c r="AN159" s="1">
        <v>0.15</v>
      </c>
      <c r="AO159" s="1">
        <v>0.3</v>
      </c>
      <c r="AP159" s="1">
        <v>0.15</v>
      </c>
      <c r="AQ159" s="1">
        <v>3</v>
      </c>
      <c r="AR159" s="1" t="s">
        <v>1543</v>
      </c>
      <c r="AS159" s="1">
        <v>0</v>
      </c>
      <c r="AT159" s="1" t="s">
        <v>1806</v>
      </c>
      <c r="AU159" s="1">
        <v>10</v>
      </c>
      <c r="AV159" s="1">
        <v>18040</v>
      </c>
      <c r="AW159" s="1">
        <v>0</v>
      </c>
      <c r="AX159" t="b">
        <v>0</v>
      </c>
    </row>
    <row r="160" spans="1:50" x14ac:dyDescent="0.3">
      <c r="A160" s="1">
        <v>161</v>
      </c>
      <c r="B160" s="1" t="s">
        <v>2235</v>
      </c>
      <c r="C160" s="1" t="s">
        <v>2236</v>
      </c>
      <c r="D160" s="1">
        <v>5</v>
      </c>
      <c r="E160" s="1">
        <v>1</v>
      </c>
      <c r="F160" s="1">
        <v>18</v>
      </c>
      <c r="G160" s="1" t="s">
        <v>334</v>
      </c>
      <c r="H160" s="1" t="s">
        <v>328</v>
      </c>
      <c r="I160" s="1" t="s">
        <v>328</v>
      </c>
      <c r="J160" s="1" t="s">
        <v>328</v>
      </c>
      <c r="K160" s="1" t="s">
        <v>328</v>
      </c>
      <c r="L160" s="1" t="s">
        <v>328</v>
      </c>
      <c r="M160" s="1" t="s">
        <v>327</v>
      </c>
      <c r="N160" s="1" t="s">
        <v>328</v>
      </c>
      <c r="O160" s="1" t="s">
        <v>328</v>
      </c>
      <c r="P160" s="1" t="s">
        <v>328</v>
      </c>
      <c r="Q160" s="1" t="s">
        <v>328</v>
      </c>
      <c r="R160" s="1" t="s">
        <v>328</v>
      </c>
      <c r="S160" s="1" t="s">
        <v>328</v>
      </c>
      <c r="T160" s="1" t="s">
        <v>328</v>
      </c>
      <c r="U160" s="1">
        <v>0</v>
      </c>
      <c r="V160" s="1">
        <v>0</v>
      </c>
      <c r="W160" s="1">
        <v>0</v>
      </c>
      <c r="X160" s="1">
        <v>0</v>
      </c>
      <c r="Y160" s="1">
        <v>0</v>
      </c>
      <c r="Z160" s="1">
        <v>0</v>
      </c>
      <c r="AA160" s="1">
        <v>0</v>
      </c>
      <c r="AB160" s="1">
        <v>0</v>
      </c>
      <c r="AC160" s="1">
        <v>4</v>
      </c>
      <c r="AD160" s="1">
        <v>0</v>
      </c>
      <c r="AE160" s="1">
        <v>3</v>
      </c>
      <c r="AF160" s="1">
        <v>2</v>
      </c>
      <c r="AG160" s="208" t="s">
        <v>711</v>
      </c>
      <c r="AH160" s="1">
        <v>3600</v>
      </c>
      <c r="AI160" s="1" t="s">
        <v>2237</v>
      </c>
      <c r="AJ160" s="1">
        <v>0</v>
      </c>
      <c r="AK160" s="1" t="s">
        <v>473</v>
      </c>
      <c r="AL160" s="1" t="s">
        <v>2238</v>
      </c>
      <c r="AM160" s="1">
        <v>0.45</v>
      </c>
      <c r="AN160" s="1">
        <v>0.15</v>
      </c>
      <c r="AO160" s="1">
        <v>0.3</v>
      </c>
      <c r="AP160" s="1">
        <v>0.15</v>
      </c>
      <c r="AQ160" s="1">
        <v>3</v>
      </c>
      <c r="AR160" s="1" t="s">
        <v>1544</v>
      </c>
      <c r="AS160" s="1">
        <v>0</v>
      </c>
      <c r="AT160" s="1" t="s">
        <v>1806</v>
      </c>
      <c r="AU160" s="1">
        <v>10</v>
      </c>
      <c r="AV160" s="1">
        <v>18041</v>
      </c>
      <c r="AW160" s="1">
        <v>0</v>
      </c>
      <c r="AX160" t="b">
        <v>0</v>
      </c>
    </row>
    <row r="161" spans="1:50" x14ac:dyDescent="0.3">
      <c r="A161" s="1">
        <v>162</v>
      </c>
      <c r="B161" s="1" t="s">
        <v>2239</v>
      </c>
      <c r="C161" s="1" t="s">
        <v>2240</v>
      </c>
      <c r="D161" s="1">
        <v>5</v>
      </c>
      <c r="E161" s="1">
        <v>3</v>
      </c>
      <c r="F161" s="1">
        <v>20</v>
      </c>
      <c r="G161" s="1" t="s">
        <v>334</v>
      </c>
      <c r="H161" s="1" t="s">
        <v>328</v>
      </c>
      <c r="I161" s="1" t="s">
        <v>366</v>
      </c>
      <c r="J161" s="1" t="s">
        <v>328</v>
      </c>
      <c r="K161" s="1" t="s">
        <v>328</v>
      </c>
      <c r="L161" s="1" t="s">
        <v>328</v>
      </c>
      <c r="M161" s="1" t="s">
        <v>328</v>
      </c>
      <c r="N161" s="1" t="s">
        <v>328</v>
      </c>
      <c r="O161" s="1" t="s">
        <v>328</v>
      </c>
      <c r="P161" s="1" t="s">
        <v>328</v>
      </c>
      <c r="Q161" s="1" t="s">
        <v>328</v>
      </c>
      <c r="R161" s="1" t="s">
        <v>328</v>
      </c>
      <c r="S161" s="1" t="s">
        <v>328</v>
      </c>
      <c r="T161" s="1" t="s">
        <v>334</v>
      </c>
      <c r="U161" s="1">
        <v>0</v>
      </c>
      <c r="V161" s="1">
        <v>0</v>
      </c>
      <c r="W161" s="1">
        <v>0</v>
      </c>
      <c r="X161" s="1">
        <v>0</v>
      </c>
      <c r="Y161" s="1">
        <v>0</v>
      </c>
      <c r="Z161" s="1">
        <v>0</v>
      </c>
      <c r="AA161" s="1">
        <v>0</v>
      </c>
      <c r="AB161" s="1">
        <v>0</v>
      </c>
      <c r="AC161" s="1">
        <v>1</v>
      </c>
      <c r="AD161" s="1">
        <v>1</v>
      </c>
      <c r="AE161" s="1">
        <v>1</v>
      </c>
      <c r="AF161" s="1">
        <v>5</v>
      </c>
      <c r="AG161" s="208" t="s">
        <v>110</v>
      </c>
      <c r="AH161" s="1">
        <v>3420</v>
      </c>
      <c r="AI161" s="1" t="s">
        <v>2241</v>
      </c>
      <c r="AJ161" s="1">
        <v>0</v>
      </c>
      <c r="AK161" s="1" t="s">
        <v>474</v>
      </c>
      <c r="AL161" s="1" t="s">
        <v>2242</v>
      </c>
      <c r="AM161" s="1">
        <v>0.1</v>
      </c>
      <c r="AN161" s="1">
        <v>0.1</v>
      </c>
      <c r="AO161" s="1">
        <v>0.1</v>
      </c>
      <c r="AP161" s="1">
        <v>0.55000000000000004</v>
      </c>
      <c r="AQ161" s="1">
        <v>3</v>
      </c>
      <c r="AR161" s="1" t="s">
        <v>1545</v>
      </c>
      <c r="AS161" s="1">
        <v>0</v>
      </c>
      <c r="AT161" s="1" t="s">
        <v>1806</v>
      </c>
      <c r="AU161" s="1">
        <v>10</v>
      </c>
      <c r="AV161" s="1">
        <v>20021</v>
      </c>
      <c r="AW161" s="1">
        <v>0</v>
      </c>
      <c r="AX161" t="b">
        <v>0</v>
      </c>
    </row>
    <row r="162" spans="1:50" x14ac:dyDescent="0.3">
      <c r="A162" s="1">
        <v>163</v>
      </c>
      <c r="B162" s="1" t="s">
        <v>2243</v>
      </c>
      <c r="C162" s="1" t="s">
        <v>2244</v>
      </c>
      <c r="D162" s="1">
        <v>5</v>
      </c>
      <c r="E162" s="1">
        <v>1</v>
      </c>
      <c r="F162" s="1">
        <v>18</v>
      </c>
      <c r="G162" s="1" t="s">
        <v>328</v>
      </c>
      <c r="H162" s="1" t="s">
        <v>328</v>
      </c>
      <c r="I162" s="1" t="s">
        <v>359</v>
      </c>
      <c r="J162" s="1" t="s">
        <v>328</v>
      </c>
      <c r="K162" s="1" t="s">
        <v>339</v>
      </c>
      <c r="L162" s="1" t="s">
        <v>328</v>
      </c>
      <c r="M162" s="1" t="s">
        <v>399</v>
      </c>
      <c r="N162" s="1" t="s">
        <v>328</v>
      </c>
      <c r="O162" s="1" t="s">
        <v>328</v>
      </c>
      <c r="P162" s="1" t="s">
        <v>328</v>
      </c>
      <c r="Q162" s="1" t="s">
        <v>328</v>
      </c>
      <c r="R162" s="1" t="s">
        <v>328</v>
      </c>
      <c r="S162" s="1" t="s">
        <v>328</v>
      </c>
      <c r="T162" s="1" t="s">
        <v>328</v>
      </c>
      <c r="U162" s="1">
        <v>0</v>
      </c>
      <c r="V162" s="1">
        <v>0</v>
      </c>
      <c r="W162" s="1">
        <v>0</v>
      </c>
      <c r="X162" s="1">
        <v>0</v>
      </c>
      <c r="Y162" s="1">
        <v>0</v>
      </c>
      <c r="Z162" s="1">
        <v>0</v>
      </c>
      <c r="AA162" s="1">
        <v>0</v>
      </c>
      <c r="AB162" s="1">
        <v>0</v>
      </c>
      <c r="AC162" s="1">
        <v>4</v>
      </c>
      <c r="AD162" s="1">
        <v>2</v>
      </c>
      <c r="AE162" s="1">
        <v>2</v>
      </c>
      <c r="AF162" s="1">
        <v>2</v>
      </c>
      <c r="AG162" s="208" t="s">
        <v>78</v>
      </c>
      <c r="AH162" s="1">
        <v>2820</v>
      </c>
      <c r="AI162" s="1" t="s">
        <v>2245</v>
      </c>
      <c r="AJ162" s="1">
        <v>0</v>
      </c>
      <c r="AK162" s="1" t="s">
        <v>475</v>
      </c>
      <c r="AL162" s="1" t="s">
        <v>2246</v>
      </c>
      <c r="AM162" s="1">
        <v>0.55000000000000004</v>
      </c>
      <c r="AN162" s="1">
        <v>0.23</v>
      </c>
      <c r="AO162" s="1">
        <v>0.23</v>
      </c>
      <c r="AP162" s="1">
        <v>0.23</v>
      </c>
      <c r="AQ162" s="1">
        <v>3</v>
      </c>
      <c r="AR162" s="1" t="s">
        <v>1546</v>
      </c>
      <c r="AS162" s="1">
        <v>0</v>
      </c>
      <c r="AT162" s="1" t="s">
        <v>1806</v>
      </c>
      <c r="AU162" s="1">
        <v>10</v>
      </c>
      <c r="AV162" s="1">
        <v>18042</v>
      </c>
      <c r="AW162" s="1">
        <v>0</v>
      </c>
      <c r="AX162" t="b">
        <v>0</v>
      </c>
    </row>
    <row r="163" spans="1:50" x14ac:dyDescent="0.3">
      <c r="A163" s="1">
        <v>164</v>
      </c>
      <c r="B163" s="1" t="s">
        <v>2247</v>
      </c>
      <c r="C163" s="1" t="s">
        <v>2248</v>
      </c>
      <c r="D163" s="1">
        <v>5</v>
      </c>
      <c r="E163" s="1">
        <v>1</v>
      </c>
      <c r="F163" s="1">
        <v>18</v>
      </c>
      <c r="G163" s="1" t="s">
        <v>328</v>
      </c>
      <c r="H163" s="1" t="s">
        <v>364</v>
      </c>
      <c r="I163" s="1" t="s">
        <v>359</v>
      </c>
      <c r="J163" s="1" t="s">
        <v>328</v>
      </c>
      <c r="K163" s="1" t="s">
        <v>328</v>
      </c>
      <c r="L163" s="1" t="s">
        <v>328</v>
      </c>
      <c r="M163" s="1" t="s">
        <v>385</v>
      </c>
      <c r="N163" s="1" t="s">
        <v>328</v>
      </c>
      <c r="O163" s="1" t="s">
        <v>328</v>
      </c>
      <c r="P163" s="1" t="s">
        <v>328</v>
      </c>
      <c r="Q163" s="1" t="s">
        <v>328</v>
      </c>
      <c r="R163" s="1" t="s">
        <v>328</v>
      </c>
      <c r="S163" s="1" t="s">
        <v>328</v>
      </c>
      <c r="T163" s="1" t="s">
        <v>328</v>
      </c>
      <c r="U163" s="1">
        <v>0</v>
      </c>
      <c r="V163" s="1">
        <v>0</v>
      </c>
      <c r="W163" s="1">
        <v>0</v>
      </c>
      <c r="X163" s="1">
        <v>0</v>
      </c>
      <c r="Y163" s="1">
        <v>0</v>
      </c>
      <c r="Z163" s="1">
        <v>0</v>
      </c>
      <c r="AA163" s="1">
        <v>0</v>
      </c>
      <c r="AB163" s="1">
        <v>0</v>
      </c>
      <c r="AC163" s="1">
        <v>4</v>
      </c>
      <c r="AD163" s="1">
        <v>2</v>
      </c>
      <c r="AE163" s="1">
        <v>2</v>
      </c>
      <c r="AF163" s="1">
        <v>2</v>
      </c>
      <c r="AG163" s="208" t="s">
        <v>63</v>
      </c>
      <c r="AH163" s="1">
        <v>2820</v>
      </c>
      <c r="AI163" s="1" t="s">
        <v>2249</v>
      </c>
      <c r="AJ163" s="1">
        <v>0</v>
      </c>
      <c r="AK163" s="1" t="s">
        <v>476</v>
      </c>
      <c r="AL163" s="1" t="s">
        <v>2250</v>
      </c>
      <c r="AM163" s="1">
        <v>0.55000000000000004</v>
      </c>
      <c r="AN163" s="1">
        <v>0.23</v>
      </c>
      <c r="AO163" s="1">
        <v>0.23</v>
      </c>
      <c r="AP163" s="1">
        <v>0.23</v>
      </c>
      <c r="AQ163" s="1">
        <v>3</v>
      </c>
      <c r="AR163" s="1" t="s">
        <v>1547</v>
      </c>
      <c r="AS163" s="1">
        <v>0</v>
      </c>
      <c r="AT163" s="1" t="s">
        <v>1806</v>
      </c>
      <c r="AU163" s="1">
        <v>10</v>
      </c>
      <c r="AV163" s="1">
        <v>18043</v>
      </c>
      <c r="AW163" s="1">
        <v>0</v>
      </c>
      <c r="AX163" t="b">
        <v>0</v>
      </c>
    </row>
    <row r="164" spans="1:50" x14ac:dyDescent="0.3">
      <c r="A164" s="1">
        <v>165</v>
      </c>
      <c r="B164" s="1" t="s">
        <v>2251</v>
      </c>
      <c r="C164" s="1" t="s">
        <v>2252</v>
      </c>
      <c r="D164" s="1">
        <v>5</v>
      </c>
      <c r="E164" s="1">
        <v>3</v>
      </c>
      <c r="F164" s="1">
        <v>20</v>
      </c>
      <c r="G164" s="1" t="s">
        <v>406</v>
      </c>
      <c r="H164" s="1" t="s">
        <v>328</v>
      </c>
      <c r="I164" s="1" t="s">
        <v>359</v>
      </c>
      <c r="J164" s="1" t="s">
        <v>328</v>
      </c>
      <c r="K164" s="1" t="s">
        <v>406</v>
      </c>
      <c r="L164" s="1" t="s">
        <v>328</v>
      </c>
      <c r="M164" s="1" t="s">
        <v>328</v>
      </c>
      <c r="N164" s="1" t="s">
        <v>328</v>
      </c>
      <c r="O164" s="1" t="s">
        <v>328</v>
      </c>
      <c r="P164" s="1" t="s">
        <v>328</v>
      </c>
      <c r="Q164" s="1" t="s">
        <v>328</v>
      </c>
      <c r="R164" s="1" t="s">
        <v>328</v>
      </c>
      <c r="S164" s="1" t="s">
        <v>328</v>
      </c>
      <c r="T164" s="1" t="s">
        <v>328</v>
      </c>
      <c r="U164" s="1">
        <v>0</v>
      </c>
      <c r="V164" s="1">
        <v>0</v>
      </c>
      <c r="W164" s="1">
        <v>0</v>
      </c>
      <c r="X164" s="1">
        <v>0</v>
      </c>
      <c r="Y164" s="1">
        <v>0</v>
      </c>
      <c r="Z164" s="1">
        <v>0</v>
      </c>
      <c r="AA164" s="1">
        <v>0</v>
      </c>
      <c r="AB164" s="1">
        <v>0</v>
      </c>
      <c r="AC164" s="1">
        <v>4</v>
      </c>
      <c r="AD164" s="1">
        <v>2</v>
      </c>
      <c r="AE164" s="1">
        <v>0</v>
      </c>
      <c r="AF164" s="1">
        <v>4</v>
      </c>
      <c r="AG164" s="208" t="s">
        <v>738</v>
      </c>
      <c r="AH164" s="1">
        <v>3600</v>
      </c>
      <c r="AI164" s="1" t="s">
        <v>2253</v>
      </c>
      <c r="AJ164" s="1">
        <v>0</v>
      </c>
      <c r="AK164" s="1" t="s">
        <v>477</v>
      </c>
      <c r="AL164" s="1" t="s">
        <v>2254</v>
      </c>
      <c r="AM164" s="1">
        <v>0.3</v>
      </c>
      <c r="AN164" s="1">
        <v>0.25</v>
      </c>
      <c r="AO164" s="1">
        <v>0.12</v>
      </c>
      <c r="AP164" s="1">
        <v>0.38</v>
      </c>
      <c r="AQ164" s="1">
        <v>3</v>
      </c>
      <c r="AR164" s="1" t="s">
        <v>1548</v>
      </c>
      <c r="AS164" s="1">
        <v>0</v>
      </c>
      <c r="AT164" s="1" t="s">
        <v>1806</v>
      </c>
      <c r="AU164" s="1">
        <v>10</v>
      </c>
      <c r="AV164" s="1">
        <v>20022</v>
      </c>
      <c r="AW164" s="1">
        <v>0</v>
      </c>
      <c r="AX164" t="b">
        <v>0</v>
      </c>
    </row>
    <row r="165" spans="1:50" x14ac:dyDescent="0.3">
      <c r="A165" s="1">
        <v>166</v>
      </c>
      <c r="B165" s="1" t="s">
        <v>2255</v>
      </c>
      <c r="C165" s="1" t="s">
        <v>2256</v>
      </c>
      <c r="D165" s="1">
        <v>5</v>
      </c>
      <c r="E165" s="1">
        <v>1</v>
      </c>
      <c r="F165" s="1">
        <v>18</v>
      </c>
      <c r="G165" s="1" t="s">
        <v>337</v>
      </c>
      <c r="H165" s="1" t="s">
        <v>338</v>
      </c>
      <c r="I165" s="1" t="s">
        <v>328</v>
      </c>
      <c r="J165" s="1" t="s">
        <v>328</v>
      </c>
      <c r="K165" s="1" t="s">
        <v>339</v>
      </c>
      <c r="L165" s="1" t="s">
        <v>328</v>
      </c>
      <c r="M165" s="1" t="s">
        <v>328</v>
      </c>
      <c r="N165" s="1" t="s">
        <v>328</v>
      </c>
      <c r="O165" s="1" t="s">
        <v>328</v>
      </c>
      <c r="P165" s="1" t="s">
        <v>328</v>
      </c>
      <c r="Q165" s="1" t="s">
        <v>328</v>
      </c>
      <c r="R165" s="1" t="s">
        <v>328</v>
      </c>
      <c r="S165" s="1" t="s">
        <v>328</v>
      </c>
      <c r="T165" s="1" t="s">
        <v>328</v>
      </c>
      <c r="U165" s="1">
        <v>0</v>
      </c>
      <c r="V165" s="1">
        <v>0</v>
      </c>
      <c r="W165" s="1">
        <v>0</v>
      </c>
      <c r="X165" s="1">
        <v>0</v>
      </c>
      <c r="Y165" s="1">
        <v>0</v>
      </c>
      <c r="Z165" s="1">
        <v>0</v>
      </c>
      <c r="AA165" s="1">
        <v>0</v>
      </c>
      <c r="AB165" s="1">
        <v>0</v>
      </c>
      <c r="AC165" s="1">
        <v>4</v>
      </c>
      <c r="AD165" s="1">
        <v>0</v>
      </c>
      <c r="AE165" s="1">
        <v>3</v>
      </c>
      <c r="AF165" s="1">
        <v>2</v>
      </c>
      <c r="AG165" s="208" t="s">
        <v>714</v>
      </c>
      <c r="AH165" s="1">
        <v>2880</v>
      </c>
      <c r="AI165" s="1" t="s">
        <v>2257</v>
      </c>
      <c r="AJ165" s="1">
        <v>0</v>
      </c>
      <c r="AK165" s="1" t="s">
        <v>478</v>
      </c>
      <c r="AL165" s="1" t="s">
        <v>2258</v>
      </c>
      <c r="AM165" s="1">
        <v>0.45</v>
      </c>
      <c r="AN165" s="1">
        <v>0.15</v>
      </c>
      <c r="AO165" s="1">
        <v>0.3</v>
      </c>
      <c r="AP165" s="1">
        <v>0.15</v>
      </c>
      <c r="AQ165" s="1">
        <v>3</v>
      </c>
      <c r="AR165" s="1" t="s">
        <v>1549</v>
      </c>
      <c r="AS165" s="1">
        <v>0</v>
      </c>
      <c r="AT165" s="1" t="s">
        <v>1806</v>
      </c>
      <c r="AU165" s="1">
        <v>10</v>
      </c>
      <c r="AV165" s="1">
        <v>18044</v>
      </c>
      <c r="AW165" s="1">
        <v>0</v>
      </c>
      <c r="AX165" t="b">
        <v>0</v>
      </c>
    </row>
    <row r="166" spans="1:50" x14ac:dyDescent="0.3">
      <c r="A166" s="1">
        <v>167</v>
      </c>
      <c r="B166" s="1" t="s">
        <v>2259</v>
      </c>
      <c r="C166" s="1" t="s">
        <v>2260</v>
      </c>
      <c r="D166" s="1">
        <v>5</v>
      </c>
      <c r="E166" s="1">
        <v>1</v>
      </c>
      <c r="F166" s="1">
        <v>18</v>
      </c>
      <c r="G166" s="1" t="s">
        <v>328</v>
      </c>
      <c r="H166" s="1" t="s">
        <v>328</v>
      </c>
      <c r="I166" s="1" t="s">
        <v>402</v>
      </c>
      <c r="J166" s="1" t="s">
        <v>328</v>
      </c>
      <c r="K166" s="1" t="s">
        <v>328</v>
      </c>
      <c r="L166" s="1" t="s">
        <v>328</v>
      </c>
      <c r="M166" s="1" t="s">
        <v>385</v>
      </c>
      <c r="N166" s="1" t="s">
        <v>328</v>
      </c>
      <c r="O166" s="1" t="s">
        <v>328</v>
      </c>
      <c r="P166" s="1" t="s">
        <v>328</v>
      </c>
      <c r="Q166" s="1" t="s">
        <v>328</v>
      </c>
      <c r="R166" s="1" t="s">
        <v>328</v>
      </c>
      <c r="S166" s="1" t="s">
        <v>328</v>
      </c>
      <c r="T166" s="1" t="s">
        <v>328</v>
      </c>
      <c r="U166" s="1">
        <v>0</v>
      </c>
      <c r="V166" s="1">
        <v>0</v>
      </c>
      <c r="W166" s="1">
        <v>0</v>
      </c>
      <c r="X166" s="1">
        <v>0</v>
      </c>
      <c r="Y166" s="1">
        <v>0</v>
      </c>
      <c r="Z166" s="1">
        <v>0</v>
      </c>
      <c r="AA166" s="1">
        <v>0</v>
      </c>
      <c r="AB166" s="1">
        <v>0</v>
      </c>
      <c r="AC166" s="1">
        <v>4</v>
      </c>
      <c r="AD166" s="1">
        <v>2</v>
      </c>
      <c r="AE166" s="1">
        <v>2</v>
      </c>
      <c r="AF166" s="1">
        <v>2</v>
      </c>
      <c r="AG166" s="208" t="s">
        <v>745</v>
      </c>
      <c r="AH166" s="1">
        <v>2820</v>
      </c>
      <c r="AI166" s="1" t="s">
        <v>2107</v>
      </c>
      <c r="AJ166" s="1">
        <v>0</v>
      </c>
      <c r="AK166" s="1" t="s">
        <v>479</v>
      </c>
      <c r="AL166" s="1" t="s">
        <v>2261</v>
      </c>
      <c r="AM166" s="1">
        <v>0.55000000000000004</v>
      </c>
      <c r="AN166" s="1">
        <v>0.23</v>
      </c>
      <c r="AO166" s="1">
        <v>0.23</v>
      </c>
      <c r="AP166" s="1">
        <v>0.23</v>
      </c>
      <c r="AQ166" s="1">
        <v>3</v>
      </c>
      <c r="AR166" s="1" t="s">
        <v>1550</v>
      </c>
      <c r="AS166" s="1">
        <v>0</v>
      </c>
      <c r="AT166" s="1" t="s">
        <v>1806</v>
      </c>
      <c r="AU166" s="1">
        <v>10</v>
      </c>
      <c r="AV166" s="1">
        <v>18045</v>
      </c>
      <c r="AW166" s="1">
        <v>0</v>
      </c>
      <c r="AX166" t="b">
        <v>0</v>
      </c>
    </row>
    <row r="167" spans="1:50" x14ac:dyDescent="0.3">
      <c r="A167" s="1">
        <v>168</v>
      </c>
      <c r="B167" s="1" t="s">
        <v>2262</v>
      </c>
      <c r="C167" s="1" t="s">
        <v>2263</v>
      </c>
      <c r="D167" s="1">
        <v>5</v>
      </c>
      <c r="E167" s="1">
        <v>1</v>
      </c>
      <c r="F167" s="1">
        <v>18</v>
      </c>
      <c r="G167" s="1" t="s">
        <v>328</v>
      </c>
      <c r="H167" s="1" t="s">
        <v>328</v>
      </c>
      <c r="I167" s="1" t="s">
        <v>385</v>
      </c>
      <c r="J167" s="1" t="s">
        <v>328</v>
      </c>
      <c r="K167" s="1" t="s">
        <v>328</v>
      </c>
      <c r="L167" s="1" t="s">
        <v>328</v>
      </c>
      <c r="M167" s="1" t="s">
        <v>385</v>
      </c>
      <c r="N167" s="1" t="s">
        <v>328</v>
      </c>
      <c r="O167" s="1" t="s">
        <v>328</v>
      </c>
      <c r="P167" s="1" t="s">
        <v>328</v>
      </c>
      <c r="Q167" s="1" t="s">
        <v>328</v>
      </c>
      <c r="R167" s="1" t="s">
        <v>328</v>
      </c>
      <c r="S167" s="1" t="s">
        <v>328</v>
      </c>
      <c r="T167" s="1" t="s">
        <v>328</v>
      </c>
      <c r="U167" s="1">
        <v>0</v>
      </c>
      <c r="V167" s="1">
        <v>0</v>
      </c>
      <c r="W167" s="1">
        <v>0</v>
      </c>
      <c r="X167" s="1">
        <v>0</v>
      </c>
      <c r="Y167" s="1">
        <v>0</v>
      </c>
      <c r="Z167" s="1">
        <v>0</v>
      </c>
      <c r="AA167" s="1">
        <v>0</v>
      </c>
      <c r="AB167" s="1">
        <v>0</v>
      </c>
      <c r="AC167" s="1">
        <v>4</v>
      </c>
      <c r="AD167" s="1">
        <v>2</v>
      </c>
      <c r="AE167" s="1">
        <v>2</v>
      </c>
      <c r="AF167" s="1">
        <v>2</v>
      </c>
      <c r="AG167" s="208" t="s">
        <v>751</v>
      </c>
      <c r="AH167" s="1">
        <v>2820</v>
      </c>
      <c r="AI167" s="1" t="s">
        <v>2264</v>
      </c>
      <c r="AJ167" s="1">
        <v>0</v>
      </c>
      <c r="AK167" s="1" t="s">
        <v>480</v>
      </c>
      <c r="AL167" s="1" t="s">
        <v>2265</v>
      </c>
      <c r="AM167" s="1">
        <v>0.55000000000000004</v>
      </c>
      <c r="AN167" s="1">
        <v>0.23</v>
      </c>
      <c r="AO167" s="1">
        <v>0.23</v>
      </c>
      <c r="AP167" s="1">
        <v>0.23</v>
      </c>
      <c r="AQ167" s="1">
        <v>3</v>
      </c>
      <c r="AR167" s="1" t="s">
        <v>1547</v>
      </c>
      <c r="AS167" s="1">
        <v>0</v>
      </c>
      <c r="AT167" s="1" t="s">
        <v>1806</v>
      </c>
      <c r="AU167" s="1">
        <v>10</v>
      </c>
      <c r="AV167" s="1">
        <v>18046</v>
      </c>
      <c r="AW167" s="1">
        <v>0</v>
      </c>
      <c r="AX167" t="b">
        <v>0</v>
      </c>
    </row>
    <row r="168" spans="1:50" x14ac:dyDescent="0.3">
      <c r="A168" s="1">
        <v>169</v>
      </c>
      <c r="B168" s="1" t="s">
        <v>2266</v>
      </c>
      <c r="C168" s="1" t="s">
        <v>2267</v>
      </c>
      <c r="D168" s="1">
        <v>5</v>
      </c>
      <c r="E168" s="1">
        <v>1</v>
      </c>
      <c r="F168" s="1">
        <v>18</v>
      </c>
      <c r="G168" s="1" t="s">
        <v>328</v>
      </c>
      <c r="H168" s="1" t="s">
        <v>328</v>
      </c>
      <c r="I168" s="1" t="s">
        <v>328</v>
      </c>
      <c r="J168" s="1" t="s">
        <v>328</v>
      </c>
      <c r="K168" s="1" t="s">
        <v>328</v>
      </c>
      <c r="L168" s="1" t="s">
        <v>338</v>
      </c>
      <c r="M168" s="1" t="s">
        <v>327</v>
      </c>
      <c r="N168" s="1" t="s">
        <v>328</v>
      </c>
      <c r="O168" s="1" t="s">
        <v>328</v>
      </c>
      <c r="P168" s="1" t="s">
        <v>328</v>
      </c>
      <c r="Q168" s="1" t="s">
        <v>328</v>
      </c>
      <c r="R168" s="1" t="s">
        <v>328</v>
      </c>
      <c r="S168" s="1" t="s">
        <v>328</v>
      </c>
      <c r="T168" s="1" t="s">
        <v>328</v>
      </c>
      <c r="U168" s="1">
        <v>0</v>
      </c>
      <c r="V168" s="1">
        <v>0</v>
      </c>
      <c r="W168" s="1">
        <v>0</v>
      </c>
      <c r="X168" s="1">
        <v>0</v>
      </c>
      <c r="Y168" s="1">
        <v>0</v>
      </c>
      <c r="Z168" s="1">
        <v>0</v>
      </c>
      <c r="AA168" s="1">
        <v>0</v>
      </c>
      <c r="AB168" s="1">
        <v>0</v>
      </c>
      <c r="AC168" s="1">
        <v>4</v>
      </c>
      <c r="AD168" s="1">
        <v>0</v>
      </c>
      <c r="AE168" s="1">
        <v>3</v>
      </c>
      <c r="AF168" s="1">
        <v>2</v>
      </c>
      <c r="AG168" s="208" t="s">
        <v>229</v>
      </c>
      <c r="AH168" s="1">
        <v>3600</v>
      </c>
      <c r="AI168" s="1" t="s">
        <v>2268</v>
      </c>
      <c r="AJ168" s="1">
        <v>0</v>
      </c>
      <c r="AK168" s="1" t="s">
        <v>481</v>
      </c>
      <c r="AL168" s="1" t="s">
        <v>2269</v>
      </c>
      <c r="AM168" s="1">
        <v>0.45</v>
      </c>
      <c r="AN168" s="1">
        <v>0.15</v>
      </c>
      <c r="AO168" s="1">
        <v>0.3</v>
      </c>
      <c r="AP168" s="1">
        <v>0.15</v>
      </c>
      <c r="AQ168" s="1">
        <v>3</v>
      </c>
      <c r="AR168" s="1" t="s">
        <v>1551</v>
      </c>
      <c r="AS168" s="1">
        <v>0</v>
      </c>
      <c r="AT168" s="1" t="s">
        <v>1806</v>
      </c>
      <c r="AU168" s="1">
        <v>10</v>
      </c>
      <c r="AV168" s="1">
        <v>18047</v>
      </c>
      <c r="AW168" s="1">
        <v>0</v>
      </c>
      <c r="AX168" t="b">
        <v>0</v>
      </c>
    </row>
    <row r="169" spans="1:50" x14ac:dyDescent="0.3">
      <c r="A169" s="1">
        <v>170</v>
      </c>
      <c r="B169" s="1" t="s">
        <v>2270</v>
      </c>
      <c r="C169" s="1" t="s">
        <v>2271</v>
      </c>
      <c r="D169" s="1">
        <v>5</v>
      </c>
      <c r="E169" s="1">
        <v>2</v>
      </c>
      <c r="F169" s="1">
        <v>19</v>
      </c>
      <c r="G169" s="1" t="s">
        <v>335</v>
      </c>
      <c r="H169" s="1" t="s">
        <v>328</v>
      </c>
      <c r="I169" s="1" t="s">
        <v>328</v>
      </c>
      <c r="J169" s="1" t="s">
        <v>328</v>
      </c>
      <c r="K169" s="1" t="s">
        <v>328</v>
      </c>
      <c r="L169" s="1" t="s">
        <v>328</v>
      </c>
      <c r="M169" s="1" t="s">
        <v>328</v>
      </c>
      <c r="N169" s="1" t="s">
        <v>352</v>
      </c>
      <c r="O169" s="1" t="s">
        <v>328</v>
      </c>
      <c r="P169" s="1" t="s">
        <v>328</v>
      </c>
      <c r="Q169" s="1" t="s">
        <v>328</v>
      </c>
      <c r="R169" s="1" t="s">
        <v>328</v>
      </c>
      <c r="S169" s="1" t="s">
        <v>328</v>
      </c>
      <c r="T169" s="1" t="s">
        <v>328</v>
      </c>
      <c r="U169" s="1">
        <v>0</v>
      </c>
      <c r="V169" s="1">
        <v>0</v>
      </c>
      <c r="W169" s="1">
        <v>0</v>
      </c>
      <c r="X169" s="1">
        <v>0</v>
      </c>
      <c r="Y169" s="1">
        <v>0</v>
      </c>
      <c r="Z169" s="1">
        <v>0</v>
      </c>
      <c r="AA169" s="1">
        <v>0</v>
      </c>
      <c r="AB169" s="1">
        <v>0</v>
      </c>
      <c r="AC169" s="1">
        <v>0</v>
      </c>
      <c r="AD169" s="1">
        <v>4</v>
      </c>
      <c r="AE169" s="1">
        <v>2</v>
      </c>
      <c r="AF169" s="1">
        <v>3</v>
      </c>
      <c r="AG169" s="208" t="s">
        <v>1681</v>
      </c>
      <c r="AH169" s="1">
        <v>3300</v>
      </c>
      <c r="AI169" s="1" t="s">
        <v>2272</v>
      </c>
      <c r="AJ169" s="1">
        <v>0</v>
      </c>
      <c r="AK169" s="1" t="s">
        <v>482</v>
      </c>
      <c r="AL169" s="1" t="s">
        <v>2273</v>
      </c>
      <c r="AM169" s="1">
        <v>0.08</v>
      </c>
      <c r="AN169" s="1">
        <v>0.5</v>
      </c>
      <c r="AO169" s="1">
        <v>0.3</v>
      </c>
      <c r="AP169" s="1">
        <v>0.3</v>
      </c>
      <c r="AQ169" s="1">
        <v>3</v>
      </c>
      <c r="AR169" s="1" t="s">
        <v>1552</v>
      </c>
      <c r="AS169" s="1">
        <v>0</v>
      </c>
      <c r="AT169" s="1" t="s">
        <v>1806</v>
      </c>
      <c r="AU169" s="1">
        <v>10</v>
      </c>
      <c r="AV169" s="1">
        <v>19012</v>
      </c>
      <c r="AW169" s="1">
        <v>0</v>
      </c>
      <c r="AX169" t="b">
        <v>0</v>
      </c>
    </row>
    <row r="170" spans="1:50" x14ac:dyDescent="0.3">
      <c r="A170" s="1">
        <v>171</v>
      </c>
      <c r="B170" s="1" t="s">
        <v>2274</v>
      </c>
      <c r="C170" s="1" t="s">
        <v>2275</v>
      </c>
      <c r="D170" s="1">
        <v>5</v>
      </c>
      <c r="E170" s="1">
        <v>3</v>
      </c>
      <c r="F170" s="1">
        <v>20</v>
      </c>
      <c r="G170" s="1" t="s">
        <v>328</v>
      </c>
      <c r="H170" s="1" t="s">
        <v>328</v>
      </c>
      <c r="I170" s="1" t="s">
        <v>356</v>
      </c>
      <c r="J170" s="1" t="s">
        <v>328</v>
      </c>
      <c r="K170" s="1" t="s">
        <v>328</v>
      </c>
      <c r="L170" s="1" t="s">
        <v>328</v>
      </c>
      <c r="M170" s="1" t="s">
        <v>385</v>
      </c>
      <c r="N170" s="1" t="s">
        <v>328</v>
      </c>
      <c r="O170" s="1" t="s">
        <v>328</v>
      </c>
      <c r="P170" s="1" t="s">
        <v>328</v>
      </c>
      <c r="Q170" s="1" t="s">
        <v>328</v>
      </c>
      <c r="R170" s="1" t="s">
        <v>328</v>
      </c>
      <c r="S170" s="1" t="s">
        <v>328</v>
      </c>
      <c r="T170" s="1" t="s">
        <v>328</v>
      </c>
      <c r="U170" s="1">
        <v>0</v>
      </c>
      <c r="V170" s="1">
        <v>0</v>
      </c>
      <c r="W170" s="1">
        <v>0</v>
      </c>
      <c r="X170" s="1">
        <v>0</v>
      </c>
      <c r="Y170" s="1">
        <v>0</v>
      </c>
      <c r="Z170" s="1">
        <v>0</v>
      </c>
      <c r="AA170" s="1">
        <v>0</v>
      </c>
      <c r="AB170" s="1">
        <v>0</v>
      </c>
      <c r="AC170" s="1">
        <v>4</v>
      </c>
      <c r="AD170" s="1">
        <v>2</v>
      </c>
      <c r="AE170" s="1">
        <v>0</v>
      </c>
      <c r="AF170" s="1">
        <v>4</v>
      </c>
      <c r="AG170" s="208" t="s">
        <v>739</v>
      </c>
      <c r="AH170" s="1">
        <v>3120</v>
      </c>
      <c r="AI170" s="1" t="s">
        <v>2276</v>
      </c>
      <c r="AJ170" s="1">
        <v>0</v>
      </c>
      <c r="AK170" s="1" t="s">
        <v>483</v>
      </c>
      <c r="AL170" s="1" t="s">
        <v>2277</v>
      </c>
      <c r="AM170" s="1">
        <v>0.3</v>
      </c>
      <c r="AN170" s="1">
        <v>0.25</v>
      </c>
      <c r="AO170" s="1">
        <v>0.12</v>
      </c>
      <c r="AP170" s="1">
        <v>0.38</v>
      </c>
      <c r="AQ170" s="1">
        <v>3</v>
      </c>
      <c r="AR170" s="1" t="s">
        <v>1547</v>
      </c>
      <c r="AS170" s="1">
        <v>0</v>
      </c>
      <c r="AT170" s="1" t="s">
        <v>1806</v>
      </c>
      <c r="AU170" s="1">
        <v>10</v>
      </c>
      <c r="AV170" s="1">
        <v>20023</v>
      </c>
      <c r="AW170" s="1">
        <v>0</v>
      </c>
      <c r="AX170" t="b">
        <v>0</v>
      </c>
    </row>
    <row r="171" spans="1:50" x14ac:dyDescent="0.3">
      <c r="A171" s="1">
        <v>172</v>
      </c>
      <c r="B171" s="1" t="s">
        <v>2278</v>
      </c>
      <c r="C171" s="1" t="s">
        <v>2279</v>
      </c>
      <c r="D171" s="1">
        <v>5</v>
      </c>
      <c r="E171" s="1">
        <v>1</v>
      </c>
      <c r="F171" s="1">
        <v>18</v>
      </c>
      <c r="G171" s="1" t="s">
        <v>335</v>
      </c>
      <c r="H171" s="1" t="s">
        <v>328</v>
      </c>
      <c r="I171" s="1" t="s">
        <v>328</v>
      </c>
      <c r="J171" s="1" t="s">
        <v>328</v>
      </c>
      <c r="K171" s="1" t="s">
        <v>328</v>
      </c>
      <c r="L171" s="1" t="s">
        <v>328</v>
      </c>
      <c r="M171" s="1" t="s">
        <v>327</v>
      </c>
      <c r="N171" s="1" t="s">
        <v>328</v>
      </c>
      <c r="O171" s="1" t="s">
        <v>328</v>
      </c>
      <c r="P171" s="1" t="s">
        <v>328</v>
      </c>
      <c r="Q171" s="1" t="s">
        <v>328</v>
      </c>
      <c r="R171" s="1" t="s">
        <v>328</v>
      </c>
      <c r="S171" s="1" t="s">
        <v>328</v>
      </c>
      <c r="T171" s="1" t="s">
        <v>328</v>
      </c>
      <c r="U171" s="1">
        <v>0</v>
      </c>
      <c r="V171" s="1">
        <v>0</v>
      </c>
      <c r="W171" s="1">
        <v>0</v>
      </c>
      <c r="X171" s="1">
        <v>0</v>
      </c>
      <c r="Y171" s="1">
        <v>0</v>
      </c>
      <c r="Z171" s="1">
        <v>0</v>
      </c>
      <c r="AA171" s="1">
        <v>0</v>
      </c>
      <c r="AB171" s="1">
        <v>0</v>
      </c>
      <c r="AC171" s="1">
        <v>4</v>
      </c>
      <c r="AD171" s="1">
        <v>0</v>
      </c>
      <c r="AE171" s="1">
        <v>3</v>
      </c>
      <c r="AF171" s="1">
        <v>2</v>
      </c>
      <c r="AG171" s="208" t="s">
        <v>89</v>
      </c>
      <c r="AH171" s="1">
        <v>2700</v>
      </c>
      <c r="AI171" s="1" t="s">
        <v>2280</v>
      </c>
      <c r="AJ171" s="1">
        <v>0</v>
      </c>
      <c r="AK171" s="1" t="s">
        <v>484</v>
      </c>
      <c r="AL171" s="1" t="s">
        <v>2281</v>
      </c>
      <c r="AM171" s="1">
        <v>0.45</v>
      </c>
      <c r="AN171" s="1">
        <v>0.15</v>
      </c>
      <c r="AO171" s="1">
        <v>0.3</v>
      </c>
      <c r="AP171" s="1">
        <v>0.15</v>
      </c>
      <c r="AQ171" s="1">
        <v>3</v>
      </c>
      <c r="AR171" s="1" t="s">
        <v>1553</v>
      </c>
      <c r="AS171" s="1">
        <v>0</v>
      </c>
      <c r="AT171" s="1" t="s">
        <v>1806</v>
      </c>
      <c r="AU171" s="1">
        <v>10</v>
      </c>
      <c r="AV171" s="1">
        <v>18048</v>
      </c>
      <c r="AW171" s="1">
        <v>0</v>
      </c>
      <c r="AX171" t="b">
        <v>0</v>
      </c>
    </row>
    <row r="172" spans="1:50" x14ac:dyDescent="0.3">
      <c r="A172" s="1">
        <v>173</v>
      </c>
      <c r="B172" s="1" t="s">
        <v>2282</v>
      </c>
      <c r="C172" s="1" t="s">
        <v>2283</v>
      </c>
      <c r="D172" s="1">
        <v>5</v>
      </c>
      <c r="E172" s="1">
        <v>2</v>
      </c>
      <c r="F172" s="1">
        <v>19</v>
      </c>
      <c r="G172" s="1" t="s">
        <v>356</v>
      </c>
      <c r="H172" s="1" t="s">
        <v>328</v>
      </c>
      <c r="I172" s="1" t="s">
        <v>328</v>
      </c>
      <c r="J172" s="1" t="s">
        <v>328</v>
      </c>
      <c r="K172" s="1" t="s">
        <v>328</v>
      </c>
      <c r="L172" s="1" t="s">
        <v>338</v>
      </c>
      <c r="M172" s="1" t="s">
        <v>328</v>
      </c>
      <c r="N172" s="1" t="s">
        <v>328</v>
      </c>
      <c r="O172" s="1" t="s">
        <v>328</v>
      </c>
      <c r="P172" s="1" t="s">
        <v>328</v>
      </c>
      <c r="Q172" s="1" t="s">
        <v>328</v>
      </c>
      <c r="R172" s="1" t="s">
        <v>328</v>
      </c>
      <c r="S172" s="1" t="s">
        <v>328</v>
      </c>
      <c r="T172" s="1" t="s">
        <v>328</v>
      </c>
      <c r="U172" s="1">
        <v>0</v>
      </c>
      <c r="V172" s="1">
        <v>0</v>
      </c>
      <c r="W172" s="1">
        <v>0</v>
      </c>
      <c r="X172" s="1">
        <v>0</v>
      </c>
      <c r="Y172" s="1">
        <v>0</v>
      </c>
      <c r="Z172" s="1">
        <v>0</v>
      </c>
      <c r="AA172" s="1">
        <v>0</v>
      </c>
      <c r="AB172" s="1">
        <v>0</v>
      </c>
      <c r="AC172" s="1">
        <v>0</v>
      </c>
      <c r="AD172" s="1">
        <v>5</v>
      </c>
      <c r="AE172" s="1">
        <v>3</v>
      </c>
      <c r="AF172" s="1">
        <v>2</v>
      </c>
      <c r="AG172" s="208" t="s">
        <v>726</v>
      </c>
      <c r="AH172" s="1">
        <v>3480</v>
      </c>
      <c r="AI172" s="1" t="s">
        <v>2284</v>
      </c>
      <c r="AJ172" s="1">
        <v>0</v>
      </c>
      <c r="AK172" s="1" t="s">
        <v>485</v>
      </c>
      <c r="AL172" s="1" t="s">
        <v>2285</v>
      </c>
      <c r="AM172" s="1">
        <v>0.15</v>
      </c>
      <c r="AN172" s="1">
        <v>0.6</v>
      </c>
      <c r="AO172" s="1">
        <v>0.38</v>
      </c>
      <c r="AP172" s="1">
        <v>0.23</v>
      </c>
      <c r="AQ172" s="1">
        <v>3</v>
      </c>
      <c r="AR172" s="1" t="s">
        <v>1554</v>
      </c>
      <c r="AS172" s="1">
        <v>0</v>
      </c>
      <c r="AT172" s="1" t="s">
        <v>1806</v>
      </c>
      <c r="AU172" s="1">
        <v>10</v>
      </c>
      <c r="AV172" s="1">
        <v>19013</v>
      </c>
      <c r="AW172" s="1">
        <v>0</v>
      </c>
      <c r="AX172" t="b">
        <v>0</v>
      </c>
    </row>
    <row r="173" spans="1:50" x14ac:dyDescent="0.3">
      <c r="A173" s="1">
        <v>174</v>
      </c>
      <c r="B173" s="1" t="s">
        <v>2286</v>
      </c>
      <c r="C173" s="1" t="s">
        <v>2287</v>
      </c>
      <c r="D173" s="1">
        <v>5</v>
      </c>
      <c r="E173" s="1">
        <v>2</v>
      </c>
      <c r="F173" s="1">
        <v>19</v>
      </c>
      <c r="G173" s="1" t="s">
        <v>390</v>
      </c>
      <c r="H173" s="1" t="s">
        <v>425</v>
      </c>
      <c r="I173" s="1" t="s">
        <v>328</v>
      </c>
      <c r="J173" s="1" t="s">
        <v>328</v>
      </c>
      <c r="K173" s="1" t="s">
        <v>328</v>
      </c>
      <c r="L173" s="1" t="s">
        <v>328</v>
      </c>
      <c r="M173" s="1" t="s">
        <v>328</v>
      </c>
      <c r="N173" s="1" t="s">
        <v>328</v>
      </c>
      <c r="O173" s="1" t="s">
        <v>328</v>
      </c>
      <c r="P173" s="1" t="s">
        <v>328</v>
      </c>
      <c r="Q173" s="1" t="s">
        <v>328</v>
      </c>
      <c r="R173" s="1" t="s">
        <v>328</v>
      </c>
      <c r="S173" s="1" t="s">
        <v>328</v>
      </c>
      <c r="T173" s="1" t="s">
        <v>328</v>
      </c>
      <c r="U173" s="1">
        <v>0</v>
      </c>
      <c r="V173" s="1">
        <v>0</v>
      </c>
      <c r="W173" s="1">
        <v>0</v>
      </c>
      <c r="X173" s="1">
        <v>0</v>
      </c>
      <c r="Y173" s="1">
        <v>0</v>
      </c>
      <c r="Z173" s="1">
        <v>0</v>
      </c>
      <c r="AA173" s="1">
        <v>0</v>
      </c>
      <c r="AB173" s="1">
        <v>0</v>
      </c>
      <c r="AC173" s="1">
        <v>1</v>
      </c>
      <c r="AD173" s="1">
        <v>3</v>
      </c>
      <c r="AE173" s="1">
        <v>1</v>
      </c>
      <c r="AF173" s="1">
        <v>4</v>
      </c>
      <c r="AG173" s="208" t="s">
        <v>723</v>
      </c>
      <c r="AH173" s="1">
        <v>3240</v>
      </c>
      <c r="AI173" s="1" t="s">
        <v>2288</v>
      </c>
      <c r="AJ173" s="1">
        <v>0</v>
      </c>
      <c r="AK173" s="1" t="s">
        <v>486</v>
      </c>
      <c r="AL173" s="1" t="s">
        <v>2289</v>
      </c>
      <c r="AM173" s="1">
        <v>0.08</v>
      </c>
      <c r="AN173" s="1">
        <v>0.39</v>
      </c>
      <c r="AO173" s="1">
        <v>0.08</v>
      </c>
      <c r="AP173" s="1">
        <v>0.48</v>
      </c>
      <c r="AQ173" s="1">
        <v>3</v>
      </c>
      <c r="AR173" s="1" t="s">
        <v>1555</v>
      </c>
      <c r="AS173" s="1">
        <v>0</v>
      </c>
      <c r="AT173" s="1" t="s">
        <v>2290</v>
      </c>
      <c r="AU173" s="1">
        <v>10</v>
      </c>
      <c r="AV173" s="1">
        <v>19014</v>
      </c>
      <c r="AW173" s="1">
        <v>0</v>
      </c>
      <c r="AX173" t="b">
        <v>0</v>
      </c>
    </row>
    <row r="174" spans="1:50" x14ac:dyDescent="0.3">
      <c r="A174" s="1">
        <v>175</v>
      </c>
      <c r="B174" s="1" t="s">
        <v>2291</v>
      </c>
      <c r="C174" s="1" t="s">
        <v>2292</v>
      </c>
      <c r="D174" s="1">
        <v>5</v>
      </c>
      <c r="E174" s="1">
        <v>1</v>
      </c>
      <c r="F174" s="1">
        <v>18</v>
      </c>
      <c r="G174" s="1" t="s">
        <v>334</v>
      </c>
      <c r="H174" s="1" t="s">
        <v>328</v>
      </c>
      <c r="I174" s="1" t="s">
        <v>358</v>
      </c>
      <c r="J174" s="1" t="s">
        <v>328</v>
      </c>
      <c r="K174" s="1" t="s">
        <v>328</v>
      </c>
      <c r="L174" s="1" t="s">
        <v>328</v>
      </c>
      <c r="M174" s="1" t="s">
        <v>327</v>
      </c>
      <c r="N174" s="1" t="s">
        <v>328</v>
      </c>
      <c r="O174" s="1" t="s">
        <v>328</v>
      </c>
      <c r="P174" s="1" t="s">
        <v>328</v>
      </c>
      <c r="Q174" s="1" t="s">
        <v>328</v>
      </c>
      <c r="R174" s="1" t="s">
        <v>328</v>
      </c>
      <c r="S174" s="1" t="s">
        <v>328</v>
      </c>
      <c r="T174" s="1" t="s">
        <v>328</v>
      </c>
      <c r="U174" s="1">
        <v>0</v>
      </c>
      <c r="V174" s="1">
        <v>0</v>
      </c>
      <c r="W174" s="1">
        <v>0</v>
      </c>
      <c r="X174" s="1">
        <v>0</v>
      </c>
      <c r="Y174" s="1">
        <v>0</v>
      </c>
      <c r="Z174" s="1">
        <v>0</v>
      </c>
      <c r="AA174" s="1">
        <v>0</v>
      </c>
      <c r="AB174" s="1">
        <v>0</v>
      </c>
      <c r="AC174" s="1">
        <v>4</v>
      </c>
      <c r="AD174" s="1">
        <v>2</v>
      </c>
      <c r="AE174" s="1">
        <v>2</v>
      </c>
      <c r="AF174" s="1">
        <v>2</v>
      </c>
      <c r="AG174" s="208" t="s">
        <v>179</v>
      </c>
      <c r="AH174" s="1">
        <v>2820</v>
      </c>
      <c r="AI174" s="1" t="s">
        <v>179</v>
      </c>
      <c r="AJ174" s="1">
        <v>0</v>
      </c>
      <c r="AK174" s="1" t="s">
        <v>487</v>
      </c>
      <c r="AL174" s="1" t="s">
        <v>2293</v>
      </c>
      <c r="AM174" s="1">
        <v>0.55000000000000004</v>
      </c>
      <c r="AN174" s="1">
        <v>0.23</v>
      </c>
      <c r="AO174" s="1">
        <v>0.23</v>
      </c>
      <c r="AP174" s="1">
        <v>0.23</v>
      </c>
      <c r="AQ174" s="1">
        <v>3</v>
      </c>
      <c r="AR174" s="1" t="s">
        <v>1556</v>
      </c>
      <c r="AS174" s="1">
        <v>0</v>
      </c>
      <c r="AT174" s="1" t="s">
        <v>1806</v>
      </c>
      <c r="AU174" s="1">
        <v>10</v>
      </c>
      <c r="AV174" s="1">
        <v>18049</v>
      </c>
      <c r="AW174" s="1">
        <v>0</v>
      </c>
      <c r="AX174" t="b">
        <v>0</v>
      </c>
    </row>
    <row r="175" spans="1:50" x14ac:dyDescent="0.3">
      <c r="A175" s="1">
        <v>176</v>
      </c>
      <c r="B175" s="1" t="s">
        <v>2294</v>
      </c>
      <c r="C175" s="1" t="s">
        <v>2295</v>
      </c>
      <c r="D175" s="1">
        <v>5</v>
      </c>
      <c r="E175" s="1">
        <v>2</v>
      </c>
      <c r="F175" s="1">
        <v>19</v>
      </c>
      <c r="G175" s="1" t="s">
        <v>341</v>
      </c>
      <c r="H175" s="1" t="s">
        <v>328</v>
      </c>
      <c r="I175" s="1" t="s">
        <v>328</v>
      </c>
      <c r="J175" s="1" t="s">
        <v>328</v>
      </c>
      <c r="K175" s="1" t="s">
        <v>331</v>
      </c>
      <c r="L175" s="1" t="s">
        <v>328</v>
      </c>
      <c r="M175" s="1" t="s">
        <v>328</v>
      </c>
      <c r="N175" s="1" t="s">
        <v>488</v>
      </c>
      <c r="O175" s="1" t="s">
        <v>328</v>
      </c>
      <c r="P175" s="1" t="s">
        <v>328</v>
      </c>
      <c r="Q175" s="1" t="s">
        <v>328</v>
      </c>
      <c r="R175" s="1" t="s">
        <v>328</v>
      </c>
      <c r="S175" s="1" t="s">
        <v>328</v>
      </c>
      <c r="T175" s="1" t="s">
        <v>328</v>
      </c>
      <c r="U175" s="1">
        <v>0</v>
      </c>
      <c r="V175" s="1">
        <v>0</v>
      </c>
      <c r="W175" s="1">
        <v>0</v>
      </c>
      <c r="X175" s="1">
        <v>0</v>
      </c>
      <c r="Y175" s="1">
        <v>0</v>
      </c>
      <c r="Z175" s="1">
        <v>0</v>
      </c>
      <c r="AA175" s="1">
        <v>0</v>
      </c>
      <c r="AB175" s="1">
        <v>0</v>
      </c>
      <c r="AC175" s="1">
        <v>4</v>
      </c>
      <c r="AD175" s="1">
        <v>4</v>
      </c>
      <c r="AE175" s="1">
        <v>0</v>
      </c>
      <c r="AF175" s="1">
        <v>2</v>
      </c>
      <c r="AG175" s="208" t="s">
        <v>1685</v>
      </c>
      <c r="AH175" s="1">
        <v>3180</v>
      </c>
      <c r="AI175" s="1" t="s">
        <v>1843</v>
      </c>
      <c r="AJ175" s="1">
        <v>0</v>
      </c>
      <c r="AK175" s="1" t="s">
        <v>489</v>
      </c>
      <c r="AL175" s="1" t="s">
        <v>2296</v>
      </c>
      <c r="AM175" s="1">
        <v>0.48</v>
      </c>
      <c r="AN175" s="1">
        <v>0.48</v>
      </c>
      <c r="AO175" s="1">
        <v>0.08</v>
      </c>
      <c r="AP175" s="1">
        <v>0.25</v>
      </c>
      <c r="AQ175" s="1">
        <v>3</v>
      </c>
      <c r="AR175" s="1" t="s">
        <v>1557</v>
      </c>
      <c r="AS175" s="1">
        <v>0</v>
      </c>
      <c r="AT175" s="1" t="s">
        <v>1806</v>
      </c>
      <c r="AU175" s="1">
        <v>10</v>
      </c>
      <c r="AV175" s="1">
        <v>19015</v>
      </c>
      <c r="AW175" s="1">
        <v>0</v>
      </c>
      <c r="AX175" t="b">
        <v>0</v>
      </c>
    </row>
    <row r="176" spans="1:50" x14ac:dyDescent="0.3">
      <c r="A176" s="1">
        <v>177</v>
      </c>
      <c r="B176" s="1" t="s">
        <v>2297</v>
      </c>
      <c r="C176" s="1" t="s">
        <v>2298</v>
      </c>
      <c r="D176" s="1">
        <v>5</v>
      </c>
      <c r="E176" s="1">
        <v>1</v>
      </c>
      <c r="F176" s="1">
        <v>18</v>
      </c>
      <c r="G176" s="1" t="s">
        <v>328</v>
      </c>
      <c r="H176" s="1" t="s">
        <v>343</v>
      </c>
      <c r="I176" s="1" t="s">
        <v>328</v>
      </c>
      <c r="J176" s="1" t="s">
        <v>328</v>
      </c>
      <c r="K176" s="1" t="s">
        <v>344</v>
      </c>
      <c r="L176" s="1" t="s">
        <v>385</v>
      </c>
      <c r="M176" s="1" t="s">
        <v>328</v>
      </c>
      <c r="N176" s="1" t="s">
        <v>328</v>
      </c>
      <c r="O176" s="1" t="s">
        <v>328</v>
      </c>
      <c r="P176" s="1" t="s">
        <v>328</v>
      </c>
      <c r="Q176" s="1" t="s">
        <v>328</v>
      </c>
      <c r="R176" s="1" t="s">
        <v>328</v>
      </c>
      <c r="S176" s="1" t="s">
        <v>328</v>
      </c>
      <c r="T176" s="1" t="s">
        <v>328</v>
      </c>
      <c r="U176" s="1">
        <v>0</v>
      </c>
      <c r="V176" s="1">
        <v>0</v>
      </c>
      <c r="W176" s="1">
        <v>0</v>
      </c>
      <c r="X176" s="1">
        <v>0</v>
      </c>
      <c r="Y176" s="1">
        <v>0</v>
      </c>
      <c r="Z176" s="1">
        <v>0</v>
      </c>
      <c r="AA176" s="1">
        <v>0</v>
      </c>
      <c r="AB176" s="1">
        <v>0</v>
      </c>
      <c r="AC176" s="1">
        <v>4</v>
      </c>
      <c r="AD176" s="1">
        <v>0</v>
      </c>
      <c r="AE176" s="1">
        <v>3</v>
      </c>
      <c r="AF176" s="1">
        <v>2</v>
      </c>
      <c r="AG176" s="208" t="s">
        <v>715</v>
      </c>
      <c r="AH176" s="1">
        <v>3000</v>
      </c>
      <c r="AI176" s="1" t="s">
        <v>2299</v>
      </c>
      <c r="AJ176" s="1">
        <v>0</v>
      </c>
      <c r="AK176" s="1" t="s">
        <v>490</v>
      </c>
      <c r="AL176" s="1" t="s">
        <v>2300</v>
      </c>
      <c r="AM176" s="1">
        <v>0.45</v>
      </c>
      <c r="AN176" s="1">
        <v>0.15</v>
      </c>
      <c r="AO176" s="1">
        <v>0.3</v>
      </c>
      <c r="AP176" s="1">
        <v>0.15</v>
      </c>
      <c r="AQ176" s="1">
        <v>3</v>
      </c>
      <c r="AR176" s="1" t="s">
        <v>1558</v>
      </c>
      <c r="AS176" s="1">
        <v>0</v>
      </c>
      <c r="AT176" s="1" t="s">
        <v>1806</v>
      </c>
      <c r="AU176" s="1">
        <v>10</v>
      </c>
      <c r="AV176" s="1">
        <v>18050</v>
      </c>
      <c r="AW176" s="1">
        <v>0</v>
      </c>
      <c r="AX176" t="b">
        <v>0</v>
      </c>
    </row>
    <row r="177" spans="1:50" x14ac:dyDescent="0.3">
      <c r="A177" s="1">
        <v>178</v>
      </c>
      <c r="B177" s="1" t="s">
        <v>2301</v>
      </c>
      <c r="C177" s="1" t="s">
        <v>2302</v>
      </c>
      <c r="D177" s="1">
        <v>5</v>
      </c>
      <c r="E177" s="1">
        <v>2</v>
      </c>
      <c r="F177" s="1">
        <v>19</v>
      </c>
      <c r="G177" s="1" t="s">
        <v>335</v>
      </c>
      <c r="H177" s="1" t="s">
        <v>328</v>
      </c>
      <c r="I177" s="1" t="s">
        <v>328</v>
      </c>
      <c r="J177" s="1" t="s">
        <v>328</v>
      </c>
      <c r="K177" s="1" t="s">
        <v>328</v>
      </c>
      <c r="L177" s="1" t="s">
        <v>328</v>
      </c>
      <c r="M177" s="1" t="s">
        <v>328</v>
      </c>
      <c r="N177" s="1" t="s">
        <v>352</v>
      </c>
      <c r="O177" s="1" t="s">
        <v>328</v>
      </c>
      <c r="P177" s="1" t="s">
        <v>328</v>
      </c>
      <c r="Q177" s="1" t="s">
        <v>328</v>
      </c>
      <c r="R177" s="1" t="s">
        <v>328</v>
      </c>
      <c r="S177" s="1" t="s">
        <v>328</v>
      </c>
      <c r="T177" s="1" t="s">
        <v>328</v>
      </c>
      <c r="U177" s="1">
        <v>0</v>
      </c>
      <c r="V177" s="1">
        <v>0</v>
      </c>
      <c r="W177" s="1">
        <v>0</v>
      </c>
      <c r="X177" s="1">
        <v>0</v>
      </c>
      <c r="Y177" s="1">
        <v>0</v>
      </c>
      <c r="Z177" s="1">
        <v>0</v>
      </c>
      <c r="AA177" s="1">
        <v>0</v>
      </c>
      <c r="AB177" s="1">
        <v>0</v>
      </c>
      <c r="AC177" s="1">
        <v>0</v>
      </c>
      <c r="AD177" s="1">
        <v>4</v>
      </c>
      <c r="AE177" s="1">
        <v>2</v>
      </c>
      <c r="AF177" s="1">
        <v>3</v>
      </c>
      <c r="AG177" s="208" t="s">
        <v>265</v>
      </c>
      <c r="AH177" s="1">
        <v>3300</v>
      </c>
      <c r="AI177" s="1" t="s">
        <v>1843</v>
      </c>
      <c r="AJ177" s="1">
        <v>0</v>
      </c>
      <c r="AK177" s="1" t="s">
        <v>491</v>
      </c>
      <c r="AL177" s="1" t="s">
        <v>2303</v>
      </c>
      <c r="AM177" s="1">
        <v>0.08</v>
      </c>
      <c r="AN177" s="1">
        <v>0.5</v>
      </c>
      <c r="AO177" s="1">
        <v>0.3</v>
      </c>
      <c r="AP177" s="1">
        <v>0.3</v>
      </c>
      <c r="AQ177" s="1">
        <v>3</v>
      </c>
      <c r="AR177" s="1" t="s">
        <v>1552</v>
      </c>
      <c r="AS177" s="1">
        <v>0</v>
      </c>
      <c r="AT177" s="1" t="s">
        <v>1806</v>
      </c>
      <c r="AU177" s="1">
        <v>10</v>
      </c>
      <c r="AV177" s="1">
        <v>19016</v>
      </c>
      <c r="AW177" s="1">
        <v>0</v>
      </c>
      <c r="AX177" t="b">
        <v>0</v>
      </c>
    </row>
    <row r="178" spans="1:50" x14ac:dyDescent="0.3">
      <c r="A178" s="1">
        <v>179</v>
      </c>
      <c r="B178" s="1" t="s">
        <v>2304</v>
      </c>
      <c r="C178" s="1" t="s">
        <v>2305</v>
      </c>
      <c r="D178" s="1">
        <v>5</v>
      </c>
      <c r="E178" s="1">
        <v>1</v>
      </c>
      <c r="F178" s="1">
        <v>18</v>
      </c>
      <c r="G178" s="1" t="s">
        <v>328</v>
      </c>
      <c r="H178" s="1" t="s">
        <v>328</v>
      </c>
      <c r="I178" s="1" t="s">
        <v>325</v>
      </c>
      <c r="J178" s="1" t="s">
        <v>328</v>
      </c>
      <c r="K178" s="1" t="s">
        <v>328</v>
      </c>
      <c r="L178" s="1" t="s">
        <v>328</v>
      </c>
      <c r="M178" s="1" t="s">
        <v>385</v>
      </c>
      <c r="N178" s="1" t="s">
        <v>328</v>
      </c>
      <c r="O178" s="1" t="s">
        <v>328</v>
      </c>
      <c r="P178" s="1" t="s">
        <v>328</v>
      </c>
      <c r="Q178" s="1" t="s">
        <v>328</v>
      </c>
      <c r="R178" s="1" t="s">
        <v>328</v>
      </c>
      <c r="S178" s="1" t="s">
        <v>328</v>
      </c>
      <c r="T178" s="1" t="s">
        <v>328</v>
      </c>
      <c r="U178" s="1">
        <v>0</v>
      </c>
      <c r="V178" s="1">
        <v>0</v>
      </c>
      <c r="W178" s="1">
        <v>0</v>
      </c>
      <c r="X178" s="1">
        <v>0</v>
      </c>
      <c r="Y178" s="1">
        <v>0</v>
      </c>
      <c r="Z178" s="1">
        <v>0</v>
      </c>
      <c r="AA178" s="1">
        <v>0</v>
      </c>
      <c r="AB178" s="1">
        <v>0</v>
      </c>
      <c r="AC178" s="1">
        <v>4</v>
      </c>
      <c r="AD178" s="1">
        <v>2</v>
      </c>
      <c r="AE178" s="1">
        <v>2</v>
      </c>
      <c r="AF178" s="1">
        <v>2</v>
      </c>
      <c r="AG178" s="208" t="s">
        <v>262</v>
      </c>
      <c r="AH178" s="1">
        <v>2820</v>
      </c>
      <c r="AI178" s="1" t="s">
        <v>1843</v>
      </c>
      <c r="AJ178" s="1">
        <v>0</v>
      </c>
      <c r="AK178" s="1" t="s">
        <v>492</v>
      </c>
      <c r="AL178" s="1" t="s">
        <v>2306</v>
      </c>
      <c r="AM178" s="1">
        <v>0.55000000000000004</v>
      </c>
      <c r="AN178" s="1">
        <v>0.23</v>
      </c>
      <c r="AO178" s="1">
        <v>0.23</v>
      </c>
      <c r="AP178" s="1">
        <v>0.23</v>
      </c>
      <c r="AQ178" s="1">
        <v>3</v>
      </c>
      <c r="AR178" s="1" t="s">
        <v>1547</v>
      </c>
      <c r="AS178" s="1">
        <v>0</v>
      </c>
      <c r="AT178" s="1" t="s">
        <v>1806</v>
      </c>
      <c r="AU178" s="1">
        <v>10</v>
      </c>
      <c r="AV178" s="1">
        <v>18051</v>
      </c>
      <c r="AW178" s="1">
        <v>0</v>
      </c>
      <c r="AX178" t="b">
        <v>0</v>
      </c>
    </row>
    <row r="179" spans="1:50" x14ac:dyDescent="0.3">
      <c r="A179" s="1">
        <v>180</v>
      </c>
      <c r="B179" s="1" t="s">
        <v>2307</v>
      </c>
      <c r="C179" s="1" t="s">
        <v>2308</v>
      </c>
      <c r="D179" s="1">
        <v>5</v>
      </c>
      <c r="E179" s="1">
        <v>1</v>
      </c>
      <c r="F179" s="1">
        <v>18</v>
      </c>
      <c r="G179" s="1" t="s">
        <v>328</v>
      </c>
      <c r="H179" s="1" t="s">
        <v>328</v>
      </c>
      <c r="I179" s="1" t="s">
        <v>413</v>
      </c>
      <c r="J179" s="1" t="s">
        <v>328</v>
      </c>
      <c r="K179" s="1" t="s">
        <v>328</v>
      </c>
      <c r="L179" s="1" t="s">
        <v>328</v>
      </c>
      <c r="M179" s="1" t="s">
        <v>385</v>
      </c>
      <c r="N179" s="1" t="s">
        <v>328</v>
      </c>
      <c r="O179" s="1" t="s">
        <v>328</v>
      </c>
      <c r="P179" s="1" t="s">
        <v>328</v>
      </c>
      <c r="Q179" s="1" t="s">
        <v>328</v>
      </c>
      <c r="R179" s="1" t="s">
        <v>328</v>
      </c>
      <c r="S179" s="1" t="s">
        <v>328</v>
      </c>
      <c r="T179" s="1" t="s">
        <v>328</v>
      </c>
      <c r="U179" s="1">
        <v>0</v>
      </c>
      <c r="V179" s="1">
        <v>0</v>
      </c>
      <c r="W179" s="1">
        <v>0</v>
      </c>
      <c r="X179" s="1">
        <v>0</v>
      </c>
      <c r="Y179" s="1">
        <v>0</v>
      </c>
      <c r="Z179" s="1">
        <v>0</v>
      </c>
      <c r="AA179" s="1">
        <v>0</v>
      </c>
      <c r="AB179" s="1">
        <v>0</v>
      </c>
      <c r="AC179" s="1">
        <v>4</v>
      </c>
      <c r="AD179" s="1">
        <v>2</v>
      </c>
      <c r="AE179" s="1">
        <v>2</v>
      </c>
      <c r="AF179" s="1">
        <v>2</v>
      </c>
      <c r="AG179" s="208" t="s">
        <v>68</v>
      </c>
      <c r="AH179" s="1">
        <v>2820</v>
      </c>
      <c r="AI179" s="1" t="s">
        <v>2309</v>
      </c>
      <c r="AJ179" s="1">
        <v>0</v>
      </c>
      <c r="AK179" s="1" t="s">
        <v>930</v>
      </c>
      <c r="AL179" s="1" t="s">
        <v>2310</v>
      </c>
      <c r="AM179" s="1">
        <v>0.55000000000000004</v>
      </c>
      <c r="AN179" s="1">
        <v>0.23</v>
      </c>
      <c r="AO179" s="1">
        <v>0.23</v>
      </c>
      <c r="AP179" s="1">
        <v>0.23</v>
      </c>
      <c r="AQ179" s="1">
        <v>3</v>
      </c>
      <c r="AR179" s="1" t="s">
        <v>1559</v>
      </c>
      <c r="AS179" s="1">
        <v>0</v>
      </c>
      <c r="AT179" s="1" t="s">
        <v>1806</v>
      </c>
      <c r="AU179" s="1">
        <v>10</v>
      </c>
      <c r="AV179" s="1">
        <v>18052</v>
      </c>
      <c r="AW179" s="1">
        <v>0</v>
      </c>
      <c r="AX179" t="b">
        <v>0</v>
      </c>
    </row>
    <row r="180" spans="1:50" x14ac:dyDescent="0.3">
      <c r="A180" s="1">
        <v>181</v>
      </c>
      <c r="B180" s="1" t="s">
        <v>2311</v>
      </c>
      <c r="C180" s="1" t="s">
        <v>2312</v>
      </c>
      <c r="D180" s="1">
        <v>5</v>
      </c>
      <c r="E180" s="1">
        <v>2</v>
      </c>
      <c r="F180" s="1">
        <v>19</v>
      </c>
      <c r="G180" s="1" t="s">
        <v>341</v>
      </c>
      <c r="H180" s="1" t="s">
        <v>328</v>
      </c>
      <c r="I180" s="1" t="s">
        <v>328</v>
      </c>
      <c r="J180" s="1" t="s">
        <v>328</v>
      </c>
      <c r="K180" s="1" t="s">
        <v>493</v>
      </c>
      <c r="L180" s="1" t="s">
        <v>328</v>
      </c>
      <c r="M180" s="1" t="s">
        <v>328</v>
      </c>
      <c r="N180" s="1" t="s">
        <v>386</v>
      </c>
      <c r="O180" s="1" t="s">
        <v>328</v>
      </c>
      <c r="P180" s="1" t="s">
        <v>328</v>
      </c>
      <c r="Q180" s="1" t="s">
        <v>328</v>
      </c>
      <c r="R180" s="1" t="s">
        <v>328</v>
      </c>
      <c r="S180" s="1" t="s">
        <v>328</v>
      </c>
      <c r="T180" s="1" t="s">
        <v>328</v>
      </c>
      <c r="U180" s="1">
        <v>0</v>
      </c>
      <c r="V180" s="1">
        <v>0</v>
      </c>
      <c r="W180" s="1">
        <v>0</v>
      </c>
      <c r="X180" s="1">
        <v>0</v>
      </c>
      <c r="Y180" s="1">
        <v>0</v>
      </c>
      <c r="Z180" s="1">
        <v>0</v>
      </c>
      <c r="AA180" s="1">
        <v>0</v>
      </c>
      <c r="AB180" s="1">
        <v>0</v>
      </c>
      <c r="AC180" s="1">
        <v>4</v>
      </c>
      <c r="AD180" s="1">
        <v>4</v>
      </c>
      <c r="AE180" s="1">
        <v>0</v>
      </c>
      <c r="AF180" s="1">
        <v>2</v>
      </c>
      <c r="AG180" s="208" t="s">
        <v>81</v>
      </c>
      <c r="AH180" s="1">
        <v>3180</v>
      </c>
      <c r="AI180" s="1" t="s">
        <v>2313</v>
      </c>
      <c r="AJ180" s="1">
        <v>0</v>
      </c>
      <c r="AK180" s="1" t="s">
        <v>353</v>
      </c>
      <c r="AL180" s="1" t="s">
        <v>2314</v>
      </c>
      <c r="AM180" s="1">
        <v>0.48</v>
      </c>
      <c r="AN180" s="1">
        <v>0.48</v>
      </c>
      <c r="AO180" s="1">
        <v>0.08</v>
      </c>
      <c r="AP180" s="1">
        <v>0.25</v>
      </c>
      <c r="AQ180" s="1">
        <v>3</v>
      </c>
      <c r="AR180" s="1" t="s">
        <v>1473</v>
      </c>
      <c r="AS180" s="1">
        <v>0</v>
      </c>
      <c r="AT180" s="1" t="s">
        <v>1806</v>
      </c>
      <c r="AU180" s="1">
        <v>10</v>
      </c>
      <c r="AV180" s="1">
        <v>19017</v>
      </c>
      <c r="AW180" s="1">
        <v>0</v>
      </c>
      <c r="AX180" t="b">
        <v>0</v>
      </c>
    </row>
    <row r="181" spans="1:50" x14ac:dyDescent="0.3">
      <c r="A181" s="1">
        <v>182</v>
      </c>
      <c r="B181" s="1" t="s">
        <v>2315</v>
      </c>
      <c r="C181" s="1" t="s">
        <v>2316</v>
      </c>
      <c r="D181" s="1">
        <v>5</v>
      </c>
      <c r="E181" s="1">
        <v>2</v>
      </c>
      <c r="F181" s="1">
        <v>19</v>
      </c>
      <c r="G181" s="1" t="s">
        <v>385</v>
      </c>
      <c r="H181" s="1" t="s">
        <v>328</v>
      </c>
      <c r="I181" s="1" t="s">
        <v>328</v>
      </c>
      <c r="J181" s="1" t="s">
        <v>328</v>
      </c>
      <c r="K181" s="1" t="s">
        <v>493</v>
      </c>
      <c r="L181" s="1" t="s">
        <v>328</v>
      </c>
      <c r="M181" s="1" t="s">
        <v>328</v>
      </c>
      <c r="N181" s="1" t="s">
        <v>328</v>
      </c>
      <c r="O181" s="1" t="s">
        <v>328</v>
      </c>
      <c r="P181" s="1" t="s">
        <v>328</v>
      </c>
      <c r="Q181" s="1" t="s">
        <v>328</v>
      </c>
      <c r="R181" s="1" t="s">
        <v>328</v>
      </c>
      <c r="S181" s="1" t="s">
        <v>328</v>
      </c>
      <c r="T181" s="1" t="s">
        <v>328</v>
      </c>
      <c r="U181" s="1">
        <v>0</v>
      </c>
      <c r="V181" s="1">
        <v>0</v>
      </c>
      <c r="W181" s="1">
        <v>0</v>
      </c>
      <c r="X181" s="1">
        <v>0</v>
      </c>
      <c r="Y181" s="1">
        <v>0</v>
      </c>
      <c r="Z181" s="1">
        <v>0</v>
      </c>
      <c r="AA181" s="1">
        <v>0</v>
      </c>
      <c r="AB181" s="1">
        <v>0</v>
      </c>
      <c r="AC181" s="1">
        <v>4</v>
      </c>
      <c r="AD181" s="1">
        <v>4</v>
      </c>
      <c r="AE181" s="1">
        <v>0</v>
      </c>
      <c r="AF181" s="1">
        <v>2</v>
      </c>
      <c r="AG181" s="208" t="s">
        <v>8741</v>
      </c>
      <c r="AH181" s="1">
        <v>3180</v>
      </c>
      <c r="AI181" s="1" t="s">
        <v>2045</v>
      </c>
      <c r="AJ181" s="1">
        <v>0</v>
      </c>
      <c r="AK181" s="1" t="s">
        <v>494</v>
      </c>
      <c r="AL181" s="1" t="s">
        <v>2317</v>
      </c>
      <c r="AM181" s="1">
        <v>0.48</v>
      </c>
      <c r="AN181" s="1">
        <v>0.48</v>
      </c>
      <c r="AO181" s="1">
        <v>0.08</v>
      </c>
      <c r="AP181" s="1">
        <v>0.25</v>
      </c>
      <c r="AQ181" s="1">
        <v>3</v>
      </c>
      <c r="AR181" s="1" t="s">
        <v>1475</v>
      </c>
      <c r="AS181" s="1">
        <v>0</v>
      </c>
      <c r="AT181" s="1" t="s">
        <v>1806</v>
      </c>
      <c r="AU181" s="1">
        <v>10</v>
      </c>
      <c r="AV181" s="1">
        <v>19018</v>
      </c>
      <c r="AW181" s="1">
        <v>0</v>
      </c>
      <c r="AX181" t="b">
        <v>1</v>
      </c>
    </row>
    <row r="182" spans="1:50" x14ac:dyDescent="0.3">
      <c r="A182" s="1">
        <v>183</v>
      </c>
      <c r="B182" s="1" t="s">
        <v>2318</v>
      </c>
      <c r="C182" s="1" t="s">
        <v>2319</v>
      </c>
      <c r="D182" s="1">
        <v>5</v>
      </c>
      <c r="E182" s="1">
        <v>3</v>
      </c>
      <c r="F182" s="1">
        <v>20</v>
      </c>
      <c r="G182" s="1" t="s">
        <v>328</v>
      </c>
      <c r="H182" s="1" t="s">
        <v>328</v>
      </c>
      <c r="I182" s="1" t="s">
        <v>328</v>
      </c>
      <c r="J182" s="1" t="s">
        <v>401</v>
      </c>
      <c r="K182" s="1" t="s">
        <v>328</v>
      </c>
      <c r="L182" s="1" t="s">
        <v>363</v>
      </c>
      <c r="M182" s="1" t="s">
        <v>328</v>
      </c>
      <c r="N182" s="1" t="s">
        <v>328</v>
      </c>
      <c r="O182" s="1" t="s">
        <v>328</v>
      </c>
      <c r="P182" s="1" t="s">
        <v>328</v>
      </c>
      <c r="Q182" s="1" t="s">
        <v>328</v>
      </c>
      <c r="R182" s="1" t="s">
        <v>328</v>
      </c>
      <c r="S182" s="1" t="s">
        <v>328</v>
      </c>
      <c r="T182" s="1" t="s">
        <v>328</v>
      </c>
      <c r="U182" s="1">
        <v>0</v>
      </c>
      <c r="V182" s="1">
        <v>0</v>
      </c>
      <c r="W182" s="1">
        <v>0</v>
      </c>
      <c r="X182" s="1">
        <v>0</v>
      </c>
      <c r="Y182" s="1">
        <v>0</v>
      </c>
      <c r="Z182" s="1">
        <v>0</v>
      </c>
      <c r="AA182" s="1">
        <v>0</v>
      </c>
      <c r="AB182" s="1">
        <v>0</v>
      </c>
      <c r="AC182" s="1">
        <v>4</v>
      </c>
      <c r="AD182" s="1">
        <v>0</v>
      </c>
      <c r="AE182" s="1">
        <v>5</v>
      </c>
      <c r="AF182" s="1">
        <v>0</v>
      </c>
      <c r="AG182" s="208" t="s">
        <v>248</v>
      </c>
      <c r="AH182" s="1">
        <v>3360</v>
      </c>
      <c r="AI182" s="1" t="s">
        <v>1843</v>
      </c>
      <c r="AJ182" s="1">
        <v>0</v>
      </c>
      <c r="AK182" s="1" t="s">
        <v>495</v>
      </c>
      <c r="AL182" s="1" t="s">
        <v>2320</v>
      </c>
      <c r="AM182" s="1">
        <v>0.55000000000000004</v>
      </c>
      <c r="AN182" s="1">
        <v>0.16</v>
      </c>
      <c r="AO182" s="1">
        <v>0.6</v>
      </c>
      <c r="AP182" s="1">
        <v>0.16</v>
      </c>
      <c r="AQ182" s="1">
        <v>3</v>
      </c>
      <c r="AR182" s="1" t="s">
        <v>1499</v>
      </c>
      <c r="AS182" s="1">
        <v>0</v>
      </c>
      <c r="AT182" s="1" t="s">
        <v>1806</v>
      </c>
      <c r="AU182" s="1">
        <v>10</v>
      </c>
      <c r="AV182" s="1">
        <v>20024</v>
      </c>
      <c r="AW182" s="1">
        <v>0</v>
      </c>
      <c r="AX182" t="b">
        <v>0</v>
      </c>
    </row>
    <row r="183" spans="1:50" x14ac:dyDescent="0.3">
      <c r="A183" s="1">
        <v>184</v>
      </c>
      <c r="B183" s="1" t="s">
        <v>2321</v>
      </c>
      <c r="C183" s="1" t="s">
        <v>2322</v>
      </c>
      <c r="D183" s="1">
        <v>5</v>
      </c>
      <c r="E183" s="1">
        <v>3</v>
      </c>
      <c r="F183" s="1">
        <v>20</v>
      </c>
      <c r="G183" s="1" t="s">
        <v>390</v>
      </c>
      <c r="H183" s="1" t="s">
        <v>328</v>
      </c>
      <c r="I183" s="1" t="s">
        <v>356</v>
      </c>
      <c r="J183" s="1" t="s">
        <v>328</v>
      </c>
      <c r="K183" s="1" t="s">
        <v>328</v>
      </c>
      <c r="L183" s="1" t="s">
        <v>328</v>
      </c>
      <c r="M183" s="1" t="s">
        <v>328</v>
      </c>
      <c r="N183" s="1" t="s">
        <v>328</v>
      </c>
      <c r="O183" s="1" t="s">
        <v>328</v>
      </c>
      <c r="P183" s="1" t="s">
        <v>328</v>
      </c>
      <c r="Q183" s="1" t="s">
        <v>328</v>
      </c>
      <c r="R183" s="1" t="s">
        <v>328</v>
      </c>
      <c r="S183" s="1" t="s">
        <v>328</v>
      </c>
      <c r="T183" s="1" t="s">
        <v>328</v>
      </c>
      <c r="U183" s="1">
        <v>0</v>
      </c>
      <c r="V183" s="1">
        <v>0</v>
      </c>
      <c r="W183" s="1">
        <v>0</v>
      </c>
      <c r="X183" s="1">
        <v>0</v>
      </c>
      <c r="Y183" s="1">
        <v>0</v>
      </c>
      <c r="Z183" s="1">
        <v>0</v>
      </c>
      <c r="AA183" s="1">
        <v>0</v>
      </c>
      <c r="AB183" s="1">
        <v>0</v>
      </c>
      <c r="AC183" s="1">
        <v>4</v>
      </c>
      <c r="AD183" s="1">
        <v>2</v>
      </c>
      <c r="AE183" s="1">
        <v>0</v>
      </c>
      <c r="AF183" s="1">
        <v>4</v>
      </c>
      <c r="AG183" s="208" t="s">
        <v>251</v>
      </c>
      <c r="AH183" s="1">
        <v>3120</v>
      </c>
      <c r="AI183" s="1" t="s">
        <v>1843</v>
      </c>
      <c r="AJ183" s="1">
        <v>0</v>
      </c>
      <c r="AK183" s="1" t="s">
        <v>496</v>
      </c>
      <c r="AL183" s="1" t="s">
        <v>2323</v>
      </c>
      <c r="AM183" s="1">
        <v>0.3</v>
      </c>
      <c r="AN183" s="1">
        <v>0.25</v>
      </c>
      <c r="AO183" s="1">
        <v>0.12</v>
      </c>
      <c r="AP183" s="1">
        <v>0.38</v>
      </c>
      <c r="AQ183" s="1">
        <v>3</v>
      </c>
      <c r="AR183" s="1" t="s">
        <v>1560</v>
      </c>
      <c r="AS183" s="1">
        <v>0</v>
      </c>
      <c r="AT183" s="1" t="s">
        <v>1806</v>
      </c>
      <c r="AU183" s="1">
        <v>10</v>
      </c>
      <c r="AV183" s="1">
        <v>20025</v>
      </c>
      <c r="AW183" s="1">
        <v>0</v>
      </c>
      <c r="AX183" t="b">
        <v>0</v>
      </c>
    </row>
    <row r="184" spans="1:50" x14ac:dyDescent="0.3">
      <c r="A184" s="1">
        <v>185</v>
      </c>
      <c r="B184" s="1" t="s">
        <v>2324</v>
      </c>
      <c r="C184" s="1" t="s">
        <v>2325</v>
      </c>
      <c r="D184" s="1">
        <v>5</v>
      </c>
      <c r="E184" s="1">
        <v>1</v>
      </c>
      <c r="F184" s="1">
        <v>18</v>
      </c>
      <c r="G184" s="1" t="s">
        <v>335</v>
      </c>
      <c r="H184" s="1" t="s">
        <v>470</v>
      </c>
      <c r="I184" s="1" t="s">
        <v>328</v>
      </c>
      <c r="J184" s="1" t="s">
        <v>328</v>
      </c>
      <c r="K184" s="1" t="s">
        <v>328</v>
      </c>
      <c r="L184" s="1" t="s">
        <v>328</v>
      </c>
      <c r="M184" s="1" t="s">
        <v>397</v>
      </c>
      <c r="N184" s="1" t="s">
        <v>328</v>
      </c>
      <c r="O184" s="1" t="s">
        <v>328</v>
      </c>
      <c r="P184" s="1" t="s">
        <v>328</v>
      </c>
      <c r="Q184" s="1" t="s">
        <v>328</v>
      </c>
      <c r="R184" s="1" t="s">
        <v>328</v>
      </c>
      <c r="S184" s="1" t="s">
        <v>328</v>
      </c>
      <c r="T184" s="1" t="s">
        <v>328</v>
      </c>
      <c r="U184" s="1">
        <v>0</v>
      </c>
      <c r="V184" s="1">
        <v>0</v>
      </c>
      <c r="W184" s="1">
        <v>0</v>
      </c>
      <c r="X184" s="1">
        <v>0</v>
      </c>
      <c r="Y184" s="1">
        <v>0</v>
      </c>
      <c r="Z184" s="1">
        <v>0</v>
      </c>
      <c r="AA184" s="1">
        <v>0</v>
      </c>
      <c r="AB184" s="1">
        <v>0</v>
      </c>
      <c r="AC184" s="1">
        <v>4</v>
      </c>
      <c r="AD184" s="1">
        <v>0</v>
      </c>
      <c r="AE184" s="1">
        <v>3</v>
      </c>
      <c r="AF184" s="1">
        <v>2</v>
      </c>
      <c r="AG184" s="208" t="s">
        <v>746</v>
      </c>
      <c r="AH184" s="1">
        <v>2700</v>
      </c>
      <c r="AI184" s="1" t="s">
        <v>1843</v>
      </c>
      <c r="AJ184" s="1">
        <v>0</v>
      </c>
      <c r="AK184" s="1" t="s">
        <v>497</v>
      </c>
      <c r="AL184" s="1" t="s">
        <v>2326</v>
      </c>
      <c r="AM184" s="1">
        <v>0.45</v>
      </c>
      <c r="AN184" s="1">
        <v>0.15</v>
      </c>
      <c r="AO184" s="1">
        <v>0.3</v>
      </c>
      <c r="AP184" s="1">
        <v>0.15</v>
      </c>
      <c r="AQ184" s="1">
        <v>3</v>
      </c>
      <c r="AR184" s="1" t="s">
        <v>1561</v>
      </c>
      <c r="AS184" s="1">
        <v>0</v>
      </c>
      <c r="AT184" s="1" t="s">
        <v>2327</v>
      </c>
      <c r="AU184" s="1">
        <v>10</v>
      </c>
      <c r="AV184" s="1">
        <v>18053</v>
      </c>
      <c r="AW184" s="1">
        <v>0</v>
      </c>
      <c r="AX184" t="b">
        <v>0</v>
      </c>
    </row>
    <row r="185" spans="1:50" x14ac:dyDescent="0.3">
      <c r="A185" s="1">
        <v>186</v>
      </c>
      <c r="B185" s="1" t="s">
        <v>2328</v>
      </c>
      <c r="C185" s="1" t="s">
        <v>2329</v>
      </c>
      <c r="D185" s="1">
        <v>5</v>
      </c>
      <c r="E185" s="1">
        <v>2</v>
      </c>
      <c r="F185" s="1">
        <v>19</v>
      </c>
      <c r="G185" s="1" t="s">
        <v>341</v>
      </c>
      <c r="H185" s="1" t="s">
        <v>328</v>
      </c>
      <c r="I185" s="1" t="s">
        <v>328</v>
      </c>
      <c r="J185" s="1" t="s">
        <v>328</v>
      </c>
      <c r="K185" s="1" t="s">
        <v>328</v>
      </c>
      <c r="L185" s="1" t="s">
        <v>389</v>
      </c>
      <c r="M185" s="1" t="s">
        <v>498</v>
      </c>
      <c r="N185" s="1" t="s">
        <v>328</v>
      </c>
      <c r="O185" s="1" t="s">
        <v>328</v>
      </c>
      <c r="P185" s="1" t="s">
        <v>328</v>
      </c>
      <c r="Q185" s="1" t="s">
        <v>328</v>
      </c>
      <c r="R185" s="1" t="s">
        <v>328</v>
      </c>
      <c r="S185" s="1" t="s">
        <v>328</v>
      </c>
      <c r="T185" s="1" t="s">
        <v>328</v>
      </c>
      <c r="U185" s="1">
        <v>0</v>
      </c>
      <c r="V185" s="1">
        <v>0</v>
      </c>
      <c r="W185" s="1">
        <v>0</v>
      </c>
      <c r="X185" s="1">
        <v>0</v>
      </c>
      <c r="Y185" s="1">
        <v>0</v>
      </c>
      <c r="Z185" s="1">
        <v>0</v>
      </c>
      <c r="AA185" s="1">
        <v>0</v>
      </c>
      <c r="AB185" s="1">
        <v>0</v>
      </c>
      <c r="AC185" s="1">
        <v>1</v>
      </c>
      <c r="AD185" s="1">
        <v>4</v>
      </c>
      <c r="AE185" s="1">
        <v>1</v>
      </c>
      <c r="AF185" s="1">
        <v>3</v>
      </c>
      <c r="AG185" s="208" t="s">
        <v>249</v>
      </c>
      <c r="AH185" s="1">
        <v>3240</v>
      </c>
      <c r="AI185" s="1" t="s">
        <v>1843</v>
      </c>
      <c r="AJ185" s="1">
        <v>0</v>
      </c>
      <c r="AK185" s="1" t="s">
        <v>499</v>
      </c>
      <c r="AL185" s="1" t="s">
        <v>2330</v>
      </c>
      <c r="AM185" s="1">
        <v>0.08</v>
      </c>
      <c r="AN185" s="1">
        <v>0.53</v>
      </c>
      <c r="AO185" s="1">
        <v>0.08</v>
      </c>
      <c r="AP185" s="1">
        <v>0.45</v>
      </c>
      <c r="AQ185" s="1">
        <v>3</v>
      </c>
      <c r="AR185" s="1" t="s">
        <v>1562</v>
      </c>
      <c r="AS185" s="1">
        <v>0</v>
      </c>
      <c r="AT185" s="1" t="s">
        <v>1806</v>
      </c>
      <c r="AU185" s="1">
        <v>10</v>
      </c>
      <c r="AV185" s="1">
        <v>19019</v>
      </c>
      <c r="AW185" s="1">
        <v>0</v>
      </c>
      <c r="AX185" t="b">
        <v>0</v>
      </c>
    </row>
    <row r="186" spans="1:50" x14ac:dyDescent="0.3">
      <c r="A186" s="1">
        <v>187</v>
      </c>
      <c r="B186" s="1" t="s">
        <v>2331</v>
      </c>
      <c r="C186" s="1" t="s">
        <v>2332</v>
      </c>
      <c r="D186" s="1">
        <v>5</v>
      </c>
      <c r="E186" s="1">
        <v>1</v>
      </c>
      <c r="F186" s="1">
        <v>18</v>
      </c>
      <c r="G186" s="1" t="s">
        <v>328</v>
      </c>
      <c r="H186" s="1" t="s">
        <v>470</v>
      </c>
      <c r="I186" s="1" t="s">
        <v>358</v>
      </c>
      <c r="J186" s="1" t="s">
        <v>328</v>
      </c>
      <c r="K186" s="1" t="s">
        <v>328</v>
      </c>
      <c r="L186" s="1" t="s">
        <v>328</v>
      </c>
      <c r="M186" s="1" t="s">
        <v>385</v>
      </c>
      <c r="N186" s="1" t="s">
        <v>328</v>
      </c>
      <c r="O186" s="1" t="s">
        <v>328</v>
      </c>
      <c r="P186" s="1" t="s">
        <v>328</v>
      </c>
      <c r="Q186" s="1" t="s">
        <v>328</v>
      </c>
      <c r="R186" s="1" t="s">
        <v>328</v>
      </c>
      <c r="S186" s="1" t="s">
        <v>328</v>
      </c>
      <c r="T186" s="1" t="s">
        <v>328</v>
      </c>
      <c r="U186" s="1">
        <v>0</v>
      </c>
      <c r="V186" s="1">
        <v>0</v>
      </c>
      <c r="W186" s="1">
        <v>0</v>
      </c>
      <c r="X186" s="1">
        <v>0</v>
      </c>
      <c r="Y186" s="1">
        <v>0</v>
      </c>
      <c r="Z186" s="1">
        <v>0</v>
      </c>
      <c r="AA186" s="1">
        <v>0</v>
      </c>
      <c r="AB186" s="1">
        <v>0</v>
      </c>
      <c r="AC186" s="1">
        <v>4</v>
      </c>
      <c r="AD186" s="1">
        <v>2</v>
      </c>
      <c r="AE186" s="1">
        <v>2</v>
      </c>
      <c r="AF186" s="1">
        <v>2</v>
      </c>
      <c r="AG186" s="208" t="s">
        <v>247</v>
      </c>
      <c r="AH186" s="1">
        <v>2820</v>
      </c>
      <c r="AI186" s="1" t="s">
        <v>1843</v>
      </c>
      <c r="AJ186" s="1">
        <v>0</v>
      </c>
      <c r="AK186" s="1" t="s">
        <v>500</v>
      </c>
      <c r="AL186" s="1" t="s">
        <v>2333</v>
      </c>
      <c r="AM186" s="1">
        <v>0.55000000000000004</v>
      </c>
      <c r="AN186" s="1">
        <v>0.23</v>
      </c>
      <c r="AO186" s="1">
        <v>0.23</v>
      </c>
      <c r="AP186" s="1">
        <v>0.23</v>
      </c>
      <c r="AQ186" s="1">
        <v>3</v>
      </c>
      <c r="AR186" s="1" t="s">
        <v>1563</v>
      </c>
      <c r="AS186" s="1">
        <v>0</v>
      </c>
      <c r="AT186" s="1" t="s">
        <v>1806</v>
      </c>
      <c r="AU186" s="1">
        <v>10</v>
      </c>
      <c r="AV186" s="1">
        <v>18054</v>
      </c>
      <c r="AW186" s="1">
        <v>0</v>
      </c>
      <c r="AX186" t="b">
        <v>0</v>
      </c>
    </row>
    <row r="187" spans="1:50" x14ac:dyDescent="0.3">
      <c r="A187" s="1">
        <v>188</v>
      </c>
      <c r="B187" s="1" t="s">
        <v>2334</v>
      </c>
      <c r="C187" s="1" t="s">
        <v>2335</v>
      </c>
      <c r="D187" s="1">
        <v>5</v>
      </c>
      <c r="E187" s="1">
        <v>1</v>
      </c>
      <c r="F187" s="1">
        <v>18</v>
      </c>
      <c r="G187" s="1" t="s">
        <v>335</v>
      </c>
      <c r="H187" s="1" t="s">
        <v>470</v>
      </c>
      <c r="I187" s="1" t="s">
        <v>328</v>
      </c>
      <c r="J187" s="1" t="s">
        <v>328</v>
      </c>
      <c r="K187" s="1" t="s">
        <v>328</v>
      </c>
      <c r="L187" s="1" t="s">
        <v>328</v>
      </c>
      <c r="M187" s="1" t="s">
        <v>397</v>
      </c>
      <c r="N187" s="1" t="s">
        <v>328</v>
      </c>
      <c r="O187" s="1" t="s">
        <v>328</v>
      </c>
      <c r="P187" s="1" t="s">
        <v>328</v>
      </c>
      <c r="Q187" s="1" t="s">
        <v>328</v>
      </c>
      <c r="R187" s="1" t="s">
        <v>328</v>
      </c>
      <c r="S187" s="1" t="s">
        <v>328</v>
      </c>
      <c r="T187" s="1" t="s">
        <v>328</v>
      </c>
      <c r="U187" s="1">
        <v>0</v>
      </c>
      <c r="V187" s="1">
        <v>0</v>
      </c>
      <c r="W187" s="1">
        <v>0</v>
      </c>
      <c r="X187" s="1">
        <v>0</v>
      </c>
      <c r="Y187" s="1">
        <v>0</v>
      </c>
      <c r="Z187" s="1">
        <v>0</v>
      </c>
      <c r="AA187" s="1">
        <v>0</v>
      </c>
      <c r="AB187" s="1">
        <v>0</v>
      </c>
      <c r="AC187" s="1">
        <v>4</v>
      </c>
      <c r="AD187" s="1">
        <v>0</v>
      </c>
      <c r="AE187" s="1">
        <v>3</v>
      </c>
      <c r="AF187" s="1">
        <v>2</v>
      </c>
      <c r="AG187" s="208" t="s">
        <v>747</v>
      </c>
      <c r="AH187" s="1">
        <v>2700</v>
      </c>
      <c r="AI187" s="1" t="s">
        <v>1843</v>
      </c>
      <c r="AJ187" s="1">
        <v>0</v>
      </c>
      <c r="AK187" s="1" t="s">
        <v>497</v>
      </c>
      <c r="AL187" s="1" t="s">
        <v>2336</v>
      </c>
      <c r="AM187" s="1">
        <v>0.45</v>
      </c>
      <c r="AN187" s="1">
        <v>0.15</v>
      </c>
      <c r="AO187" s="1">
        <v>0.3</v>
      </c>
      <c r="AP187" s="1">
        <v>0.15</v>
      </c>
      <c r="AQ187" s="1">
        <v>3</v>
      </c>
      <c r="AR187" s="1" t="s">
        <v>1561</v>
      </c>
      <c r="AS187" s="1">
        <v>0</v>
      </c>
      <c r="AT187" s="1" t="s">
        <v>2337</v>
      </c>
      <c r="AU187" s="1">
        <v>10</v>
      </c>
      <c r="AV187" s="1">
        <v>18055</v>
      </c>
      <c r="AW187" s="1">
        <v>0</v>
      </c>
      <c r="AX187" t="b">
        <v>0</v>
      </c>
    </row>
    <row r="188" spans="1:50" x14ac:dyDescent="0.3">
      <c r="A188" s="1">
        <v>189</v>
      </c>
      <c r="B188" s="1" t="s">
        <v>2338</v>
      </c>
      <c r="C188" s="1" t="s">
        <v>2339</v>
      </c>
      <c r="D188" s="1">
        <v>5</v>
      </c>
      <c r="E188" s="1">
        <v>1</v>
      </c>
      <c r="F188" s="1">
        <v>18</v>
      </c>
      <c r="G188" s="1" t="s">
        <v>335</v>
      </c>
      <c r="H188" s="1" t="s">
        <v>470</v>
      </c>
      <c r="I188" s="1" t="s">
        <v>328</v>
      </c>
      <c r="J188" s="1" t="s">
        <v>328</v>
      </c>
      <c r="K188" s="1" t="s">
        <v>328</v>
      </c>
      <c r="L188" s="1" t="s">
        <v>328</v>
      </c>
      <c r="M188" s="1" t="s">
        <v>397</v>
      </c>
      <c r="N188" s="1" t="s">
        <v>328</v>
      </c>
      <c r="O188" s="1" t="s">
        <v>328</v>
      </c>
      <c r="P188" s="1" t="s">
        <v>328</v>
      </c>
      <c r="Q188" s="1" t="s">
        <v>328</v>
      </c>
      <c r="R188" s="1" t="s">
        <v>328</v>
      </c>
      <c r="S188" s="1" t="s">
        <v>328</v>
      </c>
      <c r="T188" s="1" t="s">
        <v>328</v>
      </c>
      <c r="U188" s="1">
        <v>0</v>
      </c>
      <c r="V188" s="1">
        <v>0</v>
      </c>
      <c r="W188" s="1">
        <v>0</v>
      </c>
      <c r="X188" s="1">
        <v>0</v>
      </c>
      <c r="Y188" s="1">
        <v>0</v>
      </c>
      <c r="Z188" s="1">
        <v>0</v>
      </c>
      <c r="AA188" s="1">
        <v>0</v>
      </c>
      <c r="AB188" s="1">
        <v>0</v>
      </c>
      <c r="AC188" s="1">
        <v>4</v>
      </c>
      <c r="AD188" s="1">
        <v>0</v>
      </c>
      <c r="AE188" s="1">
        <v>3</v>
      </c>
      <c r="AF188" s="1">
        <v>2</v>
      </c>
      <c r="AG188" s="208" t="s">
        <v>748</v>
      </c>
      <c r="AH188" s="1">
        <v>2700</v>
      </c>
      <c r="AI188" s="1" t="s">
        <v>1843</v>
      </c>
      <c r="AJ188" s="1">
        <v>0</v>
      </c>
      <c r="AK188" s="1" t="s">
        <v>497</v>
      </c>
      <c r="AL188" s="1" t="s">
        <v>2340</v>
      </c>
      <c r="AM188" s="1">
        <v>0.45</v>
      </c>
      <c r="AN188" s="1">
        <v>0.15</v>
      </c>
      <c r="AO188" s="1">
        <v>0.3</v>
      </c>
      <c r="AP188" s="1">
        <v>0.15</v>
      </c>
      <c r="AQ188" s="1">
        <v>3</v>
      </c>
      <c r="AR188" s="1" t="s">
        <v>1561</v>
      </c>
      <c r="AS188" s="1">
        <v>0</v>
      </c>
      <c r="AT188" s="1" t="s">
        <v>2341</v>
      </c>
      <c r="AU188" s="1">
        <v>10</v>
      </c>
      <c r="AV188" s="1">
        <v>18056</v>
      </c>
      <c r="AW188" s="1">
        <v>0</v>
      </c>
      <c r="AX188" t="b">
        <v>0</v>
      </c>
    </row>
    <row r="189" spans="1:50" x14ac:dyDescent="0.3">
      <c r="A189" s="1">
        <v>190</v>
      </c>
      <c r="B189" s="1" t="s">
        <v>2342</v>
      </c>
      <c r="C189" s="1" t="s">
        <v>2343</v>
      </c>
      <c r="D189" s="1">
        <v>5</v>
      </c>
      <c r="E189" s="1">
        <v>3</v>
      </c>
      <c r="F189" s="1">
        <v>20</v>
      </c>
      <c r="G189" s="1" t="s">
        <v>391</v>
      </c>
      <c r="H189" s="1" t="s">
        <v>335</v>
      </c>
      <c r="I189" s="1" t="s">
        <v>328</v>
      </c>
      <c r="J189" s="1" t="s">
        <v>328</v>
      </c>
      <c r="K189" s="1" t="s">
        <v>328</v>
      </c>
      <c r="L189" s="1" t="s">
        <v>391</v>
      </c>
      <c r="M189" s="1" t="s">
        <v>328</v>
      </c>
      <c r="N189" s="1" t="s">
        <v>328</v>
      </c>
      <c r="O189" s="1" t="s">
        <v>328</v>
      </c>
      <c r="P189" s="1" t="s">
        <v>328</v>
      </c>
      <c r="Q189" s="1" t="s">
        <v>328</v>
      </c>
      <c r="R189" s="1" t="s">
        <v>328</v>
      </c>
      <c r="S189" s="1" t="s">
        <v>328</v>
      </c>
      <c r="T189" s="1" t="s">
        <v>328</v>
      </c>
      <c r="U189" s="1">
        <v>0</v>
      </c>
      <c r="V189" s="1">
        <v>0</v>
      </c>
      <c r="W189" s="1">
        <v>0</v>
      </c>
      <c r="X189" s="1">
        <v>0</v>
      </c>
      <c r="Y189" s="1">
        <v>0</v>
      </c>
      <c r="Z189" s="1">
        <v>0</v>
      </c>
      <c r="AA189" s="1">
        <v>0</v>
      </c>
      <c r="AB189" s="1">
        <v>0</v>
      </c>
      <c r="AC189" s="1">
        <v>4</v>
      </c>
      <c r="AD189" s="1">
        <v>2</v>
      </c>
      <c r="AE189" s="1">
        <v>0</v>
      </c>
      <c r="AF189" s="1">
        <v>4</v>
      </c>
      <c r="AG189" s="208" t="s">
        <v>1447</v>
      </c>
      <c r="AH189" s="1">
        <v>3120</v>
      </c>
      <c r="AI189" s="1" t="s">
        <v>2344</v>
      </c>
      <c r="AJ189" s="1">
        <v>0</v>
      </c>
      <c r="AK189" s="1" t="s">
        <v>501</v>
      </c>
      <c r="AL189" s="1" t="s">
        <v>2345</v>
      </c>
      <c r="AM189" s="1">
        <v>0.3</v>
      </c>
      <c r="AN189" s="1">
        <v>0.25</v>
      </c>
      <c r="AO189" s="1">
        <v>0.12</v>
      </c>
      <c r="AP189" s="1">
        <v>0.38</v>
      </c>
      <c r="AQ189" s="1">
        <v>3</v>
      </c>
      <c r="AR189" s="1" t="s">
        <v>1564</v>
      </c>
      <c r="AS189" s="1">
        <v>0</v>
      </c>
      <c r="AT189" s="1" t="s">
        <v>1806</v>
      </c>
      <c r="AU189" s="1">
        <v>10</v>
      </c>
      <c r="AV189" s="1">
        <v>20026</v>
      </c>
      <c r="AW189" s="1">
        <v>0</v>
      </c>
      <c r="AX189" t="b">
        <v>0</v>
      </c>
    </row>
    <row r="190" spans="1:50" x14ac:dyDescent="0.3">
      <c r="A190" s="1">
        <v>191</v>
      </c>
      <c r="B190" s="1" t="s">
        <v>2346</v>
      </c>
      <c r="C190" s="1" t="s">
        <v>2347</v>
      </c>
      <c r="D190" s="1">
        <v>5</v>
      </c>
      <c r="E190" s="1">
        <v>1</v>
      </c>
      <c r="F190" s="1">
        <v>18</v>
      </c>
      <c r="G190" s="1" t="s">
        <v>335</v>
      </c>
      <c r="H190" s="1" t="s">
        <v>328</v>
      </c>
      <c r="I190" s="1" t="s">
        <v>328</v>
      </c>
      <c r="J190" s="1" t="s">
        <v>328</v>
      </c>
      <c r="K190" s="1" t="s">
        <v>328</v>
      </c>
      <c r="L190" s="1" t="s">
        <v>328</v>
      </c>
      <c r="M190" s="1" t="s">
        <v>327</v>
      </c>
      <c r="N190" s="1" t="s">
        <v>328</v>
      </c>
      <c r="O190" s="1" t="s">
        <v>328</v>
      </c>
      <c r="P190" s="1" t="s">
        <v>328</v>
      </c>
      <c r="Q190" s="1" t="s">
        <v>328</v>
      </c>
      <c r="R190" s="1" t="s">
        <v>328</v>
      </c>
      <c r="S190" s="1" t="s">
        <v>328</v>
      </c>
      <c r="T190" s="1" t="s">
        <v>328</v>
      </c>
      <c r="U190" s="1">
        <v>0</v>
      </c>
      <c r="V190" s="1">
        <v>0</v>
      </c>
      <c r="W190" s="1">
        <v>0</v>
      </c>
      <c r="X190" s="1">
        <v>0</v>
      </c>
      <c r="Y190" s="1">
        <v>0</v>
      </c>
      <c r="Z190" s="1">
        <v>0</v>
      </c>
      <c r="AA190" s="1">
        <v>0</v>
      </c>
      <c r="AB190" s="1">
        <v>0</v>
      </c>
      <c r="AC190" s="1">
        <v>4</v>
      </c>
      <c r="AD190" s="1">
        <v>0</v>
      </c>
      <c r="AE190" s="1">
        <v>3</v>
      </c>
      <c r="AF190" s="1">
        <v>2</v>
      </c>
      <c r="AG190" s="208" t="s">
        <v>832</v>
      </c>
      <c r="AH190" s="1">
        <v>2700</v>
      </c>
      <c r="AI190" s="1" t="s">
        <v>2299</v>
      </c>
      <c r="AJ190" s="1">
        <v>0</v>
      </c>
      <c r="AK190" s="1" t="s">
        <v>502</v>
      </c>
      <c r="AL190" s="1" t="s">
        <v>2348</v>
      </c>
      <c r="AM190" s="1">
        <v>0.45</v>
      </c>
      <c r="AN190" s="1">
        <v>0.15</v>
      </c>
      <c r="AO190" s="1">
        <v>0.3</v>
      </c>
      <c r="AP190" s="1">
        <v>0.15</v>
      </c>
      <c r="AQ190" s="1">
        <v>3</v>
      </c>
      <c r="AR190" s="1" t="s">
        <v>1521</v>
      </c>
      <c r="AS190" s="1">
        <v>0</v>
      </c>
      <c r="AT190" s="1" t="s">
        <v>1806</v>
      </c>
      <c r="AU190" s="1">
        <v>10</v>
      </c>
      <c r="AV190" s="1">
        <v>18057</v>
      </c>
      <c r="AW190" s="1">
        <v>0</v>
      </c>
      <c r="AX190" t="b">
        <v>0</v>
      </c>
    </row>
    <row r="191" spans="1:50" x14ac:dyDescent="0.3">
      <c r="A191" s="1">
        <v>192</v>
      </c>
      <c r="B191" s="1" t="s">
        <v>2349</v>
      </c>
      <c r="C191" s="1" t="s">
        <v>2350</v>
      </c>
      <c r="D191" s="1">
        <v>5</v>
      </c>
      <c r="E191" s="1">
        <v>3</v>
      </c>
      <c r="F191" s="1">
        <v>20</v>
      </c>
      <c r="G191" s="1" t="s">
        <v>362</v>
      </c>
      <c r="H191" s="1" t="s">
        <v>328</v>
      </c>
      <c r="I191" s="1" t="s">
        <v>363</v>
      </c>
      <c r="J191" s="1" t="s">
        <v>328</v>
      </c>
      <c r="K191" s="1" t="s">
        <v>328</v>
      </c>
      <c r="L191" s="1" t="s">
        <v>328</v>
      </c>
      <c r="M191" s="1" t="s">
        <v>328</v>
      </c>
      <c r="N191" s="1" t="s">
        <v>328</v>
      </c>
      <c r="O191" s="1" t="s">
        <v>328</v>
      </c>
      <c r="P191" s="1" t="s">
        <v>328</v>
      </c>
      <c r="Q191" s="1" t="s">
        <v>328</v>
      </c>
      <c r="R191" s="1" t="s">
        <v>328</v>
      </c>
      <c r="S191" s="1" t="s">
        <v>328</v>
      </c>
      <c r="T191" s="1" t="s">
        <v>328</v>
      </c>
      <c r="U191" s="1">
        <v>0</v>
      </c>
      <c r="V191" s="1">
        <v>0</v>
      </c>
      <c r="W191" s="1">
        <v>0</v>
      </c>
      <c r="X191" s="1">
        <v>0</v>
      </c>
      <c r="Y191" s="1">
        <v>0</v>
      </c>
      <c r="Z191" s="1">
        <v>0</v>
      </c>
      <c r="AA191" s="1">
        <v>0</v>
      </c>
      <c r="AB191" s="1">
        <v>0</v>
      </c>
      <c r="AC191" s="1">
        <v>4</v>
      </c>
      <c r="AD191" s="1">
        <v>2</v>
      </c>
      <c r="AE191" s="1">
        <v>0</v>
      </c>
      <c r="AF191" s="1">
        <v>4</v>
      </c>
      <c r="AG191" s="208" t="s">
        <v>825</v>
      </c>
      <c r="AH191" s="1">
        <v>3120</v>
      </c>
      <c r="AI191" s="1" t="s">
        <v>1843</v>
      </c>
      <c r="AJ191" s="1">
        <v>0</v>
      </c>
      <c r="AK191" s="1" t="s">
        <v>503</v>
      </c>
      <c r="AL191" s="1" t="s">
        <v>2351</v>
      </c>
      <c r="AM191" s="1">
        <v>0.3</v>
      </c>
      <c r="AN191" s="1">
        <v>0.25</v>
      </c>
      <c r="AO191" s="1">
        <v>0.12</v>
      </c>
      <c r="AP191" s="1">
        <v>0.38</v>
      </c>
      <c r="AQ191" s="1">
        <v>3</v>
      </c>
      <c r="AR191" s="1" t="s">
        <v>1478</v>
      </c>
      <c r="AS191" s="1">
        <v>0</v>
      </c>
      <c r="AT191" s="1" t="s">
        <v>1806</v>
      </c>
      <c r="AU191" s="1">
        <v>10</v>
      </c>
      <c r="AV191" s="1">
        <v>20027</v>
      </c>
      <c r="AW191" s="1">
        <v>0</v>
      </c>
      <c r="AX191" t="b">
        <v>0</v>
      </c>
    </row>
    <row r="192" spans="1:50" x14ac:dyDescent="0.3">
      <c r="A192" s="1">
        <v>193</v>
      </c>
      <c r="B192" s="1" t="s">
        <v>2352</v>
      </c>
      <c r="C192" s="1" t="s">
        <v>2353</v>
      </c>
      <c r="D192" s="1">
        <v>5</v>
      </c>
      <c r="E192" s="1">
        <v>3</v>
      </c>
      <c r="F192" s="1">
        <v>20</v>
      </c>
      <c r="G192" s="1" t="s">
        <v>328</v>
      </c>
      <c r="H192" s="1" t="s">
        <v>328</v>
      </c>
      <c r="I192" s="1" t="s">
        <v>331</v>
      </c>
      <c r="J192" s="1" t="s">
        <v>328</v>
      </c>
      <c r="K192" s="1" t="s">
        <v>328</v>
      </c>
      <c r="L192" s="1" t="s">
        <v>328</v>
      </c>
      <c r="M192" s="1" t="s">
        <v>328</v>
      </c>
      <c r="N192" s="1" t="s">
        <v>328</v>
      </c>
      <c r="O192" s="1" t="s">
        <v>358</v>
      </c>
      <c r="P192" s="1" t="s">
        <v>328</v>
      </c>
      <c r="Q192" s="1" t="s">
        <v>328</v>
      </c>
      <c r="R192" s="1" t="s">
        <v>328</v>
      </c>
      <c r="S192" s="1" t="s">
        <v>328</v>
      </c>
      <c r="T192" s="1" t="s">
        <v>328</v>
      </c>
      <c r="U192" s="1">
        <v>0</v>
      </c>
      <c r="V192" s="1">
        <v>0</v>
      </c>
      <c r="W192" s="1">
        <v>0</v>
      </c>
      <c r="X192" s="1">
        <v>0</v>
      </c>
      <c r="Y192" s="1">
        <v>0</v>
      </c>
      <c r="Z192" s="1">
        <v>0</v>
      </c>
      <c r="AA192" s="1">
        <v>0</v>
      </c>
      <c r="AB192" s="1">
        <v>0</v>
      </c>
      <c r="AC192" s="1">
        <v>2</v>
      </c>
      <c r="AD192" s="1">
        <v>2</v>
      </c>
      <c r="AE192" s="1">
        <v>3</v>
      </c>
      <c r="AF192" s="1">
        <v>3</v>
      </c>
      <c r="AG192" s="208" t="s">
        <v>733</v>
      </c>
      <c r="AH192" s="1">
        <v>3060</v>
      </c>
      <c r="AI192" s="1" t="s">
        <v>1843</v>
      </c>
      <c r="AJ192" s="1">
        <v>0</v>
      </c>
      <c r="AK192" s="1" t="s">
        <v>504</v>
      </c>
      <c r="AL192" s="1" t="s">
        <v>2354</v>
      </c>
      <c r="AM192" s="1">
        <v>0.23</v>
      </c>
      <c r="AN192" s="1">
        <v>0.23</v>
      </c>
      <c r="AO192" s="1">
        <v>0.33</v>
      </c>
      <c r="AP192" s="1">
        <v>0.38</v>
      </c>
      <c r="AQ192" s="1">
        <v>3</v>
      </c>
      <c r="AR192" s="1" t="s">
        <v>1477</v>
      </c>
      <c r="AS192" s="1">
        <v>0</v>
      </c>
      <c r="AT192" s="1" t="s">
        <v>1806</v>
      </c>
      <c r="AU192" s="1">
        <v>10</v>
      </c>
      <c r="AV192" s="1">
        <v>20028</v>
      </c>
      <c r="AW192" s="1">
        <v>0</v>
      </c>
      <c r="AX192" t="b">
        <v>0</v>
      </c>
    </row>
    <row r="193" spans="1:50" x14ac:dyDescent="0.3">
      <c r="A193" s="1">
        <v>194</v>
      </c>
      <c r="B193" s="1" t="s">
        <v>2355</v>
      </c>
      <c r="C193" s="1" t="s">
        <v>2356</v>
      </c>
      <c r="D193" s="1">
        <v>5</v>
      </c>
      <c r="E193" s="1">
        <v>1</v>
      </c>
      <c r="F193" s="1">
        <v>18</v>
      </c>
      <c r="G193" s="1" t="s">
        <v>328</v>
      </c>
      <c r="H193" s="1" t="s">
        <v>328</v>
      </c>
      <c r="I193" s="1" t="s">
        <v>413</v>
      </c>
      <c r="J193" s="1" t="s">
        <v>328</v>
      </c>
      <c r="K193" s="1" t="s">
        <v>328</v>
      </c>
      <c r="L193" s="1" t="s">
        <v>328</v>
      </c>
      <c r="M193" s="1" t="s">
        <v>385</v>
      </c>
      <c r="N193" s="1" t="s">
        <v>328</v>
      </c>
      <c r="O193" s="1" t="s">
        <v>328</v>
      </c>
      <c r="P193" s="1" t="s">
        <v>328</v>
      </c>
      <c r="Q193" s="1" t="s">
        <v>328</v>
      </c>
      <c r="R193" s="1" t="s">
        <v>328</v>
      </c>
      <c r="S193" s="1" t="s">
        <v>328</v>
      </c>
      <c r="T193" s="1" t="s">
        <v>328</v>
      </c>
      <c r="U193" s="1">
        <v>0</v>
      </c>
      <c r="V193" s="1">
        <v>0</v>
      </c>
      <c r="W193" s="1">
        <v>0</v>
      </c>
      <c r="X193" s="1">
        <v>0</v>
      </c>
      <c r="Y193" s="1">
        <v>0</v>
      </c>
      <c r="Z193" s="1">
        <v>0</v>
      </c>
      <c r="AA193" s="1">
        <v>0</v>
      </c>
      <c r="AB193" s="1">
        <v>0</v>
      </c>
      <c r="AC193" s="1">
        <v>4</v>
      </c>
      <c r="AD193" s="1">
        <v>2</v>
      </c>
      <c r="AE193" s="1">
        <v>2</v>
      </c>
      <c r="AF193" s="1">
        <v>2</v>
      </c>
      <c r="AG193" s="208" t="s">
        <v>749</v>
      </c>
      <c r="AH193" s="1">
        <v>2820</v>
      </c>
      <c r="AI193" s="1" t="s">
        <v>1843</v>
      </c>
      <c r="AJ193" s="1">
        <v>0</v>
      </c>
      <c r="AK193" s="1" t="s">
        <v>505</v>
      </c>
      <c r="AL193" s="1" t="s">
        <v>2357</v>
      </c>
      <c r="AM193" s="1">
        <v>0.55000000000000004</v>
      </c>
      <c r="AN193" s="1">
        <v>0.23</v>
      </c>
      <c r="AO193" s="1">
        <v>0.23</v>
      </c>
      <c r="AP193" s="1">
        <v>0.23</v>
      </c>
      <c r="AQ193" s="1">
        <v>3</v>
      </c>
      <c r="AR193" s="1" t="s">
        <v>1559</v>
      </c>
      <c r="AS193" s="1">
        <v>0</v>
      </c>
      <c r="AT193" s="1" t="s">
        <v>1806</v>
      </c>
      <c r="AU193" s="1">
        <v>10</v>
      </c>
      <c r="AV193" s="1">
        <v>18058</v>
      </c>
      <c r="AW193" s="1">
        <v>0</v>
      </c>
      <c r="AX193" t="b">
        <v>0</v>
      </c>
    </row>
    <row r="194" spans="1:50" x14ac:dyDescent="0.3">
      <c r="A194" s="1">
        <v>195</v>
      </c>
      <c r="B194" s="1" t="s">
        <v>2358</v>
      </c>
      <c r="C194" s="1" t="s">
        <v>2359</v>
      </c>
      <c r="D194" s="1">
        <v>5</v>
      </c>
      <c r="E194" s="1">
        <v>2</v>
      </c>
      <c r="F194" s="1">
        <v>19</v>
      </c>
      <c r="G194" s="1" t="s">
        <v>402</v>
      </c>
      <c r="H194" s="1" t="s">
        <v>328</v>
      </c>
      <c r="I194" s="1" t="s">
        <v>328</v>
      </c>
      <c r="J194" s="1" t="s">
        <v>328</v>
      </c>
      <c r="K194" s="1" t="s">
        <v>328</v>
      </c>
      <c r="L194" s="1" t="s">
        <v>328</v>
      </c>
      <c r="M194" s="1" t="s">
        <v>328</v>
      </c>
      <c r="N194" s="1" t="s">
        <v>386</v>
      </c>
      <c r="O194" s="1" t="s">
        <v>328</v>
      </c>
      <c r="P194" s="1" t="s">
        <v>328</v>
      </c>
      <c r="Q194" s="1" t="s">
        <v>328</v>
      </c>
      <c r="R194" s="1" t="s">
        <v>328</v>
      </c>
      <c r="S194" s="1" t="s">
        <v>328</v>
      </c>
      <c r="T194" s="1" t="s">
        <v>328</v>
      </c>
      <c r="U194" s="1">
        <v>0</v>
      </c>
      <c r="V194" s="1">
        <v>0</v>
      </c>
      <c r="W194" s="1">
        <v>0</v>
      </c>
      <c r="X194" s="1">
        <v>0</v>
      </c>
      <c r="Y194" s="1">
        <v>0</v>
      </c>
      <c r="Z194" s="1">
        <v>0</v>
      </c>
      <c r="AA194" s="1">
        <v>0</v>
      </c>
      <c r="AB194" s="1">
        <v>0</v>
      </c>
      <c r="AC194" s="1">
        <v>4</v>
      </c>
      <c r="AD194" s="1">
        <v>4</v>
      </c>
      <c r="AE194" s="1">
        <v>0</v>
      </c>
      <c r="AF194" s="1">
        <v>2</v>
      </c>
      <c r="AG194" s="208" t="s">
        <v>74</v>
      </c>
      <c r="AH194" s="1">
        <v>3600</v>
      </c>
      <c r="AI194" s="1" t="s">
        <v>1947</v>
      </c>
      <c r="AJ194" s="1">
        <v>0</v>
      </c>
      <c r="AK194" s="1" t="s">
        <v>506</v>
      </c>
      <c r="AL194" s="1" t="s">
        <v>2360</v>
      </c>
      <c r="AM194" s="1">
        <v>0.48</v>
      </c>
      <c r="AN194" s="1">
        <v>0.48</v>
      </c>
      <c r="AO194" s="1">
        <v>0.08</v>
      </c>
      <c r="AP194" s="1">
        <v>0.25</v>
      </c>
      <c r="AQ194" s="1">
        <v>3</v>
      </c>
      <c r="AR194" s="1" t="s">
        <v>1473</v>
      </c>
      <c r="AS194" s="1">
        <v>0</v>
      </c>
      <c r="AT194" s="1" t="s">
        <v>1806</v>
      </c>
      <c r="AU194" s="1">
        <v>10</v>
      </c>
      <c r="AV194" s="1">
        <v>19020</v>
      </c>
      <c r="AW194" s="1">
        <v>0</v>
      </c>
      <c r="AX194" t="b">
        <v>0</v>
      </c>
    </row>
    <row r="195" spans="1:50" x14ac:dyDescent="0.3">
      <c r="A195" s="1">
        <v>196</v>
      </c>
      <c r="B195" s="1" t="s">
        <v>2361</v>
      </c>
      <c r="C195" s="1" t="s">
        <v>2362</v>
      </c>
      <c r="D195" s="1">
        <v>5</v>
      </c>
      <c r="E195" s="1">
        <v>1</v>
      </c>
      <c r="F195" s="1">
        <v>18</v>
      </c>
      <c r="G195" s="1" t="s">
        <v>331</v>
      </c>
      <c r="H195" s="1" t="s">
        <v>328</v>
      </c>
      <c r="I195" s="1" t="s">
        <v>341</v>
      </c>
      <c r="J195" s="1" t="s">
        <v>328</v>
      </c>
      <c r="K195" s="1" t="s">
        <v>328</v>
      </c>
      <c r="L195" s="1" t="s">
        <v>328</v>
      </c>
      <c r="M195" s="1" t="s">
        <v>328</v>
      </c>
      <c r="N195" s="1" t="s">
        <v>328</v>
      </c>
      <c r="O195" s="1" t="s">
        <v>328</v>
      </c>
      <c r="P195" s="1" t="s">
        <v>328</v>
      </c>
      <c r="Q195" s="1" t="s">
        <v>328</v>
      </c>
      <c r="R195" s="1" t="s">
        <v>328</v>
      </c>
      <c r="S195" s="1" t="s">
        <v>328</v>
      </c>
      <c r="T195" s="1" t="s">
        <v>328</v>
      </c>
      <c r="U195" s="1">
        <v>0</v>
      </c>
      <c r="V195" s="1">
        <v>0</v>
      </c>
      <c r="W195" s="1">
        <v>0</v>
      </c>
      <c r="X195" s="1">
        <v>0</v>
      </c>
      <c r="Y195" s="1">
        <v>0</v>
      </c>
      <c r="Z195" s="1">
        <v>0</v>
      </c>
      <c r="AA195" s="1">
        <v>0</v>
      </c>
      <c r="AB195" s="1">
        <v>0</v>
      </c>
      <c r="AC195" s="1">
        <v>4</v>
      </c>
      <c r="AD195" s="1">
        <v>2</v>
      </c>
      <c r="AE195" s="1">
        <v>2</v>
      </c>
      <c r="AF195" s="1">
        <v>2</v>
      </c>
      <c r="AG195" s="208" t="s">
        <v>116</v>
      </c>
      <c r="AH195" s="1">
        <v>2820</v>
      </c>
      <c r="AI195" s="1" t="s">
        <v>1843</v>
      </c>
      <c r="AJ195" s="1">
        <v>0</v>
      </c>
      <c r="AK195" s="1" t="s">
        <v>507</v>
      </c>
      <c r="AL195" s="1" t="s">
        <v>2363</v>
      </c>
      <c r="AM195" s="1">
        <v>0.55000000000000004</v>
      </c>
      <c r="AN195" s="1">
        <v>0.23</v>
      </c>
      <c r="AO195" s="1">
        <v>0.23</v>
      </c>
      <c r="AP195" s="1">
        <v>0.23</v>
      </c>
      <c r="AQ195" s="1">
        <v>3</v>
      </c>
      <c r="AR195" s="1" t="s">
        <v>1565</v>
      </c>
      <c r="AS195" s="1">
        <v>0</v>
      </c>
      <c r="AT195" s="1" t="s">
        <v>1806</v>
      </c>
      <c r="AU195" s="1">
        <v>10</v>
      </c>
      <c r="AV195" s="1">
        <v>18059</v>
      </c>
      <c r="AW195" s="1">
        <v>0</v>
      </c>
      <c r="AX195" t="b">
        <v>0</v>
      </c>
    </row>
    <row r="196" spans="1:50" x14ac:dyDescent="0.3">
      <c r="A196" s="1">
        <v>197</v>
      </c>
      <c r="B196" s="1" t="s">
        <v>2364</v>
      </c>
      <c r="C196" s="1" t="s">
        <v>2365</v>
      </c>
      <c r="D196" s="1">
        <v>5</v>
      </c>
      <c r="E196" s="1">
        <v>3</v>
      </c>
      <c r="F196" s="1">
        <v>20</v>
      </c>
      <c r="G196" s="1" t="s">
        <v>434</v>
      </c>
      <c r="H196" s="1" t="s">
        <v>328</v>
      </c>
      <c r="I196" s="1" t="s">
        <v>396</v>
      </c>
      <c r="J196" s="1" t="s">
        <v>328</v>
      </c>
      <c r="K196" s="1" t="s">
        <v>328</v>
      </c>
      <c r="L196" s="1" t="s">
        <v>328</v>
      </c>
      <c r="M196" s="1" t="s">
        <v>328</v>
      </c>
      <c r="N196" s="1" t="s">
        <v>328</v>
      </c>
      <c r="O196" s="1" t="s">
        <v>328</v>
      </c>
      <c r="P196" s="1" t="s">
        <v>328</v>
      </c>
      <c r="Q196" s="1" t="s">
        <v>328</v>
      </c>
      <c r="R196" s="1" t="s">
        <v>328</v>
      </c>
      <c r="S196" s="1" t="s">
        <v>328</v>
      </c>
      <c r="T196" s="1" t="s">
        <v>328</v>
      </c>
      <c r="U196" s="1">
        <v>0</v>
      </c>
      <c r="V196" s="1">
        <v>0</v>
      </c>
      <c r="W196" s="1">
        <v>0</v>
      </c>
      <c r="X196" s="1">
        <v>0</v>
      </c>
      <c r="Y196" s="1">
        <v>0</v>
      </c>
      <c r="Z196" s="1">
        <v>0</v>
      </c>
      <c r="AA196" s="1">
        <v>0</v>
      </c>
      <c r="AB196" s="1">
        <v>0</v>
      </c>
      <c r="AC196" s="1">
        <v>4</v>
      </c>
      <c r="AD196" s="1">
        <v>2</v>
      </c>
      <c r="AE196" s="1">
        <v>0</v>
      </c>
      <c r="AF196" s="1">
        <v>4</v>
      </c>
      <c r="AG196" s="208" t="s">
        <v>127</v>
      </c>
      <c r="AH196" s="1">
        <v>3120</v>
      </c>
      <c r="AI196" s="1" t="s">
        <v>1843</v>
      </c>
      <c r="AJ196" s="1">
        <v>0</v>
      </c>
      <c r="AK196" s="1" t="s">
        <v>508</v>
      </c>
      <c r="AL196" s="1" t="s">
        <v>2366</v>
      </c>
      <c r="AM196" s="1">
        <v>0.3</v>
      </c>
      <c r="AN196" s="1">
        <v>0.25</v>
      </c>
      <c r="AO196" s="1">
        <v>0.12</v>
      </c>
      <c r="AP196" s="1">
        <v>0.38</v>
      </c>
      <c r="AQ196" s="1">
        <v>3</v>
      </c>
      <c r="AR196" s="1" t="s">
        <v>1479</v>
      </c>
      <c r="AS196" s="1">
        <v>0</v>
      </c>
      <c r="AT196" s="1" t="s">
        <v>1806</v>
      </c>
      <c r="AU196" s="1">
        <v>10</v>
      </c>
      <c r="AV196" s="1">
        <v>20029</v>
      </c>
      <c r="AW196" s="1">
        <v>0</v>
      </c>
      <c r="AX196" t="b">
        <v>0</v>
      </c>
    </row>
    <row r="197" spans="1:50" x14ac:dyDescent="0.3">
      <c r="A197" s="1">
        <v>198</v>
      </c>
      <c r="B197" s="1" t="s">
        <v>2367</v>
      </c>
      <c r="C197" s="1" t="s">
        <v>2368</v>
      </c>
      <c r="D197" s="1">
        <v>5</v>
      </c>
      <c r="E197" s="1">
        <v>1</v>
      </c>
      <c r="F197" s="1">
        <v>18</v>
      </c>
      <c r="G197" s="1" t="s">
        <v>328</v>
      </c>
      <c r="H197" s="1" t="s">
        <v>328</v>
      </c>
      <c r="I197" s="1" t="s">
        <v>341</v>
      </c>
      <c r="J197" s="1" t="s">
        <v>328</v>
      </c>
      <c r="K197" s="1" t="s">
        <v>328</v>
      </c>
      <c r="L197" s="1" t="s">
        <v>328</v>
      </c>
      <c r="M197" s="1" t="s">
        <v>488</v>
      </c>
      <c r="N197" s="1" t="s">
        <v>328</v>
      </c>
      <c r="O197" s="1" t="s">
        <v>328</v>
      </c>
      <c r="P197" s="1" t="s">
        <v>328</v>
      </c>
      <c r="Q197" s="1" t="s">
        <v>328</v>
      </c>
      <c r="R197" s="1" t="s">
        <v>328</v>
      </c>
      <c r="S197" s="1" t="s">
        <v>328</v>
      </c>
      <c r="T197" s="1" t="s">
        <v>328</v>
      </c>
      <c r="U197" s="1">
        <v>0</v>
      </c>
      <c r="V197" s="1">
        <v>0</v>
      </c>
      <c r="W197" s="1">
        <v>0</v>
      </c>
      <c r="X197" s="1">
        <v>0</v>
      </c>
      <c r="Y197" s="1">
        <v>0</v>
      </c>
      <c r="Z197" s="1">
        <v>0</v>
      </c>
      <c r="AA197" s="1">
        <v>0</v>
      </c>
      <c r="AB197" s="1">
        <v>0</v>
      </c>
      <c r="AC197" s="1">
        <v>4</v>
      </c>
      <c r="AD197" s="1">
        <v>2</v>
      </c>
      <c r="AE197" s="1">
        <v>2</v>
      </c>
      <c r="AF197" s="1">
        <v>2</v>
      </c>
      <c r="AG197" s="208" t="s">
        <v>131</v>
      </c>
      <c r="AH197" s="1">
        <v>2820</v>
      </c>
      <c r="AI197" s="1" t="s">
        <v>1843</v>
      </c>
      <c r="AJ197" s="1">
        <v>0</v>
      </c>
      <c r="AK197" s="1" t="s">
        <v>509</v>
      </c>
      <c r="AL197" s="1" t="s">
        <v>2369</v>
      </c>
      <c r="AM197" s="1">
        <v>0.55000000000000004</v>
      </c>
      <c r="AN197" s="1">
        <v>0.23</v>
      </c>
      <c r="AO197" s="1">
        <v>0.23</v>
      </c>
      <c r="AP197" s="1">
        <v>0.23</v>
      </c>
      <c r="AQ197" s="1">
        <v>3</v>
      </c>
      <c r="AR197" s="1" t="s">
        <v>1566</v>
      </c>
      <c r="AS197" s="1">
        <v>0</v>
      </c>
      <c r="AT197" s="1" t="s">
        <v>1806</v>
      </c>
      <c r="AU197" s="1">
        <v>10</v>
      </c>
      <c r="AV197" s="1">
        <v>18060</v>
      </c>
      <c r="AW197" s="1">
        <v>0</v>
      </c>
      <c r="AX197" t="b">
        <v>0</v>
      </c>
    </row>
    <row r="198" spans="1:50" x14ac:dyDescent="0.3">
      <c r="A198" s="1">
        <v>199</v>
      </c>
      <c r="B198" s="1" t="s">
        <v>2370</v>
      </c>
      <c r="C198" s="1" t="s">
        <v>2371</v>
      </c>
      <c r="D198" s="1">
        <v>5</v>
      </c>
      <c r="E198" s="1">
        <v>1</v>
      </c>
      <c r="F198" s="1">
        <v>18</v>
      </c>
      <c r="G198" s="1" t="s">
        <v>328</v>
      </c>
      <c r="H198" s="1" t="s">
        <v>328</v>
      </c>
      <c r="I198" s="1" t="s">
        <v>390</v>
      </c>
      <c r="J198" s="1" t="s">
        <v>328</v>
      </c>
      <c r="K198" s="1" t="s">
        <v>328</v>
      </c>
      <c r="L198" s="1" t="s">
        <v>328</v>
      </c>
      <c r="M198" s="1" t="s">
        <v>392</v>
      </c>
      <c r="N198" s="1" t="s">
        <v>328</v>
      </c>
      <c r="O198" s="1" t="s">
        <v>328</v>
      </c>
      <c r="P198" s="1" t="s">
        <v>328</v>
      </c>
      <c r="Q198" s="1" t="s">
        <v>328</v>
      </c>
      <c r="R198" s="1" t="s">
        <v>328</v>
      </c>
      <c r="S198" s="1" t="s">
        <v>328</v>
      </c>
      <c r="T198" s="1" t="s">
        <v>328</v>
      </c>
      <c r="U198" s="1">
        <v>0</v>
      </c>
      <c r="V198" s="1">
        <v>0</v>
      </c>
      <c r="W198" s="1">
        <v>0</v>
      </c>
      <c r="X198" s="1">
        <v>0</v>
      </c>
      <c r="Y198" s="1">
        <v>0</v>
      </c>
      <c r="Z198" s="1">
        <v>0</v>
      </c>
      <c r="AA198" s="1">
        <v>0</v>
      </c>
      <c r="AB198" s="1">
        <v>0</v>
      </c>
      <c r="AC198" s="1">
        <v>4</v>
      </c>
      <c r="AD198" s="1">
        <v>2</v>
      </c>
      <c r="AE198" s="1">
        <v>2</v>
      </c>
      <c r="AF198" s="1">
        <v>2</v>
      </c>
      <c r="AG198" s="208" t="s">
        <v>917</v>
      </c>
      <c r="AH198" s="1">
        <v>2820</v>
      </c>
      <c r="AI198" s="1" t="s">
        <v>2372</v>
      </c>
      <c r="AJ198" s="1">
        <v>0</v>
      </c>
      <c r="AK198" s="1" t="s">
        <v>510</v>
      </c>
      <c r="AL198" s="1" t="s">
        <v>2373</v>
      </c>
      <c r="AM198" s="1">
        <v>0.55000000000000004</v>
      </c>
      <c r="AN198" s="1">
        <v>0.23</v>
      </c>
      <c r="AO198" s="1">
        <v>0.23</v>
      </c>
      <c r="AP198" s="1">
        <v>0.23</v>
      </c>
      <c r="AQ198" s="1">
        <v>1</v>
      </c>
      <c r="AR198" s="1" t="s">
        <v>1486</v>
      </c>
      <c r="AS198" s="1">
        <v>0</v>
      </c>
      <c r="AT198" s="1" t="s">
        <v>2374</v>
      </c>
      <c r="AU198" s="1">
        <v>10</v>
      </c>
      <c r="AV198" s="1">
        <v>18061</v>
      </c>
      <c r="AW198" s="1">
        <v>1</v>
      </c>
      <c r="AX198" t="b">
        <v>0</v>
      </c>
    </row>
    <row r="199" spans="1:50" x14ac:dyDescent="0.3">
      <c r="A199" s="1">
        <v>200</v>
      </c>
      <c r="B199" s="1" t="s">
        <v>2375</v>
      </c>
      <c r="C199" s="1" t="s">
        <v>2376</v>
      </c>
      <c r="D199" s="1">
        <v>5</v>
      </c>
      <c r="E199" s="1">
        <v>2</v>
      </c>
      <c r="F199" s="1">
        <v>19</v>
      </c>
      <c r="G199" s="1" t="s">
        <v>391</v>
      </c>
      <c r="H199" s="1" t="s">
        <v>328</v>
      </c>
      <c r="I199" s="1" t="s">
        <v>328</v>
      </c>
      <c r="J199" s="1" t="s">
        <v>328</v>
      </c>
      <c r="K199" s="1" t="s">
        <v>328</v>
      </c>
      <c r="L199" s="1" t="s">
        <v>328</v>
      </c>
      <c r="M199" s="1" t="s">
        <v>328</v>
      </c>
      <c r="N199" s="1" t="s">
        <v>410</v>
      </c>
      <c r="O199" s="1" t="s">
        <v>328</v>
      </c>
      <c r="P199" s="1" t="s">
        <v>328</v>
      </c>
      <c r="Q199" s="1" t="s">
        <v>328</v>
      </c>
      <c r="R199" s="1" t="s">
        <v>328</v>
      </c>
      <c r="S199" s="1" t="s">
        <v>328</v>
      </c>
      <c r="T199" s="1" t="s">
        <v>328</v>
      </c>
      <c r="U199" s="1">
        <v>0</v>
      </c>
      <c r="V199" s="1">
        <v>0</v>
      </c>
      <c r="W199" s="1">
        <v>0</v>
      </c>
      <c r="X199" s="1">
        <v>0</v>
      </c>
      <c r="Y199" s="1">
        <v>0</v>
      </c>
      <c r="Z199" s="1">
        <v>0</v>
      </c>
      <c r="AA199" s="1">
        <v>0</v>
      </c>
      <c r="AB199" s="1">
        <v>0</v>
      </c>
      <c r="AC199" s="1">
        <v>4</v>
      </c>
      <c r="AD199" s="1">
        <v>4</v>
      </c>
      <c r="AE199" s="1">
        <v>0</v>
      </c>
      <c r="AF199" s="1">
        <v>2</v>
      </c>
      <c r="AG199" s="208" t="s">
        <v>915</v>
      </c>
      <c r="AH199" s="1">
        <v>3180</v>
      </c>
      <c r="AI199" s="1" t="s">
        <v>2377</v>
      </c>
      <c r="AJ199" s="1">
        <v>0</v>
      </c>
      <c r="AK199" s="1" t="s">
        <v>510</v>
      </c>
      <c r="AL199" s="1" t="s">
        <v>2378</v>
      </c>
      <c r="AM199" s="1">
        <v>0.48</v>
      </c>
      <c r="AN199" s="1">
        <v>0.48</v>
      </c>
      <c r="AO199" s="1">
        <v>0.08</v>
      </c>
      <c r="AP199" s="1">
        <v>0.25</v>
      </c>
      <c r="AQ199" s="1">
        <v>1</v>
      </c>
      <c r="AR199" s="1" t="s">
        <v>1489</v>
      </c>
      <c r="AS199" s="1">
        <v>0</v>
      </c>
      <c r="AT199" s="1" t="s">
        <v>2379</v>
      </c>
      <c r="AU199" s="1">
        <v>10</v>
      </c>
      <c r="AV199" s="1">
        <v>19021</v>
      </c>
      <c r="AW199" s="1">
        <v>1</v>
      </c>
      <c r="AX199" t="b">
        <v>0</v>
      </c>
    </row>
    <row r="200" spans="1:50" x14ac:dyDescent="0.3">
      <c r="A200" s="1">
        <v>201</v>
      </c>
      <c r="B200" s="1" t="s">
        <v>2380</v>
      </c>
      <c r="C200" s="1" t="s">
        <v>2381</v>
      </c>
      <c r="D200" s="1">
        <v>5</v>
      </c>
      <c r="E200" s="1">
        <v>3</v>
      </c>
      <c r="F200" s="1">
        <v>20</v>
      </c>
      <c r="G200" s="1" t="s">
        <v>434</v>
      </c>
      <c r="H200" s="1" t="s">
        <v>328</v>
      </c>
      <c r="I200" s="1" t="s">
        <v>396</v>
      </c>
      <c r="J200" s="1" t="s">
        <v>328</v>
      </c>
      <c r="K200" s="1" t="s">
        <v>328</v>
      </c>
      <c r="L200" s="1" t="s">
        <v>328</v>
      </c>
      <c r="M200" s="1" t="s">
        <v>328</v>
      </c>
      <c r="N200" s="1" t="s">
        <v>328</v>
      </c>
      <c r="O200" s="1" t="s">
        <v>328</v>
      </c>
      <c r="P200" s="1" t="s">
        <v>328</v>
      </c>
      <c r="Q200" s="1" t="s">
        <v>328</v>
      </c>
      <c r="R200" s="1" t="s">
        <v>328</v>
      </c>
      <c r="S200" s="1" t="s">
        <v>328</v>
      </c>
      <c r="T200" s="1" t="s">
        <v>328</v>
      </c>
      <c r="U200" s="1">
        <v>0</v>
      </c>
      <c r="V200" s="1">
        <v>0</v>
      </c>
      <c r="W200" s="1">
        <v>0</v>
      </c>
      <c r="X200" s="1">
        <v>0</v>
      </c>
      <c r="Y200" s="1">
        <v>0</v>
      </c>
      <c r="Z200" s="1">
        <v>0</v>
      </c>
      <c r="AA200" s="1">
        <v>0</v>
      </c>
      <c r="AB200" s="1">
        <v>0</v>
      </c>
      <c r="AC200" s="1">
        <v>4</v>
      </c>
      <c r="AD200" s="1">
        <v>2</v>
      </c>
      <c r="AE200" s="1">
        <v>0</v>
      </c>
      <c r="AF200" s="1">
        <v>4</v>
      </c>
      <c r="AG200" s="208" t="s">
        <v>916</v>
      </c>
      <c r="AH200" s="1">
        <v>3120</v>
      </c>
      <c r="AI200" s="1" t="s">
        <v>2377</v>
      </c>
      <c r="AJ200" s="1">
        <v>0</v>
      </c>
      <c r="AK200" s="1" t="s">
        <v>510</v>
      </c>
      <c r="AL200" s="1" t="s">
        <v>2382</v>
      </c>
      <c r="AM200" s="1">
        <v>0.3</v>
      </c>
      <c r="AN200" s="1">
        <v>0.23</v>
      </c>
      <c r="AO200" s="1">
        <v>0.15</v>
      </c>
      <c r="AP200" s="1">
        <v>0.38</v>
      </c>
      <c r="AQ200" s="1">
        <v>1</v>
      </c>
      <c r="AR200" s="1" t="s">
        <v>1476</v>
      </c>
      <c r="AS200" s="1">
        <v>0</v>
      </c>
      <c r="AT200" s="1" t="s">
        <v>2383</v>
      </c>
      <c r="AU200" s="1">
        <v>10</v>
      </c>
      <c r="AV200" s="1">
        <v>20030</v>
      </c>
      <c r="AW200" s="1">
        <v>1</v>
      </c>
      <c r="AX200" t="b">
        <v>0</v>
      </c>
    </row>
    <row r="201" spans="1:50" x14ac:dyDescent="0.3">
      <c r="A201" s="1">
        <v>202</v>
      </c>
      <c r="B201" s="1" t="s">
        <v>2384</v>
      </c>
      <c r="C201" s="1" t="s">
        <v>2385</v>
      </c>
      <c r="D201" s="1">
        <v>5</v>
      </c>
      <c r="E201" s="1">
        <v>1</v>
      </c>
      <c r="F201" s="1">
        <v>18</v>
      </c>
      <c r="G201" s="1" t="s">
        <v>328</v>
      </c>
      <c r="H201" s="1" t="s">
        <v>328</v>
      </c>
      <c r="I201" s="1" t="s">
        <v>328</v>
      </c>
      <c r="J201" s="1" t="s">
        <v>328</v>
      </c>
      <c r="K201" s="1" t="s">
        <v>328</v>
      </c>
      <c r="L201" s="1" t="s">
        <v>328</v>
      </c>
      <c r="M201" s="1" t="s">
        <v>419</v>
      </c>
      <c r="N201" s="1" t="s">
        <v>328</v>
      </c>
      <c r="O201" s="1" t="s">
        <v>328</v>
      </c>
      <c r="P201" s="1" t="s">
        <v>328</v>
      </c>
      <c r="Q201" s="1" t="s">
        <v>328</v>
      </c>
      <c r="R201" s="1" t="s">
        <v>328</v>
      </c>
      <c r="S201" s="1" t="s">
        <v>328</v>
      </c>
      <c r="T201" s="1" t="s">
        <v>328</v>
      </c>
      <c r="U201" s="1">
        <v>0</v>
      </c>
      <c r="V201" s="1">
        <v>0</v>
      </c>
      <c r="W201" s="1">
        <v>0</v>
      </c>
      <c r="X201" s="1">
        <v>0</v>
      </c>
      <c r="Y201" s="1">
        <v>0</v>
      </c>
      <c r="Z201" s="1">
        <v>0</v>
      </c>
      <c r="AA201" s="1">
        <v>0</v>
      </c>
      <c r="AB201" s="1">
        <v>0</v>
      </c>
      <c r="AC201" s="1">
        <v>4</v>
      </c>
      <c r="AD201" s="1">
        <v>0</v>
      </c>
      <c r="AE201" s="1">
        <v>3</v>
      </c>
      <c r="AF201" s="1">
        <v>2</v>
      </c>
      <c r="AG201" s="208" t="s">
        <v>918</v>
      </c>
      <c r="AH201" s="1">
        <v>3600</v>
      </c>
      <c r="AI201" s="1" t="s">
        <v>2386</v>
      </c>
      <c r="AJ201" s="1">
        <v>0</v>
      </c>
      <c r="AK201" s="1" t="s">
        <v>511</v>
      </c>
      <c r="AL201" s="1" t="s">
        <v>2387</v>
      </c>
      <c r="AM201" s="1">
        <v>0.45</v>
      </c>
      <c r="AN201" s="1">
        <v>0.15</v>
      </c>
      <c r="AO201" s="1">
        <v>0.3</v>
      </c>
      <c r="AP201" s="1">
        <v>0.15</v>
      </c>
      <c r="AQ201" s="1">
        <v>1</v>
      </c>
      <c r="AR201" s="1" t="s">
        <v>1467</v>
      </c>
      <c r="AS201" s="1">
        <v>0</v>
      </c>
      <c r="AT201" s="1" t="s">
        <v>2388</v>
      </c>
      <c r="AU201" s="1">
        <v>10</v>
      </c>
      <c r="AV201" s="1">
        <v>18062</v>
      </c>
      <c r="AW201" s="1">
        <v>2</v>
      </c>
      <c r="AX201" t="b">
        <v>0</v>
      </c>
    </row>
    <row r="202" spans="1:50" x14ac:dyDescent="0.3">
      <c r="A202" s="1">
        <v>203</v>
      </c>
      <c r="B202" s="1" t="s">
        <v>2389</v>
      </c>
      <c r="C202" s="1" t="s">
        <v>2390</v>
      </c>
      <c r="D202" s="1">
        <v>5</v>
      </c>
      <c r="E202" s="1">
        <v>2</v>
      </c>
      <c r="F202" s="1">
        <v>19</v>
      </c>
      <c r="G202" s="1" t="s">
        <v>425</v>
      </c>
      <c r="H202" s="1" t="s">
        <v>328</v>
      </c>
      <c r="I202" s="1" t="s">
        <v>328</v>
      </c>
      <c r="J202" s="1" t="s">
        <v>328</v>
      </c>
      <c r="K202" s="1" t="s">
        <v>328</v>
      </c>
      <c r="L202" s="1" t="s">
        <v>328</v>
      </c>
      <c r="M202" s="1" t="s">
        <v>328</v>
      </c>
      <c r="N202" s="1" t="s">
        <v>328</v>
      </c>
      <c r="O202" s="1" t="s">
        <v>328</v>
      </c>
      <c r="P202" s="1" t="s">
        <v>328</v>
      </c>
      <c r="Q202" s="1" t="s">
        <v>328</v>
      </c>
      <c r="R202" s="1" t="s">
        <v>328</v>
      </c>
      <c r="S202" s="1" t="s">
        <v>328</v>
      </c>
      <c r="T202" s="1" t="s">
        <v>328</v>
      </c>
      <c r="U202" s="1">
        <v>0</v>
      </c>
      <c r="V202" s="1">
        <v>0</v>
      </c>
      <c r="W202" s="1">
        <v>0</v>
      </c>
      <c r="X202" s="1">
        <v>0</v>
      </c>
      <c r="Y202" s="1">
        <v>0</v>
      </c>
      <c r="Z202" s="1">
        <v>0</v>
      </c>
      <c r="AA202" s="1">
        <v>0</v>
      </c>
      <c r="AB202" s="1">
        <v>0</v>
      </c>
      <c r="AC202" s="1">
        <v>0</v>
      </c>
      <c r="AD202" s="1">
        <v>5</v>
      </c>
      <c r="AE202" s="1">
        <v>3</v>
      </c>
      <c r="AF202" s="1">
        <v>2</v>
      </c>
      <c r="AG202" s="208" t="s">
        <v>919</v>
      </c>
      <c r="AH202" s="1">
        <v>3480</v>
      </c>
      <c r="AI202" s="1" t="s">
        <v>2377</v>
      </c>
      <c r="AJ202" s="1">
        <v>0</v>
      </c>
      <c r="AK202" s="1" t="s">
        <v>511</v>
      </c>
      <c r="AL202" s="1" t="s">
        <v>2391</v>
      </c>
      <c r="AM202" s="1">
        <v>0.15</v>
      </c>
      <c r="AN202" s="1">
        <v>0.6</v>
      </c>
      <c r="AO202" s="1">
        <v>0.38</v>
      </c>
      <c r="AP202" s="1">
        <v>0.23</v>
      </c>
      <c r="AQ202" s="1">
        <v>1</v>
      </c>
      <c r="AR202" s="1" t="s">
        <v>1475</v>
      </c>
      <c r="AS202" s="1">
        <v>0</v>
      </c>
      <c r="AT202" s="1" t="s">
        <v>2392</v>
      </c>
      <c r="AU202" s="1">
        <v>10</v>
      </c>
      <c r="AV202" s="1">
        <v>19022</v>
      </c>
      <c r="AW202" s="1">
        <v>2</v>
      </c>
      <c r="AX202" t="b">
        <v>0</v>
      </c>
    </row>
    <row r="203" spans="1:50" x14ac:dyDescent="0.3">
      <c r="A203" s="1">
        <v>204</v>
      </c>
      <c r="B203" s="1" t="s">
        <v>2393</v>
      </c>
      <c r="C203" s="1" t="s">
        <v>2394</v>
      </c>
      <c r="D203" s="1">
        <v>5</v>
      </c>
      <c r="E203" s="1">
        <v>3</v>
      </c>
      <c r="F203" s="1">
        <v>20</v>
      </c>
      <c r="G203" s="1" t="s">
        <v>328</v>
      </c>
      <c r="H203" s="1" t="s">
        <v>328</v>
      </c>
      <c r="I203" s="1" t="s">
        <v>425</v>
      </c>
      <c r="J203" s="1" t="s">
        <v>328</v>
      </c>
      <c r="K203" s="1" t="s">
        <v>328</v>
      </c>
      <c r="L203" s="1" t="s">
        <v>328</v>
      </c>
      <c r="M203" s="1" t="s">
        <v>328</v>
      </c>
      <c r="N203" s="1" t="s">
        <v>328</v>
      </c>
      <c r="O203" s="1" t="s">
        <v>328</v>
      </c>
      <c r="P203" s="1" t="s">
        <v>328</v>
      </c>
      <c r="Q203" s="1" t="s">
        <v>328</v>
      </c>
      <c r="R203" s="1" t="s">
        <v>328</v>
      </c>
      <c r="S203" s="1" t="s">
        <v>328</v>
      </c>
      <c r="T203" s="1" t="s">
        <v>328</v>
      </c>
      <c r="U203" s="1">
        <v>0</v>
      </c>
      <c r="V203" s="1">
        <v>0</v>
      </c>
      <c r="W203" s="1">
        <v>0</v>
      </c>
      <c r="X203" s="1">
        <v>0</v>
      </c>
      <c r="Y203" s="1">
        <v>0</v>
      </c>
      <c r="Z203" s="1">
        <v>0</v>
      </c>
      <c r="AA203" s="1">
        <v>0</v>
      </c>
      <c r="AB203" s="1">
        <v>0</v>
      </c>
      <c r="AC203" s="1">
        <v>4</v>
      </c>
      <c r="AD203" s="1">
        <v>2</v>
      </c>
      <c r="AE203" s="1">
        <v>0</v>
      </c>
      <c r="AF203" s="1">
        <v>4</v>
      </c>
      <c r="AG203" s="208" t="s">
        <v>920</v>
      </c>
      <c r="AH203" s="1">
        <v>3120</v>
      </c>
      <c r="AI203" s="1" t="s">
        <v>2377</v>
      </c>
      <c r="AJ203" s="1">
        <v>0</v>
      </c>
      <c r="AK203" s="1" t="s">
        <v>511</v>
      </c>
      <c r="AL203" s="1" t="s">
        <v>2395</v>
      </c>
      <c r="AM203" s="1">
        <v>0.3</v>
      </c>
      <c r="AN203" s="1">
        <v>0.25</v>
      </c>
      <c r="AO203" s="1">
        <v>0.12</v>
      </c>
      <c r="AP203" s="1">
        <v>0.38</v>
      </c>
      <c r="AQ203" s="1">
        <v>1</v>
      </c>
      <c r="AR203" s="1" t="s">
        <v>1480</v>
      </c>
      <c r="AS203" s="1">
        <v>0</v>
      </c>
      <c r="AT203" s="1" t="s">
        <v>2396</v>
      </c>
      <c r="AU203" s="1">
        <v>10</v>
      </c>
      <c r="AV203" s="1">
        <v>20031</v>
      </c>
      <c r="AW203" s="1">
        <v>2</v>
      </c>
      <c r="AX203" t="b">
        <v>0</v>
      </c>
    </row>
    <row r="204" spans="1:50" x14ac:dyDescent="0.3">
      <c r="A204" s="1">
        <v>205</v>
      </c>
      <c r="B204" s="1" t="s">
        <v>2397</v>
      </c>
      <c r="C204" s="1" t="s">
        <v>2398</v>
      </c>
      <c r="D204" s="1">
        <v>5</v>
      </c>
      <c r="E204" s="1">
        <v>3</v>
      </c>
      <c r="F204" s="1">
        <v>20</v>
      </c>
      <c r="G204" s="1" t="s">
        <v>391</v>
      </c>
      <c r="H204" s="1" t="s">
        <v>335</v>
      </c>
      <c r="I204" s="1" t="s">
        <v>369</v>
      </c>
      <c r="J204" s="1" t="s">
        <v>328</v>
      </c>
      <c r="K204" s="1" t="s">
        <v>328</v>
      </c>
      <c r="L204" s="1" t="s">
        <v>328</v>
      </c>
      <c r="M204" s="1" t="s">
        <v>328</v>
      </c>
      <c r="N204" s="1" t="s">
        <v>328</v>
      </c>
      <c r="O204" s="1" t="s">
        <v>328</v>
      </c>
      <c r="P204" s="1" t="s">
        <v>328</v>
      </c>
      <c r="Q204" s="1" t="s">
        <v>328</v>
      </c>
      <c r="R204" s="1" t="s">
        <v>328</v>
      </c>
      <c r="S204" s="1" t="s">
        <v>328</v>
      </c>
      <c r="T204" s="1" t="s">
        <v>328</v>
      </c>
      <c r="U204" s="1">
        <v>0</v>
      </c>
      <c r="V204" s="1">
        <v>0</v>
      </c>
      <c r="W204" s="1">
        <v>0</v>
      </c>
      <c r="X204" s="1">
        <v>0</v>
      </c>
      <c r="Y204" s="1">
        <v>0</v>
      </c>
      <c r="Z204" s="1">
        <v>0</v>
      </c>
      <c r="AA204" s="1">
        <v>0</v>
      </c>
      <c r="AB204" s="1">
        <v>0</v>
      </c>
      <c r="AC204" s="1">
        <v>4</v>
      </c>
      <c r="AD204" s="1">
        <v>2</v>
      </c>
      <c r="AE204" s="1">
        <v>0</v>
      </c>
      <c r="AF204" s="1">
        <v>4</v>
      </c>
      <c r="AG204" s="208" t="s">
        <v>831</v>
      </c>
      <c r="AH204" s="1">
        <v>3120</v>
      </c>
      <c r="AI204" s="1" t="s">
        <v>2399</v>
      </c>
      <c r="AJ204" s="1">
        <v>0</v>
      </c>
      <c r="AK204" s="1" t="s">
        <v>512</v>
      </c>
      <c r="AL204" s="1" t="s">
        <v>2400</v>
      </c>
      <c r="AM204" s="1">
        <v>0.3</v>
      </c>
      <c r="AN204" s="1">
        <v>0.25</v>
      </c>
      <c r="AO204" s="1">
        <v>0.12</v>
      </c>
      <c r="AP204" s="1">
        <v>0.38</v>
      </c>
      <c r="AQ204" s="1">
        <v>3</v>
      </c>
      <c r="AR204" s="1" t="s">
        <v>1567</v>
      </c>
      <c r="AS204" s="1">
        <v>0</v>
      </c>
      <c r="AT204" s="1" t="s">
        <v>1806</v>
      </c>
      <c r="AU204" s="1">
        <v>10</v>
      </c>
      <c r="AV204" s="1">
        <v>20032</v>
      </c>
      <c r="AW204" s="1">
        <v>0</v>
      </c>
      <c r="AX204" t="b">
        <v>0</v>
      </c>
    </row>
    <row r="205" spans="1:50" x14ac:dyDescent="0.3">
      <c r="A205" s="1">
        <v>206</v>
      </c>
      <c r="B205" s="1" t="s">
        <v>2401</v>
      </c>
      <c r="C205" s="1" t="s">
        <v>2402</v>
      </c>
      <c r="D205" s="1">
        <v>5</v>
      </c>
      <c r="E205" s="1">
        <v>2</v>
      </c>
      <c r="F205" s="1">
        <v>19</v>
      </c>
      <c r="G205" s="1" t="s">
        <v>356</v>
      </c>
      <c r="H205" s="1" t="s">
        <v>337</v>
      </c>
      <c r="I205" s="1" t="s">
        <v>328</v>
      </c>
      <c r="J205" s="1" t="s">
        <v>328</v>
      </c>
      <c r="K205" s="1" t="s">
        <v>328</v>
      </c>
      <c r="L205" s="1" t="s">
        <v>328</v>
      </c>
      <c r="M205" s="1" t="s">
        <v>328</v>
      </c>
      <c r="N205" s="1" t="s">
        <v>328</v>
      </c>
      <c r="O205" s="1" t="s">
        <v>328</v>
      </c>
      <c r="P205" s="1" t="s">
        <v>328</v>
      </c>
      <c r="Q205" s="1" t="s">
        <v>328</v>
      </c>
      <c r="R205" s="1" t="s">
        <v>328</v>
      </c>
      <c r="S205" s="1" t="s">
        <v>328</v>
      </c>
      <c r="T205" s="1" t="s">
        <v>328</v>
      </c>
      <c r="U205" s="1">
        <v>0</v>
      </c>
      <c r="V205" s="1">
        <v>0</v>
      </c>
      <c r="W205" s="1">
        <v>0</v>
      </c>
      <c r="X205" s="1">
        <v>0</v>
      </c>
      <c r="Y205" s="1">
        <v>0</v>
      </c>
      <c r="Z205" s="1">
        <v>0</v>
      </c>
      <c r="AA205" s="1">
        <v>0</v>
      </c>
      <c r="AB205" s="1">
        <v>0</v>
      </c>
      <c r="AC205" s="1">
        <v>1</v>
      </c>
      <c r="AD205" s="1">
        <v>4</v>
      </c>
      <c r="AE205" s="1">
        <v>1</v>
      </c>
      <c r="AF205" s="1">
        <v>3</v>
      </c>
      <c r="AG205" s="208" t="s">
        <v>724</v>
      </c>
      <c r="AH205" s="1">
        <v>3600</v>
      </c>
      <c r="AI205" s="1" t="s">
        <v>1843</v>
      </c>
      <c r="AJ205" s="1">
        <v>0</v>
      </c>
      <c r="AK205" s="1" t="s">
        <v>513</v>
      </c>
      <c r="AL205" s="1" t="s">
        <v>2403</v>
      </c>
      <c r="AM205" s="1">
        <v>0.08</v>
      </c>
      <c r="AN205" s="1">
        <v>0.53</v>
      </c>
      <c r="AO205" s="1">
        <v>0.08</v>
      </c>
      <c r="AP205" s="1">
        <v>0.45</v>
      </c>
      <c r="AQ205" s="1">
        <v>3</v>
      </c>
      <c r="AR205" s="1" t="s">
        <v>1567</v>
      </c>
      <c r="AS205" s="1">
        <v>0</v>
      </c>
      <c r="AT205" s="1" t="s">
        <v>1806</v>
      </c>
      <c r="AU205" s="1">
        <v>10</v>
      </c>
      <c r="AV205" s="1">
        <v>19023</v>
      </c>
      <c r="AW205" s="1">
        <v>0</v>
      </c>
      <c r="AX205" t="b">
        <v>0</v>
      </c>
    </row>
    <row r="206" spans="1:50" x14ac:dyDescent="0.3">
      <c r="A206" s="1">
        <v>207</v>
      </c>
      <c r="B206" s="1" t="s">
        <v>2404</v>
      </c>
      <c r="C206" s="1" t="s">
        <v>2405</v>
      </c>
      <c r="D206" s="1">
        <v>5</v>
      </c>
      <c r="E206" s="1">
        <v>1</v>
      </c>
      <c r="F206" s="1">
        <v>18</v>
      </c>
      <c r="G206" s="1" t="s">
        <v>331</v>
      </c>
      <c r="H206" s="1" t="s">
        <v>328</v>
      </c>
      <c r="I206" s="1" t="s">
        <v>341</v>
      </c>
      <c r="J206" s="1" t="s">
        <v>328</v>
      </c>
      <c r="K206" s="1" t="s">
        <v>328</v>
      </c>
      <c r="L206" s="1" t="s">
        <v>328</v>
      </c>
      <c r="M206" s="1" t="s">
        <v>328</v>
      </c>
      <c r="N206" s="1" t="s">
        <v>328</v>
      </c>
      <c r="O206" s="1" t="s">
        <v>328</v>
      </c>
      <c r="P206" s="1" t="s">
        <v>328</v>
      </c>
      <c r="Q206" s="1" t="s">
        <v>328</v>
      </c>
      <c r="R206" s="1" t="s">
        <v>328</v>
      </c>
      <c r="S206" s="1" t="s">
        <v>328</v>
      </c>
      <c r="T206" s="1" t="s">
        <v>328</v>
      </c>
      <c r="U206" s="1">
        <v>0</v>
      </c>
      <c r="V206" s="1">
        <v>0</v>
      </c>
      <c r="W206" s="1">
        <v>0</v>
      </c>
      <c r="X206" s="1">
        <v>0</v>
      </c>
      <c r="Y206" s="1">
        <v>0</v>
      </c>
      <c r="Z206" s="1">
        <v>0</v>
      </c>
      <c r="AA206" s="1">
        <v>0</v>
      </c>
      <c r="AB206" s="1">
        <v>0</v>
      </c>
      <c r="AC206" s="1">
        <v>4</v>
      </c>
      <c r="AD206" s="1">
        <v>2</v>
      </c>
      <c r="AE206" s="1">
        <v>2</v>
      </c>
      <c r="AF206" s="1">
        <v>2</v>
      </c>
      <c r="AG206" s="208" t="s">
        <v>1684</v>
      </c>
      <c r="AH206" s="1">
        <v>2820</v>
      </c>
      <c r="AI206" s="1" t="s">
        <v>2406</v>
      </c>
      <c r="AJ206" s="1">
        <v>0</v>
      </c>
      <c r="AK206" s="1" t="s">
        <v>514</v>
      </c>
      <c r="AL206" s="1" t="s">
        <v>2407</v>
      </c>
      <c r="AM206" s="1">
        <v>0.55000000000000004</v>
      </c>
      <c r="AN206" s="1">
        <v>0.23</v>
      </c>
      <c r="AO206" s="1">
        <v>0.23</v>
      </c>
      <c r="AP206" s="1">
        <v>0.23</v>
      </c>
      <c r="AQ206" s="1">
        <v>3</v>
      </c>
      <c r="AR206" s="1" t="s">
        <v>1565</v>
      </c>
      <c r="AS206" s="1">
        <v>0</v>
      </c>
      <c r="AT206" s="1" t="s">
        <v>2408</v>
      </c>
      <c r="AU206" s="1">
        <v>10</v>
      </c>
      <c r="AV206" s="1">
        <v>18063</v>
      </c>
      <c r="AW206" s="1">
        <v>0</v>
      </c>
      <c r="AX206" t="b">
        <v>0</v>
      </c>
    </row>
    <row r="207" spans="1:50" x14ac:dyDescent="0.3">
      <c r="A207" s="1">
        <v>208</v>
      </c>
      <c r="B207" s="1" t="s">
        <v>2409</v>
      </c>
      <c r="C207" s="1" t="s">
        <v>2410</v>
      </c>
      <c r="D207" s="1">
        <v>5</v>
      </c>
      <c r="E207" s="1">
        <v>1</v>
      </c>
      <c r="F207" s="1">
        <v>18</v>
      </c>
      <c r="G207" s="1" t="s">
        <v>328</v>
      </c>
      <c r="H207" s="1" t="s">
        <v>328</v>
      </c>
      <c r="I207" s="1" t="s">
        <v>328</v>
      </c>
      <c r="J207" s="1" t="s">
        <v>328</v>
      </c>
      <c r="K207" s="1" t="s">
        <v>328</v>
      </c>
      <c r="L207" s="1" t="s">
        <v>335</v>
      </c>
      <c r="M207" s="1" t="s">
        <v>327</v>
      </c>
      <c r="N207" s="1" t="s">
        <v>328</v>
      </c>
      <c r="O207" s="1" t="s">
        <v>328</v>
      </c>
      <c r="P207" s="1" t="s">
        <v>328</v>
      </c>
      <c r="Q207" s="1" t="s">
        <v>328</v>
      </c>
      <c r="R207" s="1" t="s">
        <v>328</v>
      </c>
      <c r="S207" s="1" t="s">
        <v>328</v>
      </c>
      <c r="T207" s="1" t="s">
        <v>328</v>
      </c>
      <c r="U207" s="1">
        <v>0</v>
      </c>
      <c r="V207" s="1">
        <v>0</v>
      </c>
      <c r="W207" s="1">
        <v>0</v>
      </c>
      <c r="X207" s="1">
        <v>0</v>
      </c>
      <c r="Y207" s="1">
        <v>0</v>
      </c>
      <c r="Z207" s="1">
        <v>0</v>
      </c>
      <c r="AA207" s="1">
        <v>0</v>
      </c>
      <c r="AB207" s="1">
        <v>0</v>
      </c>
      <c r="AC207" s="1">
        <v>4</v>
      </c>
      <c r="AD207" s="1">
        <v>0</v>
      </c>
      <c r="AE207" s="1">
        <v>3</v>
      </c>
      <c r="AF207" s="1">
        <v>2</v>
      </c>
      <c r="AG207" s="208" t="s">
        <v>1630</v>
      </c>
      <c r="AH207" s="1">
        <v>2700</v>
      </c>
      <c r="AI207" s="1" t="s">
        <v>1843</v>
      </c>
      <c r="AJ207" s="1">
        <v>0</v>
      </c>
      <c r="AK207" s="1" t="s">
        <v>515</v>
      </c>
      <c r="AL207" s="1" t="s">
        <v>2411</v>
      </c>
      <c r="AM207" s="1">
        <v>0.45</v>
      </c>
      <c r="AN207" s="1">
        <v>0.15</v>
      </c>
      <c r="AO207" s="1">
        <v>0.3</v>
      </c>
      <c r="AP207" s="1">
        <v>0.15</v>
      </c>
      <c r="AQ207" s="1">
        <v>3</v>
      </c>
      <c r="AR207" s="1" t="s">
        <v>1568</v>
      </c>
      <c r="AS207" s="1">
        <v>0</v>
      </c>
      <c r="AT207" s="1" t="s">
        <v>1806</v>
      </c>
      <c r="AU207" s="1">
        <v>10</v>
      </c>
      <c r="AV207" s="1">
        <v>18064</v>
      </c>
      <c r="AW207" s="1">
        <v>0</v>
      </c>
      <c r="AX207" t="b">
        <v>0</v>
      </c>
    </row>
    <row r="208" spans="1:50" x14ac:dyDescent="0.3">
      <c r="A208" s="1">
        <v>209</v>
      </c>
      <c r="B208" s="1" t="s">
        <v>2412</v>
      </c>
      <c r="C208" s="1" t="s">
        <v>2413</v>
      </c>
      <c r="D208" s="1">
        <v>5</v>
      </c>
      <c r="E208" s="1">
        <v>1</v>
      </c>
      <c r="F208" s="1">
        <v>18</v>
      </c>
      <c r="G208" s="1" t="s">
        <v>354</v>
      </c>
      <c r="H208" s="1" t="s">
        <v>328</v>
      </c>
      <c r="I208" s="1" t="s">
        <v>328</v>
      </c>
      <c r="J208" s="1" t="s">
        <v>328</v>
      </c>
      <c r="K208" s="1" t="s">
        <v>328</v>
      </c>
      <c r="L208" s="1" t="s">
        <v>328</v>
      </c>
      <c r="M208" s="1" t="s">
        <v>327</v>
      </c>
      <c r="N208" s="1" t="s">
        <v>328</v>
      </c>
      <c r="O208" s="1" t="s">
        <v>328</v>
      </c>
      <c r="P208" s="1" t="s">
        <v>328</v>
      </c>
      <c r="Q208" s="1" t="s">
        <v>328</v>
      </c>
      <c r="R208" s="1" t="s">
        <v>328</v>
      </c>
      <c r="S208" s="1" t="s">
        <v>328</v>
      </c>
      <c r="T208" s="1" t="s">
        <v>328</v>
      </c>
      <c r="U208" s="1">
        <v>0</v>
      </c>
      <c r="V208" s="1">
        <v>0</v>
      </c>
      <c r="W208" s="1">
        <v>0</v>
      </c>
      <c r="X208" s="1">
        <v>0</v>
      </c>
      <c r="Y208" s="1">
        <v>0</v>
      </c>
      <c r="Z208" s="1">
        <v>0</v>
      </c>
      <c r="AA208" s="1">
        <v>0</v>
      </c>
      <c r="AB208" s="1">
        <v>0</v>
      </c>
      <c r="AC208" s="1">
        <v>4</v>
      </c>
      <c r="AD208" s="1">
        <v>2</v>
      </c>
      <c r="AE208" s="1">
        <v>2</v>
      </c>
      <c r="AF208" s="1">
        <v>2</v>
      </c>
      <c r="AG208" s="208" t="s">
        <v>136</v>
      </c>
      <c r="AH208" s="1">
        <v>2820</v>
      </c>
      <c r="AI208" s="1" t="s">
        <v>1843</v>
      </c>
      <c r="AJ208" s="1">
        <v>0</v>
      </c>
      <c r="AK208" s="1" t="s">
        <v>516</v>
      </c>
      <c r="AL208" s="1" t="s">
        <v>2414</v>
      </c>
      <c r="AM208" s="1">
        <v>0.55000000000000004</v>
      </c>
      <c r="AN208" s="1">
        <v>0.23</v>
      </c>
      <c r="AO208" s="1">
        <v>0.23</v>
      </c>
      <c r="AP208" s="1">
        <v>0.23</v>
      </c>
      <c r="AQ208" s="1">
        <v>3</v>
      </c>
      <c r="AR208" s="1" t="s">
        <v>1521</v>
      </c>
      <c r="AS208" s="1">
        <v>0</v>
      </c>
      <c r="AT208" s="1" t="s">
        <v>1806</v>
      </c>
      <c r="AU208" s="1">
        <v>10</v>
      </c>
      <c r="AV208" s="1">
        <v>18065</v>
      </c>
      <c r="AW208" s="1">
        <v>0</v>
      </c>
      <c r="AX208" t="b">
        <v>0</v>
      </c>
    </row>
    <row r="209" spans="1:50" x14ac:dyDescent="0.3">
      <c r="A209" s="1">
        <v>210</v>
      </c>
      <c r="B209" s="1" t="s">
        <v>2415</v>
      </c>
      <c r="C209" s="1" t="s">
        <v>2416</v>
      </c>
      <c r="D209" s="1">
        <v>5</v>
      </c>
      <c r="E209" s="1">
        <v>1</v>
      </c>
      <c r="F209" s="1">
        <v>18</v>
      </c>
      <c r="G209" s="1" t="s">
        <v>328</v>
      </c>
      <c r="H209" s="1" t="s">
        <v>328</v>
      </c>
      <c r="I209" s="1" t="s">
        <v>358</v>
      </c>
      <c r="J209" s="1" t="s">
        <v>328</v>
      </c>
      <c r="K209" s="1" t="s">
        <v>328</v>
      </c>
      <c r="L209" s="1" t="s">
        <v>328</v>
      </c>
      <c r="M209" s="1" t="s">
        <v>385</v>
      </c>
      <c r="N209" s="1" t="s">
        <v>328</v>
      </c>
      <c r="O209" s="1" t="s">
        <v>328</v>
      </c>
      <c r="P209" s="1" t="s">
        <v>328</v>
      </c>
      <c r="Q209" s="1" t="s">
        <v>328</v>
      </c>
      <c r="R209" s="1" t="s">
        <v>328</v>
      </c>
      <c r="S209" s="1" t="s">
        <v>328</v>
      </c>
      <c r="T209" s="1" t="s">
        <v>328</v>
      </c>
      <c r="U209" s="1">
        <v>0</v>
      </c>
      <c r="V209" s="1">
        <v>0</v>
      </c>
      <c r="W209" s="1">
        <v>0</v>
      </c>
      <c r="X209" s="1">
        <v>0</v>
      </c>
      <c r="Y209" s="1">
        <v>0</v>
      </c>
      <c r="Z209" s="1">
        <v>0</v>
      </c>
      <c r="AA209" s="1">
        <v>0</v>
      </c>
      <c r="AB209" s="1">
        <v>0</v>
      </c>
      <c r="AC209" s="1">
        <v>4</v>
      </c>
      <c r="AD209" s="1">
        <v>2</v>
      </c>
      <c r="AE209" s="1">
        <v>2</v>
      </c>
      <c r="AF209" s="1">
        <v>2</v>
      </c>
      <c r="AG209" s="208" t="s">
        <v>750</v>
      </c>
      <c r="AH209" s="1">
        <v>2820</v>
      </c>
      <c r="AI209" s="1" t="s">
        <v>2062</v>
      </c>
      <c r="AJ209" s="1">
        <v>0</v>
      </c>
      <c r="AK209" s="1" t="s">
        <v>517</v>
      </c>
      <c r="AL209" s="1" t="s">
        <v>2417</v>
      </c>
      <c r="AM209" s="1">
        <v>0.55000000000000004</v>
      </c>
      <c r="AN209" s="1">
        <v>0.23</v>
      </c>
      <c r="AO209" s="1">
        <v>0.23</v>
      </c>
      <c r="AP209" s="1">
        <v>0.23</v>
      </c>
      <c r="AQ209" s="1">
        <v>3</v>
      </c>
      <c r="AR209" s="1" t="s">
        <v>1569</v>
      </c>
      <c r="AS209" s="1">
        <v>0</v>
      </c>
      <c r="AT209" s="1" t="s">
        <v>1806</v>
      </c>
      <c r="AU209" s="1">
        <v>10</v>
      </c>
      <c r="AV209" s="1">
        <v>18066</v>
      </c>
      <c r="AW209" s="1">
        <v>0</v>
      </c>
      <c r="AX209" t="b">
        <v>0</v>
      </c>
    </row>
    <row r="210" spans="1:50" x14ac:dyDescent="0.3">
      <c r="A210" s="1">
        <v>211</v>
      </c>
      <c r="B210" s="1" t="s">
        <v>2418</v>
      </c>
      <c r="C210" s="1" t="s">
        <v>2419</v>
      </c>
      <c r="D210" s="1">
        <v>5</v>
      </c>
      <c r="E210" s="1">
        <v>2</v>
      </c>
      <c r="F210" s="1">
        <v>19</v>
      </c>
      <c r="G210" s="1" t="s">
        <v>335</v>
      </c>
      <c r="H210" s="1" t="s">
        <v>328</v>
      </c>
      <c r="I210" s="1" t="s">
        <v>328</v>
      </c>
      <c r="J210" s="1" t="s">
        <v>328</v>
      </c>
      <c r="K210" s="1" t="s">
        <v>328</v>
      </c>
      <c r="L210" s="1" t="s">
        <v>328</v>
      </c>
      <c r="M210" s="1" t="s">
        <v>328</v>
      </c>
      <c r="N210" s="1" t="s">
        <v>352</v>
      </c>
      <c r="O210" s="1" t="s">
        <v>328</v>
      </c>
      <c r="P210" s="1" t="s">
        <v>328</v>
      </c>
      <c r="Q210" s="1" t="s">
        <v>328</v>
      </c>
      <c r="R210" s="1" t="s">
        <v>328</v>
      </c>
      <c r="S210" s="1" t="s">
        <v>328</v>
      </c>
      <c r="T210" s="1" t="s">
        <v>328</v>
      </c>
      <c r="U210" s="1">
        <v>0</v>
      </c>
      <c r="V210" s="1">
        <v>0</v>
      </c>
      <c r="W210" s="1">
        <v>0</v>
      </c>
      <c r="X210" s="1">
        <v>0</v>
      </c>
      <c r="Y210" s="1">
        <v>0</v>
      </c>
      <c r="Z210" s="1">
        <v>0</v>
      </c>
      <c r="AA210" s="1">
        <v>0</v>
      </c>
      <c r="AB210" s="1">
        <v>0</v>
      </c>
      <c r="AC210" s="1">
        <v>0</v>
      </c>
      <c r="AD210" s="1">
        <v>4</v>
      </c>
      <c r="AE210" s="1">
        <v>2</v>
      </c>
      <c r="AF210" s="1">
        <v>3</v>
      </c>
      <c r="AG210" s="208" t="s">
        <v>242</v>
      </c>
      <c r="AH210" s="1">
        <v>3300</v>
      </c>
      <c r="AI210" s="1" t="s">
        <v>1843</v>
      </c>
      <c r="AJ210" s="1">
        <v>0</v>
      </c>
      <c r="AK210" s="1" t="s">
        <v>518</v>
      </c>
      <c r="AL210" s="1" t="s">
        <v>2420</v>
      </c>
      <c r="AM210" s="1">
        <v>0.08</v>
      </c>
      <c r="AN210" s="1">
        <v>0.5</v>
      </c>
      <c r="AO210" s="1">
        <v>0.3</v>
      </c>
      <c r="AP210" s="1">
        <v>0.3</v>
      </c>
      <c r="AQ210" s="1">
        <v>3</v>
      </c>
      <c r="AR210" s="1" t="s">
        <v>1552</v>
      </c>
      <c r="AS210" s="1">
        <v>0</v>
      </c>
      <c r="AT210" s="1" t="s">
        <v>2421</v>
      </c>
      <c r="AU210" s="1">
        <v>10</v>
      </c>
      <c r="AV210" s="1">
        <v>19024</v>
      </c>
      <c r="AW210" s="1">
        <v>0</v>
      </c>
      <c r="AX210" t="b">
        <v>0</v>
      </c>
    </row>
    <row r="211" spans="1:50" x14ac:dyDescent="0.3">
      <c r="A211" s="1">
        <v>212</v>
      </c>
      <c r="B211" s="1" t="s">
        <v>2422</v>
      </c>
      <c r="C211" s="1" t="s">
        <v>2423</v>
      </c>
      <c r="D211" s="1">
        <v>5</v>
      </c>
      <c r="E211" s="1">
        <v>2</v>
      </c>
      <c r="F211" s="1">
        <v>19</v>
      </c>
      <c r="G211" s="1" t="s">
        <v>335</v>
      </c>
      <c r="H211" s="1" t="s">
        <v>328</v>
      </c>
      <c r="I211" s="1" t="s">
        <v>328</v>
      </c>
      <c r="J211" s="1" t="s">
        <v>328</v>
      </c>
      <c r="K211" s="1" t="s">
        <v>328</v>
      </c>
      <c r="L211" s="1" t="s">
        <v>328</v>
      </c>
      <c r="M211" s="1" t="s">
        <v>328</v>
      </c>
      <c r="N211" s="1" t="s">
        <v>352</v>
      </c>
      <c r="O211" s="1" t="s">
        <v>328</v>
      </c>
      <c r="P211" s="1" t="s">
        <v>328</v>
      </c>
      <c r="Q211" s="1" t="s">
        <v>328</v>
      </c>
      <c r="R211" s="1" t="s">
        <v>328</v>
      </c>
      <c r="S211" s="1" t="s">
        <v>328</v>
      </c>
      <c r="T211" s="1" t="s">
        <v>328</v>
      </c>
      <c r="U211" s="1">
        <v>0</v>
      </c>
      <c r="V211" s="1">
        <v>0</v>
      </c>
      <c r="W211" s="1">
        <v>0</v>
      </c>
      <c r="X211" s="1">
        <v>0</v>
      </c>
      <c r="Y211" s="1">
        <v>0</v>
      </c>
      <c r="Z211" s="1">
        <v>0</v>
      </c>
      <c r="AA211" s="1">
        <v>0</v>
      </c>
      <c r="AB211" s="1">
        <v>0</v>
      </c>
      <c r="AC211" s="1">
        <v>0</v>
      </c>
      <c r="AD211" s="1">
        <v>4</v>
      </c>
      <c r="AE211" s="1">
        <v>2</v>
      </c>
      <c r="AF211" s="1">
        <v>3</v>
      </c>
      <c r="AG211" s="208" t="s">
        <v>829</v>
      </c>
      <c r="AH211" s="1">
        <v>3300</v>
      </c>
      <c r="AI211" s="1" t="s">
        <v>1843</v>
      </c>
      <c r="AJ211" s="1">
        <v>0</v>
      </c>
      <c r="AK211" s="1" t="s">
        <v>884</v>
      </c>
      <c r="AL211" s="1" t="s">
        <v>2424</v>
      </c>
      <c r="AM211" s="1">
        <v>0.08</v>
      </c>
      <c r="AN211" s="1">
        <v>0.5</v>
      </c>
      <c r="AO211" s="1">
        <v>0.3</v>
      </c>
      <c r="AP211" s="1">
        <v>0.3</v>
      </c>
      <c r="AQ211" s="1">
        <v>3</v>
      </c>
      <c r="AR211" s="1" t="s">
        <v>1552</v>
      </c>
      <c r="AS211" s="1">
        <v>0</v>
      </c>
      <c r="AT211" s="1" t="s">
        <v>1806</v>
      </c>
      <c r="AU211" s="1">
        <v>10</v>
      </c>
      <c r="AV211" s="1">
        <v>19025</v>
      </c>
      <c r="AW211" s="1">
        <v>0</v>
      </c>
      <c r="AX211" t="b">
        <v>0</v>
      </c>
    </row>
    <row r="212" spans="1:50" x14ac:dyDescent="0.3">
      <c r="A212" s="1">
        <v>213</v>
      </c>
      <c r="B212" s="1" t="s">
        <v>2425</v>
      </c>
      <c r="C212" s="1" t="s">
        <v>2426</v>
      </c>
      <c r="D212" s="1">
        <v>5</v>
      </c>
      <c r="E212" s="1">
        <v>3</v>
      </c>
      <c r="F212" s="1">
        <v>20</v>
      </c>
      <c r="G212" s="1" t="s">
        <v>328</v>
      </c>
      <c r="H212" s="1" t="s">
        <v>328</v>
      </c>
      <c r="I212" s="1" t="s">
        <v>385</v>
      </c>
      <c r="J212" s="1" t="s">
        <v>328</v>
      </c>
      <c r="K212" s="1" t="s">
        <v>328</v>
      </c>
      <c r="L212" s="1" t="s">
        <v>328</v>
      </c>
      <c r="M212" s="1" t="s">
        <v>328</v>
      </c>
      <c r="N212" s="1" t="s">
        <v>328</v>
      </c>
      <c r="O212" s="1" t="s">
        <v>335</v>
      </c>
      <c r="P212" s="1" t="s">
        <v>328</v>
      </c>
      <c r="Q212" s="1" t="s">
        <v>328</v>
      </c>
      <c r="R212" s="1" t="s">
        <v>328</v>
      </c>
      <c r="S212" s="1" t="s">
        <v>328</v>
      </c>
      <c r="T212" s="1" t="s">
        <v>328</v>
      </c>
      <c r="U212" s="1">
        <v>0</v>
      </c>
      <c r="V212" s="1">
        <v>0</v>
      </c>
      <c r="W212" s="1">
        <v>0</v>
      </c>
      <c r="X212" s="1">
        <v>0</v>
      </c>
      <c r="Y212" s="1">
        <v>0</v>
      </c>
      <c r="Z212" s="1">
        <v>0</v>
      </c>
      <c r="AA212" s="1">
        <v>0</v>
      </c>
      <c r="AB212" s="1">
        <v>0</v>
      </c>
      <c r="AC212" s="1">
        <v>4</v>
      </c>
      <c r="AD212" s="1">
        <v>2</v>
      </c>
      <c r="AE212" s="1">
        <v>0</v>
      </c>
      <c r="AF212" s="1">
        <v>4</v>
      </c>
      <c r="AG212" s="208" t="s">
        <v>834</v>
      </c>
      <c r="AH212" s="1">
        <v>3120</v>
      </c>
      <c r="AI212" s="1" t="s">
        <v>1843</v>
      </c>
      <c r="AJ212" s="1">
        <v>0</v>
      </c>
      <c r="AK212" s="1" t="s">
        <v>885</v>
      </c>
      <c r="AL212" s="1" t="s">
        <v>2427</v>
      </c>
      <c r="AM212" s="1">
        <v>0.3</v>
      </c>
      <c r="AN212" s="1">
        <v>0.25</v>
      </c>
      <c r="AO212" s="1">
        <v>0.12</v>
      </c>
      <c r="AP212" s="1">
        <v>0.38</v>
      </c>
      <c r="AQ212" s="1">
        <v>3</v>
      </c>
      <c r="AR212" s="1" t="s">
        <v>1480</v>
      </c>
      <c r="AS212" s="1">
        <v>902257</v>
      </c>
      <c r="AT212" s="1" t="s">
        <v>2428</v>
      </c>
      <c r="AU212" s="1">
        <v>10</v>
      </c>
      <c r="AV212" s="1">
        <v>20033</v>
      </c>
      <c r="AW212" s="1">
        <v>0</v>
      </c>
      <c r="AX212" t="b">
        <v>0</v>
      </c>
    </row>
    <row r="213" spans="1:50" x14ac:dyDescent="0.3">
      <c r="A213" s="1">
        <v>214</v>
      </c>
      <c r="B213" s="1" t="s">
        <v>2429</v>
      </c>
      <c r="C213" s="1" t="s">
        <v>2430</v>
      </c>
      <c r="D213" s="1">
        <v>5</v>
      </c>
      <c r="E213" s="1">
        <v>3</v>
      </c>
      <c r="F213" s="1">
        <v>20</v>
      </c>
      <c r="G213" s="1" t="s">
        <v>335</v>
      </c>
      <c r="H213" s="1" t="s">
        <v>328</v>
      </c>
      <c r="I213" s="1" t="s">
        <v>363</v>
      </c>
      <c r="J213" s="1" t="s">
        <v>328</v>
      </c>
      <c r="K213" s="1" t="s">
        <v>328</v>
      </c>
      <c r="L213" s="1" t="s">
        <v>328</v>
      </c>
      <c r="M213" s="1" t="s">
        <v>328</v>
      </c>
      <c r="N213" s="1" t="s">
        <v>328</v>
      </c>
      <c r="O213" s="1" t="s">
        <v>328</v>
      </c>
      <c r="P213" s="1" t="s">
        <v>328</v>
      </c>
      <c r="Q213" s="1" t="s">
        <v>328</v>
      </c>
      <c r="R213" s="1" t="s">
        <v>328</v>
      </c>
      <c r="S213" s="1" t="s">
        <v>328</v>
      </c>
      <c r="T213" s="1" t="s">
        <v>328</v>
      </c>
      <c r="U213" s="1">
        <v>0</v>
      </c>
      <c r="V213" s="1">
        <v>0</v>
      </c>
      <c r="W213" s="1">
        <v>0</v>
      </c>
      <c r="X213" s="1">
        <v>0</v>
      </c>
      <c r="Y213" s="1">
        <v>0</v>
      </c>
      <c r="Z213" s="1">
        <v>0</v>
      </c>
      <c r="AA213" s="1">
        <v>0</v>
      </c>
      <c r="AB213" s="1">
        <v>0</v>
      </c>
      <c r="AC213" s="1">
        <v>4</v>
      </c>
      <c r="AD213" s="1">
        <v>2</v>
      </c>
      <c r="AE213" s="1">
        <v>0</v>
      </c>
      <c r="AF213" s="1">
        <v>4</v>
      </c>
      <c r="AG213" s="208" t="s">
        <v>826</v>
      </c>
      <c r="AH213" s="1">
        <v>3600</v>
      </c>
      <c r="AI213" s="1" t="s">
        <v>1843</v>
      </c>
      <c r="AJ213" s="1">
        <v>0</v>
      </c>
      <c r="AK213" s="1" t="s">
        <v>886</v>
      </c>
      <c r="AL213" s="1" t="s">
        <v>2431</v>
      </c>
      <c r="AM213" s="1">
        <v>0.3</v>
      </c>
      <c r="AN213" s="1">
        <v>0.25</v>
      </c>
      <c r="AO213" s="1">
        <v>0.12</v>
      </c>
      <c r="AP213" s="1">
        <v>0.38</v>
      </c>
      <c r="AQ213" s="1">
        <v>3</v>
      </c>
      <c r="AR213" s="1" t="s">
        <v>1570</v>
      </c>
      <c r="AS213" s="1">
        <v>0</v>
      </c>
      <c r="AT213" s="1" t="s">
        <v>1806</v>
      </c>
      <c r="AU213" s="1">
        <v>10</v>
      </c>
      <c r="AV213" s="1">
        <v>20034</v>
      </c>
      <c r="AW213" s="1">
        <v>0</v>
      </c>
      <c r="AX213" t="b">
        <v>0</v>
      </c>
    </row>
    <row r="214" spans="1:50" x14ac:dyDescent="0.3">
      <c r="A214" s="1">
        <v>215</v>
      </c>
      <c r="B214" s="1" t="s">
        <v>2432</v>
      </c>
      <c r="C214" s="1" t="s">
        <v>2433</v>
      </c>
      <c r="D214" s="1">
        <v>5</v>
      </c>
      <c r="E214" s="1">
        <v>2</v>
      </c>
      <c r="F214" s="1">
        <v>19</v>
      </c>
      <c r="G214" s="1" t="s">
        <v>335</v>
      </c>
      <c r="H214" s="1" t="s">
        <v>328</v>
      </c>
      <c r="I214" s="1" t="s">
        <v>328</v>
      </c>
      <c r="J214" s="1" t="s">
        <v>328</v>
      </c>
      <c r="K214" s="1" t="s">
        <v>328</v>
      </c>
      <c r="L214" s="1" t="s">
        <v>328</v>
      </c>
      <c r="M214" s="1" t="s">
        <v>328</v>
      </c>
      <c r="N214" s="1" t="s">
        <v>352</v>
      </c>
      <c r="O214" s="1" t="s">
        <v>328</v>
      </c>
      <c r="P214" s="1" t="s">
        <v>328</v>
      </c>
      <c r="Q214" s="1" t="s">
        <v>328</v>
      </c>
      <c r="R214" s="1" t="s">
        <v>328</v>
      </c>
      <c r="S214" s="1" t="s">
        <v>328</v>
      </c>
      <c r="T214" s="1" t="s">
        <v>328</v>
      </c>
      <c r="U214" s="1">
        <v>0</v>
      </c>
      <c r="V214" s="1">
        <v>0</v>
      </c>
      <c r="W214" s="1">
        <v>0</v>
      </c>
      <c r="X214" s="1">
        <v>0</v>
      </c>
      <c r="Y214" s="1">
        <v>0</v>
      </c>
      <c r="Z214" s="1">
        <v>0</v>
      </c>
      <c r="AA214" s="1">
        <v>0</v>
      </c>
      <c r="AB214" s="1">
        <v>0</v>
      </c>
      <c r="AC214" s="1">
        <v>0</v>
      </c>
      <c r="AD214" s="1">
        <v>4</v>
      </c>
      <c r="AE214" s="1">
        <v>2</v>
      </c>
      <c r="AF214" s="1">
        <v>3</v>
      </c>
      <c r="AG214" s="208" t="s">
        <v>833</v>
      </c>
      <c r="AH214" s="1">
        <v>3300</v>
      </c>
      <c r="AI214" s="1" t="s">
        <v>1843</v>
      </c>
      <c r="AJ214" s="1">
        <v>0</v>
      </c>
      <c r="AK214" s="1" t="s">
        <v>887</v>
      </c>
      <c r="AL214" s="1" t="s">
        <v>2434</v>
      </c>
      <c r="AM214" s="1">
        <v>0.08</v>
      </c>
      <c r="AN214" s="1">
        <v>0.5</v>
      </c>
      <c r="AO214" s="1">
        <v>0.3</v>
      </c>
      <c r="AP214" s="1">
        <v>0.3</v>
      </c>
      <c r="AQ214" s="1">
        <v>3</v>
      </c>
      <c r="AR214" s="1" t="s">
        <v>1552</v>
      </c>
      <c r="AS214" s="1">
        <v>0</v>
      </c>
      <c r="AT214" s="1" t="s">
        <v>1806</v>
      </c>
      <c r="AU214" s="1">
        <v>10</v>
      </c>
      <c r="AV214" s="1">
        <v>19026</v>
      </c>
      <c r="AW214" s="1">
        <v>0</v>
      </c>
      <c r="AX214" t="b">
        <v>0</v>
      </c>
    </row>
    <row r="215" spans="1:50" x14ac:dyDescent="0.3">
      <c r="A215" s="1">
        <v>216</v>
      </c>
      <c r="B215" s="1" t="s">
        <v>2435</v>
      </c>
      <c r="C215" s="1" t="s">
        <v>2436</v>
      </c>
      <c r="D215" s="1">
        <v>5</v>
      </c>
      <c r="E215" s="1">
        <v>2</v>
      </c>
      <c r="F215" s="1">
        <v>19</v>
      </c>
      <c r="G215" s="1" t="s">
        <v>358</v>
      </c>
      <c r="H215" s="1" t="s">
        <v>328</v>
      </c>
      <c r="I215" s="1" t="s">
        <v>328</v>
      </c>
      <c r="J215" s="1" t="s">
        <v>328</v>
      </c>
      <c r="K215" s="1" t="s">
        <v>328</v>
      </c>
      <c r="L215" s="1" t="s">
        <v>328</v>
      </c>
      <c r="M215" s="1" t="s">
        <v>385</v>
      </c>
      <c r="N215" s="1" t="s">
        <v>328</v>
      </c>
      <c r="O215" s="1" t="s">
        <v>328</v>
      </c>
      <c r="P215" s="1" t="s">
        <v>328</v>
      </c>
      <c r="Q215" s="1" t="s">
        <v>328</v>
      </c>
      <c r="R215" s="1" t="s">
        <v>328</v>
      </c>
      <c r="S215" s="1" t="s">
        <v>328</v>
      </c>
      <c r="T215" s="1" t="s">
        <v>328</v>
      </c>
      <c r="U215" s="1">
        <v>0</v>
      </c>
      <c r="V215" s="1">
        <v>0</v>
      </c>
      <c r="W215" s="1">
        <v>0</v>
      </c>
      <c r="X215" s="1">
        <v>0</v>
      </c>
      <c r="Y215" s="1">
        <v>0</v>
      </c>
      <c r="Z215" s="1">
        <v>0</v>
      </c>
      <c r="AA215" s="1">
        <v>0</v>
      </c>
      <c r="AB215" s="1">
        <v>0</v>
      </c>
      <c r="AC215" s="1">
        <v>1</v>
      </c>
      <c r="AD215" s="1">
        <v>3</v>
      </c>
      <c r="AE215" s="1">
        <v>1</v>
      </c>
      <c r="AF215" s="1">
        <v>4</v>
      </c>
      <c r="AG215" s="208" t="s">
        <v>1604</v>
      </c>
      <c r="AH215" s="1">
        <v>3240</v>
      </c>
      <c r="AI215" s="1" t="s">
        <v>1843</v>
      </c>
      <c r="AJ215" s="1">
        <v>0</v>
      </c>
      <c r="AK215" s="1" t="s">
        <v>888</v>
      </c>
      <c r="AL215" s="1" t="s">
        <v>2437</v>
      </c>
      <c r="AM215" s="1">
        <v>0.08</v>
      </c>
      <c r="AN215" s="1">
        <v>0.39</v>
      </c>
      <c r="AO215" s="1">
        <v>0.08</v>
      </c>
      <c r="AP215" s="1">
        <v>0.48</v>
      </c>
      <c r="AQ215" s="1">
        <v>3</v>
      </c>
      <c r="AR215" s="1" t="s">
        <v>1571</v>
      </c>
      <c r="AS215" s="1">
        <v>0</v>
      </c>
      <c r="AT215" s="1" t="s">
        <v>2438</v>
      </c>
      <c r="AU215" s="1">
        <v>10</v>
      </c>
      <c r="AV215" s="1">
        <v>19027</v>
      </c>
      <c r="AW215" s="1">
        <v>0</v>
      </c>
      <c r="AX215" t="b">
        <v>0</v>
      </c>
    </row>
    <row r="216" spans="1:50" x14ac:dyDescent="0.3">
      <c r="A216" s="1">
        <v>217</v>
      </c>
      <c r="B216" s="1" t="s">
        <v>2439</v>
      </c>
      <c r="C216" s="1" t="s">
        <v>2440</v>
      </c>
      <c r="D216" s="1">
        <v>5</v>
      </c>
      <c r="E216" s="1">
        <v>1</v>
      </c>
      <c r="F216" s="1">
        <v>18</v>
      </c>
      <c r="G216" s="1" t="s">
        <v>364</v>
      </c>
      <c r="H216" s="1" t="s">
        <v>328</v>
      </c>
      <c r="I216" s="1" t="s">
        <v>328</v>
      </c>
      <c r="J216" s="1" t="s">
        <v>328</v>
      </c>
      <c r="K216" s="1" t="s">
        <v>328</v>
      </c>
      <c r="L216" s="1" t="s">
        <v>328</v>
      </c>
      <c r="M216" s="1" t="s">
        <v>396</v>
      </c>
      <c r="N216" s="1" t="s">
        <v>328</v>
      </c>
      <c r="O216" s="1" t="s">
        <v>328</v>
      </c>
      <c r="P216" s="1" t="s">
        <v>328</v>
      </c>
      <c r="Q216" s="1" t="s">
        <v>328</v>
      </c>
      <c r="R216" s="1" t="s">
        <v>328</v>
      </c>
      <c r="S216" s="1" t="s">
        <v>328</v>
      </c>
      <c r="T216" s="1" t="s">
        <v>328</v>
      </c>
      <c r="U216" s="1">
        <v>0</v>
      </c>
      <c r="V216" s="1">
        <v>0</v>
      </c>
      <c r="W216" s="1">
        <v>0</v>
      </c>
      <c r="X216" s="1">
        <v>0</v>
      </c>
      <c r="Y216" s="1">
        <v>0</v>
      </c>
      <c r="Z216" s="1">
        <v>0</v>
      </c>
      <c r="AA216" s="1">
        <v>0</v>
      </c>
      <c r="AB216" s="1">
        <v>0</v>
      </c>
      <c r="AC216" s="1">
        <v>4</v>
      </c>
      <c r="AD216" s="1">
        <v>0</v>
      </c>
      <c r="AE216" s="1">
        <v>3</v>
      </c>
      <c r="AF216" s="1">
        <v>2</v>
      </c>
      <c r="AG216" s="208" t="s">
        <v>95</v>
      </c>
      <c r="AH216" s="1">
        <v>3600</v>
      </c>
      <c r="AI216" s="1" t="s">
        <v>2441</v>
      </c>
      <c r="AJ216" s="1">
        <v>0</v>
      </c>
      <c r="AK216" s="1" t="s">
        <v>883</v>
      </c>
      <c r="AL216" s="1" t="s">
        <v>2442</v>
      </c>
      <c r="AM216" s="1">
        <v>0.45</v>
      </c>
      <c r="AN216" s="1">
        <v>0.15</v>
      </c>
      <c r="AO216" s="1">
        <v>0.3</v>
      </c>
      <c r="AP216" s="1">
        <v>0.15</v>
      </c>
      <c r="AQ216" s="1">
        <v>3</v>
      </c>
      <c r="AR216" s="1" t="s">
        <v>1544</v>
      </c>
      <c r="AS216" s="1">
        <v>0</v>
      </c>
      <c r="AT216" s="1" t="s">
        <v>1806</v>
      </c>
      <c r="AU216" s="1">
        <v>10</v>
      </c>
      <c r="AV216" s="1">
        <v>18067</v>
      </c>
      <c r="AW216" s="1">
        <v>0</v>
      </c>
      <c r="AX216" t="b">
        <v>0</v>
      </c>
    </row>
    <row r="217" spans="1:50" x14ac:dyDescent="0.3">
      <c r="A217" s="1">
        <v>218</v>
      </c>
      <c r="B217" s="1" t="s">
        <v>2443</v>
      </c>
      <c r="C217" s="1" t="s">
        <v>2444</v>
      </c>
      <c r="D217" s="1">
        <v>5</v>
      </c>
      <c r="E217" s="1">
        <v>3</v>
      </c>
      <c r="F217" s="1">
        <v>20</v>
      </c>
      <c r="G217" s="1" t="s">
        <v>328</v>
      </c>
      <c r="H217" s="1" t="s">
        <v>328</v>
      </c>
      <c r="I217" s="1" t="s">
        <v>488</v>
      </c>
      <c r="J217" s="1" t="s">
        <v>328</v>
      </c>
      <c r="K217" s="1" t="s">
        <v>328</v>
      </c>
      <c r="L217" s="1" t="s">
        <v>328</v>
      </c>
      <c r="M217" s="1" t="s">
        <v>328</v>
      </c>
      <c r="N217" s="1" t="s">
        <v>328</v>
      </c>
      <c r="O217" s="1" t="s">
        <v>328</v>
      </c>
      <c r="P217" s="1" t="s">
        <v>328</v>
      </c>
      <c r="Q217" s="1" t="s">
        <v>328</v>
      </c>
      <c r="R217" s="1" t="s">
        <v>328</v>
      </c>
      <c r="S217" s="1" t="s">
        <v>328</v>
      </c>
      <c r="T217" s="1" t="s">
        <v>328</v>
      </c>
      <c r="U217" s="1">
        <v>0</v>
      </c>
      <c r="V217" s="1">
        <v>0</v>
      </c>
      <c r="W217" s="1">
        <v>0</v>
      </c>
      <c r="X217" s="1">
        <v>0</v>
      </c>
      <c r="Y217" s="1">
        <v>0</v>
      </c>
      <c r="Z217" s="1">
        <v>0</v>
      </c>
      <c r="AA217" s="1">
        <v>0</v>
      </c>
      <c r="AB217" s="1">
        <v>0</v>
      </c>
      <c r="AC217" s="1">
        <v>4</v>
      </c>
      <c r="AD217" s="1">
        <v>2</v>
      </c>
      <c r="AE217" s="1">
        <v>0</v>
      </c>
      <c r="AF217" s="1">
        <v>4</v>
      </c>
      <c r="AG217" s="208" t="s">
        <v>118</v>
      </c>
      <c r="AH217" s="1">
        <v>3120</v>
      </c>
      <c r="AI217" s="1" t="s">
        <v>1843</v>
      </c>
      <c r="AJ217" s="1">
        <v>0</v>
      </c>
      <c r="AK217" s="1" t="s">
        <v>894</v>
      </c>
      <c r="AL217" s="1" t="s">
        <v>2445</v>
      </c>
      <c r="AM217" s="1">
        <v>0.3</v>
      </c>
      <c r="AN217" s="1">
        <v>0.25</v>
      </c>
      <c r="AO217" s="1">
        <v>0.12</v>
      </c>
      <c r="AP217" s="1">
        <v>0.38</v>
      </c>
      <c r="AQ217" s="1">
        <v>3</v>
      </c>
      <c r="AR217" s="1" t="s">
        <v>1572</v>
      </c>
      <c r="AS217" s="1">
        <v>0</v>
      </c>
      <c r="AT217" s="1" t="s">
        <v>2446</v>
      </c>
      <c r="AU217" s="1">
        <v>10</v>
      </c>
      <c r="AV217" s="1">
        <v>20035</v>
      </c>
      <c r="AW217" s="1">
        <v>0</v>
      </c>
      <c r="AX217" t="b">
        <v>0</v>
      </c>
    </row>
    <row r="218" spans="1:50" x14ac:dyDescent="0.3">
      <c r="A218" s="1">
        <v>219</v>
      </c>
      <c r="B218" s="1" t="s">
        <v>2447</v>
      </c>
      <c r="C218" s="1" t="s">
        <v>2448</v>
      </c>
      <c r="D218" s="1">
        <v>5</v>
      </c>
      <c r="E218" s="1">
        <v>1</v>
      </c>
      <c r="F218" s="1">
        <v>18</v>
      </c>
      <c r="G218" s="1" t="s">
        <v>331</v>
      </c>
      <c r="H218" s="1" t="s">
        <v>328</v>
      </c>
      <c r="I218" s="1" t="s">
        <v>341</v>
      </c>
      <c r="J218" s="1" t="s">
        <v>328</v>
      </c>
      <c r="K218" s="1" t="s">
        <v>328</v>
      </c>
      <c r="L218" s="1" t="s">
        <v>328</v>
      </c>
      <c r="M218" s="1" t="s">
        <v>328</v>
      </c>
      <c r="N218" s="1" t="s">
        <v>328</v>
      </c>
      <c r="O218" s="1" t="s">
        <v>328</v>
      </c>
      <c r="P218" s="1" t="s">
        <v>328</v>
      </c>
      <c r="Q218" s="1" t="s">
        <v>328</v>
      </c>
      <c r="R218" s="1" t="s">
        <v>328</v>
      </c>
      <c r="S218" s="1" t="s">
        <v>328</v>
      </c>
      <c r="T218" s="1" t="s">
        <v>328</v>
      </c>
      <c r="U218" s="1">
        <v>0</v>
      </c>
      <c r="V218" s="1">
        <v>0</v>
      </c>
      <c r="W218" s="1">
        <v>0</v>
      </c>
      <c r="X218" s="1">
        <v>0</v>
      </c>
      <c r="Y218" s="1">
        <v>0</v>
      </c>
      <c r="Z218" s="1">
        <v>0</v>
      </c>
      <c r="AA218" s="1">
        <v>0</v>
      </c>
      <c r="AB218" s="1">
        <v>0</v>
      </c>
      <c r="AC218" s="1">
        <v>4</v>
      </c>
      <c r="AD218" s="1">
        <v>2</v>
      </c>
      <c r="AE218" s="1">
        <v>2</v>
      </c>
      <c r="AF218" s="1">
        <v>2</v>
      </c>
      <c r="AG218" s="208" t="s">
        <v>904</v>
      </c>
      <c r="AH218" s="1">
        <v>2820</v>
      </c>
      <c r="AI218" s="1" t="s">
        <v>1843</v>
      </c>
      <c r="AJ218" s="1">
        <v>0</v>
      </c>
      <c r="AK218" s="1" t="s">
        <v>889</v>
      </c>
      <c r="AL218" s="1" t="s">
        <v>2449</v>
      </c>
      <c r="AM218" s="1">
        <v>0.55000000000000004</v>
      </c>
      <c r="AN218" s="1">
        <v>0.23</v>
      </c>
      <c r="AO218" s="1">
        <v>0.23</v>
      </c>
      <c r="AP218" s="1">
        <v>0.23</v>
      </c>
      <c r="AQ218" s="1">
        <v>3</v>
      </c>
      <c r="AR218" s="1" t="s">
        <v>1565</v>
      </c>
      <c r="AS218" s="1">
        <v>0</v>
      </c>
      <c r="AT218" s="1" t="s">
        <v>1806</v>
      </c>
      <c r="AU218" s="1">
        <v>10</v>
      </c>
      <c r="AV218" s="1">
        <v>18068</v>
      </c>
      <c r="AW218" s="1">
        <v>0</v>
      </c>
      <c r="AX218" t="b">
        <v>0</v>
      </c>
    </row>
    <row r="219" spans="1:50" x14ac:dyDescent="0.3">
      <c r="A219" s="1">
        <v>220</v>
      </c>
      <c r="B219" s="1" t="s">
        <v>2450</v>
      </c>
      <c r="C219" s="1" t="s">
        <v>2451</v>
      </c>
      <c r="D219" s="1">
        <v>5</v>
      </c>
      <c r="E219" s="1">
        <v>1</v>
      </c>
      <c r="F219" s="1">
        <v>18</v>
      </c>
      <c r="G219" s="1" t="s">
        <v>328</v>
      </c>
      <c r="H219" s="1" t="s">
        <v>361</v>
      </c>
      <c r="I219" s="1" t="s">
        <v>328</v>
      </c>
      <c r="J219" s="1" t="s">
        <v>328</v>
      </c>
      <c r="K219" s="1" t="s">
        <v>328</v>
      </c>
      <c r="L219" s="1" t="s">
        <v>335</v>
      </c>
      <c r="M219" s="1" t="s">
        <v>392</v>
      </c>
      <c r="N219" s="1" t="s">
        <v>328</v>
      </c>
      <c r="O219" s="1" t="s">
        <v>328</v>
      </c>
      <c r="P219" s="1" t="s">
        <v>328</v>
      </c>
      <c r="Q219" s="1" t="s">
        <v>328</v>
      </c>
      <c r="R219" s="1" t="s">
        <v>328</v>
      </c>
      <c r="S219" s="1" t="s">
        <v>328</v>
      </c>
      <c r="T219" s="1" t="s">
        <v>328</v>
      </c>
      <c r="U219" s="1">
        <v>0</v>
      </c>
      <c r="V219" s="1">
        <v>0</v>
      </c>
      <c r="W219" s="1">
        <v>0</v>
      </c>
      <c r="X219" s="1">
        <v>0</v>
      </c>
      <c r="Y219" s="1">
        <v>0</v>
      </c>
      <c r="Z219" s="1">
        <v>0</v>
      </c>
      <c r="AA219" s="1">
        <v>0</v>
      </c>
      <c r="AB219" s="1">
        <v>0</v>
      </c>
      <c r="AC219" s="1">
        <v>4</v>
      </c>
      <c r="AD219" s="1">
        <v>2</v>
      </c>
      <c r="AE219" s="1">
        <v>2</v>
      </c>
      <c r="AF219" s="1">
        <v>2</v>
      </c>
      <c r="AG219" s="208" t="s">
        <v>107</v>
      </c>
      <c r="AH219" s="1">
        <v>2820</v>
      </c>
      <c r="AI219" s="1" t="s">
        <v>1843</v>
      </c>
      <c r="AJ219" s="1">
        <v>0</v>
      </c>
      <c r="AK219" s="1" t="s">
        <v>895</v>
      </c>
      <c r="AL219" s="1" t="s">
        <v>2452</v>
      </c>
      <c r="AM219" s="1">
        <v>0.55000000000000004</v>
      </c>
      <c r="AN219" s="1">
        <v>0.23</v>
      </c>
      <c r="AO219" s="1">
        <v>0.23</v>
      </c>
      <c r="AP219" s="1">
        <v>0.23</v>
      </c>
      <c r="AQ219" s="1">
        <v>3</v>
      </c>
      <c r="AR219" s="1" t="s">
        <v>1573</v>
      </c>
      <c r="AS219" s="1">
        <v>0</v>
      </c>
      <c r="AT219" s="1" t="s">
        <v>1806</v>
      </c>
      <c r="AU219" s="1">
        <v>10</v>
      </c>
      <c r="AV219" s="1">
        <v>18069</v>
      </c>
      <c r="AW219" s="1">
        <v>0</v>
      </c>
      <c r="AX219" t="b">
        <v>0</v>
      </c>
    </row>
    <row r="220" spans="1:50" x14ac:dyDescent="0.3">
      <c r="A220" s="1">
        <v>221</v>
      </c>
      <c r="B220" s="1" t="s">
        <v>2453</v>
      </c>
      <c r="C220" s="1" t="s">
        <v>2454</v>
      </c>
      <c r="D220" s="1">
        <v>5</v>
      </c>
      <c r="E220" s="1">
        <v>2</v>
      </c>
      <c r="F220" s="1">
        <v>19</v>
      </c>
      <c r="G220" s="1" t="s">
        <v>334</v>
      </c>
      <c r="H220" s="1" t="s">
        <v>328</v>
      </c>
      <c r="I220" s="1" t="s">
        <v>328</v>
      </c>
      <c r="J220" s="1" t="s">
        <v>328</v>
      </c>
      <c r="K220" s="1" t="s">
        <v>328</v>
      </c>
      <c r="L220" s="1" t="s">
        <v>328</v>
      </c>
      <c r="M220" s="1" t="s">
        <v>328</v>
      </c>
      <c r="N220" s="1" t="s">
        <v>352</v>
      </c>
      <c r="O220" s="1" t="s">
        <v>328</v>
      </c>
      <c r="P220" s="1" t="s">
        <v>328</v>
      </c>
      <c r="Q220" s="1" t="s">
        <v>328</v>
      </c>
      <c r="R220" s="1" t="s">
        <v>328</v>
      </c>
      <c r="S220" s="1" t="s">
        <v>328</v>
      </c>
      <c r="T220" s="1" t="s">
        <v>328</v>
      </c>
      <c r="U220" s="1">
        <v>0</v>
      </c>
      <c r="V220" s="1">
        <v>0</v>
      </c>
      <c r="W220" s="1">
        <v>0</v>
      </c>
      <c r="X220" s="1">
        <v>0</v>
      </c>
      <c r="Y220" s="1">
        <v>0</v>
      </c>
      <c r="Z220" s="1">
        <v>0</v>
      </c>
      <c r="AA220" s="1">
        <v>0</v>
      </c>
      <c r="AB220" s="1">
        <v>0</v>
      </c>
      <c r="AC220" s="1">
        <v>0</v>
      </c>
      <c r="AD220" s="1">
        <v>4</v>
      </c>
      <c r="AE220" s="1">
        <v>2</v>
      </c>
      <c r="AF220" s="1">
        <v>3</v>
      </c>
      <c r="AG220" s="208" t="s">
        <v>119</v>
      </c>
      <c r="AH220" s="1">
        <v>3300</v>
      </c>
      <c r="AI220" s="1" t="s">
        <v>1918</v>
      </c>
      <c r="AJ220" s="1">
        <v>0</v>
      </c>
      <c r="AK220" s="1" t="s">
        <v>931</v>
      </c>
      <c r="AL220" s="1" t="s">
        <v>2455</v>
      </c>
      <c r="AM220" s="1">
        <v>0.08</v>
      </c>
      <c r="AN220" s="1">
        <v>0.5</v>
      </c>
      <c r="AO220" s="1">
        <v>0.3</v>
      </c>
      <c r="AP220" s="1">
        <v>0.3</v>
      </c>
      <c r="AQ220" s="1">
        <v>3</v>
      </c>
      <c r="AR220" s="1" t="s">
        <v>1574</v>
      </c>
      <c r="AS220" s="1">
        <v>0</v>
      </c>
      <c r="AT220" s="1" t="s">
        <v>1806</v>
      </c>
      <c r="AU220" s="1">
        <v>10</v>
      </c>
      <c r="AV220" s="1">
        <v>19028</v>
      </c>
      <c r="AW220" s="1">
        <v>0</v>
      </c>
      <c r="AX220" t="b">
        <v>0</v>
      </c>
    </row>
    <row r="221" spans="1:50" x14ac:dyDescent="0.3">
      <c r="A221" s="1">
        <v>222</v>
      </c>
      <c r="B221" s="1" t="s">
        <v>2456</v>
      </c>
      <c r="C221" s="1" t="s">
        <v>2457</v>
      </c>
      <c r="D221" s="1">
        <v>3</v>
      </c>
      <c r="E221" s="1">
        <v>1</v>
      </c>
      <c r="F221" s="1">
        <v>16</v>
      </c>
      <c r="G221" s="1" t="s">
        <v>328</v>
      </c>
      <c r="H221" s="1" t="s">
        <v>335</v>
      </c>
      <c r="I221" s="1" t="s">
        <v>328</v>
      </c>
      <c r="J221" s="1" t="s">
        <v>328</v>
      </c>
      <c r="K221" s="1" t="s">
        <v>328</v>
      </c>
      <c r="L221" s="1" t="s">
        <v>328</v>
      </c>
      <c r="M221" s="1" t="s">
        <v>324</v>
      </c>
      <c r="N221" s="1" t="s">
        <v>328</v>
      </c>
      <c r="O221" s="1" t="s">
        <v>328</v>
      </c>
      <c r="P221" s="1" t="s">
        <v>328</v>
      </c>
      <c r="Q221" s="1" t="s">
        <v>328</v>
      </c>
      <c r="R221" s="1" t="s">
        <v>328</v>
      </c>
      <c r="S221" s="1" t="s">
        <v>328</v>
      </c>
      <c r="T221" s="1" t="s">
        <v>328</v>
      </c>
      <c r="U221" s="1">
        <v>0</v>
      </c>
      <c r="V221" s="1">
        <v>0</v>
      </c>
      <c r="W221" s="1">
        <v>0</v>
      </c>
      <c r="X221" s="1">
        <v>0</v>
      </c>
      <c r="Y221" s="1">
        <v>0</v>
      </c>
      <c r="Z221" s="1">
        <v>0</v>
      </c>
      <c r="AA221" s="1">
        <v>0</v>
      </c>
      <c r="AB221" s="1">
        <v>0</v>
      </c>
      <c r="AC221" s="1">
        <v>3</v>
      </c>
      <c r="AD221" s="1">
        <v>0</v>
      </c>
      <c r="AE221" s="1">
        <v>0</v>
      </c>
      <c r="AF221" s="1">
        <v>0</v>
      </c>
      <c r="AG221" s="208" t="s">
        <v>921</v>
      </c>
      <c r="AH221" s="1">
        <v>2040</v>
      </c>
      <c r="AI221" s="1" t="s">
        <v>2123</v>
      </c>
      <c r="AJ221" s="1">
        <v>0</v>
      </c>
      <c r="AK221" s="1" t="s">
        <v>328</v>
      </c>
      <c r="AL221" s="1" t="s">
        <v>2458</v>
      </c>
      <c r="AM221" s="1">
        <v>0.45</v>
      </c>
      <c r="AN221" s="1">
        <v>0.15</v>
      </c>
      <c r="AO221" s="1">
        <v>0.3</v>
      </c>
      <c r="AP221" s="1">
        <v>0.15</v>
      </c>
      <c r="AQ221" s="1">
        <v>1</v>
      </c>
      <c r="AR221" s="1" t="s">
        <v>1575</v>
      </c>
      <c r="AS221" s="1">
        <v>0</v>
      </c>
      <c r="AT221" s="1" t="s">
        <v>1806</v>
      </c>
      <c r="AU221" s="1">
        <v>10</v>
      </c>
      <c r="AV221" s="1">
        <v>16001</v>
      </c>
      <c r="AW221" s="1">
        <v>0</v>
      </c>
      <c r="AX221" t="b">
        <v>0</v>
      </c>
    </row>
    <row r="222" spans="1:50" x14ac:dyDescent="0.3">
      <c r="A222" s="1">
        <v>223</v>
      </c>
      <c r="B222" s="1" t="s">
        <v>2459</v>
      </c>
      <c r="C222" s="1" t="s">
        <v>2460</v>
      </c>
      <c r="D222" s="1">
        <v>4</v>
      </c>
      <c r="E222" s="1">
        <v>1</v>
      </c>
      <c r="F222" s="1">
        <v>16</v>
      </c>
      <c r="G222" s="1" t="s">
        <v>328</v>
      </c>
      <c r="H222" s="1" t="s">
        <v>440</v>
      </c>
      <c r="I222" s="1" t="s">
        <v>328</v>
      </c>
      <c r="J222" s="1" t="s">
        <v>328</v>
      </c>
      <c r="K222" s="1" t="s">
        <v>328</v>
      </c>
      <c r="L222" s="1" t="s">
        <v>328</v>
      </c>
      <c r="M222" s="1" t="s">
        <v>325</v>
      </c>
      <c r="N222" s="1" t="s">
        <v>328</v>
      </c>
      <c r="O222" s="1" t="s">
        <v>328</v>
      </c>
      <c r="P222" s="1" t="s">
        <v>328</v>
      </c>
      <c r="Q222" s="1" t="s">
        <v>328</v>
      </c>
      <c r="R222" s="1" t="s">
        <v>328</v>
      </c>
      <c r="S222" s="1" t="s">
        <v>328</v>
      </c>
      <c r="T222" s="1" t="s">
        <v>328</v>
      </c>
      <c r="U222" s="1">
        <v>0</v>
      </c>
      <c r="V222" s="1">
        <v>0</v>
      </c>
      <c r="W222" s="1">
        <v>0</v>
      </c>
      <c r="X222" s="1">
        <v>0</v>
      </c>
      <c r="Y222" s="1">
        <v>0</v>
      </c>
      <c r="Z222" s="1">
        <v>0</v>
      </c>
      <c r="AA222" s="1">
        <v>0</v>
      </c>
      <c r="AB222" s="1">
        <v>0</v>
      </c>
      <c r="AC222" s="1">
        <v>3</v>
      </c>
      <c r="AD222" s="1">
        <v>1</v>
      </c>
      <c r="AE222" s="1">
        <v>1</v>
      </c>
      <c r="AF222" s="1">
        <v>1</v>
      </c>
      <c r="AG222" s="208" t="s">
        <v>922</v>
      </c>
      <c r="AH222" s="1">
        <v>2940</v>
      </c>
      <c r="AI222" s="1" t="s">
        <v>2123</v>
      </c>
      <c r="AJ222" s="1">
        <v>0</v>
      </c>
      <c r="AK222" s="1" t="s">
        <v>328</v>
      </c>
      <c r="AL222" s="1" t="s">
        <v>2461</v>
      </c>
      <c r="AM222" s="1">
        <v>0.45</v>
      </c>
      <c r="AN222" s="1">
        <v>0.15</v>
      </c>
      <c r="AO222" s="1">
        <v>0.3</v>
      </c>
      <c r="AP222" s="1">
        <v>0.15</v>
      </c>
      <c r="AQ222" s="1">
        <v>1</v>
      </c>
      <c r="AR222" s="1" t="s">
        <v>1576</v>
      </c>
      <c r="AS222" s="1">
        <v>0</v>
      </c>
      <c r="AT222" s="1" t="s">
        <v>1806</v>
      </c>
      <c r="AU222" s="1">
        <v>10</v>
      </c>
      <c r="AV222" s="1">
        <v>16001</v>
      </c>
      <c r="AW222" s="1">
        <v>0</v>
      </c>
      <c r="AX222" t="b">
        <v>0</v>
      </c>
    </row>
    <row r="223" spans="1:50" x14ac:dyDescent="0.3">
      <c r="A223" s="1">
        <v>224</v>
      </c>
      <c r="B223" s="1" t="s">
        <v>2462</v>
      </c>
      <c r="C223" s="1" t="s">
        <v>2463</v>
      </c>
      <c r="D223" s="1">
        <v>5</v>
      </c>
      <c r="E223" s="1">
        <v>1</v>
      </c>
      <c r="F223" s="1">
        <v>16</v>
      </c>
      <c r="G223" s="1" t="s">
        <v>328</v>
      </c>
      <c r="H223" s="1" t="s">
        <v>359</v>
      </c>
      <c r="I223" s="1" t="s">
        <v>328</v>
      </c>
      <c r="J223" s="1" t="s">
        <v>328</v>
      </c>
      <c r="K223" s="1" t="s">
        <v>328</v>
      </c>
      <c r="L223" s="1" t="s">
        <v>328</v>
      </c>
      <c r="M223" s="1" t="s">
        <v>896</v>
      </c>
      <c r="N223" s="1" t="s">
        <v>328</v>
      </c>
      <c r="O223" s="1" t="s">
        <v>328</v>
      </c>
      <c r="P223" s="1" t="s">
        <v>328</v>
      </c>
      <c r="Q223" s="1" t="s">
        <v>328</v>
      </c>
      <c r="R223" s="1" t="s">
        <v>328</v>
      </c>
      <c r="S223" s="1" t="s">
        <v>328</v>
      </c>
      <c r="T223" s="1" t="s">
        <v>328</v>
      </c>
      <c r="U223" s="1">
        <v>0</v>
      </c>
      <c r="V223" s="1">
        <v>0</v>
      </c>
      <c r="W223" s="1">
        <v>0</v>
      </c>
      <c r="X223" s="1">
        <v>0</v>
      </c>
      <c r="Y223" s="1">
        <v>0</v>
      </c>
      <c r="Z223" s="1">
        <v>0</v>
      </c>
      <c r="AA223" s="1">
        <v>0</v>
      </c>
      <c r="AB223" s="1">
        <v>0</v>
      </c>
      <c r="AC223" s="1">
        <v>4</v>
      </c>
      <c r="AD223" s="1">
        <v>2</v>
      </c>
      <c r="AE223" s="1">
        <v>2</v>
      </c>
      <c r="AF223" s="1">
        <v>2</v>
      </c>
      <c r="AG223" s="208" t="s">
        <v>923</v>
      </c>
      <c r="AH223" s="1">
        <v>3540</v>
      </c>
      <c r="AI223" s="1" t="s">
        <v>2123</v>
      </c>
      <c r="AJ223" s="1">
        <v>0</v>
      </c>
      <c r="AK223" s="1" t="s">
        <v>328</v>
      </c>
      <c r="AL223" s="1" t="s">
        <v>2464</v>
      </c>
      <c r="AM223" s="1">
        <v>0.45</v>
      </c>
      <c r="AN223" s="1">
        <v>0.15</v>
      </c>
      <c r="AO223" s="1">
        <v>0.3</v>
      </c>
      <c r="AP223" s="1">
        <v>0.15</v>
      </c>
      <c r="AQ223" s="1">
        <v>1</v>
      </c>
      <c r="AR223" s="1" t="s">
        <v>1577</v>
      </c>
      <c r="AS223" s="1">
        <v>0</v>
      </c>
      <c r="AT223" s="1" t="s">
        <v>1806</v>
      </c>
      <c r="AU223" s="1">
        <v>10</v>
      </c>
      <c r="AV223" s="1">
        <v>16001</v>
      </c>
      <c r="AW223" s="1">
        <v>0</v>
      </c>
      <c r="AX223" t="b">
        <v>0</v>
      </c>
    </row>
    <row r="224" spans="1:50" x14ac:dyDescent="0.3">
      <c r="A224" s="1">
        <v>225</v>
      </c>
      <c r="B224" s="1" t="s">
        <v>2465</v>
      </c>
      <c r="C224" s="1" t="s">
        <v>2466</v>
      </c>
      <c r="D224" s="1">
        <v>5</v>
      </c>
      <c r="E224" s="1">
        <v>2</v>
      </c>
      <c r="F224" s="1">
        <v>6</v>
      </c>
      <c r="G224" s="1" t="s">
        <v>328</v>
      </c>
      <c r="H224" s="1" t="s">
        <v>328</v>
      </c>
      <c r="I224" s="1" t="s">
        <v>328</v>
      </c>
      <c r="J224" s="1" t="s">
        <v>328</v>
      </c>
      <c r="K224" s="1" t="s">
        <v>376</v>
      </c>
      <c r="L224" s="1" t="s">
        <v>328</v>
      </c>
      <c r="M224" s="1" t="s">
        <v>328</v>
      </c>
      <c r="N224" s="1" t="s">
        <v>328</v>
      </c>
      <c r="O224" s="1" t="s">
        <v>328</v>
      </c>
      <c r="P224" s="1" t="s">
        <v>328</v>
      </c>
      <c r="Q224" s="1" t="s">
        <v>328</v>
      </c>
      <c r="R224" s="1" t="s">
        <v>328</v>
      </c>
      <c r="S224" s="1" t="s">
        <v>328</v>
      </c>
      <c r="T224" s="1" t="s">
        <v>328</v>
      </c>
      <c r="U224" s="1">
        <v>0</v>
      </c>
      <c r="V224" s="1">
        <v>150</v>
      </c>
      <c r="W224" s="1">
        <v>0</v>
      </c>
      <c r="X224" s="1">
        <v>0</v>
      </c>
      <c r="Y224" s="1">
        <v>0</v>
      </c>
      <c r="Z224" s="1">
        <v>0</v>
      </c>
      <c r="AA224" s="1">
        <v>0</v>
      </c>
      <c r="AB224" s="1">
        <v>0</v>
      </c>
      <c r="AC224" s="1">
        <v>4</v>
      </c>
      <c r="AD224" s="1">
        <v>4</v>
      </c>
      <c r="AE224" s="1">
        <v>0</v>
      </c>
      <c r="AF224" s="1">
        <v>2</v>
      </c>
      <c r="AG224" s="208" t="s">
        <v>913</v>
      </c>
      <c r="AH224" s="1">
        <v>3420</v>
      </c>
      <c r="AI224" s="1" t="s">
        <v>1843</v>
      </c>
      <c r="AJ224" s="1">
        <v>0</v>
      </c>
      <c r="AK224" s="1" t="s">
        <v>328</v>
      </c>
      <c r="AL224" s="1" t="s">
        <v>2467</v>
      </c>
      <c r="AM224" s="1">
        <v>0.48</v>
      </c>
      <c r="AN224" s="1">
        <v>0.48</v>
      </c>
      <c r="AO224" s="1">
        <v>0.08</v>
      </c>
      <c r="AP224" s="1">
        <v>0.45</v>
      </c>
      <c r="AQ224" s="1">
        <v>1</v>
      </c>
      <c r="AR224" s="1" t="s">
        <v>328</v>
      </c>
      <c r="AS224" s="1">
        <v>0</v>
      </c>
      <c r="AT224" s="1" t="s">
        <v>2468</v>
      </c>
      <c r="AU224" s="1">
        <v>0</v>
      </c>
      <c r="AV224" s="1">
        <v>6004</v>
      </c>
      <c r="AW224" s="1">
        <v>0</v>
      </c>
      <c r="AX224" t="b">
        <v>0</v>
      </c>
    </row>
    <row r="225" spans="1:50" x14ac:dyDescent="0.3">
      <c r="A225" s="1">
        <v>226</v>
      </c>
      <c r="B225" s="1" t="s">
        <v>2469</v>
      </c>
      <c r="C225" s="1" t="s">
        <v>2470</v>
      </c>
      <c r="D225" s="1">
        <v>4</v>
      </c>
      <c r="E225" s="1">
        <v>2</v>
      </c>
      <c r="F225" s="1">
        <v>5</v>
      </c>
      <c r="G225" s="1" t="s">
        <v>470</v>
      </c>
      <c r="H225" s="1" t="s">
        <v>328</v>
      </c>
      <c r="I225" s="1" t="s">
        <v>328</v>
      </c>
      <c r="J225" s="1" t="s">
        <v>328</v>
      </c>
      <c r="K225" s="1" t="s">
        <v>328</v>
      </c>
      <c r="L225" s="1" t="s">
        <v>328</v>
      </c>
      <c r="M225" s="1" t="s">
        <v>328</v>
      </c>
      <c r="N225" s="1" t="s">
        <v>897</v>
      </c>
      <c r="O225" s="1" t="s">
        <v>328</v>
      </c>
      <c r="P225" s="1" t="s">
        <v>328</v>
      </c>
      <c r="Q225" s="1" t="s">
        <v>328</v>
      </c>
      <c r="R225" s="1" t="s">
        <v>328</v>
      </c>
      <c r="S225" s="1" t="s">
        <v>328</v>
      </c>
      <c r="T225" s="1" t="s">
        <v>328</v>
      </c>
      <c r="U225" s="1">
        <v>0</v>
      </c>
      <c r="V225" s="1">
        <v>0</v>
      </c>
      <c r="W225" s="1">
        <v>0</v>
      </c>
      <c r="X225" s="1">
        <v>0</v>
      </c>
      <c r="Y225" s="1">
        <v>0</v>
      </c>
      <c r="Z225" s="1">
        <v>0</v>
      </c>
      <c r="AA225" s="1">
        <v>0</v>
      </c>
      <c r="AB225" s="1">
        <v>0</v>
      </c>
      <c r="AC225" s="1">
        <v>0</v>
      </c>
      <c r="AD225" s="1">
        <v>3</v>
      </c>
      <c r="AE225" s="1">
        <v>1</v>
      </c>
      <c r="AF225" s="1">
        <v>2</v>
      </c>
      <c r="AG225" s="208" t="s">
        <v>5668</v>
      </c>
      <c r="AH225" s="1">
        <v>2400</v>
      </c>
      <c r="AI225" s="1" t="s">
        <v>1843</v>
      </c>
      <c r="AJ225" s="1">
        <v>0</v>
      </c>
      <c r="AK225" s="1" t="s">
        <v>328</v>
      </c>
      <c r="AL225" s="1" t="s">
        <v>2471</v>
      </c>
      <c r="AM225" s="1">
        <v>0.08</v>
      </c>
      <c r="AN225" s="1">
        <v>0.5</v>
      </c>
      <c r="AO225" s="1">
        <v>0.3</v>
      </c>
      <c r="AP225" s="1">
        <v>0.3</v>
      </c>
      <c r="AQ225" s="1">
        <v>1</v>
      </c>
      <c r="AR225" s="1" t="s">
        <v>1578</v>
      </c>
      <c r="AS225" s="1">
        <v>0</v>
      </c>
      <c r="AT225" s="1" t="s">
        <v>1806</v>
      </c>
      <c r="AU225" s="1">
        <v>10</v>
      </c>
      <c r="AV225" s="1">
        <v>5003</v>
      </c>
      <c r="AW225" s="1">
        <v>0</v>
      </c>
      <c r="AX225" t="b">
        <v>0</v>
      </c>
    </row>
    <row r="226" spans="1:50" x14ac:dyDescent="0.3">
      <c r="A226" s="1">
        <v>227</v>
      </c>
      <c r="B226" s="1" t="s">
        <v>2472</v>
      </c>
      <c r="C226" s="1" t="s">
        <v>2473</v>
      </c>
      <c r="D226" s="1">
        <v>5</v>
      </c>
      <c r="E226" s="1">
        <v>2</v>
      </c>
      <c r="F226" s="1">
        <v>5</v>
      </c>
      <c r="G226" s="1" t="s">
        <v>358</v>
      </c>
      <c r="H226" s="1" t="s">
        <v>328</v>
      </c>
      <c r="I226" s="1" t="s">
        <v>328</v>
      </c>
      <c r="J226" s="1" t="s">
        <v>328</v>
      </c>
      <c r="K226" s="1" t="s">
        <v>328</v>
      </c>
      <c r="L226" s="1" t="s">
        <v>328</v>
      </c>
      <c r="M226" s="1" t="s">
        <v>328</v>
      </c>
      <c r="N226" s="1" t="s">
        <v>898</v>
      </c>
      <c r="O226" s="1" t="s">
        <v>328</v>
      </c>
      <c r="P226" s="1" t="s">
        <v>328</v>
      </c>
      <c r="Q226" s="1" t="s">
        <v>328</v>
      </c>
      <c r="R226" s="1" t="s">
        <v>328</v>
      </c>
      <c r="S226" s="1" t="s">
        <v>328</v>
      </c>
      <c r="T226" s="1" t="s">
        <v>328</v>
      </c>
      <c r="U226" s="1">
        <v>0</v>
      </c>
      <c r="V226" s="1">
        <v>0</v>
      </c>
      <c r="W226" s="1">
        <v>0</v>
      </c>
      <c r="X226" s="1">
        <v>0</v>
      </c>
      <c r="Y226" s="1">
        <v>0</v>
      </c>
      <c r="Z226" s="1">
        <v>0</v>
      </c>
      <c r="AA226" s="1">
        <v>0</v>
      </c>
      <c r="AB226" s="1">
        <v>0</v>
      </c>
      <c r="AC226" s="1">
        <v>0</v>
      </c>
      <c r="AD226" s="1">
        <v>4</v>
      </c>
      <c r="AE226" s="1">
        <v>2</v>
      </c>
      <c r="AF226" s="1">
        <v>3</v>
      </c>
      <c r="AG226" s="208" t="s">
        <v>5667</v>
      </c>
      <c r="AH226" s="1">
        <v>3000</v>
      </c>
      <c r="AI226" s="1" t="s">
        <v>1843</v>
      </c>
      <c r="AJ226" s="1">
        <v>0</v>
      </c>
      <c r="AK226" s="1" t="s">
        <v>328</v>
      </c>
      <c r="AL226" s="1" t="s">
        <v>2474</v>
      </c>
      <c r="AM226" s="1">
        <v>0.08</v>
      </c>
      <c r="AN226" s="1">
        <v>0.5</v>
      </c>
      <c r="AO226" s="1">
        <v>0.3</v>
      </c>
      <c r="AP226" s="1">
        <v>0.3</v>
      </c>
      <c r="AQ226" s="1">
        <v>1</v>
      </c>
      <c r="AR226" s="1" t="s">
        <v>1579</v>
      </c>
      <c r="AS226" s="1">
        <v>0</v>
      </c>
      <c r="AT226" s="1" t="s">
        <v>1806</v>
      </c>
      <c r="AU226" s="1">
        <v>10</v>
      </c>
      <c r="AV226" s="1">
        <v>5003</v>
      </c>
      <c r="AW226" s="1">
        <v>0</v>
      </c>
      <c r="AX226" t="b">
        <v>0</v>
      </c>
    </row>
    <row r="227" spans="1:50" x14ac:dyDescent="0.3">
      <c r="A227" s="1">
        <v>228</v>
      </c>
      <c r="B227" s="1" t="s">
        <v>2475</v>
      </c>
      <c r="C227" s="1" t="s">
        <v>2476</v>
      </c>
      <c r="D227" s="1">
        <v>4</v>
      </c>
      <c r="E227" s="1">
        <v>2</v>
      </c>
      <c r="F227" s="1">
        <v>17</v>
      </c>
      <c r="G227" s="1" t="s">
        <v>328</v>
      </c>
      <c r="H227" s="1" t="s">
        <v>328</v>
      </c>
      <c r="I227" s="1" t="s">
        <v>328</v>
      </c>
      <c r="J227" s="1" t="s">
        <v>328</v>
      </c>
      <c r="K227" s="1" t="s">
        <v>899</v>
      </c>
      <c r="L227" s="1" t="s">
        <v>328</v>
      </c>
      <c r="M227" s="1" t="s">
        <v>328</v>
      </c>
      <c r="N227" s="1" t="s">
        <v>900</v>
      </c>
      <c r="O227" s="1" t="s">
        <v>328</v>
      </c>
      <c r="P227" s="1" t="s">
        <v>328</v>
      </c>
      <c r="Q227" s="1" t="s">
        <v>328</v>
      </c>
      <c r="R227" s="1" t="s">
        <v>328</v>
      </c>
      <c r="S227" s="1" t="s">
        <v>328</v>
      </c>
      <c r="T227" s="1" t="s">
        <v>328</v>
      </c>
      <c r="U227" s="1">
        <v>0</v>
      </c>
      <c r="V227" s="1">
        <v>0</v>
      </c>
      <c r="W227" s="1">
        <v>0</v>
      </c>
      <c r="X227" s="1">
        <v>0</v>
      </c>
      <c r="Y227" s="1">
        <v>0</v>
      </c>
      <c r="Z227" s="1">
        <v>0</v>
      </c>
      <c r="AA227" s="1">
        <v>0</v>
      </c>
      <c r="AB227" s="1">
        <v>0</v>
      </c>
      <c r="AC227" s="1">
        <v>0</v>
      </c>
      <c r="AD227" s="1">
        <v>4</v>
      </c>
      <c r="AE227" s="1">
        <v>0</v>
      </c>
      <c r="AF227" s="1">
        <v>0</v>
      </c>
      <c r="AG227" s="208" t="s">
        <v>912</v>
      </c>
      <c r="AH227" s="1">
        <v>2880</v>
      </c>
      <c r="AI227" s="1" t="s">
        <v>1843</v>
      </c>
      <c r="AJ227" s="1">
        <v>0</v>
      </c>
      <c r="AK227" s="1" t="s">
        <v>328</v>
      </c>
      <c r="AL227" s="1" t="s">
        <v>2477</v>
      </c>
      <c r="AM227" s="1">
        <v>0.08</v>
      </c>
      <c r="AN227" s="1">
        <v>0.5</v>
      </c>
      <c r="AO227" s="1">
        <v>0.08</v>
      </c>
      <c r="AP227" s="1">
        <v>0.08</v>
      </c>
      <c r="AQ227" s="1">
        <v>1</v>
      </c>
      <c r="AR227" s="1" t="s">
        <v>1580</v>
      </c>
      <c r="AS227" s="1">
        <v>0</v>
      </c>
      <c r="AT227" s="1" t="s">
        <v>1806</v>
      </c>
      <c r="AU227" s="1">
        <v>10</v>
      </c>
      <c r="AV227" s="1">
        <v>17001</v>
      </c>
      <c r="AW227" s="1">
        <v>0</v>
      </c>
      <c r="AX227" t="b">
        <v>0</v>
      </c>
    </row>
    <row r="228" spans="1:50" x14ac:dyDescent="0.3">
      <c r="A228" s="1">
        <v>229</v>
      </c>
      <c r="B228" s="1" t="s">
        <v>2478</v>
      </c>
      <c r="C228" s="1" t="s">
        <v>2479</v>
      </c>
      <c r="D228" s="1">
        <v>5</v>
      </c>
      <c r="E228" s="1">
        <v>2</v>
      </c>
      <c r="F228" s="1">
        <v>17</v>
      </c>
      <c r="G228" s="1" t="s">
        <v>328</v>
      </c>
      <c r="H228" s="1" t="s">
        <v>328</v>
      </c>
      <c r="I228" s="1" t="s">
        <v>328</v>
      </c>
      <c r="J228" s="1" t="s">
        <v>328</v>
      </c>
      <c r="K228" s="1" t="s">
        <v>899</v>
      </c>
      <c r="L228" s="1" t="s">
        <v>328</v>
      </c>
      <c r="M228" s="1" t="s">
        <v>328</v>
      </c>
      <c r="N228" s="1" t="s">
        <v>901</v>
      </c>
      <c r="O228" s="1" t="s">
        <v>328</v>
      </c>
      <c r="P228" s="1" t="s">
        <v>328</v>
      </c>
      <c r="Q228" s="1" t="s">
        <v>328</v>
      </c>
      <c r="R228" s="1" t="s">
        <v>328</v>
      </c>
      <c r="S228" s="1" t="s">
        <v>328</v>
      </c>
      <c r="T228" s="1" t="s">
        <v>328</v>
      </c>
      <c r="U228" s="1">
        <v>0</v>
      </c>
      <c r="V228" s="1">
        <v>0</v>
      </c>
      <c r="W228" s="1">
        <v>0</v>
      </c>
      <c r="X228" s="1">
        <v>0</v>
      </c>
      <c r="Y228" s="1">
        <v>0</v>
      </c>
      <c r="Z228" s="1">
        <v>0</v>
      </c>
      <c r="AA228" s="1">
        <v>0</v>
      </c>
      <c r="AB228" s="1">
        <v>0</v>
      </c>
      <c r="AC228" s="1">
        <v>1</v>
      </c>
      <c r="AD228" s="1">
        <v>5</v>
      </c>
      <c r="AE228" s="1">
        <v>1</v>
      </c>
      <c r="AF228" s="1">
        <v>1</v>
      </c>
      <c r="AG228" s="208" t="s">
        <v>911</v>
      </c>
      <c r="AH228" s="1">
        <v>3480</v>
      </c>
      <c r="AI228" s="1" t="s">
        <v>1843</v>
      </c>
      <c r="AJ228" s="1">
        <v>0</v>
      </c>
      <c r="AK228" s="1" t="s">
        <v>328</v>
      </c>
      <c r="AL228" s="1" t="s">
        <v>2480</v>
      </c>
      <c r="AM228" s="1">
        <v>0.08</v>
      </c>
      <c r="AN228" s="1">
        <v>0.5</v>
      </c>
      <c r="AO228" s="1">
        <v>0.08</v>
      </c>
      <c r="AP228" s="1">
        <v>0.08</v>
      </c>
      <c r="AQ228" s="1">
        <v>1</v>
      </c>
      <c r="AR228" s="1" t="s">
        <v>1580</v>
      </c>
      <c r="AS228" s="1">
        <v>0</v>
      </c>
      <c r="AT228" s="1" t="s">
        <v>1806</v>
      </c>
      <c r="AU228" s="1">
        <v>10</v>
      </c>
      <c r="AV228" s="1">
        <v>17001</v>
      </c>
      <c r="AW228" s="1">
        <v>0</v>
      </c>
      <c r="AX228" t="b">
        <v>0</v>
      </c>
    </row>
    <row r="229" spans="1:50" x14ac:dyDescent="0.3">
      <c r="A229" s="1">
        <v>230</v>
      </c>
      <c r="B229" s="1" t="s">
        <v>2481</v>
      </c>
      <c r="C229" s="1" t="s">
        <v>2482</v>
      </c>
      <c r="D229" s="1">
        <v>4</v>
      </c>
      <c r="E229" s="1">
        <v>2</v>
      </c>
      <c r="F229" s="1">
        <v>7</v>
      </c>
      <c r="G229" s="1" t="s">
        <v>328</v>
      </c>
      <c r="H229" s="1" t="s">
        <v>328</v>
      </c>
      <c r="I229" s="1" t="s">
        <v>328</v>
      </c>
      <c r="J229" s="1" t="s">
        <v>328</v>
      </c>
      <c r="K229" s="1" t="s">
        <v>354</v>
      </c>
      <c r="L229" s="1" t="s">
        <v>893</v>
      </c>
      <c r="M229" s="1" t="s">
        <v>328</v>
      </c>
      <c r="N229" s="1" t="s">
        <v>328</v>
      </c>
      <c r="O229" s="1" t="s">
        <v>328</v>
      </c>
      <c r="P229" s="1" t="s">
        <v>328</v>
      </c>
      <c r="Q229" s="1" t="s">
        <v>328</v>
      </c>
      <c r="R229" s="1" t="s">
        <v>328</v>
      </c>
      <c r="S229" s="1" t="s">
        <v>328</v>
      </c>
      <c r="T229" s="1" t="s">
        <v>328</v>
      </c>
      <c r="U229" s="1">
        <v>0</v>
      </c>
      <c r="V229" s="1">
        <v>0</v>
      </c>
      <c r="W229" s="1">
        <v>0</v>
      </c>
      <c r="X229" s="1">
        <v>0</v>
      </c>
      <c r="Y229" s="1">
        <v>0</v>
      </c>
      <c r="Z229" s="1">
        <v>0</v>
      </c>
      <c r="AA229" s="1">
        <v>0</v>
      </c>
      <c r="AB229" s="1">
        <v>0</v>
      </c>
      <c r="AC229" s="1">
        <v>1</v>
      </c>
      <c r="AD229" s="1">
        <v>3</v>
      </c>
      <c r="AE229" s="1">
        <v>1</v>
      </c>
      <c r="AF229" s="1">
        <v>2</v>
      </c>
      <c r="AG229" s="208" t="s">
        <v>910</v>
      </c>
      <c r="AH229" s="1">
        <v>2700</v>
      </c>
      <c r="AI229" s="1" t="s">
        <v>1843</v>
      </c>
      <c r="AJ229" s="1">
        <v>0</v>
      </c>
      <c r="AK229" s="1" t="s">
        <v>328</v>
      </c>
      <c r="AL229" s="1" t="s">
        <v>2483</v>
      </c>
      <c r="AM229" s="1">
        <v>0.08</v>
      </c>
      <c r="AN229" s="1">
        <v>0.39</v>
      </c>
      <c r="AO229" s="1">
        <v>0.08</v>
      </c>
      <c r="AP229" s="1">
        <v>0.48</v>
      </c>
      <c r="AQ229" s="1">
        <v>1</v>
      </c>
      <c r="AR229" s="1" t="s">
        <v>1581</v>
      </c>
      <c r="AS229" s="1">
        <v>300901</v>
      </c>
      <c r="AT229" s="1" t="s">
        <v>1806</v>
      </c>
      <c r="AU229" s="1">
        <v>10</v>
      </c>
      <c r="AV229" s="1">
        <v>7003</v>
      </c>
      <c r="AW229" s="1">
        <v>0</v>
      </c>
      <c r="AX229" t="b">
        <v>0</v>
      </c>
    </row>
    <row r="230" spans="1:50" x14ac:dyDescent="0.3">
      <c r="A230" s="1">
        <v>231</v>
      </c>
      <c r="B230" s="1" t="s">
        <v>2484</v>
      </c>
      <c r="C230" s="1" t="s">
        <v>2485</v>
      </c>
      <c r="D230" s="1">
        <v>5</v>
      </c>
      <c r="E230" s="1">
        <v>2</v>
      </c>
      <c r="F230" s="1">
        <v>7</v>
      </c>
      <c r="G230" s="1" t="s">
        <v>328</v>
      </c>
      <c r="H230" s="1" t="s">
        <v>328</v>
      </c>
      <c r="I230" s="1" t="s">
        <v>328</v>
      </c>
      <c r="J230" s="1" t="s">
        <v>328</v>
      </c>
      <c r="K230" s="1" t="s">
        <v>358</v>
      </c>
      <c r="L230" s="1" t="s">
        <v>892</v>
      </c>
      <c r="M230" s="1" t="s">
        <v>328</v>
      </c>
      <c r="N230" s="1" t="s">
        <v>328</v>
      </c>
      <c r="O230" s="1" t="s">
        <v>328</v>
      </c>
      <c r="P230" s="1" t="s">
        <v>328</v>
      </c>
      <c r="Q230" s="1" t="s">
        <v>328</v>
      </c>
      <c r="R230" s="1" t="s">
        <v>328</v>
      </c>
      <c r="S230" s="1" t="s">
        <v>328</v>
      </c>
      <c r="T230" s="1" t="s">
        <v>328</v>
      </c>
      <c r="U230" s="1">
        <v>0</v>
      </c>
      <c r="V230" s="1">
        <v>0</v>
      </c>
      <c r="W230" s="1">
        <v>0</v>
      </c>
      <c r="X230" s="1">
        <v>0</v>
      </c>
      <c r="Y230" s="1">
        <v>0</v>
      </c>
      <c r="Z230" s="1">
        <v>0</v>
      </c>
      <c r="AA230" s="1">
        <v>0</v>
      </c>
      <c r="AB230" s="1">
        <v>0</v>
      </c>
      <c r="AC230" s="1">
        <v>1</v>
      </c>
      <c r="AD230" s="1">
        <v>4</v>
      </c>
      <c r="AE230" s="1">
        <v>1</v>
      </c>
      <c r="AF230" s="1">
        <v>3</v>
      </c>
      <c r="AG230" s="208" t="s">
        <v>909</v>
      </c>
      <c r="AH230" s="1">
        <v>3300</v>
      </c>
      <c r="AI230" s="1" t="s">
        <v>1843</v>
      </c>
      <c r="AJ230" s="1">
        <v>0</v>
      </c>
      <c r="AK230" s="1" t="s">
        <v>328</v>
      </c>
      <c r="AL230" s="1" t="s">
        <v>2486</v>
      </c>
      <c r="AM230" s="1">
        <v>0.08</v>
      </c>
      <c r="AN230" s="1">
        <v>0.39</v>
      </c>
      <c r="AO230" s="1">
        <v>0.08</v>
      </c>
      <c r="AP230" s="1">
        <v>0.48</v>
      </c>
      <c r="AQ230" s="1">
        <v>1</v>
      </c>
      <c r="AR230" s="1" t="s">
        <v>1581</v>
      </c>
      <c r="AS230" s="1">
        <v>300901</v>
      </c>
      <c r="AT230" s="1" t="s">
        <v>1806</v>
      </c>
      <c r="AU230" s="1">
        <v>10</v>
      </c>
      <c r="AV230" s="1">
        <v>7003</v>
      </c>
      <c r="AW230" s="1">
        <v>0</v>
      </c>
      <c r="AX230" t="b">
        <v>0</v>
      </c>
    </row>
    <row r="231" spans="1:50" x14ac:dyDescent="0.3">
      <c r="A231" s="1">
        <v>232</v>
      </c>
      <c r="B231" s="1" t="s">
        <v>2487</v>
      </c>
      <c r="C231" s="1" t="s">
        <v>2488</v>
      </c>
      <c r="D231" s="1">
        <v>3</v>
      </c>
      <c r="E231" s="1">
        <v>3</v>
      </c>
      <c r="F231" s="1">
        <v>9</v>
      </c>
      <c r="G231" s="1" t="s">
        <v>470</v>
      </c>
      <c r="H231" s="1" t="s">
        <v>328</v>
      </c>
      <c r="I231" s="1" t="s">
        <v>328</v>
      </c>
      <c r="J231" s="1" t="s">
        <v>328</v>
      </c>
      <c r="K231" s="1" t="s">
        <v>335</v>
      </c>
      <c r="L231" s="1" t="s">
        <v>902</v>
      </c>
      <c r="M231" s="1" t="s">
        <v>328</v>
      </c>
      <c r="N231" s="1" t="s">
        <v>328</v>
      </c>
      <c r="O231" s="1" t="s">
        <v>328</v>
      </c>
      <c r="P231" s="1" t="s">
        <v>328</v>
      </c>
      <c r="Q231" s="1" t="s">
        <v>328</v>
      </c>
      <c r="R231" s="1" t="s">
        <v>328</v>
      </c>
      <c r="S231" s="1" t="s">
        <v>328</v>
      </c>
      <c r="T231" s="1" t="s">
        <v>328</v>
      </c>
      <c r="U231" s="1">
        <v>0</v>
      </c>
      <c r="V231" s="1">
        <v>0</v>
      </c>
      <c r="W231" s="1">
        <v>0</v>
      </c>
      <c r="X231" s="1">
        <v>0</v>
      </c>
      <c r="Y231" s="1">
        <v>0</v>
      </c>
      <c r="Z231" s="1">
        <v>0</v>
      </c>
      <c r="AA231" s="1">
        <v>0</v>
      </c>
      <c r="AB231" s="1">
        <v>0</v>
      </c>
      <c r="AC231" s="1">
        <v>2</v>
      </c>
      <c r="AD231" s="1">
        <v>1</v>
      </c>
      <c r="AE231" s="1">
        <v>0</v>
      </c>
      <c r="AF231" s="1">
        <v>0</v>
      </c>
      <c r="AG231" s="208" t="s">
        <v>908</v>
      </c>
      <c r="AH231" s="1">
        <v>1560</v>
      </c>
      <c r="AI231" s="1" t="s">
        <v>1843</v>
      </c>
      <c r="AJ231" s="1">
        <v>0</v>
      </c>
      <c r="AK231" s="1" t="s">
        <v>328</v>
      </c>
      <c r="AL231" s="1" t="s">
        <v>2489</v>
      </c>
      <c r="AM231" s="1">
        <v>0.3</v>
      </c>
      <c r="AN231" s="1">
        <v>0.23</v>
      </c>
      <c r="AO231" s="1">
        <v>0.15</v>
      </c>
      <c r="AP231" s="1">
        <v>0.38</v>
      </c>
      <c r="AQ231" s="1">
        <v>1</v>
      </c>
      <c r="AR231" s="1" t="s">
        <v>1582</v>
      </c>
      <c r="AS231" s="1">
        <v>0</v>
      </c>
      <c r="AT231" s="1" t="s">
        <v>1806</v>
      </c>
      <c r="AU231" s="1">
        <v>10</v>
      </c>
      <c r="AV231" s="1">
        <v>9001</v>
      </c>
      <c r="AW231" s="1">
        <v>0</v>
      </c>
      <c r="AX231" t="b">
        <v>0</v>
      </c>
    </row>
    <row r="232" spans="1:50" x14ac:dyDescent="0.3">
      <c r="A232" s="1">
        <v>233</v>
      </c>
      <c r="B232" s="1" t="s">
        <v>2490</v>
      </c>
      <c r="C232" s="1" t="s">
        <v>2491</v>
      </c>
      <c r="D232" s="1">
        <v>4</v>
      </c>
      <c r="E232" s="1">
        <v>3</v>
      </c>
      <c r="F232" s="1">
        <v>9</v>
      </c>
      <c r="G232" s="1" t="s">
        <v>337</v>
      </c>
      <c r="H232" s="1" t="s">
        <v>328</v>
      </c>
      <c r="I232" s="1" t="s">
        <v>328</v>
      </c>
      <c r="J232" s="1" t="s">
        <v>328</v>
      </c>
      <c r="K232" s="1" t="s">
        <v>402</v>
      </c>
      <c r="L232" s="1" t="s">
        <v>902</v>
      </c>
      <c r="M232" s="1" t="s">
        <v>328</v>
      </c>
      <c r="N232" s="1" t="s">
        <v>328</v>
      </c>
      <c r="O232" s="1" t="s">
        <v>328</v>
      </c>
      <c r="P232" s="1" t="s">
        <v>328</v>
      </c>
      <c r="Q232" s="1" t="s">
        <v>328</v>
      </c>
      <c r="R232" s="1" t="s">
        <v>328</v>
      </c>
      <c r="S232" s="1" t="s">
        <v>328</v>
      </c>
      <c r="T232" s="1" t="s">
        <v>328</v>
      </c>
      <c r="U232" s="1">
        <v>0</v>
      </c>
      <c r="V232" s="1">
        <v>0</v>
      </c>
      <c r="W232" s="1">
        <v>0</v>
      </c>
      <c r="X232" s="1">
        <v>0</v>
      </c>
      <c r="Y232" s="1">
        <v>0</v>
      </c>
      <c r="Z232" s="1">
        <v>0</v>
      </c>
      <c r="AA232" s="1">
        <v>0</v>
      </c>
      <c r="AB232" s="1">
        <v>0</v>
      </c>
      <c r="AC232" s="1">
        <v>3</v>
      </c>
      <c r="AD232" s="1">
        <v>2</v>
      </c>
      <c r="AE232" s="1">
        <v>0</v>
      </c>
      <c r="AF232" s="1">
        <v>1</v>
      </c>
      <c r="AG232" s="208" t="s">
        <v>907</v>
      </c>
      <c r="AH232" s="1">
        <v>2460</v>
      </c>
      <c r="AI232" s="1" t="s">
        <v>1843</v>
      </c>
      <c r="AJ232" s="1">
        <v>0</v>
      </c>
      <c r="AK232" s="1" t="s">
        <v>328</v>
      </c>
      <c r="AL232" s="1" t="s">
        <v>2492</v>
      </c>
      <c r="AM232" s="1">
        <v>0.3</v>
      </c>
      <c r="AN232" s="1">
        <v>0.23</v>
      </c>
      <c r="AO232" s="1">
        <v>0.15</v>
      </c>
      <c r="AP232" s="1">
        <v>0.38</v>
      </c>
      <c r="AQ232" s="1">
        <v>1</v>
      </c>
      <c r="AR232" s="1" t="s">
        <v>1582</v>
      </c>
      <c r="AS232" s="1">
        <v>0</v>
      </c>
      <c r="AT232" s="1" t="s">
        <v>1806</v>
      </c>
      <c r="AU232" s="1">
        <v>10</v>
      </c>
      <c r="AV232" s="1">
        <v>9001</v>
      </c>
      <c r="AW232" s="1">
        <v>0</v>
      </c>
      <c r="AX232" t="b">
        <v>0</v>
      </c>
    </row>
    <row r="233" spans="1:50" x14ac:dyDescent="0.3">
      <c r="A233" s="1">
        <v>234</v>
      </c>
      <c r="B233" s="1" t="s">
        <v>2493</v>
      </c>
      <c r="C233" s="1" t="s">
        <v>2494</v>
      </c>
      <c r="D233" s="1">
        <v>5</v>
      </c>
      <c r="E233" s="1">
        <v>3</v>
      </c>
      <c r="F233" s="1">
        <v>9</v>
      </c>
      <c r="G233" s="1" t="s">
        <v>402</v>
      </c>
      <c r="H233" s="1" t="s">
        <v>328</v>
      </c>
      <c r="I233" s="1" t="s">
        <v>328</v>
      </c>
      <c r="J233" s="1" t="s">
        <v>328</v>
      </c>
      <c r="K233" s="1" t="s">
        <v>375</v>
      </c>
      <c r="L233" s="1" t="s">
        <v>902</v>
      </c>
      <c r="M233" s="1" t="s">
        <v>328</v>
      </c>
      <c r="N233" s="1" t="s">
        <v>328</v>
      </c>
      <c r="O233" s="1" t="s">
        <v>328</v>
      </c>
      <c r="P233" s="1" t="s">
        <v>328</v>
      </c>
      <c r="Q233" s="1" t="s">
        <v>328</v>
      </c>
      <c r="R233" s="1" t="s">
        <v>328</v>
      </c>
      <c r="S233" s="1" t="s">
        <v>328</v>
      </c>
      <c r="T233" s="1" t="s">
        <v>328</v>
      </c>
      <c r="U233" s="1">
        <v>0</v>
      </c>
      <c r="V233" s="1">
        <v>0</v>
      </c>
      <c r="W233" s="1">
        <v>0</v>
      </c>
      <c r="X233" s="1">
        <v>0</v>
      </c>
      <c r="Y233" s="1">
        <v>0</v>
      </c>
      <c r="Z233" s="1">
        <v>0</v>
      </c>
      <c r="AA233" s="1">
        <v>0</v>
      </c>
      <c r="AB233" s="1">
        <v>0</v>
      </c>
      <c r="AC233" s="1">
        <v>4</v>
      </c>
      <c r="AD233" s="1">
        <v>3</v>
      </c>
      <c r="AE233" s="1">
        <v>0</v>
      </c>
      <c r="AF233" s="1">
        <v>2</v>
      </c>
      <c r="AG233" s="208" t="s">
        <v>906</v>
      </c>
      <c r="AH233" s="1">
        <v>3060</v>
      </c>
      <c r="AI233" s="1" t="s">
        <v>1843</v>
      </c>
      <c r="AJ233" s="1">
        <v>0</v>
      </c>
      <c r="AK233" s="1" t="s">
        <v>328</v>
      </c>
      <c r="AL233" s="1" t="s">
        <v>2495</v>
      </c>
      <c r="AM233" s="1">
        <v>0.3</v>
      </c>
      <c r="AN233" s="1">
        <v>0.23</v>
      </c>
      <c r="AO233" s="1">
        <v>0.15</v>
      </c>
      <c r="AP233" s="1">
        <v>0.38</v>
      </c>
      <c r="AQ233" s="1">
        <v>1</v>
      </c>
      <c r="AR233" s="1" t="s">
        <v>1583</v>
      </c>
      <c r="AS233" s="1">
        <v>0</v>
      </c>
      <c r="AT233" s="1" t="s">
        <v>1806</v>
      </c>
      <c r="AU233" s="1">
        <v>10</v>
      </c>
      <c r="AV233" s="1">
        <v>9001</v>
      </c>
      <c r="AW233" s="1">
        <v>0</v>
      </c>
      <c r="AX233" t="b">
        <v>0</v>
      </c>
    </row>
    <row r="234" spans="1:50" x14ac:dyDescent="0.3">
      <c r="A234" s="1">
        <v>235</v>
      </c>
      <c r="B234" s="1" t="s">
        <v>2496</v>
      </c>
      <c r="C234" s="1" t="s">
        <v>2497</v>
      </c>
      <c r="D234" s="1">
        <v>5</v>
      </c>
      <c r="E234" s="1">
        <v>2</v>
      </c>
      <c r="F234" s="1">
        <v>7</v>
      </c>
      <c r="G234" s="1" t="s">
        <v>328</v>
      </c>
      <c r="H234" s="1" t="s">
        <v>356</v>
      </c>
      <c r="I234" s="1" t="s">
        <v>328</v>
      </c>
      <c r="J234" s="1" t="s">
        <v>328</v>
      </c>
      <c r="K234" s="1" t="s">
        <v>328</v>
      </c>
      <c r="L234" s="1" t="s">
        <v>328</v>
      </c>
      <c r="M234" s="1" t="s">
        <v>328</v>
      </c>
      <c r="N234" s="1" t="s">
        <v>328</v>
      </c>
      <c r="O234" s="1" t="s">
        <v>328</v>
      </c>
      <c r="P234" s="1" t="s">
        <v>328</v>
      </c>
      <c r="Q234" s="1" t="s">
        <v>328</v>
      </c>
      <c r="R234" s="1" t="s">
        <v>328</v>
      </c>
      <c r="S234" s="1" t="s">
        <v>328</v>
      </c>
      <c r="T234" s="1" t="s">
        <v>328</v>
      </c>
      <c r="U234" s="1">
        <v>0</v>
      </c>
      <c r="V234" s="1">
        <v>0</v>
      </c>
      <c r="W234" s="1">
        <v>0</v>
      </c>
      <c r="X234" s="1">
        <v>0</v>
      </c>
      <c r="Y234" s="1">
        <v>0</v>
      </c>
      <c r="Z234" s="1">
        <v>0</v>
      </c>
      <c r="AA234" s="1">
        <v>0</v>
      </c>
      <c r="AB234" s="1">
        <v>0</v>
      </c>
      <c r="AC234" s="1">
        <v>1</v>
      </c>
      <c r="AD234" s="1">
        <v>4</v>
      </c>
      <c r="AE234" s="1">
        <v>1</v>
      </c>
      <c r="AF234" s="1">
        <v>3</v>
      </c>
      <c r="AG234" s="208" t="s">
        <v>905</v>
      </c>
      <c r="AH234" s="1">
        <v>3420</v>
      </c>
      <c r="AI234" s="1" t="s">
        <v>1843</v>
      </c>
      <c r="AJ234" s="1">
        <v>0</v>
      </c>
      <c r="AK234" s="1" t="s">
        <v>328</v>
      </c>
      <c r="AL234" s="1" t="s">
        <v>2498</v>
      </c>
      <c r="AM234" s="1">
        <v>0.08</v>
      </c>
      <c r="AN234" s="1">
        <v>0.39</v>
      </c>
      <c r="AO234" s="1">
        <v>0.08</v>
      </c>
      <c r="AP234" s="1">
        <v>0.48</v>
      </c>
      <c r="AQ234" s="1">
        <v>1</v>
      </c>
      <c r="AR234" s="1" t="s">
        <v>1493</v>
      </c>
      <c r="AS234" s="1">
        <v>0</v>
      </c>
      <c r="AT234" s="1" t="s">
        <v>2499</v>
      </c>
      <c r="AU234" s="1">
        <v>10</v>
      </c>
      <c r="AV234" s="1">
        <v>7004</v>
      </c>
      <c r="AW234" s="1">
        <v>0</v>
      </c>
      <c r="AX234" t="b">
        <v>0</v>
      </c>
    </row>
    <row r="235" spans="1:50" x14ac:dyDescent="0.3">
      <c r="A235" s="1">
        <v>236</v>
      </c>
      <c r="B235" s="1" t="s">
        <v>2500</v>
      </c>
      <c r="C235" s="1" t="s">
        <v>2501</v>
      </c>
      <c r="D235" s="1">
        <v>5</v>
      </c>
      <c r="E235" s="1">
        <v>3</v>
      </c>
      <c r="F235" s="1">
        <v>20</v>
      </c>
      <c r="G235" s="1" t="s">
        <v>1607</v>
      </c>
      <c r="H235" s="1" t="s">
        <v>328</v>
      </c>
      <c r="I235" s="1" t="s">
        <v>363</v>
      </c>
      <c r="J235" s="1" t="s">
        <v>328</v>
      </c>
      <c r="K235" s="1" t="s">
        <v>328</v>
      </c>
      <c r="L235" s="1" t="s">
        <v>328</v>
      </c>
      <c r="M235" s="1" t="s">
        <v>328</v>
      </c>
      <c r="N235" s="1" t="s">
        <v>328</v>
      </c>
      <c r="O235" s="1" t="s">
        <v>328</v>
      </c>
      <c r="P235" s="1" t="s">
        <v>328</v>
      </c>
      <c r="Q235" s="1" t="s">
        <v>328</v>
      </c>
      <c r="R235" s="1" t="s">
        <v>328</v>
      </c>
      <c r="S235" s="1" t="s">
        <v>328</v>
      </c>
      <c r="T235" s="1" t="s">
        <v>328</v>
      </c>
      <c r="U235" s="1">
        <v>0</v>
      </c>
      <c r="V235" s="1">
        <v>0</v>
      </c>
      <c r="W235" s="1">
        <v>0</v>
      </c>
      <c r="X235" s="1">
        <v>0</v>
      </c>
      <c r="Y235" s="1">
        <v>0</v>
      </c>
      <c r="Z235" s="1">
        <v>0</v>
      </c>
      <c r="AA235" s="1">
        <v>0</v>
      </c>
      <c r="AB235" s="1">
        <v>0</v>
      </c>
      <c r="AC235" s="1">
        <v>4</v>
      </c>
      <c r="AD235" s="1">
        <v>2</v>
      </c>
      <c r="AE235" s="1">
        <v>0</v>
      </c>
      <c r="AF235" s="1">
        <v>4</v>
      </c>
      <c r="AG235" s="208" t="s">
        <v>76</v>
      </c>
      <c r="AH235" s="1">
        <v>3120</v>
      </c>
      <c r="AI235" s="1" t="s">
        <v>2502</v>
      </c>
      <c r="AJ235" s="1">
        <v>0</v>
      </c>
      <c r="AK235" s="1" t="s">
        <v>903</v>
      </c>
      <c r="AL235" s="1" t="s">
        <v>2503</v>
      </c>
      <c r="AM235" s="1">
        <v>0.3</v>
      </c>
      <c r="AN235" s="1">
        <v>0.25</v>
      </c>
      <c r="AO235" s="1">
        <v>0.12</v>
      </c>
      <c r="AP235" s="1">
        <v>0.38</v>
      </c>
      <c r="AQ235" s="1">
        <v>3</v>
      </c>
      <c r="AR235" s="1" t="s">
        <v>1584</v>
      </c>
      <c r="AS235" s="1">
        <v>116202</v>
      </c>
      <c r="AT235" s="1" t="s">
        <v>2504</v>
      </c>
      <c r="AU235" s="1">
        <v>10</v>
      </c>
      <c r="AV235" s="1">
        <v>20036</v>
      </c>
      <c r="AW235" s="1">
        <v>0</v>
      </c>
      <c r="AX235" t="b">
        <v>0</v>
      </c>
    </row>
    <row r="236" spans="1:50" x14ac:dyDescent="0.3">
      <c r="A236" s="1">
        <v>237</v>
      </c>
      <c r="B236" s="1" t="s">
        <v>2505</v>
      </c>
      <c r="C236" s="1" t="s">
        <v>2506</v>
      </c>
      <c r="D236" s="1">
        <v>5</v>
      </c>
      <c r="E236" s="1">
        <v>3</v>
      </c>
      <c r="F236" s="1">
        <v>20</v>
      </c>
      <c r="G236" s="1" t="s">
        <v>328</v>
      </c>
      <c r="H236" s="1" t="s">
        <v>328</v>
      </c>
      <c r="I236" s="1" t="s">
        <v>932</v>
      </c>
      <c r="J236" s="1" t="s">
        <v>364</v>
      </c>
      <c r="K236" s="1" t="s">
        <v>328</v>
      </c>
      <c r="L236" s="1" t="s">
        <v>328</v>
      </c>
      <c r="M236" s="1" t="s">
        <v>328</v>
      </c>
      <c r="N236" s="1" t="s">
        <v>328</v>
      </c>
      <c r="O236" s="1" t="s">
        <v>328</v>
      </c>
      <c r="P236" s="1" t="s">
        <v>328</v>
      </c>
      <c r="Q236" s="1" t="s">
        <v>328</v>
      </c>
      <c r="R236" s="1" t="s">
        <v>328</v>
      </c>
      <c r="S236" s="1" t="s">
        <v>328</v>
      </c>
      <c r="T236" s="1" t="s">
        <v>328</v>
      </c>
      <c r="U236" s="1">
        <v>0</v>
      </c>
      <c r="V236" s="1">
        <v>0</v>
      </c>
      <c r="W236" s="1">
        <v>0</v>
      </c>
      <c r="X236" s="1">
        <v>0</v>
      </c>
      <c r="Y236" s="1">
        <v>0</v>
      </c>
      <c r="Z236" s="1">
        <v>0</v>
      </c>
      <c r="AA236" s="1">
        <v>0</v>
      </c>
      <c r="AB236" s="1">
        <v>0</v>
      </c>
      <c r="AC236" s="1">
        <v>4</v>
      </c>
      <c r="AD236" s="1">
        <v>2</v>
      </c>
      <c r="AE236" s="1">
        <v>0</v>
      </c>
      <c r="AF236" s="1">
        <v>4</v>
      </c>
      <c r="AG236" s="208" t="s">
        <v>120</v>
      </c>
      <c r="AH236" s="1">
        <v>3120</v>
      </c>
      <c r="AI236" s="1" t="s">
        <v>1843</v>
      </c>
      <c r="AJ236" s="1">
        <v>0</v>
      </c>
      <c r="AK236" s="1" t="s">
        <v>933</v>
      </c>
      <c r="AL236" s="1" t="s">
        <v>2507</v>
      </c>
      <c r="AM236" s="1">
        <v>0.3</v>
      </c>
      <c r="AN236" s="1">
        <v>0.25</v>
      </c>
      <c r="AO236" s="1">
        <v>0.12</v>
      </c>
      <c r="AP236" s="1">
        <v>0.38</v>
      </c>
      <c r="AQ236" s="1">
        <v>3</v>
      </c>
      <c r="AR236" s="1" t="s">
        <v>1572</v>
      </c>
      <c r="AS236" s="1">
        <v>0</v>
      </c>
      <c r="AT236" s="1" t="s">
        <v>2508</v>
      </c>
      <c r="AU236" s="1">
        <v>10</v>
      </c>
      <c r="AV236" s="1">
        <v>20037</v>
      </c>
      <c r="AW236" s="1">
        <v>0</v>
      </c>
      <c r="AX236" t="b">
        <v>0</v>
      </c>
    </row>
    <row r="237" spans="1:50" x14ac:dyDescent="0.3">
      <c r="A237" s="1">
        <v>238</v>
      </c>
      <c r="B237" s="1" t="s">
        <v>2509</v>
      </c>
      <c r="C237" s="1" t="s">
        <v>2510</v>
      </c>
      <c r="D237" s="1">
        <v>5</v>
      </c>
      <c r="E237" s="1">
        <v>2</v>
      </c>
      <c r="F237" s="1">
        <v>19</v>
      </c>
      <c r="G237" s="1" t="s">
        <v>324</v>
      </c>
      <c r="H237" s="1" t="s">
        <v>328</v>
      </c>
      <c r="I237" s="1" t="s">
        <v>328</v>
      </c>
      <c r="J237" s="1" t="s">
        <v>328</v>
      </c>
      <c r="K237" s="1" t="s">
        <v>328</v>
      </c>
      <c r="L237" s="1" t="s">
        <v>328</v>
      </c>
      <c r="M237" s="1" t="s">
        <v>328</v>
      </c>
      <c r="N237" s="1" t="s">
        <v>328</v>
      </c>
      <c r="O237" s="1" t="s">
        <v>328</v>
      </c>
      <c r="P237" s="1" t="s">
        <v>328</v>
      </c>
      <c r="Q237" s="1" t="s">
        <v>328</v>
      </c>
      <c r="R237" s="1" t="s">
        <v>328</v>
      </c>
      <c r="S237" s="1" t="s">
        <v>328</v>
      </c>
      <c r="T237" s="1" t="s">
        <v>328</v>
      </c>
      <c r="U237" s="1">
        <v>0</v>
      </c>
      <c r="V237" s="1">
        <v>150</v>
      </c>
      <c r="W237" s="1">
        <v>0</v>
      </c>
      <c r="X237" s="1">
        <v>0</v>
      </c>
      <c r="Y237" s="1">
        <v>0</v>
      </c>
      <c r="Z237" s="1">
        <v>0</v>
      </c>
      <c r="AA237" s="1">
        <v>0</v>
      </c>
      <c r="AB237" s="1">
        <v>0</v>
      </c>
      <c r="AC237" s="1">
        <v>4</v>
      </c>
      <c r="AD237" s="1">
        <v>4</v>
      </c>
      <c r="AE237" s="1">
        <v>0</v>
      </c>
      <c r="AF237" s="1">
        <v>2</v>
      </c>
      <c r="AG237" s="208" t="s">
        <v>937</v>
      </c>
      <c r="AH237" s="1">
        <v>3600</v>
      </c>
      <c r="AI237" s="1" t="s">
        <v>2511</v>
      </c>
      <c r="AJ237" s="1">
        <v>0</v>
      </c>
      <c r="AK237" s="1" t="s">
        <v>930</v>
      </c>
      <c r="AL237" s="1" t="s">
        <v>2512</v>
      </c>
      <c r="AM237" s="1">
        <v>0.48</v>
      </c>
      <c r="AN237" s="1">
        <v>0.48</v>
      </c>
      <c r="AO237" s="1">
        <v>0.08</v>
      </c>
      <c r="AP237" s="1">
        <v>0.25</v>
      </c>
      <c r="AQ237" s="1">
        <v>3</v>
      </c>
      <c r="AR237" s="1" t="s">
        <v>1473</v>
      </c>
      <c r="AS237" s="1">
        <v>0</v>
      </c>
      <c r="AT237" s="1" t="s">
        <v>2468</v>
      </c>
      <c r="AU237" s="1">
        <v>10</v>
      </c>
      <c r="AV237" s="1">
        <v>19029</v>
      </c>
      <c r="AW237" s="1">
        <v>0</v>
      </c>
      <c r="AX237" t="b">
        <v>0</v>
      </c>
    </row>
    <row r="238" spans="1:50" x14ac:dyDescent="0.3">
      <c r="A238" s="1">
        <v>239</v>
      </c>
      <c r="B238" s="1" t="s">
        <v>2513</v>
      </c>
      <c r="C238" s="1" t="s">
        <v>2514</v>
      </c>
      <c r="D238" s="1">
        <v>5</v>
      </c>
      <c r="E238" s="1">
        <v>2</v>
      </c>
      <c r="F238" s="1">
        <v>19</v>
      </c>
      <c r="G238" s="1" t="s">
        <v>376</v>
      </c>
      <c r="H238" s="1" t="s">
        <v>328</v>
      </c>
      <c r="I238" s="1" t="s">
        <v>328</v>
      </c>
      <c r="J238" s="1" t="s">
        <v>328</v>
      </c>
      <c r="K238" s="1" t="s">
        <v>328</v>
      </c>
      <c r="L238" s="1" t="s">
        <v>328</v>
      </c>
      <c r="M238" s="1" t="s">
        <v>328</v>
      </c>
      <c r="N238" s="1" t="s">
        <v>934</v>
      </c>
      <c r="O238" s="1" t="s">
        <v>328</v>
      </c>
      <c r="P238" s="1" t="s">
        <v>328</v>
      </c>
      <c r="Q238" s="1" t="s">
        <v>328</v>
      </c>
      <c r="R238" s="1" t="s">
        <v>328</v>
      </c>
      <c r="S238" s="1" t="s">
        <v>328</v>
      </c>
      <c r="T238" s="1" t="s">
        <v>328</v>
      </c>
      <c r="U238" s="1">
        <v>0</v>
      </c>
      <c r="V238" s="1">
        <v>0</v>
      </c>
      <c r="W238" s="1">
        <v>0</v>
      </c>
      <c r="X238" s="1">
        <v>0</v>
      </c>
      <c r="Y238" s="1">
        <v>0</v>
      </c>
      <c r="Z238" s="1">
        <v>0</v>
      </c>
      <c r="AA238" s="1">
        <v>0</v>
      </c>
      <c r="AB238" s="1">
        <v>0</v>
      </c>
      <c r="AC238" s="1">
        <v>0</v>
      </c>
      <c r="AD238" s="1">
        <v>4</v>
      </c>
      <c r="AE238" s="1">
        <v>2</v>
      </c>
      <c r="AF238" s="1">
        <v>3</v>
      </c>
      <c r="AG238" s="208" t="s">
        <v>926</v>
      </c>
      <c r="AH238" s="1">
        <v>3300</v>
      </c>
      <c r="AI238" s="1" t="s">
        <v>2515</v>
      </c>
      <c r="AJ238" s="1">
        <v>0</v>
      </c>
      <c r="AK238" s="1" t="s">
        <v>929</v>
      </c>
      <c r="AL238" s="1" t="s">
        <v>2516</v>
      </c>
      <c r="AM238" s="1">
        <v>0.08</v>
      </c>
      <c r="AN238" s="1">
        <v>0.5</v>
      </c>
      <c r="AO238" s="1">
        <v>0.3</v>
      </c>
      <c r="AP238" s="1">
        <v>0.3</v>
      </c>
      <c r="AQ238" s="1">
        <v>3</v>
      </c>
      <c r="AR238" s="1" t="s">
        <v>1580</v>
      </c>
      <c r="AS238" s="1">
        <v>0</v>
      </c>
      <c r="AT238" s="1" t="s">
        <v>2517</v>
      </c>
      <c r="AU238" s="1">
        <v>10</v>
      </c>
      <c r="AV238" s="1">
        <v>19030</v>
      </c>
      <c r="AW238" s="1">
        <v>0</v>
      </c>
      <c r="AX238" t="b">
        <v>0</v>
      </c>
    </row>
    <row r="239" spans="1:50" x14ac:dyDescent="0.3">
      <c r="A239" s="1">
        <v>240</v>
      </c>
      <c r="B239" s="1" t="s">
        <v>2518</v>
      </c>
      <c r="C239" s="1" t="s">
        <v>2519</v>
      </c>
      <c r="D239" s="1">
        <v>5</v>
      </c>
      <c r="E239" s="1">
        <v>3</v>
      </c>
      <c r="F239" s="1">
        <v>20</v>
      </c>
      <c r="G239" s="1" t="s">
        <v>328</v>
      </c>
      <c r="H239" s="1" t="s">
        <v>328</v>
      </c>
      <c r="I239" s="1" t="s">
        <v>328</v>
      </c>
      <c r="J239" s="1" t="s">
        <v>364</v>
      </c>
      <c r="K239" s="1" t="s">
        <v>328</v>
      </c>
      <c r="L239" s="1" t="s">
        <v>328</v>
      </c>
      <c r="M239" s="1" t="s">
        <v>328</v>
      </c>
      <c r="N239" s="1" t="s">
        <v>328</v>
      </c>
      <c r="O239" s="1" t="s">
        <v>358</v>
      </c>
      <c r="P239" s="1" t="s">
        <v>328</v>
      </c>
      <c r="Q239" s="1" t="s">
        <v>328</v>
      </c>
      <c r="R239" s="1" t="s">
        <v>328</v>
      </c>
      <c r="S239" s="1" t="s">
        <v>328</v>
      </c>
      <c r="T239" s="1" t="s">
        <v>328</v>
      </c>
      <c r="U239" s="1">
        <v>0</v>
      </c>
      <c r="V239" s="1">
        <v>0</v>
      </c>
      <c r="W239" s="1">
        <v>0</v>
      </c>
      <c r="X239" s="1">
        <v>0</v>
      </c>
      <c r="Y239" s="1">
        <v>0</v>
      </c>
      <c r="Z239" s="1">
        <v>0</v>
      </c>
      <c r="AA239" s="1">
        <v>0</v>
      </c>
      <c r="AB239" s="1">
        <v>0</v>
      </c>
      <c r="AC239" s="1">
        <v>2</v>
      </c>
      <c r="AD239" s="1">
        <v>2</v>
      </c>
      <c r="AE239" s="1">
        <v>3</v>
      </c>
      <c r="AF239" s="1">
        <v>3</v>
      </c>
      <c r="AG239" s="208" t="s">
        <v>927</v>
      </c>
      <c r="AH239" s="1">
        <v>3060</v>
      </c>
      <c r="AI239" s="1" t="s">
        <v>1843</v>
      </c>
      <c r="AJ239" s="1">
        <v>0</v>
      </c>
      <c r="AK239" s="1" t="s">
        <v>935</v>
      </c>
      <c r="AL239" s="1" t="s">
        <v>2520</v>
      </c>
      <c r="AM239" s="1">
        <v>0.23</v>
      </c>
      <c r="AN239" s="1">
        <v>0.23</v>
      </c>
      <c r="AO239" s="1">
        <v>0.33</v>
      </c>
      <c r="AP239" s="1">
        <v>0.33</v>
      </c>
      <c r="AQ239" s="1">
        <v>3</v>
      </c>
      <c r="AR239" s="1" t="s">
        <v>1585</v>
      </c>
      <c r="AS239" s="1">
        <v>0</v>
      </c>
      <c r="AT239" s="1" t="s">
        <v>1806</v>
      </c>
      <c r="AU239" s="1">
        <v>10</v>
      </c>
      <c r="AV239" s="1">
        <v>20038</v>
      </c>
      <c r="AW239" s="1">
        <v>0</v>
      </c>
      <c r="AX239" t="b">
        <v>0</v>
      </c>
    </row>
    <row r="240" spans="1:50" x14ac:dyDescent="0.3">
      <c r="A240" s="1">
        <v>241</v>
      </c>
      <c r="B240" s="1" t="s">
        <v>2521</v>
      </c>
      <c r="C240" s="1" t="s">
        <v>2522</v>
      </c>
      <c r="D240" s="1">
        <v>5</v>
      </c>
      <c r="E240" s="1">
        <v>2</v>
      </c>
      <c r="F240" s="1">
        <v>19</v>
      </c>
      <c r="G240" s="1" t="s">
        <v>398</v>
      </c>
      <c r="H240" s="1" t="s">
        <v>406</v>
      </c>
      <c r="I240" s="1" t="s">
        <v>328</v>
      </c>
      <c r="J240" s="1" t="s">
        <v>328</v>
      </c>
      <c r="K240" s="1" t="s">
        <v>328</v>
      </c>
      <c r="L240" s="1" t="s">
        <v>328</v>
      </c>
      <c r="M240" s="1" t="s">
        <v>328</v>
      </c>
      <c r="N240" s="1" t="s">
        <v>352</v>
      </c>
      <c r="O240" s="1" t="s">
        <v>328</v>
      </c>
      <c r="P240" s="1" t="s">
        <v>328</v>
      </c>
      <c r="Q240" s="1" t="s">
        <v>328</v>
      </c>
      <c r="R240" s="1" t="s">
        <v>328</v>
      </c>
      <c r="S240" s="1" t="s">
        <v>328</v>
      </c>
      <c r="T240" s="1" t="s">
        <v>328</v>
      </c>
      <c r="U240" s="1">
        <v>0</v>
      </c>
      <c r="V240" s="1">
        <v>0</v>
      </c>
      <c r="W240" s="1">
        <v>0</v>
      </c>
      <c r="X240" s="1">
        <v>0</v>
      </c>
      <c r="Y240" s="1">
        <v>0</v>
      </c>
      <c r="Z240" s="1">
        <v>0</v>
      </c>
      <c r="AA240" s="1">
        <v>0</v>
      </c>
      <c r="AB240" s="1">
        <v>0</v>
      </c>
      <c r="AC240" s="1">
        <v>0</v>
      </c>
      <c r="AD240" s="1">
        <v>4</v>
      </c>
      <c r="AE240" s="1">
        <v>2</v>
      </c>
      <c r="AF240" s="1">
        <v>3</v>
      </c>
      <c r="AG240" s="208" t="s">
        <v>928</v>
      </c>
      <c r="AH240" s="1">
        <v>3300</v>
      </c>
      <c r="AI240" s="1" t="s">
        <v>1843</v>
      </c>
      <c r="AJ240" s="1">
        <v>0</v>
      </c>
      <c r="AK240" s="1" t="s">
        <v>936</v>
      </c>
      <c r="AL240" s="1" t="s">
        <v>2523</v>
      </c>
      <c r="AM240" s="1">
        <v>0.08</v>
      </c>
      <c r="AN240" s="1">
        <v>0.5</v>
      </c>
      <c r="AO240" s="1">
        <v>0.3</v>
      </c>
      <c r="AP240" s="1">
        <v>0.3</v>
      </c>
      <c r="AQ240" s="1">
        <v>3</v>
      </c>
      <c r="AR240" s="1" t="s">
        <v>1586</v>
      </c>
      <c r="AS240" s="1">
        <v>0</v>
      </c>
      <c r="AT240" s="1" t="s">
        <v>1806</v>
      </c>
      <c r="AU240" s="1">
        <v>10</v>
      </c>
      <c r="AV240" s="1">
        <v>19031</v>
      </c>
      <c r="AW240" s="1">
        <v>0</v>
      </c>
      <c r="AX240" t="b">
        <v>0</v>
      </c>
    </row>
    <row r="241" spans="1:50" x14ac:dyDescent="0.3">
      <c r="A241" s="1">
        <v>242</v>
      </c>
      <c r="B241" s="1" t="s">
        <v>2524</v>
      </c>
      <c r="C241" s="1" t="s">
        <v>2525</v>
      </c>
      <c r="D241" s="1">
        <v>5</v>
      </c>
      <c r="E241" s="1">
        <v>2</v>
      </c>
      <c r="F241" s="1">
        <v>19</v>
      </c>
      <c r="G241" s="1" t="s">
        <v>331</v>
      </c>
      <c r="H241" s="1" t="s">
        <v>328</v>
      </c>
      <c r="I241" s="1" t="s">
        <v>328</v>
      </c>
      <c r="J241" s="1" t="s">
        <v>328</v>
      </c>
      <c r="K241" s="1" t="s">
        <v>328</v>
      </c>
      <c r="L241" s="1" t="s">
        <v>328</v>
      </c>
      <c r="M241" s="1" t="s">
        <v>328</v>
      </c>
      <c r="N241" s="1" t="s">
        <v>352</v>
      </c>
      <c r="O241" s="1" t="s">
        <v>328</v>
      </c>
      <c r="P241" s="1" t="s">
        <v>328</v>
      </c>
      <c r="Q241" s="1" t="s">
        <v>328</v>
      </c>
      <c r="R241" s="1" t="s">
        <v>328</v>
      </c>
      <c r="S241" s="1" t="s">
        <v>328</v>
      </c>
      <c r="T241" s="1" t="s">
        <v>328</v>
      </c>
      <c r="U241" s="1">
        <v>0</v>
      </c>
      <c r="V241" s="1">
        <v>0</v>
      </c>
      <c r="W241" s="1">
        <v>0</v>
      </c>
      <c r="X241" s="1">
        <v>0</v>
      </c>
      <c r="Y241" s="1">
        <v>0</v>
      </c>
      <c r="Z241" s="1">
        <v>0</v>
      </c>
      <c r="AA241" s="1">
        <v>0</v>
      </c>
      <c r="AB241" s="1">
        <v>0</v>
      </c>
      <c r="AC241" s="1">
        <v>0</v>
      </c>
      <c r="AD241" s="1">
        <v>4</v>
      </c>
      <c r="AE241" s="1">
        <v>2</v>
      </c>
      <c r="AF241" s="1">
        <v>3</v>
      </c>
      <c r="AG241" s="208" t="s">
        <v>92</v>
      </c>
      <c r="AH241" s="1">
        <v>3300</v>
      </c>
      <c r="AI241" s="1" t="s">
        <v>1843</v>
      </c>
      <c r="AJ241" s="1">
        <v>0</v>
      </c>
      <c r="AK241" s="1" t="s">
        <v>1587</v>
      </c>
      <c r="AL241" s="1" t="s">
        <v>2526</v>
      </c>
      <c r="AM241" s="1">
        <v>0.08</v>
      </c>
      <c r="AN241" s="1">
        <v>0.5</v>
      </c>
      <c r="AO241" s="1">
        <v>0.3</v>
      </c>
      <c r="AP241" s="1">
        <v>0.3</v>
      </c>
      <c r="AQ241" s="1">
        <v>3</v>
      </c>
      <c r="AR241" s="1" t="s">
        <v>1552</v>
      </c>
      <c r="AS241" s="1">
        <v>756005</v>
      </c>
      <c r="AT241" s="1" t="s">
        <v>2527</v>
      </c>
      <c r="AU241" s="1">
        <v>10</v>
      </c>
      <c r="AV241" s="1">
        <v>19032</v>
      </c>
      <c r="AW241" s="1">
        <v>0</v>
      </c>
      <c r="AX241" t="b">
        <v>0</v>
      </c>
    </row>
    <row r="242" spans="1:50" x14ac:dyDescent="0.3">
      <c r="A242" s="1">
        <v>243</v>
      </c>
      <c r="B242" s="1" t="s">
        <v>2528</v>
      </c>
      <c r="C242" s="1" t="s">
        <v>2529</v>
      </c>
      <c r="D242" s="1">
        <v>5</v>
      </c>
      <c r="E242" s="1">
        <v>1</v>
      </c>
      <c r="F242" s="1">
        <v>18</v>
      </c>
      <c r="G242" s="1" t="s">
        <v>398</v>
      </c>
      <c r="H242" s="1" t="s">
        <v>328</v>
      </c>
      <c r="I242" s="1" t="s">
        <v>328</v>
      </c>
      <c r="J242" s="1" t="s">
        <v>328</v>
      </c>
      <c r="K242" s="1" t="s">
        <v>328</v>
      </c>
      <c r="L242" s="1" t="s">
        <v>328</v>
      </c>
      <c r="M242" s="1" t="s">
        <v>327</v>
      </c>
      <c r="N242" s="1" t="s">
        <v>328</v>
      </c>
      <c r="O242" s="1" t="s">
        <v>328</v>
      </c>
      <c r="P242" s="1" t="s">
        <v>328</v>
      </c>
      <c r="Q242" s="1" t="s">
        <v>328</v>
      </c>
      <c r="R242" s="1" t="s">
        <v>328</v>
      </c>
      <c r="S242" s="1" t="s">
        <v>328</v>
      </c>
      <c r="T242" s="1" t="s">
        <v>328</v>
      </c>
      <c r="U242" s="1">
        <v>0</v>
      </c>
      <c r="V242" s="1">
        <v>0</v>
      </c>
      <c r="W242" s="1">
        <v>0</v>
      </c>
      <c r="X242" s="1">
        <v>0</v>
      </c>
      <c r="Y242" s="1">
        <v>0</v>
      </c>
      <c r="Z242" s="1">
        <v>0</v>
      </c>
      <c r="AA242" s="1">
        <v>0</v>
      </c>
      <c r="AB242" s="1">
        <v>0</v>
      </c>
      <c r="AC242" s="1">
        <v>4</v>
      </c>
      <c r="AD242" s="1">
        <v>0</v>
      </c>
      <c r="AE242" s="1">
        <v>3</v>
      </c>
      <c r="AF242" s="1">
        <v>2</v>
      </c>
      <c r="AG242" s="208" t="s">
        <v>1183</v>
      </c>
      <c r="AH242" s="1">
        <v>3600</v>
      </c>
      <c r="AI242" s="1" t="s">
        <v>2041</v>
      </c>
      <c r="AJ242" s="1">
        <v>0</v>
      </c>
      <c r="AK242" s="1" t="s">
        <v>1588</v>
      </c>
      <c r="AL242" s="1" t="s">
        <v>2530</v>
      </c>
      <c r="AM242" s="1">
        <v>0.45</v>
      </c>
      <c r="AN242" s="1">
        <v>0.15</v>
      </c>
      <c r="AO242" s="1">
        <v>0.3</v>
      </c>
      <c r="AP242" s="1">
        <v>0.15</v>
      </c>
      <c r="AQ242" s="1">
        <v>3</v>
      </c>
      <c r="AR242" s="1" t="s">
        <v>1589</v>
      </c>
      <c r="AS242" s="1">
        <v>0</v>
      </c>
      <c r="AT242" s="1" t="s">
        <v>1806</v>
      </c>
      <c r="AU242" s="1">
        <v>10</v>
      </c>
      <c r="AV242" s="1">
        <v>18070</v>
      </c>
      <c r="AW242" s="1">
        <v>0</v>
      </c>
      <c r="AX242" t="b">
        <v>0</v>
      </c>
    </row>
    <row r="243" spans="1:50" x14ac:dyDescent="0.3">
      <c r="A243" s="1">
        <v>244</v>
      </c>
      <c r="B243" s="1" t="s">
        <v>2531</v>
      </c>
      <c r="C243" s="1" t="s">
        <v>2532</v>
      </c>
      <c r="D243" s="1">
        <v>5</v>
      </c>
      <c r="E243" s="1">
        <v>1</v>
      </c>
      <c r="F243" s="1">
        <v>18</v>
      </c>
      <c r="G243" s="1" t="s">
        <v>337</v>
      </c>
      <c r="H243" s="1" t="s">
        <v>338</v>
      </c>
      <c r="I243" s="1" t="s">
        <v>358</v>
      </c>
      <c r="J243" s="1" t="s">
        <v>328</v>
      </c>
      <c r="K243" s="1" t="s">
        <v>328</v>
      </c>
      <c r="L243" s="1" t="s">
        <v>328</v>
      </c>
      <c r="M243" s="1" t="s">
        <v>328</v>
      </c>
      <c r="N243" s="1" t="s">
        <v>328</v>
      </c>
      <c r="O243" s="1" t="s">
        <v>328</v>
      </c>
      <c r="P243" s="1" t="s">
        <v>328</v>
      </c>
      <c r="Q243" s="1" t="s">
        <v>328</v>
      </c>
      <c r="R243" s="1" t="s">
        <v>328</v>
      </c>
      <c r="S243" s="1" t="s">
        <v>328</v>
      </c>
      <c r="T243" s="1" t="s">
        <v>328</v>
      </c>
      <c r="U243" s="1">
        <v>0</v>
      </c>
      <c r="V243" s="1">
        <v>0</v>
      </c>
      <c r="W243" s="1">
        <v>0</v>
      </c>
      <c r="X243" s="1">
        <v>0</v>
      </c>
      <c r="Y243" s="1">
        <v>0</v>
      </c>
      <c r="Z243" s="1">
        <v>0</v>
      </c>
      <c r="AA243" s="1">
        <v>0</v>
      </c>
      <c r="AB243" s="1">
        <v>0</v>
      </c>
      <c r="AC243" s="1">
        <v>4</v>
      </c>
      <c r="AD243" s="1">
        <v>0</v>
      </c>
      <c r="AE243" s="1">
        <v>3</v>
      </c>
      <c r="AF243" s="1">
        <v>2</v>
      </c>
      <c r="AG243" s="208" t="s">
        <v>1133</v>
      </c>
      <c r="AH243" s="1">
        <v>3600</v>
      </c>
      <c r="AI243" s="1" t="s">
        <v>1843</v>
      </c>
      <c r="AJ243" s="1">
        <v>0</v>
      </c>
      <c r="AK243" s="1" t="s">
        <v>1472</v>
      </c>
      <c r="AL243" s="1" t="s">
        <v>2533</v>
      </c>
      <c r="AM243" s="1">
        <v>0.45</v>
      </c>
      <c r="AN243" s="1">
        <v>0.15</v>
      </c>
      <c r="AO243" s="1">
        <v>0.3</v>
      </c>
      <c r="AP243" s="1">
        <v>0.15</v>
      </c>
      <c r="AQ243" s="1">
        <v>3</v>
      </c>
      <c r="AR243" s="1" t="s">
        <v>1590</v>
      </c>
      <c r="AS243" s="1">
        <v>0</v>
      </c>
      <c r="AT243" s="1" t="s">
        <v>1806</v>
      </c>
      <c r="AU243" s="1">
        <v>10</v>
      </c>
      <c r="AV243" s="1">
        <v>18071</v>
      </c>
      <c r="AW243" s="1">
        <v>0</v>
      </c>
      <c r="AX243" t="b">
        <v>0</v>
      </c>
    </row>
    <row r="244" spans="1:50" x14ac:dyDescent="0.3">
      <c r="A244" s="1">
        <v>245</v>
      </c>
      <c r="B244" s="1" t="s">
        <v>2534</v>
      </c>
      <c r="C244" s="1" t="s">
        <v>2535</v>
      </c>
      <c r="D244" s="1">
        <v>5</v>
      </c>
      <c r="E244" s="1">
        <v>1</v>
      </c>
      <c r="F244" s="1">
        <v>18</v>
      </c>
      <c r="G244" s="1" t="s">
        <v>328</v>
      </c>
      <c r="H244" s="1" t="s">
        <v>359</v>
      </c>
      <c r="I244" s="1" t="s">
        <v>358</v>
      </c>
      <c r="J244" s="1" t="s">
        <v>328</v>
      </c>
      <c r="K244" s="1" t="s">
        <v>328</v>
      </c>
      <c r="L244" s="1" t="s">
        <v>328</v>
      </c>
      <c r="M244" s="1" t="s">
        <v>896</v>
      </c>
      <c r="N244" s="1" t="s">
        <v>328</v>
      </c>
      <c r="O244" s="1" t="s">
        <v>328</v>
      </c>
      <c r="P244" s="1" t="s">
        <v>328</v>
      </c>
      <c r="Q244" s="1" t="s">
        <v>328</v>
      </c>
      <c r="R244" s="1" t="s">
        <v>328</v>
      </c>
      <c r="S244" s="1" t="s">
        <v>328</v>
      </c>
      <c r="T244" s="1" t="s">
        <v>328</v>
      </c>
      <c r="U244" s="1">
        <v>0</v>
      </c>
      <c r="V244" s="1">
        <v>0</v>
      </c>
      <c r="W244" s="1">
        <v>0</v>
      </c>
      <c r="X244" s="1">
        <v>0</v>
      </c>
      <c r="Y244" s="1">
        <v>0</v>
      </c>
      <c r="Z244" s="1">
        <v>0</v>
      </c>
      <c r="AA244" s="1">
        <v>0</v>
      </c>
      <c r="AB244" s="1">
        <v>0</v>
      </c>
      <c r="AC244" s="1">
        <v>4</v>
      </c>
      <c r="AD244" s="1">
        <v>2</v>
      </c>
      <c r="AE244" s="1">
        <v>2</v>
      </c>
      <c r="AF244" s="1">
        <v>2</v>
      </c>
      <c r="AG244" s="208" t="s">
        <v>75</v>
      </c>
      <c r="AH244" s="1">
        <v>3540</v>
      </c>
      <c r="AI244" s="1" t="s">
        <v>2536</v>
      </c>
      <c r="AJ244" s="1">
        <v>0</v>
      </c>
      <c r="AK244" s="1" t="s">
        <v>1591</v>
      </c>
      <c r="AL244" s="1" t="s">
        <v>2537</v>
      </c>
      <c r="AM244" s="1">
        <v>0.45</v>
      </c>
      <c r="AN244" s="1">
        <v>0.15</v>
      </c>
      <c r="AO244" s="1">
        <v>0.3</v>
      </c>
      <c r="AP244" s="1">
        <v>0.15</v>
      </c>
      <c r="AQ244" s="1">
        <v>3</v>
      </c>
      <c r="AR244" s="1" t="s">
        <v>1592</v>
      </c>
      <c r="AS244" s="1">
        <v>0</v>
      </c>
      <c r="AT244" s="1" t="s">
        <v>1806</v>
      </c>
      <c r="AU244" s="1">
        <v>10</v>
      </c>
      <c r="AV244" s="1">
        <v>18072</v>
      </c>
      <c r="AW244" s="1">
        <v>0</v>
      </c>
      <c r="AX244" t="b">
        <v>0</v>
      </c>
    </row>
    <row r="245" spans="1:50" x14ac:dyDescent="0.3">
      <c r="A245" s="1">
        <v>246</v>
      </c>
      <c r="B245" s="1" t="s">
        <v>2538</v>
      </c>
      <c r="C245" s="1" t="s">
        <v>2539</v>
      </c>
      <c r="D245" s="1">
        <v>5</v>
      </c>
      <c r="E245" s="1">
        <v>1</v>
      </c>
      <c r="F245" s="1">
        <v>18</v>
      </c>
      <c r="G245" s="1" t="s">
        <v>328</v>
      </c>
      <c r="H245" s="1" t="s">
        <v>328</v>
      </c>
      <c r="I245" s="1" t="s">
        <v>341</v>
      </c>
      <c r="J245" s="1" t="s">
        <v>328</v>
      </c>
      <c r="K245" s="1" t="s">
        <v>328</v>
      </c>
      <c r="L245" s="1" t="s">
        <v>328</v>
      </c>
      <c r="M245" s="1" t="s">
        <v>385</v>
      </c>
      <c r="N245" s="1" t="s">
        <v>328</v>
      </c>
      <c r="O245" s="1" t="s">
        <v>328</v>
      </c>
      <c r="P245" s="1" t="s">
        <v>328</v>
      </c>
      <c r="Q245" s="1" t="s">
        <v>328</v>
      </c>
      <c r="R245" s="1" t="s">
        <v>328</v>
      </c>
      <c r="S245" s="1" t="s">
        <v>328</v>
      </c>
      <c r="T245" s="1" t="s">
        <v>328</v>
      </c>
      <c r="U245" s="1">
        <v>0</v>
      </c>
      <c r="V245" s="1">
        <v>0</v>
      </c>
      <c r="W245" s="1">
        <v>0</v>
      </c>
      <c r="X245" s="1">
        <v>0</v>
      </c>
      <c r="Y245" s="1">
        <v>0</v>
      </c>
      <c r="Z245" s="1">
        <v>0</v>
      </c>
      <c r="AA245" s="1">
        <v>0</v>
      </c>
      <c r="AB245" s="1">
        <v>0</v>
      </c>
      <c r="AC245" s="1">
        <v>4</v>
      </c>
      <c r="AD245" s="1">
        <v>2</v>
      </c>
      <c r="AE245" s="1">
        <v>2</v>
      </c>
      <c r="AF245" s="1">
        <v>2</v>
      </c>
      <c r="AG245" s="208" t="s">
        <v>192</v>
      </c>
      <c r="AH245" s="1">
        <v>2820</v>
      </c>
      <c r="AI245" s="1" t="s">
        <v>2540</v>
      </c>
      <c r="AJ245" s="1">
        <v>0</v>
      </c>
      <c r="AK245" s="1" t="s">
        <v>1593</v>
      </c>
      <c r="AL245" s="1" t="s">
        <v>2541</v>
      </c>
      <c r="AM245" s="1">
        <v>0.55000000000000004</v>
      </c>
      <c r="AN245" s="1">
        <v>0.23</v>
      </c>
      <c r="AO245" s="1">
        <v>0.23</v>
      </c>
      <c r="AP245" s="1">
        <v>0.23</v>
      </c>
      <c r="AQ245" s="1">
        <v>3</v>
      </c>
      <c r="AR245" s="1" t="s">
        <v>1594</v>
      </c>
      <c r="AS245" s="1">
        <v>0</v>
      </c>
      <c r="AT245" s="1" t="s">
        <v>2542</v>
      </c>
      <c r="AU245" s="1">
        <v>10</v>
      </c>
      <c r="AV245" s="1">
        <v>18073</v>
      </c>
      <c r="AW245" s="1">
        <v>0</v>
      </c>
      <c r="AX245" t="b">
        <v>0</v>
      </c>
    </row>
    <row r="246" spans="1:50" x14ac:dyDescent="0.3">
      <c r="A246" s="1">
        <v>247</v>
      </c>
      <c r="B246" s="1" t="s">
        <v>2543</v>
      </c>
      <c r="C246" s="1" t="s">
        <v>2544</v>
      </c>
      <c r="D246" s="1">
        <v>5</v>
      </c>
      <c r="E246" s="1">
        <v>1</v>
      </c>
      <c r="F246" s="1">
        <v>18</v>
      </c>
      <c r="G246" s="1" t="s">
        <v>328</v>
      </c>
      <c r="H246" s="1" t="s">
        <v>328</v>
      </c>
      <c r="I246" s="1" t="s">
        <v>328</v>
      </c>
      <c r="J246" s="1" t="s">
        <v>328</v>
      </c>
      <c r="K246" s="1" t="s">
        <v>328</v>
      </c>
      <c r="L246" s="1" t="s">
        <v>402</v>
      </c>
      <c r="M246" s="1" t="s">
        <v>363</v>
      </c>
      <c r="N246" s="1" t="s">
        <v>328</v>
      </c>
      <c r="O246" s="1" t="s">
        <v>328</v>
      </c>
      <c r="P246" s="1" t="s">
        <v>328</v>
      </c>
      <c r="Q246" s="1" t="s">
        <v>328</v>
      </c>
      <c r="R246" s="1" t="s">
        <v>328</v>
      </c>
      <c r="S246" s="1" t="s">
        <v>328</v>
      </c>
      <c r="T246" s="1" t="s">
        <v>328</v>
      </c>
      <c r="U246" s="1">
        <v>0</v>
      </c>
      <c r="V246" s="1">
        <v>0</v>
      </c>
      <c r="W246" s="1">
        <v>0</v>
      </c>
      <c r="X246" s="1">
        <v>0</v>
      </c>
      <c r="Y246" s="1">
        <v>0</v>
      </c>
      <c r="Z246" s="1">
        <v>0</v>
      </c>
      <c r="AA246" s="1">
        <v>0</v>
      </c>
      <c r="AB246" s="1">
        <v>0</v>
      </c>
      <c r="AC246" s="1">
        <v>4</v>
      </c>
      <c r="AD246" s="1">
        <v>0</v>
      </c>
      <c r="AE246" s="1">
        <v>3</v>
      </c>
      <c r="AF246" s="1">
        <v>2</v>
      </c>
      <c r="AG246" s="208" t="s">
        <v>1237</v>
      </c>
      <c r="AH246" s="1">
        <v>3600</v>
      </c>
      <c r="AI246" s="1" t="s">
        <v>2545</v>
      </c>
      <c r="AJ246" s="1">
        <v>0</v>
      </c>
      <c r="AK246" s="1" t="s">
        <v>1372</v>
      </c>
      <c r="AL246" s="1" t="s">
        <v>2546</v>
      </c>
      <c r="AM246" s="1">
        <v>0.45</v>
      </c>
      <c r="AN246" s="1">
        <v>0.15</v>
      </c>
      <c r="AO246" s="1">
        <v>0.3</v>
      </c>
      <c r="AP246" s="1">
        <v>0.15</v>
      </c>
      <c r="AQ246" s="1">
        <v>3</v>
      </c>
      <c r="AR246" s="1" t="s">
        <v>1595</v>
      </c>
      <c r="AS246" s="1">
        <v>0</v>
      </c>
      <c r="AT246" s="1" t="s">
        <v>1806</v>
      </c>
      <c r="AU246" s="1">
        <v>10</v>
      </c>
      <c r="AV246" s="1">
        <v>18074</v>
      </c>
      <c r="AW246" s="1">
        <v>0</v>
      </c>
      <c r="AX246" t="b">
        <v>0</v>
      </c>
    </row>
    <row r="247" spans="1:50" x14ac:dyDescent="0.3">
      <c r="A247" s="1">
        <v>248</v>
      </c>
      <c r="B247" s="1" t="s">
        <v>2547</v>
      </c>
      <c r="C247" s="1" t="s">
        <v>2548</v>
      </c>
      <c r="D247" s="1">
        <v>5</v>
      </c>
      <c r="E247" s="1">
        <v>3</v>
      </c>
      <c r="F247" s="1">
        <v>20</v>
      </c>
      <c r="G247" s="1" t="s">
        <v>402</v>
      </c>
      <c r="H247" s="1" t="s">
        <v>328</v>
      </c>
      <c r="I247" s="1" t="s">
        <v>328</v>
      </c>
      <c r="J247" s="1" t="s">
        <v>328</v>
      </c>
      <c r="K247" s="1" t="s">
        <v>375</v>
      </c>
      <c r="L247" s="1" t="s">
        <v>328</v>
      </c>
      <c r="M247" s="1" t="s">
        <v>328</v>
      </c>
      <c r="N247" s="1" t="s">
        <v>328</v>
      </c>
      <c r="O247" s="1" t="s">
        <v>328</v>
      </c>
      <c r="P247" s="1" t="s">
        <v>328</v>
      </c>
      <c r="Q247" s="1" t="s">
        <v>328</v>
      </c>
      <c r="R247" s="1" t="s">
        <v>328</v>
      </c>
      <c r="S247" s="1" t="s">
        <v>328</v>
      </c>
      <c r="T247" s="1" t="s">
        <v>328</v>
      </c>
      <c r="U247" s="1">
        <v>0</v>
      </c>
      <c r="V247" s="1">
        <v>0</v>
      </c>
      <c r="W247" s="1">
        <v>0</v>
      </c>
      <c r="X247" s="1">
        <v>0</v>
      </c>
      <c r="Y247" s="1">
        <v>0</v>
      </c>
      <c r="Z247" s="1">
        <v>0</v>
      </c>
      <c r="AA247" s="1">
        <v>0</v>
      </c>
      <c r="AB247" s="1">
        <v>0</v>
      </c>
      <c r="AC247" s="1">
        <v>4</v>
      </c>
      <c r="AD247" s="1">
        <v>3</v>
      </c>
      <c r="AE247" s="1">
        <v>0</v>
      </c>
      <c r="AF247" s="1">
        <v>2</v>
      </c>
      <c r="AG247" s="208" t="s">
        <v>1608</v>
      </c>
      <c r="AH247" s="1">
        <v>3060</v>
      </c>
      <c r="AI247" s="1" t="s">
        <v>1843</v>
      </c>
      <c r="AJ247" s="1">
        <v>0</v>
      </c>
      <c r="AK247" s="1" t="s">
        <v>407</v>
      </c>
      <c r="AL247" s="1" t="s">
        <v>2549</v>
      </c>
      <c r="AM247" s="1">
        <v>0.3</v>
      </c>
      <c r="AN247" s="1">
        <v>0.23</v>
      </c>
      <c r="AO247" s="1">
        <v>0.15</v>
      </c>
      <c r="AP247" s="1">
        <v>0.38</v>
      </c>
      <c r="AQ247" s="1">
        <v>3</v>
      </c>
      <c r="AR247" s="1" t="s">
        <v>1583</v>
      </c>
      <c r="AS247" s="1">
        <v>0</v>
      </c>
      <c r="AT247" s="1" t="s">
        <v>2550</v>
      </c>
      <c r="AU247" s="1">
        <v>10</v>
      </c>
      <c r="AV247" s="1">
        <v>20042</v>
      </c>
      <c r="AW247" s="1">
        <v>0</v>
      </c>
      <c r="AX247" t="b">
        <v>0</v>
      </c>
    </row>
    <row r="248" spans="1:50" x14ac:dyDescent="0.3">
      <c r="A248" s="1">
        <v>249</v>
      </c>
      <c r="B248" s="1" t="s">
        <v>2551</v>
      </c>
      <c r="C248" s="1" t="s">
        <v>2552</v>
      </c>
      <c r="D248" s="1">
        <v>5</v>
      </c>
      <c r="E248" s="1">
        <v>1</v>
      </c>
      <c r="F248" s="1">
        <v>18</v>
      </c>
      <c r="G248" s="1" t="s">
        <v>1720</v>
      </c>
      <c r="H248" s="1" t="s">
        <v>391</v>
      </c>
      <c r="I248" s="1" t="s">
        <v>391</v>
      </c>
      <c r="J248" s="1" t="s">
        <v>328</v>
      </c>
      <c r="K248" s="1" t="s">
        <v>328</v>
      </c>
      <c r="L248" s="1" t="s">
        <v>328</v>
      </c>
      <c r="M248" s="1" t="s">
        <v>328</v>
      </c>
      <c r="N248" s="1" t="s">
        <v>328</v>
      </c>
      <c r="O248" s="1" t="s">
        <v>328</v>
      </c>
      <c r="P248" s="1" t="s">
        <v>328</v>
      </c>
      <c r="Q248" s="1" t="s">
        <v>328</v>
      </c>
      <c r="R248" s="1" t="s">
        <v>328</v>
      </c>
      <c r="S248" s="1" t="s">
        <v>328</v>
      </c>
      <c r="T248" s="1" t="s">
        <v>328</v>
      </c>
      <c r="U248" s="1">
        <v>0</v>
      </c>
      <c r="V248" s="1">
        <v>0</v>
      </c>
      <c r="W248" s="1">
        <v>0</v>
      </c>
      <c r="X248" s="1">
        <v>0</v>
      </c>
      <c r="Y248" s="1">
        <v>0</v>
      </c>
      <c r="Z248" s="1">
        <v>0</v>
      </c>
      <c r="AA248" s="1">
        <v>0</v>
      </c>
      <c r="AB248" s="1">
        <v>0</v>
      </c>
      <c r="AC248" s="1">
        <v>4</v>
      </c>
      <c r="AD248" s="1">
        <v>2</v>
      </c>
      <c r="AE248" s="1">
        <v>2</v>
      </c>
      <c r="AF248" s="1">
        <v>2</v>
      </c>
      <c r="AG248" s="208" t="s">
        <v>1626</v>
      </c>
      <c r="AH248" s="1">
        <v>3600</v>
      </c>
      <c r="AI248" s="1" t="s">
        <v>1843</v>
      </c>
      <c r="AJ248" s="1">
        <v>0</v>
      </c>
      <c r="AK248" s="1" t="s">
        <v>1721</v>
      </c>
      <c r="AL248" s="1" t="s">
        <v>2553</v>
      </c>
      <c r="AM248" s="1">
        <v>0.55000000000000004</v>
      </c>
      <c r="AN248" s="1">
        <v>0.23</v>
      </c>
      <c r="AO248" s="1">
        <v>0.23</v>
      </c>
      <c r="AP248" s="1">
        <v>0.23</v>
      </c>
      <c r="AQ248" s="1">
        <v>3</v>
      </c>
      <c r="AR248" s="1" t="s">
        <v>1722</v>
      </c>
      <c r="AS248" s="1">
        <v>0</v>
      </c>
      <c r="AT248" s="1" t="s">
        <v>1806</v>
      </c>
      <c r="AU248" s="1">
        <v>10</v>
      </c>
      <c r="AV248" s="1">
        <v>18077</v>
      </c>
      <c r="AW248" s="1">
        <v>0</v>
      </c>
      <c r="AX248" t="b">
        <v>0</v>
      </c>
    </row>
    <row r="249" spans="1:50" x14ac:dyDescent="0.3">
      <c r="A249" s="1">
        <v>250</v>
      </c>
      <c r="B249" s="1" t="s">
        <v>2554</v>
      </c>
      <c r="C249" s="1" t="s">
        <v>2555</v>
      </c>
      <c r="D249" s="1">
        <v>5</v>
      </c>
      <c r="E249" s="1">
        <v>3</v>
      </c>
      <c r="F249" s="1">
        <v>20</v>
      </c>
      <c r="G249" s="1" t="s">
        <v>402</v>
      </c>
      <c r="H249" s="1" t="s">
        <v>328</v>
      </c>
      <c r="I249" s="1" t="s">
        <v>363</v>
      </c>
      <c r="J249" s="1" t="s">
        <v>328</v>
      </c>
      <c r="K249" s="1" t="s">
        <v>328</v>
      </c>
      <c r="L249" s="1" t="s">
        <v>328</v>
      </c>
      <c r="M249" s="1" t="s">
        <v>328</v>
      </c>
      <c r="N249" s="1" t="s">
        <v>328</v>
      </c>
      <c r="O249" s="1" t="s">
        <v>328</v>
      </c>
      <c r="P249" s="1" t="s">
        <v>328</v>
      </c>
      <c r="Q249" s="1" t="s">
        <v>328</v>
      </c>
      <c r="R249" s="1" t="s">
        <v>328</v>
      </c>
      <c r="S249" s="1" t="s">
        <v>328</v>
      </c>
      <c r="T249" s="1" t="s">
        <v>328</v>
      </c>
      <c r="U249" s="1">
        <v>0</v>
      </c>
      <c r="V249" s="1">
        <v>0</v>
      </c>
      <c r="W249" s="1">
        <v>0</v>
      </c>
      <c r="X249" s="1">
        <v>0</v>
      </c>
      <c r="Y249" s="1">
        <v>0</v>
      </c>
      <c r="Z249" s="1">
        <v>0</v>
      </c>
      <c r="AA249" s="1">
        <v>0</v>
      </c>
      <c r="AB249" s="1">
        <v>0</v>
      </c>
      <c r="AC249" s="1">
        <v>4</v>
      </c>
      <c r="AD249" s="1">
        <v>2</v>
      </c>
      <c r="AE249" s="1">
        <v>0</v>
      </c>
      <c r="AF249" s="1">
        <v>4</v>
      </c>
      <c r="AG249" s="208" t="s">
        <v>1719</v>
      </c>
      <c r="AH249" s="1">
        <v>3120</v>
      </c>
      <c r="AI249" s="1" t="s">
        <v>2502</v>
      </c>
      <c r="AJ249" s="1">
        <v>0</v>
      </c>
      <c r="AK249" s="1" t="s">
        <v>1723</v>
      </c>
      <c r="AL249" s="1" t="s">
        <v>2556</v>
      </c>
      <c r="AM249" s="1">
        <v>0.3</v>
      </c>
      <c r="AN249" s="1">
        <v>0.25</v>
      </c>
      <c r="AO249" s="1">
        <v>0.12</v>
      </c>
      <c r="AP249" s="1">
        <v>0.38</v>
      </c>
      <c r="AQ249" s="1">
        <v>3</v>
      </c>
      <c r="AR249" s="1" t="s">
        <v>1724</v>
      </c>
      <c r="AS249" s="1">
        <v>0</v>
      </c>
      <c r="AT249" s="1" t="s">
        <v>2557</v>
      </c>
      <c r="AU249" s="1">
        <v>10</v>
      </c>
      <c r="AV249" s="1">
        <v>20043</v>
      </c>
      <c r="AW249" s="1">
        <v>0</v>
      </c>
      <c r="AX249" t="b">
        <v>0</v>
      </c>
    </row>
    <row r="250" spans="1:50" x14ac:dyDescent="0.3">
      <c r="A250" s="1">
        <v>251</v>
      </c>
      <c r="B250" s="1" t="s">
        <v>2558</v>
      </c>
      <c r="C250" s="1" t="s">
        <v>2559</v>
      </c>
      <c r="D250" s="1">
        <v>5</v>
      </c>
      <c r="E250" s="1">
        <v>1</v>
      </c>
      <c r="F250" s="1">
        <v>18</v>
      </c>
      <c r="G250" s="1" t="s">
        <v>328</v>
      </c>
      <c r="H250" s="1" t="s">
        <v>1596</v>
      </c>
      <c r="I250" s="1" t="s">
        <v>335</v>
      </c>
      <c r="J250" s="1" t="s">
        <v>328</v>
      </c>
      <c r="K250" s="1" t="s">
        <v>328</v>
      </c>
      <c r="L250" s="1" t="s">
        <v>328</v>
      </c>
      <c r="M250" s="1" t="s">
        <v>328</v>
      </c>
      <c r="N250" s="1" t="s">
        <v>328</v>
      </c>
      <c r="O250" s="1" t="s">
        <v>328</v>
      </c>
      <c r="P250" s="1" t="s">
        <v>328</v>
      </c>
      <c r="Q250" s="1" t="s">
        <v>328</v>
      </c>
      <c r="R250" s="1" t="s">
        <v>328</v>
      </c>
      <c r="S250" s="1" t="s">
        <v>328</v>
      </c>
      <c r="T250" s="1" t="s">
        <v>328</v>
      </c>
      <c r="U250" s="1">
        <v>0</v>
      </c>
      <c r="V250" s="1">
        <v>0</v>
      </c>
      <c r="W250" s="1">
        <v>0</v>
      </c>
      <c r="X250" s="1">
        <v>0</v>
      </c>
      <c r="Y250" s="1">
        <v>0</v>
      </c>
      <c r="Z250" s="1">
        <v>0</v>
      </c>
      <c r="AA250" s="1">
        <v>0</v>
      </c>
      <c r="AB250" s="1">
        <v>0</v>
      </c>
      <c r="AC250" s="1">
        <v>4</v>
      </c>
      <c r="AD250" s="1">
        <v>0</v>
      </c>
      <c r="AE250" s="1">
        <v>3</v>
      </c>
      <c r="AF250" s="1">
        <v>2</v>
      </c>
      <c r="AG250" s="208" t="s">
        <v>1400</v>
      </c>
      <c r="AH250" s="1">
        <v>3000</v>
      </c>
      <c r="AI250" s="1" t="s">
        <v>1843</v>
      </c>
      <c r="AJ250" s="1">
        <v>0</v>
      </c>
      <c r="AK250" s="1" t="s">
        <v>1597</v>
      </c>
      <c r="AL250" s="1" t="s">
        <v>2560</v>
      </c>
      <c r="AM250" s="1">
        <v>0.45</v>
      </c>
      <c r="AN250" s="1">
        <v>0.15</v>
      </c>
      <c r="AO250" s="1">
        <v>0.3</v>
      </c>
      <c r="AP250" s="1">
        <v>0.15</v>
      </c>
      <c r="AQ250" s="1">
        <v>3</v>
      </c>
      <c r="AR250" s="1" t="s">
        <v>1470</v>
      </c>
      <c r="AS250" s="1">
        <v>0</v>
      </c>
      <c r="AT250" s="1" t="s">
        <v>1806</v>
      </c>
      <c r="AU250" s="1">
        <v>10</v>
      </c>
      <c r="AV250" s="1">
        <v>18075</v>
      </c>
      <c r="AW250" s="1">
        <v>0</v>
      </c>
      <c r="AX250" t="b">
        <v>0</v>
      </c>
    </row>
    <row r="251" spans="1:50" x14ac:dyDescent="0.3">
      <c r="A251" s="1">
        <v>252</v>
      </c>
      <c r="B251" s="1" t="s">
        <v>2561</v>
      </c>
      <c r="C251" s="1" t="s">
        <v>2562</v>
      </c>
      <c r="D251" s="1">
        <v>5</v>
      </c>
      <c r="E251" s="1">
        <v>1</v>
      </c>
      <c r="F251" s="1">
        <v>18</v>
      </c>
      <c r="G251" s="1" t="s">
        <v>335</v>
      </c>
      <c r="H251" s="1" t="s">
        <v>470</v>
      </c>
      <c r="I251" s="1" t="s">
        <v>328</v>
      </c>
      <c r="J251" s="1" t="s">
        <v>328</v>
      </c>
      <c r="K251" s="1" t="s">
        <v>328</v>
      </c>
      <c r="L251" s="1" t="s">
        <v>328</v>
      </c>
      <c r="M251" s="1" t="s">
        <v>397</v>
      </c>
      <c r="N251" s="1" t="s">
        <v>328</v>
      </c>
      <c r="O251" s="1" t="s">
        <v>328</v>
      </c>
      <c r="P251" s="1" t="s">
        <v>328</v>
      </c>
      <c r="Q251" s="1" t="s">
        <v>328</v>
      </c>
      <c r="R251" s="1" t="s">
        <v>328</v>
      </c>
      <c r="S251" s="1" t="s">
        <v>328</v>
      </c>
      <c r="T251" s="1" t="s">
        <v>328</v>
      </c>
      <c r="U251" s="1">
        <v>0</v>
      </c>
      <c r="V251" s="1">
        <v>0</v>
      </c>
      <c r="W251" s="1">
        <v>0</v>
      </c>
      <c r="X251" s="1">
        <v>0</v>
      </c>
      <c r="Y251" s="1">
        <v>0</v>
      </c>
      <c r="Z251" s="1">
        <v>0</v>
      </c>
      <c r="AA251" s="1">
        <v>0</v>
      </c>
      <c r="AB251" s="1">
        <v>0</v>
      </c>
      <c r="AC251" s="1">
        <v>4</v>
      </c>
      <c r="AD251" s="1">
        <v>0</v>
      </c>
      <c r="AE251" s="1">
        <v>3</v>
      </c>
      <c r="AF251" s="1">
        <v>2</v>
      </c>
      <c r="AG251" s="208" t="s">
        <v>1690</v>
      </c>
      <c r="AH251" s="1">
        <v>2700</v>
      </c>
      <c r="AI251" s="1" t="s">
        <v>1843</v>
      </c>
      <c r="AJ251" s="1">
        <v>0</v>
      </c>
      <c r="AK251" s="1" t="s">
        <v>1598</v>
      </c>
      <c r="AL251" s="1" t="s">
        <v>2563</v>
      </c>
      <c r="AM251" s="1">
        <v>0.45</v>
      </c>
      <c r="AN251" s="1">
        <v>0.15</v>
      </c>
      <c r="AO251" s="1">
        <v>0.3</v>
      </c>
      <c r="AP251" s="1">
        <v>0.15</v>
      </c>
      <c r="AQ251" s="1">
        <v>3</v>
      </c>
      <c r="AR251" s="1" t="s">
        <v>1561</v>
      </c>
      <c r="AS251" s="1">
        <v>0</v>
      </c>
      <c r="AT251" s="1" t="s">
        <v>1806</v>
      </c>
      <c r="AU251" s="1">
        <v>10</v>
      </c>
      <c r="AV251" s="1">
        <v>18076</v>
      </c>
      <c r="AW251" s="1">
        <v>0</v>
      </c>
      <c r="AX251" t="b">
        <v>0</v>
      </c>
    </row>
    <row r="252" spans="1:50" x14ac:dyDescent="0.3">
      <c r="A252" s="1">
        <v>253</v>
      </c>
      <c r="B252" s="1" t="s">
        <v>2564</v>
      </c>
      <c r="C252" s="1" t="s">
        <v>2565</v>
      </c>
      <c r="D252" s="1">
        <v>5</v>
      </c>
      <c r="E252" s="1">
        <v>3</v>
      </c>
      <c r="F252" s="1">
        <v>20</v>
      </c>
      <c r="G252" s="1" t="s">
        <v>335</v>
      </c>
      <c r="H252" s="1" t="s">
        <v>328</v>
      </c>
      <c r="I252" s="1" t="s">
        <v>363</v>
      </c>
      <c r="J252" s="1" t="s">
        <v>328</v>
      </c>
      <c r="K252" s="1" t="s">
        <v>328</v>
      </c>
      <c r="L252" s="1" t="s">
        <v>328</v>
      </c>
      <c r="M252" s="1" t="s">
        <v>328</v>
      </c>
      <c r="N252" s="1" t="s">
        <v>328</v>
      </c>
      <c r="O252" s="1" t="s">
        <v>328</v>
      </c>
      <c r="P252" s="1" t="s">
        <v>328</v>
      </c>
      <c r="Q252" s="1" t="s">
        <v>328</v>
      </c>
      <c r="R252" s="1" t="s">
        <v>328</v>
      </c>
      <c r="S252" s="1" t="s">
        <v>328</v>
      </c>
      <c r="T252" s="1" t="s">
        <v>328</v>
      </c>
      <c r="U252" s="1">
        <v>0</v>
      </c>
      <c r="V252" s="1">
        <v>0</v>
      </c>
      <c r="W252" s="1">
        <v>0</v>
      </c>
      <c r="X252" s="1">
        <v>0</v>
      </c>
      <c r="Y252" s="1">
        <v>0</v>
      </c>
      <c r="Z252" s="1">
        <v>0</v>
      </c>
      <c r="AA252" s="1">
        <v>0</v>
      </c>
      <c r="AB252" s="1">
        <v>0</v>
      </c>
      <c r="AC252" s="1">
        <v>4</v>
      </c>
      <c r="AD252" s="1">
        <v>2</v>
      </c>
      <c r="AE252" s="1">
        <v>0</v>
      </c>
      <c r="AF252" s="1">
        <v>4</v>
      </c>
      <c r="AG252" s="208" t="s">
        <v>1691</v>
      </c>
      <c r="AH252" s="1">
        <v>3600</v>
      </c>
      <c r="AI252" s="1" t="s">
        <v>1843</v>
      </c>
      <c r="AJ252" s="1">
        <v>0</v>
      </c>
      <c r="AK252" s="1" t="s">
        <v>1599</v>
      </c>
      <c r="AL252" s="1" t="s">
        <v>2566</v>
      </c>
      <c r="AM252" s="1">
        <v>0.3</v>
      </c>
      <c r="AN252" s="1">
        <v>0.25</v>
      </c>
      <c r="AO252" s="1">
        <v>0.12</v>
      </c>
      <c r="AP252" s="1">
        <v>0.38</v>
      </c>
      <c r="AQ252" s="1">
        <v>3</v>
      </c>
      <c r="AR252" s="1" t="s">
        <v>1570</v>
      </c>
      <c r="AS252" s="1">
        <v>0</v>
      </c>
      <c r="AT252" s="1" t="s">
        <v>1806</v>
      </c>
      <c r="AU252" s="1">
        <v>10</v>
      </c>
      <c r="AV252" s="1">
        <v>20039</v>
      </c>
      <c r="AW252" s="1">
        <v>0</v>
      </c>
      <c r="AX252" t="b">
        <v>0</v>
      </c>
    </row>
    <row r="253" spans="1:50" x14ac:dyDescent="0.3">
      <c r="A253" s="1">
        <v>254</v>
      </c>
      <c r="B253" s="1" t="s">
        <v>2567</v>
      </c>
      <c r="C253" s="1" t="s">
        <v>2568</v>
      </c>
      <c r="D253" s="1">
        <v>5</v>
      </c>
      <c r="E253" s="1">
        <v>3</v>
      </c>
      <c r="F253" s="1">
        <v>20</v>
      </c>
      <c r="G253" s="1" t="s">
        <v>328</v>
      </c>
      <c r="H253" s="1" t="s">
        <v>328</v>
      </c>
      <c r="I253" s="1" t="s">
        <v>328</v>
      </c>
      <c r="J253" s="1" t="s">
        <v>401</v>
      </c>
      <c r="K253" s="1" t="s">
        <v>328</v>
      </c>
      <c r="L253" s="1" t="s">
        <v>363</v>
      </c>
      <c r="M253" s="1" t="s">
        <v>328</v>
      </c>
      <c r="N253" s="1" t="s">
        <v>328</v>
      </c>
      <c r="O253" s="1" t="s">
        <v>328</v>
      </c>
      <c r="P253" s="1" t="s">
        <v>328</v>
      </c>
      <c r="Q253" s="1" t="s">
        <v>328</v>
      </c>
      <c r="R253" s="1" t="s">
        <v>328</v>
      </c>
      <c r="S253" s="1" t="s">
        <v>328</v>
      </c>
      <c r="T253" s="1" t="s">
        <v>328</v>
      </c>
      <c r="U253" s="1">
        <v>0</v>
      </c>
      <c r="V253" s="1">
        <v>0</v>
      </c>
      <c r="W253" s="1">
        <v>0</v>
      </c>
      <c r="X253" s="1">
        <v>0</v>
      </c>
      <c r="Y253" s="1">
        <v>0</v>
      </c>
      <c r="Z253" s="1">
        <v>0</v>
      </c>
      <c r="AA253" s="1">
        <v>0</v>
      </c>
      <c r="AB253" s="1">
        <v>0</v>
      </c>
      <c r="AC253" s="1">
        <v>4</v>
      </c>
      <c r="AD253" s="1">
        <v>0</v>
      </c>
      <c r="AE253" s="1">
        <v>5</v>
      </c>
      <c r="AF253" s="1">
        <v>0</v>
      </c>
      <c r="AG253" s="208" t="s">
        <v>1393</v>
      </c>
      <c r="AH253" s="1">
        <v>3360</v>
      </c>
      <c r="AI253" s="1" t="s">
        <v>1843</v>
      </c>
      <c r="AJ253" s="1">
        <v>0</v>
      </c>
      <c r="AK253" s="1" t="s">
        <v>1600</v>
      </c>
      <c r="AL253" s="1" t="s">
        <v>2569</v>
      </c>
      <c r="AM253" s="1">
        <v>0.55000000000000004</v>
      </c>
      <c r="AN253" s="1">
        <v>0.16</v>
      </c>
      <c r="AO253" s="1">
        <v>0.6</v>
      </c>
      <c r="AP253" s="1">
        <v>0.16</v>
      </c>
      <c r="AQ253" s="1">
        <v>3</v>
      </c>
      <c r="AR253" s="1" t="s">
        <v>1499</v>
      </c>
      <c r="AS253" s="1">
        <v>0</v>
      </c>
      <c r="AT253" s="1" t="s">
        <v>1806</v>
      </c>
      <c r="AU253" s="1">
        <v>10</v>
      </c>
      <c r="AV253" s="1">
        <v>20040</v>
      </c>
      <c r="AW253" s="1">
        <v>0</v>
      </c>
      <c r="AX253" t="b">
        <v>0</v>
      </c>
    </row>
    <row r="254" spans="1:50" x14ac:dyDescent="0.3">
      <c r="A254" s="1">
        <v>255</v>
      </c>
      <c r="B254" s="1" t="s">
        <v>2570</v>
      </c>
      <c r="C254" s="1" t="s">
        <v>2571</v>
      </c>
      <c r="D254" s="1">
        <v>5</v>
      </c>
      <c r="E254" s="1">
        <v>3</v>
      </c>
      <c r="F254" s="1">
        <v>20</v>
      </c>
      <c r="G254" s="1" t="s">
        <v>359</v>
      </c>
      <c r="H254" s="1" t="s">
        <v>328</v>
      </c>
      <c r="I254" s="1" t="s">
        <v>328</v>
      </c>
      <c r="J254" s="1" t="s">
        <v>328</v>
      </c>
      <c r="K254" s="1" t="s">
        <v>375</v>
      </c>
      <c r="L254" s="1" t="s">
        <v>902</v>
      </c>
      <c r="M254" s="1" t="s">
        <v>328</v>
      </c>
      <c r="N254" s="1" t="s">
        <v>328</v>
      </c>
      <c r="O254" s="1" t="s">
        <v>328</v>
      </c>
      <c r="P254" s="1" t="s">
        <v>328</v>
      </c>
      <c r="Q254" s="1" t="s">
        <v>328</v>
      </c>
      <c r="R254" s="1" t="s">
        <v>328</v>
      </c>
      <c r="S254" s="1" t="s">
        <v>328</v>
      </c>
      <c r="T254" s="1" t="s">
        <v>328</v>
      </c>
      <c r="U254" s="1">
        <v>0</v>
      </c>
      <c r="V254" s="1">
        <v>0</v>
      </c>
      <c r="W254" s="1">
        <v>0</v>
      </c>
      <c r="X254" s="1">
        <v>0</v>
      </c>
      <c r="Y254" s="1">
        <v>0</v>
      </c>
      <c r="Z254" s="1">
        <v>0</v>
      </c>
      <c r="AA254" s="1">
        <v>0</v>
      </c>
      <c r="AB254" s="1">
        <v>0</v>
      </c>
      <c r="AC254" s="1">
        <v>4</v>
      </c>
      <c r="AD254" s="1">
        <v>2</v>
      </c>
      <c r="AE254" s="1">
        <v>0</v>
      </c>
      <c r="AF254" s="1">
        <v>4</v>
      </c>
      <c r="AG254" s="208" t="s">
        <v>1396</v>
      </c>
      <c r="AH254" s="1">
        <v>3120</v>
      </c>
      <c r="AI254" s="1" t="s">
        <v>1843</v>
      </c>
      <c r="AJ254" s="1">
        <v>0</v>
      </c>
      <c r="AK254" s="1" t="s">
        <v>1601</v>
      </c>
      <c r="AL254" s="1" t="s">
        <v>2572</v>
      </c>
      <c r="AM254" s="1">
        <v>0.3</v>
      </c>
      <c r="AN254" s="1">
        <v>0.25</v>
      </c>
      <c r="AO254" s="1">
        <v>0.12</v>
      </c>
      <c r="AP254" s="1">
        <v>0.38</v>
      </c>
      <c r="AQ254" s="1">
        <v>3</v>
      </c>
      <c r="AR254" s="1" t="s">
        <v>1583</v>
      </c>
      <c r="AS254" s="1">
        <v>0</v>
      </c>
      <c r="AT254" s="1" t="s">
        <v>1806</v>
      </c>
      <c r="AU254" s="1">
        <v>10</v>
      </c>
      <c r="AV254" s="1">
        <v>20041</v>
      </c>
      <c r="AW254" s="1">
        <v>0</v>
      </c>
      <c r="AX254" t="b">
        <v>0</v>
      </c>
    </row>
    <row r="255" spans="1:50" x14ac:dyDescent="0.3">
      <c r="A255" s="1">
        <v>256</v>
      </c>
      <c r="B255" s="1" t="s">
        <v>2573</v>
      </c>
      <c r="C255" s="1" t="s">
        <v>2574</v>
      </c>
      <c r="D255" s="1">
        <v>5</v>
      </c>
      <c r="E255" s="1">
        <v>3</v>
      </c>
      <c r="F255" s="1">
        <v>20</v>
      </c>
      <c r="G255" s="1" t="s">
        <v>328</v>
      </c>
      <c r="H255" s="1" t="s">
        <v>328</v>
      </c>
      <c r="I255" s="1" t="s">
        <v>328</v>
      </c>
      <c r="J255" s="1" t="s">
        <v>328</v>
      </c>
      <c r="K255" s="1" t="s">
        <v>328</v>
      </c>
      <c r="L255" s="1" t="s">
        <v>328</v>
      </c>
      <c r="M255" s="1" t="s">
        <v>385</v>
      </c>
      <c r="N255" s="1" t="s">
        <v>328</v>
      </c>
      <c r="O255" s="1" t="s">
        <v>328</v>
      </c>
      <c r="P255" s="1" t="s">
        <v>328</v>
      </c>
      <c r="Q255" s="1" t="s">
        <v>328</v>
      </c>
      <c r="R255" s="1" t="s">
        <v>328</v>
      </c>
      <c r="S255" s="1" t="s">
        <v>328</v>
      </c>
      <c r="T255" s="1" t="s">
        <v>354</v>
      </c>
      <c r="U255" s="1">
        <v>0</v>
      </c>
      <c r="V255" s="1">
        <v>0</v>
      </c>
      <c r="W255" s="1">
        <v>0</v>
      </c>
      <c r="X255" s="1">
        <v>0</v>
      </c>
      <c r="Y255" s="1">
        <v>0</v>
      </c>
      <c r="Z255" s="1">
        <v>0</v>
      </c>
      <c r="AA255" s="1">
        <v>0</v>
      </c>
      <c r="AB255" s="1">
        <v>0</v>
      </c>
      <c r="AC255" s="1">
        <v>1</v>
      </c>
      <c r="AD255" s="1">
        <v>1</v>
      </c>
      <c r="AE255" s="1">
        <v>1</v>
      </c>
      <c r="AF255" s="1">
        <v>5</v>
      </c>
      <c r="AG255" s="208" t="s">
        <v>1171</v>
      </c>
      <c r="AH255" s="1">
        <v>3420</v>
      </c>
      <c r="AI255" s="1" t="s">
        <v>2575</v>
      </c>
      <c r="AJ255" s="1">
        <v>0</v>
      </c>
      <c r="AK255" s="1" t="s">
        <v>1736</v>
      </c>
      <c r="AL255" s="1" t="s">
        <v>2576</v>
      </c>
      <c r="AM255" s="1">
        <v>0.1</v>
      </c>
      <c r="AN255" s="1">
        <v>0.1</v>
      </c>
      <c r="AO255" s="1">
        <v>0.1</v>
      </c>
      <c r="AP255" s="1">
        <v>0.55000000000000004</v>
      </c>
      <c r="AQ255" s="1">
        <v>3</v>
      </c>
      <c r="AR255" s="1" t="s">
        <v>1737</v>
      </c>
      <c r="AS255" s="1">
        <v>0</v>
      </c>
      <c r="AT255" s="1" t="s">
        <v>1806</v>
      </c>
      <c r="AU255" s="1">
        <v>10</v>
      </c>
      <c r="AV255" s="1">
        <v>20044</v>
      </c>
      <c r="AW255" s="1">
        <v>0</v>
      </c>
      <c r="AX255" t="b">
        <v>0</v>
      </c>
    </row>
    <row r="256" spans="1:50" x14ac:dyDescent="0.3">
      <c r="A256" s="1">
        <v>257</v>
      </c>
      <c r="B256" s="1" t="s">
        <v>2577</v>
      </c>
      <c r="C256" s="1" t="s">
        <v>2578</v>
      </c>
      <c r="D256" s="1">
        <v>5</v>
      </c>
      <c r="E256" s="1">
        <v>1</v>
      </c>
      <c r="F256" s="1">
        <v>18</v>
      </c>
      <c r="G256" s="1" t="s">
        <v>328</v>
      </c>
      <c r="H256" s="1" t="s">
        <v>361</v>
      </c>
      <c r="I256" s="1" t="s">
        <v>328</v>
      </c>
      <c r="J256" s="1" t="s">
        <v>328</v>
      </c>
      <c r="K256" s="1" t="s">
        <v>328</v>
      </c>
      <c r="L256" s="1" t="s">
        <v>328</v>
      </c>
      <c r="M256" s="1" t="s">
        <v>1738</v>
      </c>
      <c r="N256" s="1" t="s">
        <v>328</v>
      </c>
      <c r="O256" s="1" t="s">
        <v>328</v>
      </c>
      <c r="P256" s="1" t="s">
        <v>328</v>
      </c>
      <c r="Q256" s="1" t="s">
        <v>328</v>
      </c>
      <c r="R256" s="1" t="s">
        <v>328</v>
      </c>
      <c r="S256" s="1" t="s">
        <v>328</v>
      </c>
      <c r="T256" s="1" t="s">
        <v>328</v>
      </c>
      <c r="U256" s="1">
        <v>0</v>
      </c>
      <c r="V256" s="1">
        <v>0</v>
      </c>
      <c r="W256" s="1">
        <v>0</v>
      </c>
      <c r="X256" s="1">
        <v>0</v>
      </c>
      <c r="Y256" s="1">
        <v>0</v>
      </c>
      <c r="Z256" s="1">
        <v>0</v>
      </c>
      <c r="AA256" s="1">
        <v>0</v>
      </c>
      <c r="AB256" s="1">
        <v>0</v>
      </c>
      <c r="AC256" s="1">
        <v>4</v>
      </c>
      <c r="AD256" s="1">
        <v>0</v>
      </c>
      <c r="AE256" s="1">
        <v>3</v>
      </c>
      <c r="AF256" s="1">
        <v>2</v>
      </c>
      <c r="AG256" s="208" t="s">
        <v>109</v>
      </c>
      <c r="AH256" s="1">
        <v>3600</v>
      </c>
      <c r="AI256" s="1" t="s">
        <v>2579</v>
      </c>
      <c r="AJ256" s="1">
        <v>0</v>
      </c>
      <c r="AK256" s="1" t="s">
        <v>1725</v>
      </c>
      <c r="AL256" s="1" t="s">
        <v>2580</v>
      </c>
      <c r="AM256" s="1">
        <v>0.45</v>
      </c>
      <c r="AN256" s="1">
        <v>0.15</v>
      </c>
      <c r="AO256" s="1">
        <v>0.3</v>
      </c>
      <c r="AP256" s="1">
        <v>0.15</v>
      </c>
      <c r="AQ256" s="1">
        <v>3</v>
      </c>
      <c r="AR256" s="1" t="s">
        <v>1514</v>
      </c>
      <c r="AS256" s="1">
        <v>0</v>
      </c>
      <c r="AT256" s="1" t="s">
        <v>1806</v>
      </c>
      <c r="AU256" s="1">
        <v>10</v>
      </c>
      <c r="AV256" s="1">
        <v>18077</v>
      </c>
      <c r="AW256" s="1">
        <v>0</v>
      </c>
      <c r="AX256" t="b">
        <v>0</v>
      </c>
    </row>
    <row r="257" spans="1:50" x14ac:dyDescent="0.3">
      <c r="A257" s="1">
        <v>258</v>
      </c>
      <c r="B257" s="1" t="s">
        <v>2581</v>
      </c>
      <c r="C257" s="1" t="s">
        <v>2582</v>
      </c>
      <c r="D257" s="1">
        <v>5</v>
      </c>
      <c r="E257" s="1">
        <v>2</v>
      </c>
      <c r="F257" s="1">
        <v>19</v>
      </c>
      <c r="G257" s="1" t="s">
        <v>335</v>
      </c>
      <c r="H257" s="1" t="s">
        <v>328</v>
      </c>
      <c r="I257" s="1" t="s">
        <v>328</v>
      </c>
      <c r="J257" s="1" t="s">
        <v>328</v>
      </c>
      <c r="K257" s="1" t="s">
        <v>328</v>
      </c>
      <c r="L257" s="1" t="s">
        <v>328</v>
      </c>
      <c r="M257" s="1" t="s">
        <v>328</v>
      </c>
      <c r="N257" s="1" t="s">
        <v>352</v>
      </c>
      <c r="O257" s="1" t="s">
        <v>328</v>
      </c>
      <c r="P257" s="1" t="s">
        <v>328</v>
      </c>
      <c r="Q257" s="1" t="s">
        <v>328</v>
      </c>
      <c r="R257" s="1" t="s">
        <v>328</v>
      </c>
      <c r="S257" s="1" t="s">
        <v>328</v>
      </c>
      <c r="T257" s="1" t="s">
        <v>328</v>
      </c>
      <c r="U257" s="1">
        <v>0</v>
      </c>
      <c r="V257" s="1">
        <v>0</v>
      </c>
      <c r="W257" s="1">
        <v>0</v>
      </c>
      <c r="X257" s="1">
        <v>0</v>
      </c>
      <c r="Y257" s="1">
        <v>0</v>
      </c>
      <c r="Z257" s="1">
        <v>0</v>
      </c>
      <c r="AA257" s="1">
        <v>0</v>
      </c>
      <c r="AB257" s="1">
        <v>0</v>
      </c>
      <c r="AC257" s="1">
        <v>0</v>
      </c>
      <c r="AD257" s="1">
        <v>4</v>
      </c>
      <c r="AE257" s="1">
        <v>2</v>
      </c>
      <c r="AF257" s="1">
        <v>3</v>
      </c>
      <c r="AG257" s="208" t="s">
        <v>159</v>
      </c>
      <c r="AH257" s="1">
        <v>3300</v>
      </c>
      <c r="AI257" s="1" t="s">
        <v>1843</v>
      </c>
      <c r="AJ257" s="1">
        <v>0</v>
      </c>
      <c r="AK257" s="1" t="s">
        <v>1739</v>
      </c>
      <c r="AL257" s="1" t="s">
        <v>2583</v>
      </c>
      <c r="AM257" s="1">
        <v>0.08</v>
      </c>
      <c r="AN257" s="1">
        <v>0.5</v>
      </c>
      <c r="AO257" s="1">
        <v>0.3</v>
      </c>
      <c r="AP257" s="1">
        <v>0.3</v>
      </c>
      <c r="AQ257" s="1">
        <v>3</v>
      </c>
      <c r="AR257" s="1" t="s">
        <v>1552</v>
      </c>
      <c r="AS257" s="1">
        <v>0</v>
      </c>
      <c r="AT257" s="1" t="s">
        <v>1806</v>
      </c>
      <c r="AU257" s="1">
        <v>10</v>
      </c>
      <c r="AV257" s="1">
        <v>19033</v>
      </c>
      <c r="AW257" s="1">
        <v>0</v>
      </c>
      <c r="AX257" t="b">
        <v>0</v>
      </c>
    </row>
    <row r="258" spans="1:50" x14ac:dyDescent="0.3">
      <c r="A258" s="1">
        <v>259</v>
      </c>
      <c r="B258" s="1" t="s">
        <v>2584</v>
      </c>
      <c r="C258" s="1" t="s">
        <v>2585</v>
      </c>
      <c r="D258" s="1">
        <v>5</v>
      </c>
      <c r="E258" s="1">
        <v>3</v>
      </c>
      <c r="F258" s="1">
        <v>20</v>
      </c>
      <c r="G258" s="1" t="s">
        <v>328</v>
      </c>
      <c r="H258" s="1" t="s">
        <v>328</v>
      </c>
      <c r="I258" s="1" t="s">
        <v>328</v>
      </c>
      <c r="J258" s="1" t="s">
        <v>328</v>
      </c>
      <c r="K258" s="1" t="s">
        <v>328</v>
      </c>
      <c r="L258" s="1" t="s">
        <v>363</v>
      </c>
      <c r="M258" s="1" t="s">
        <v>328</v>
      </c>
      <c r="N258" s="1" t="s">
        <v>328</v>
      </c>
      <c r="O258" s="1" t="s">
        <v>328</v>
      </c>
      <c r="P258" s="1" t="s">
        <v>328</v>
      </c>
      <c r="Q258" s="1" t="s">
        <v>328</v>
      </c>
      <c r="R258" s="1" t="s">
        <v>328</v>
      </c>
      <c r="S258" s="1" t="s">
        <v>328</v>
      </c>
      <c r="T258" s="1" t="s">
        <v>328</v>
      </c>
      <c r="U258" s="1">
        <v>0</v>
      </c>
      <c r="V258" s="1">
        <v>0</v>
      </c>
      <c r="W258" s="1">
        <v>0</v>
      </c>
      <c r="X258" s="1">
        <v>0</v>
      </c>
      <c r="Y258" s="1">
        <v>0</v>
      </c>
      <c r="Z258" s="1">
        <v>0</v>
      </c>
      <c r="AA258" s="1">
        <v>0</v>
      </c>
      <c r="AB258" s="1">
        <v>0</v>
      </c>
      <c r="AC258" s="1">
        <v>4</v>
      </c>
      <c r="AD258" s="1">
        <v>0</v>
      </c>
      <c r="AE258" s="1">
        <v>5</v>
      </c>
      <c r="AF258" s="1">
        <v>0</v>
      </c>
      <c r="AG258" s="208" t="s">
        <v>805</v>
      </c>
      <c r="AH258" s="1">
        <v>3360</v>
      </c>
      <c r="AI258" s="1" t="s">
        <v>1843</v>
      </c>
      <c r="AJ258" s="1">
        <v>0</v>
      </c>
      <c r="AK258" s="1" t="s">
        <v>1740</v>
      </c>
      <c r="AL258" s="1" t="s">
        <v>2586</v>
      </c>
      <c r="AM258" s="1">
        <v>0.55000000000000004</v>
      </c>
      <c r="AN258" s="1">
        <v>0.16</v>
      </c>
      <c r="AO258" s="1">
        <v>0.6</v>
      </c>
      <c r="AP258" s="1">
        <v>0.16</v>
      </c>
      <c r="AQ258" s="1">
        <v>3</v>
      </c>
      <c r="AR258" s="1" t="s">
        <v>1499</v>
      </c>
      <c r="AS258" s="1">
        <v>0</v>
      </c>
      <c r="AT258" s="1" t="s">
        <v>2587</v>
      </c>
      <c r="AU258" s="1">
        <v>10</v>
      </c>
      <c r="AV258" s="1">
        <v>20045</v>
      </c>
      <c r="AW258" s="1">
        <v>0</v>
      </c>
      <c r="AX258" t="b">
        <v>0</v>
      </c>
    </row>
    <row r="259" spans="1:50" x14ac:dyDescent="0.3">
      <c r="A259" s="1">
        <v>260</v>
      </c>
      <c r="B259" s="1" t="s">
        <v>2588</v>
      </c>
      <c r="C259" s="1" t="s">
        <v>2589</v>
      </c>
      <c r="D259" s="1">
        <v>5</v>
      </c>
      <c r="E259" s="1">
        <v>3</v>
      </c>
      <c r="F259" s="1">
        <v>20</v>
      </c>
      <c r="G259" s="1" t="s">
        <v>328</v>
      </c>
      <c r="H259" s="1" t="s">
        <v>328</v>
      </c>
      <c r="I259" s="1" t="s">
        <v>488</v>
      </c>
      <c r="J259" s="1" t="s">
        <v>364</v>
      </c>
      <c r="K259" s="1" t="s">
        <v>328</v>
      </c>
      <c r="L259" s="1" t="s">
        <v>328</v>
      </c>
      <c r="M259" s="1" t="s">
        <v>328</v>
      </c>
      <c r="N259" s="1" t="s">
        <v>328</v>
      </c>
      <c r="O259" s="1" t="s">
        <v>328</v>
      </c>
      <c r="P259" s="1" t="s">
        <v>328</v>
      </c>
      <c r="Q259" s="1" t="s">
        <v>328</v>
      </c>
      <c r="R259" s="1" t="s">
        <v>328</v>
      </c>
      <c r="S259" s="1" t="s">
        <v>328</v>
      </c>
      <c r="T259" s="1" t="s">
        <v>328</v>
      </c>
      <c r="U259" s="1">
        <v>0</v>
      </c>
      <c r="V259" s="1">
        <v>0</v>
      </c>
      <c r="W259" s="1">
        <v>0</v>
      </c>
      <c r="X259" s="1">
        <v>0</v>
      </c>
      <c r="Y259" s="1">
        <v>0</v>
      </c>
      <c r="Z259" s="1">
        <v>0</v>
      </c>
      <c r="AA259" s="1">
        <v>0</v>
      </c>
      <c r="AB259" s="1">
        <v>0</v>
      </c>
      <c r="AC259" s="1">
        <v>4</v>
      </c>
      <c r="AD259" s="1">
        <v>2</v>
      </c>
      <c r="AE259" s="1">
        <v>0</v>
      </c>
      <c r="AF259" s="1">
        <v>4</v>
      </c>
      <c r="AG259" s="208" t="s">
        <v>6374</v>
      </c>
      <c r="AH259" s="1">
        <v>3120</v>
      </c>
      <c r="AI259" s="1" t="s">
        <v>1843</v>
      </c>
      <c r="AJ259" s="1">
        <v>0</v>
      </c>
      <c r="AK259" s="1" t="s">
        <v>1756</v>
      </c>
      <c r="AL259" s="1" t="s">
        <v>2590</v>
      </c>
      <c r="AM259" s="1">
        <v>0.3</v>
      </c>
      <c r="AN259" s="1">
        <v>0.25</v>
      </c>
      <c r="AO259" s="1">
        <v>0.12</v>
      </c>
      <c r="AP259" s="1">
        <v>0.38</v>
      </c>
      <c r="AQ259" s="1">
        <v>3</v>
      </c>
      <c r="AR259" s="1" t="s">
        <v>1757</v>
      </c>
      <c r="AS259" s="1">
        <v>0</v>
      </c>
      <c r="AT259" s="1" t="s">
        <v>1806</v>
      </c>
      <c r="AU259" s="1">
        <v>10</v>
      </c>
      <c r="AV259" s="1">
        <v>20046</v>
      </c>
      <c r="AW259" s="1">
        <v>0</v>
      </c>
      <c r="AX259" t="b">
        <v>0</v>
      </c>
    </row>
    <row r="260" spans="1:50" x14ac:dyDescent="0.3">
      <c r="A260" s="1">
        <v>261</v>
      </c>
      <c r="B260" s="1" t="s">
        <v>2591</v>
      </c>
      <c r="C260" s="1" t="s">
        <v>2592</v>
      </c>
      <c r="D260" s="1">
        <v>5</v>
      </c>
      <c r="E260" s="1">
        <v>1</v>
      </c>
      <c r="F260" s="1">
        <v>18</v>
      </c>
      <c r="G260" s="1" t="s">
        <v>337</v>
      </c>
      <c r="H260" s="1" t="s">
        <v>343</v>
      </c>
      <c r="I260" s="1" t="s">
        <v>328</v>
      </c>
      <c r="J260" s="1" t="s">
        <v>328</v>
      </c>
      <c r="K260" s="1" t="s">
        <v>328</v>
      </c>
      <c r="L260" s="1" t="s">
        <v>328</v>
      </c>
      <c r="M260" s="1" t="s">
        <v>328</v>
      </c>
      <c r="N260" s="1" t="s">
        <v>328</v>
      </c>
      <c r="O260" s="1" t="s">
        <v>328</v>
      </c>
      <c r="P260" s="1" t="s">
        <v>328</v>
      </c>
      <c r="Q260" s="1" t="s">
        <v>328</v>
      </c>
      <c r="R260" s="1" t="s">
        <v>328</v>
      </c>
      <c r="S260" s="1" t="s">
        <v>328</v>
      </c>
      <c r="T260" s="1" t="s">
        <v>328</v>
      </c>
      <c r="U260" s="1">
        <v>0</v>
      </c>
      <c r="V260" s="1">
        <v>0</v>
      </c>
      <c r="W260" s="1">
        <v>0</v>
      </c>
      <c r="X260" s="1">
        <v>0</v>
      </c>
      <c r="Y260" s="1">
        <v>0</v>
      </c>
      <c r="Z260" s="1">
        <v>0</v>
      </c>
      <c r="AA260" s="1">
        <v>0</v>
      </c>
      <c r="AB260" s="1">
        <v>0</v>
      </c>
      <c r="AC260" s="1">
        <v>4</v>
      </c>
      <c r="AD260" s="1">
        <v>0</v>
      </c>
      <c r="AE260" s="1">
        <v>3</v>
      </c>
      <c r="AF260" s="1">
        <v>2</v>
      </c>
      <c r="AG260" s="208" t="s">
        <v>1754</v>
      </c>
      <c r="AH260" s="1">
        <v>3600</v>
      </c>
      <c r="AI260" s="1" t="s">
        <v>1843</v>
      </c>
      <c r="AJ260" s="1">
        <v>0</v>
      </c>
      <c r="AK260" s="1" t="s">
        <v>1758</v>
      </c>
      <c r="AL260" s="1" t="s">
        <v>2593</v>
      </c>
      <c r="AM260" s="1">
        <v>0.45</v>
      </c>
      <c r="AN260" s="1">
        <v>0.15</v>
      </c>
      <c r="AO260" s="1">
        <v>0.3</v>
      </c>
      <c r="AP260" s="1">
        <v>0.15</v>
      </c>
      <c r="AQ260" s="1">
        <v>3</v>
      </c>
      <c r="AR260" s="1" t="s">
        <v>1722</v>
      </c>
      <c r="AS260" s="1">
        <v>0</v>
      </c>
      <c r="AT260" s="1" t="s">
        <v>1806</v>
      </c>
      <c r="AU260" s="1">
        <v>10</v>
      </c>
      <c r="AV260" s="1">
        <v>18078</v>
      </c>
      <c r="AW260" s="1">
        <v>0</v>
      </c>
      <c r="AX260" t="b">
        <v>0</v>
      </c>
    </row>
    <row r="261" spans="1:50" x14ac:dyDescent="0.3">
      <c r="A261" s="1">
        <v>262</v>
      </c>
      <c r="B261" s="1" t="s">
        <v>2594</v>
      </c>
      <c r="C261" s="1" t="s">
        <v>2595</v>
      </c>
      <c r="D261" s="1">
        <v>5</v>
      </c>
      <c r="E261" s="1">
        <v>2</v>
      </c>
      <c r="F261" s="1">
        <v>19</v>
      </c>
      <c r="G261" s="1" t="s">
        <v>335</v>
      </c>
      <c r="H261" s="1" t="s">
        <v>328</v>
      </c>
      <c r="I261" s="1" t="s">
        <v>328</v>
      </c>
      <c r="J261" s="1" t="s">
        <v>328</v>
      </c>
      <c r="K261" s="1" t="s">
        <v>328</v>
      </c>
      <c r="L261" s="1" t="s">
        <v>328</v>
      </c>
      <c r="M261" s="1" t="s">
        <v>328</v>
      </c>
      <c r="N261" s="1" t="s">
        <v>1759</v>
      </c>
      <c r="O261" s="1" t="s">
        <v>328</v>
      </c>
      <c r="P261" s="1" t="s">
        <v>328</v>
      </c>
      <c r="Q261" s="1" t="s">
        <v>328</v>
      </c>
      <c r="R261" s="1" t="s">
        <v>328</v>
      </c>
      <c r="S261" s="1" t="s">
        <v>328</v>
      </c>
      <c r="T261" s="1" t="s">
        <v>328</v>
      </c>
      <c r="U261" s="1">
        <v>0</v>
      </c>
      <c r="V261" s="1">
        <v>0</v>
      </c>
      <c r="W261" s="1">
        <v>0</v>
      </c>
      <c r="X261" s="1">
        <v>0</v>
      </c>
      <c r="Y261" s="1">
        <v>0</v>
      </c>
      <c r="Z261" s="1">
        <v>0</v>
      </c>
      <c r="AA261" s="1">
        <v>0</v>
      </c>
      <c r="AB261" s="1">
        <v>0</v>
      </c>
      <c r="AC261" s="1">
        <v>0</v>
      </c>
      <c r="AD261" s="1">
        <v>4</v>
      </c>
      <c r="AE261" s="1">
        <v>2</v>
      </c>
      <c r="AF261" s="1">
        <v>3</v>
      </c>
      <c r="AG261" s="208" t="s">
        <v>1755</v>
      </c>
      <c r="AH261" s="1">
        <v>3300</v>
      </c>
      <c r="AI261" s="1" t="s">
        <v>1843</v>
      </c>
      <c r="AJ261" s="1">
        <v>0</v>
      </c>
      <c r="AK261" s="1" t="s">
        <v>1760</v>
      </c>
      <c r="AL261" s="1" t="s">
        <v>2596</v>
      </c>
      <c r="AM261" s="1">
        <v>0.08</v>
      </c>
      <c r="AN261" s="1">
        <v>0.5</v>
      </c>
      <c r="AO261" s="1">
        <v>0.3</v>
      </c>
      <c r="AP261" s="1">
        <v>0.3</v>
      </c>
      <c r="AQ261" s="1">
        <v>3</v>
      </c>
      <c r="AR261" s="1" t="s">
        <v>1761</v>
      </c>
      <c r="AS261" s="1">
        <v>0</v>
      </c>
      <c r="AT261" s="1" t="s">
        <v>1806</v>
      </c>
      <c r="AU261" s="1">
        <v>10</v>
      </c>
      <c r="AV261" s="1">
        <v>19034</v>
      </c>
      <c r="AW261" s="1">
        <v>0</v>
      </c>
      <c r="AX261" t="b">
        <v>0</v>
      </c>
    </row>
    <row r="262" spans="1:50" x14ac:dyDescent="0.3">
      <c r="A262" s="1">
        <v>263</v>
      </c>
      <c r="B262" s="1" t="s">
        <v>2597</v>
      </c>
      <c r="C262" s="1" t="s">
        <v>2598</v>
      </c>
      <c r="D262" s="1">
        <v>5</v>
      </c>
      <c r="E262" s="1">
        <v>2</v>
      </c>
      <c r="F262" s="1">
        <v>19</v>
      </c>
      <c r="G262" s="1" t="s">
        <v>328</v>
      </c>
      <c r="H262" s="1" t="s">
        <v>356</v>
      </c>
      <c r="I262" s="1" t="s">
        <v>328</v>
      </c>
      <c r="J262" s="1" t="s">
        <v>328</v>
      </c>
      <c r="K262" s="1" t="s">
        <v>328</v>
      </c>
      <c r="L262" s="1" t="s">
        <v>328</v>
      </c>
      <c r="M262" s="1" t="s">
        <v>328</v>
      </c>
      <c r="N262" s="1" t="s">
        <v>328</v>
      </c>
      <c r="O262" s="1" t="s">
        <v>328</v>
      </c>
      <c r="P262" s="1" t="s">
        <v>328</v>
      </c>
      <c r="Q262" s="1" t="s">
        <v>328</v>
      </c>
      <c r="R262" s="1" t="s">
        <v>328</v>
      </c>
      <c r="S262" s="1" t="s">
        <v>328</v>
      </c>
      <c r="T262" s="1" t="s">
        <v>328</v>
      </c>
      <c r="U262" s="1">
        <v>0</v>
      </c>
      <c r="V262" s="1">
        <v>150</v>
      </c>
      <c r="W262" s="1">
        <v>0</v>
      </c>
      <c r="X262" s="1">
        <v>0</v>
      </c>
      <c r="Y262" s="1">
        <v>0</v>
      </c>
      <c r="Z262" s="1">
        <v>0</v>
      </c>
      <c r="AA262" s="1">
        <v>0</v>
      </c>
      <c r="AB262" s="1">
        <v>0</v>
      </c>
      <c r="AC262" s="1">
        <v>4</v>
      </c>
      <c r="AD262" s="1">
        <v>4</v>
      </c>
      <c r="AE262" s="1">
        <v>0</v>
      </c>
      <c r="AF262" s="1">
        <v>2</v>
      </c>
      <c r="AG262" s="208" t="s">
        <v>1753</v>
      </c>
      <c r="AH262" s="1">
        <v>3600</v>
      </c>
      <c r="AI262" s="1" t="s">
        <v>2599</v>
      </c>
      <c r="AJ262" s="1">
        <v>0</v>
      </c>
      <c r="AK262" s="1" t="s">
        <v>1762</v>
      </c>
      <c r="AL262" s="1" t="s">
        <v>2600</v>
      </c>
      <c r="AM262" s="1">
        <v>0.48</v>
      </c>
      <c r="AN262" s="1">
        <v>0.48</v>
      </c>
      <c r="AO262" s="1">
        <v>0.08</v>
      </c>
      <c r="AP262" s="1">
        <v>0.25</v>
      </c>
      <c r="AQ262" s="1">
        <v>3</v>
      </c>
      <c r="AR262" s="1" t="s">
        <v>1493</v>
      </c>
      <c r="AS262" s="1">
        <v>0</v>
      </c>
      <c r="AT262" s="1" t="s">
        <v>2468</v>
      </c>
      <c r="AU262" s="1">
        <v>10</v>
      </c>
      <c r="AV262" s="1">
        <v>19035</v>
      </c>
      <c r="AW262" s="1">
        <v>0</v>
      </c>
      <c r="AX262" t="b">
        <v>0</v>
      </c>
    </row>
    <row r="263" spans="1:50" x14ac:dyDescent="0.3">
      <c r="A263" s="1">
        <v>264</v>
      </c>
      <c r="B263" s="1" t="s">
        <v>2601</v>
      </c>
      <c r="C263" s="1" t="s">
        <v>2602</v>
      </c>
      <c r="D263" s="1">
        <v>5</v>
      </c>
      <c r="E263" s="1">
        <v>1</v>
      </c>
      <c r="F263" s="1">
        <v>18</v>
      </c>
      <c r="G263" s="1" t="s">
        <v>335</v>
      </c>
      <c r="H263" s="1" t="s">
        <v>335</v>
      </c>
      <c r="I263" s="1" t="s">
        <v>328</v>
      </c>
      <c r="J263" s="1" t="s">
        <v>328</v>
      </c>
      <c r="K263" s="1" t="s">
        <v>328</v>
      </c>
      <c r="L263" s="1" t="s">
        <v>328</v>
      </c>
      <c r="M263" s="1" t="s">
        <v>363</v>
      </c>
      <c r="N263" s="1" t="s">
        <v>328</v>
      </c>
      <c r="O263" s="1" t="s">
        <v>328</v>
      </c>
      <c r="P263" s="1" t="s">
        <v>328</v>
      </c>
      <c r="Q263" s="1" t="s">
        <v>328</v>
      </c>
      <c r="R263" s="1" t="s">
        <v>328</v>
      </c>
      <c r="S263" s="1" t="s">
        <v>328</v>
      </c>
      <c r="T263" s="1" t="s">
        <v>328</v>
      </c>
      <c r="U263" s="1">
        <v>0</v>
      </c>
      <c r="V263" s="1">
        <v>0</v>
      </c>
      <c r="W263" s="1">
        <v>0</v>
      </c>
      <c r="X263" s="1">
        <v>0</v>
      </c>
      <c r="Y263" s="1">
        <v>0</v>
      </c>
      <c r="Z263" s="1">
        <v>0</v>
      </c>
      <c r="AA263" s="1">
        <v>0</v>
      </c>
      <c r="AB263" s="1">
        <v>0</v>
      </c>
      <c r="AC263" s="1">
        <v>4</v>
      </c>
      <c r="AD263" s="1">
        <v>0</v>
      </c>
      <c r="AE263" s="1">
        <v>3</v>
      </c>
      <c r="AF263" s="1">
        <v>2</v>
      </c>
      <c r="AG263" s="208" t="s">
        <v>111</v>
      </c>
      <c r="AH263" s="1">
        <v>3600</v>
      </c>
      <c r="AI263" s="1" t="s">
        <v>1843</v>
      </c>
      <c r="AJ263" s="1">
        <v>0</v>
      </c>
      <c r="AK263" s="1" t="s">
        <v>2603</v>
      </c>
      <c r="AL263" s="1" t="s">
        <v>2604</v>
      </c>
      <c r="AM263" s="1">
        <v>0.45</v>
      </c>
      <c r="AN263" s="1">
        <v>0.15</v>
      </c>
      <c r="AO263" s="1">
        <v>0.3</v>
      </c>
      <c r="AP263" s="1">
        <v>0.15</v>
      </c>
      <c r="AQ263" s="1">
        <v>3</v>
      </c>
      <c r="AR263" s="1" t="s">
        <v>1589</v>
      </c>
      <c r="AS263" s="1">
        <v>0</v>
      </c>
      <c r="AT263" s="1" t="s">
        <v>5630</v>
      </c>
      <c r="AU263" s="1">
        <v>10</v>
      </c>
      <c r="AV263" s="1">
        <v>18079</v>
      </c>
      <c r="AW263" s="1">
        <v>0</v>
      </c>
      <c r="AX263" t="b">
        <v>0</v>
      </c>
    </row>
    <row r="264" spans="1:50" x14ac:dyDescent="0.3">
      <c r="A264" s="1">
        <v>265</v>
      </c>
      <c r="B264" s="1" t="s">
        <v>5493</v>
      </c>
      <c r="C264" s="1" t="s">
        <v>5494</v>
      </c>
      <c r="D264" s="1">
        <v>5</v>
      </c>
      <c r="E264" s="1">
        <v>1</v>
      </c>
      <c r="F264" s="1">
        <v>18</v>
      </c>
      <c r="G264" s="1" t="s">
        <v>335</v>
      </c>
      <c r="H264" s="1" t="s">
        <v>343</v>
      </c>
      <c r="I264" s="1" t="s">
        <v>328</v>
      </c>
      <c r="J264" s="1" t="s">
        <v>328</v>
      </c>
      <c r="K264" s="1" t="s">
        <v>328</v>
      </c>
      <c r="L264" s="1" t="s">
        <v>328</v>
      </c>
      <c r="M264" s="1" t="s">
        <v>328</v>
      </c>
      <c r="N264" s="1" t="s">
        <v>328</v>
      </c>
      <c r="O264" s="1" t="s">
        <v>328</v>
      </c>
      <c r="P264" s="1" t="s">
        <v>328</v>
      </c>
      <c r="Q264" s="1" t="s">
        <v>328</v>
      </c>
      <c r="R264" s="1" t="s">
        <v>328</v>
      </c>
      <c r="S264" s="1" t="s">
        <v>328</v>
      </c>
      <c r="T264" s="1" t="s">
        <v>328</v>
      </c>
      <c r="U264" s="1">
        <v>0</v>
      </c>
      <c r="V264" s="1">
        <v>0</v>
      </c>
      <c r="W264" s="1">
        <v>0</v>
      </c>
      <c r="X264" s="1">
        <v>0</v>
      </c>
      <c r="Y264" s="1">
        <v>0</v>
      </c>
      <c r="Z264" s="1">
        <v>0</v>
      </c>
      <c r="AA264" s="1">
        <v>0</v>
      </c>
      <c r="AB264" s="1">
        <v>0</v>
      </c>
      <c r="AC264" s="1">
        <v>4</v>
      </c>
      <c r="AD264" s="1">
        <v>0</v>
      </c>
      <c r="AE264" s="1">
        <v>3</v>
      </c>
      <c r="AF264" s="1">
        <v>2</v>
      </c>
      <c r="AG264" s="208" t="s">
        <v>147</v>
      </c>
      <c r="AH264" s="1">
        <v>3000</v>
      </c>
      <c r="AI264" s="1" t="s">
        <v>5495</v>
      </c>
      <c r="AJ264" s="1">
        <v>0</v>
      </c>
      <c r="AK264" s="1" t="s">
        <v>5496</v>
      </c>
      <c r="AL264" s="1" t="s">
        <v>5497</v>
      </c>
      <c r="AM264" s="1">
        <v>0.45</v>
      </c>
      <c r="AN264" s="1">
        <v>0.15</v>
      </c>
      <c r="AO264" s="1">
        <v>0.3</v>
      </c>
      <c r="AP264" s="1">
        <v>0.15</v>
      </c>
      <c r="AQ264" s="1">
        <v>3</v>
      </c>
      <c r="AR264" s="1" t="s">
        <v>5498</v>
      </c>
      <c r="AS264" s="1">
        <v>0</v>
      </c>
      <c r="AT264" s="1" t="s">
        <v>5499</v>
      </c>
      <c r="AU264" s="1">
        <v>10</v>
      </c>
      <c r="AV264" s="1">
        <v>18080</v>
      </c>
      <c r="AW264" s="1">
        <v>0</v>
      </c>
      <c r="AX264" t="b">
        <v>0</v>
      </c>
    </row>
    <row r="265" spans="1:50" x14ac:dyDescent="0.3">
      <c r="A265" s="1">
        <v>266</v>
      </c>
      <c r="B265" s="1" t="s">
        <v>5500</v>
      </c>
      <c r="C265" s="1" t="s">
        <v>5501</v>
      </c>
      <c r="D265" s="1">
        <v>5</v>
      </c>
      <c r="E265" s="1">
        <v>1</v>
      </c>
      <c r="F265" s="1">
        <v>18</v>
      </c>
      <c r="G265" s="1" t="s">
        <v>328</v>
      </c>
      <c r="H265" s="1" t="s">
        <v>328</v>
      </c>
      <c r="I265" s="1" t="s">
        <v>385</v>
      </c>
      <c r="J265" s="1" t="s">
        <v>328</v>
      </c>
      <c r="K265" s="1" t="s">
        <v>328</v>
      </c>
      <c r="L265" s="1" t="s">
        <v>328</v>
      </c>
      <c r="M265" s="1" t="s">
        <v>402</v>
      </c>
      <c r="N265" s="1" t="s">
        <v>328</v>
      </c>
      <c r="O265" s="1" t="s">
        <v>328</v>
      </c>
      <c r="P265" s="1" t="s">
        <v>328</v>
      </c>
      <c r="Q265" s="1" t="s">
        <v>328</v>
      </c>
      <c r="R265" s="1" t="s">
        <v>328</v>
      </c>
      <c r="S265" s="1" t="s">
        <v>328</v>
      </c>
      <c r="T265" s="1" t="s">
        <v>328</v>
      </c>
      <c r="U265" s="1">
        <v>0</v>
      </c>
      <c r="V265" s="1">
        <v>0</v>
      </c>
      <c r="W265" s="1">
        <v>0</v>
      </c>
      <c r="X265" s="1">
        <v>0</v>
      </c>
      <c r="Y265" s="1">
        <v>0</v>
      </c>
      <c r="Z265" s="1">
        <v>0</v>
      </c>
      <c r="AA265" s="1">
        <v>0</v>
      </c>
      <c r="AB265" s="1">
        <v>0</v>
      </c>
      <c r="AC265" s="1">
        <v>4</v>
      </c>
      <c r="AD265" s="1">
        <v>2</v>
      </c>
      <c r="AE265" s="1">
        <v>2</v>
      </c>
      <c r="AF265" s="1">
        <v>2</v>
      </c>
      <c r="AG265" s="208" t="s">
        <v>186</v>
      </c>
      <c r="AH265" s="1">
        <v>2820</v>
      </c>
      <c r="AI265" s="1" t="s">
        <v>5502</v>
      </c>
      <c r="AJ265" s="1">
        <v>0</v>
      </c>
      <c r="AK265" s="1" t="s">
        <v>5405</v>
      </c>
      <c r="AL265" s="1" t="s">
        <v>5503</v>
      </c>
      <c r="AM265" s="1">
        <v>0.55000000000000004</v>
      </c>
      <c r="AN265" s="1">
        <v>0.23</v>
      </c>
      <c r="AO265" s="1">
        <v>0.23</v>
      </c>
      <c r="AP265" s="1">
        <v>0.23</v>
      </c>
      <c r="AQ265" s="1">
        <v>3</v>
      </c>
      <c r="AR265" s="1" t="s">
        <v>5504</v>
      </c>
      <c r="AS265" s="1">
        <v>0</v>
      </c>
      <c r="AT265" s="1" t="s">
        <v>1806</v>
      </c>
      <c r="AU265" s="1">
        <v>10</v>
      </c>
      <c r="AV265" s="1">
        <v>18081</v>
      </c>
      <c r="AW265" s="1">
        <v>0</v>
      </c>
      <c r="AX265" t="b">
        <v>0</v>
      </c>
    </row>
    <row r="266" spans="1:50" x14ac:dyDescent="0.3">
      <c r="A266" s="1">
        <v>267</v>
      </c>
      <c r="B266" s="1" t="s">
        <v>5634</v>
      </c>
      <c r="C266" s="1" t="s">
        <v>5635</v>
      </c>
      <c r="D266" s="1">
        <v>5</v>
      </c>
      <c r="E266" s="1">
        <v>1</v>
      </c>
      <c r="F266" s="1">
        <v>18</v>
      </c>
      <c r="G266" s="1" t="s">
        <v>328</v>
      </c>
      <c r="H266" s="1" t="s">
        <v>364</v>
      </c>
      <c r="I266" s="1" t="s">
        <v>359</v>
      </c>
      <c r="J266" s="1" t="s">
        <v>328</v>
      </c>
      <c r="K266" s="1" t="s">
        <v>328</v>
      </c>
      <c r="L266" s="1" t="s">
        <v>328</v>
      </c>
      <c r="M266" s="1" t="s">
        <v>385</v>
      </c>
      <c r="N266" s="1" t="s">
        <v>328</v>
      </c>
      <c r="O266" s="1" t="s">
        <v>328</v>
      </c>
      <c r="P266" s="1" t="s">
        <v>328</v>
      </c>
      <c r="Q266" s="1" t="s">
        <v>328</v>
      </c>
      <c r="R266" s="1" t="s">
        <v>328</v>
      </c>
      <c r="S266" s="1" t="s">
        <v>328</v>
      </c>
      <c r="T266" s="1" t="s">
        <v>328</v>
      </c>
      <c r="U266" s="1">
        <v>0</v>
      </c>
      <c r="V266" s="1">
        <v>0</v>
      </c>
      <c r="W266" s="1">
        <v>0</v>
      </c>
      <c r="X266" s="1">
        <v>0</v>
      </c>
      <c r="Y266" s="1">
        <v>0</v>
      </c>
      <c r="Z266" s="1">
        <v>0</v>
      </c>
      <c r="AA266" s="1">
        <v>0</v>
      </c>
      <c r="AB266" s="1">
        <v>0</v>
      </c>
      <c r="AC266" s="1">
        <v>4</v>
      </c>
      <c r="AD266" s="1">
        <v>2</v>
      </c>
      <c r="AE266" s="1">
        <v>2</v>
      </c>
      <c r="AF266" s="1">
        <v>2</v>
      </c>
      <c r="AG266" s="208" t="s">
        <v>69</v>
      </c>
      <c r="AH266" s="1">
        <v>2820</v>
      </c>
      <c r="AI266" s="1" t="s">
        <v>1843</v>
      </c>
      <c r="AJ266" s="1">
        <v>0</v>
      </c>
      <c r="AK266" s="1" t="s">
        <v>5141</v>
      </c>
      <c r="AL266" s="1" t="s">
        <v>5636</v>
      </c>
      <c r="AM266" s="1">
        <v>0.55000000000000004</v>
      </c>
      <c r="AN266" s="1">
        <v>0.23</v>
      </c>
      <c r="AO266" s="1">
        <v>0.23</v>
      </c>
      <c r="AP266" s="1">
        <v>0.23</v>
      </c>
      <c r="AQ266" s="1">
        <v>3</v>
      </c>
      <c r="AR266" s="1" t="s">
        <v>1547</v>
      </c>
      <c r="AS266" s="1">
        <v>0</v>
      </c>
      <c r="AT266" s="1" t="s">
        <v>1806</v>
      </c>
      <c r="AU266" s="1">
        <v>10</v>
      </c>
      <c r="AV266" s="1">
        <v>18082</v>
      </c>
      <c r="AW266" s="1">
        <v>0</v>
      </c>
      <c r="AX266" t="b">
        <v>0</v>
      </c>
    </row>
    <row r="267" spans="1:50" x14ac:dyDescent="0.3">
      <c r="A267" s="1">
        <v>268</v>
      </c>
      <c r="B267" s="1" t="s">
        <v>5637</v>
      </c>
      <c r="C267" s="1" t="s">
        <v>5638</v>
      </c>
      <c r="D267" s="1">
        <v>5</v>
      </c>
      <c r="E267" s="1">
        <v>2</v>
      </c>
      <c r="F267" s="1">
        <v>19</v>
      </c>
      <c r="G267" s="1" t="s">
        <v>356</v>
      </c>
      <c r="H267" s="1" t="s">
        <v>328</v>
      </c>
      <c r="I267" s="1" t="s">
        <v>328</v>
      </c>
      <c r="J267" s="1" t="s">
        <v>328</v>
      </c>
      <c r="K267" s="1" t="s">
        <v>328</v>
      </c>
      <c r="L267" s="1" t="s">
        <v>338</v>
      </c>
      <c r="M267" s="1" t="s">
        <v>328</v>
      </c>
      <c r="N267" s="1" t="s">
        <v>328</v>
      </c>
      <c r="O267" s="1" t="s">
        <v>328</v>
      </c>
      <c r="P267" s="1" t="s">
        <v>328</v>
      </c>
      <c r="Q267" s="1" t="s">
        <v>328</v>
      </c>
      <c r="R267" s="1" t="s">
        <v>328</v>
      </c>
      <c r="S267" s="1" t="s">
        <v>328</v>
      </c>
      <c r="T267" s="1" t="s">
        <v>328</v>
      </c>
      <c r="U267" s="1">
        <v>0</v>
      </c>
      <c r="V267" s="1">
        <v>0</v>
      </c>
      <c r="W267" s="1">
        <v>0</v>
      </c>
      <c r="X267" s="1">
        <v>0</v>
      </c>
      <c r="Y267" s="1">
        <v>0</v>
      </c>
      <c r="Z267" s="1">
        <v>0</v>
      </c>
      <c r="AA267" s="1">
        <v>0</v>
      </c>
      <c r="AB267" s="1">
        <v>0</v>
      </c>
      <c r="AC267" s="1">
        <v>0</v>
      </c>
      <c r="AD267" s="1">
        <v>5</v>
      </c>
      <c r="AE267" s="1">
        <v>3</v>
      </c>
      <c r="AF267" s="1">
        <v>2</v>
      </c>
      <c r="AG267" s="208" t="s">
        <v>238</v>
      </c>
      <c r="AH267" s="1">
        <v>3480</v>
      </c>
      <c r="AI267" s="1" t="s">
        <v>1843</v>
      </c>
      <c r="AJ267" s="1">
        <v>0</v>
      </c>
      <c r="AK267" s="1" t="s">
        <v>5058</v>
      </c>
      <c r="AL267" s="1" t="s">
        <v>5639</v>
      </c>
      <c r="AM267" s="1">
        <v>0.15</v>
      </c>
      <c r="AN267" s="1">
        <v>0.6</v>
      </c>
      <c r="AO267" s="1">
        <v>0.38</v>
      </c>
      <c r="AP267" s="1">
        <v>0.23</v>
      </c>
      <c r="AQ267" s="1">
        <v>3</v>
      </c>
      <c r="AR267" s="1" t="s">
        <v>1554</v>
      </c>
      <c r="AS267" s="1">
        <v>0</v>
      </c>
      <c r="AT267" s="1" t="s">
        <v>1806</v>
      </c>
      <c r="AU267" s="1">
        <v>10</v>
      </c>
      <c r="AV267" s="1">
        <v>19036</v>
      </c>
      <c r="AW267" s="1">
        <v>0</v>
      </c>
      <c r="AX267" t="b">
        <v>0</v>
      </c>
    </row>
    <row r="268" spans="1:50" x14ac:dyDescent="0.3">
      <c r="A268" s="1">
        <v>269</v>
      </c>
      <c r="B268" s="1" t="s">
        <v>5640</v>
      </c>
      <c r="C268" s="1" t="s">
        <v>5641</v>
      </c>
      <c r="D268" s="1">
        <v>5</v>
      </c>
      <c r="E268" s="1">
        <v>1</v>
      </c>
      <c r="F268" s="1">
        <v>18</v>
      </c>
      <c r="G268" s="1" t="s">
        <v>328</v>
      </c>
      <c r="H268" s="1" t="s">
        <v>328</v>
      </c>
      <c r="I268" s="1" t="s">
        <v>338</v>
      </c>
      <c r="J268" s="1" t="s">
        <v>328</v>
      </c>
      <c r="K268" s="1" t="s">
        <v>328</v>
      </c>
      <c r="L268" s="1" t="s">
        <v>328</v>
      </c>
      <c r="M268" s="1" t="s">
        <v>328</v>
      </c>
      <c r="N268" s="1" t="s">
        <v>328</v>
      </c>
      <c r="O268" s="1" t="s">
        <v>328</v>
      </c>
      <c r="P268" s="1" t="s">
        <v>328</v>
      </c>
      <c r="Q268" s="1" t="s">
        <v>328</v>
      </c>
      <c r="R268" s="1" t="s">
        <v>328</v>
      </c>
      <c r="S268" s="1" t="s">
        <v>1759</v>
      </c>
      <c r="T268" s="1" t="s">
        <v>328</v>
      </c>
      <c r="U268" s="1">
        <v>0</v>
      </c>
      <c r="V268" s="1">
        <v>0</v>
      </c>
      <c r="W268" s="1">
        <v>0</v>
      </c>
      <c r="X268" s="1">
        <v>0</v>
      </c>
      <c r="Y268" s="1">
        <v>0</v>
      </c>
      <c r="Z268" s="1">
        <v>0</v>
      </c>
      <c r="AA268" s="1">
        <v>0</v>
      </c>
      <c r="AB268" s="1">
        <v>0</v>
      </c>
      <c r="AC268" s="1">
        <v>3</v>
      </c>
      <c r="AD268" s="1">
        <v>0</v>
      </c>
      <c r="AE268" s="1">
        <v>4</v>
      </c>
      <c r="AF268" s="1">
        <v>2</v>
      </c>
      <c r="AG268" s="208" t="s">
        <v>1178</v>
      </c>
      <c r="AH268" s="1">
        <v>2940</v>
      </c>
      <c r="AI268" s="1" t="s">
        <v>5642</v>
      </c>
      <c r="AJ268" s="1">
        <v>0</v>
      </c>
      <c r="AK268" s="1" t="s">
        <v>5643</v>
      </c>
      <c r="AL268" s="1" t="s">
        <v>5644</v>
      </c>
      <c r="AM268" s="1">
        <v>0.33</v>
      </c>
      <c r="AN268" s="1">
        <v>0.22</v>
      </c>
      <c r="AO268" s="1">
        <v>0.5</v>
      </c>
      <c r="AP268" s="1">
        <v>0.18</v>
      </c>
      <c r="AQ268" s="1">
        <v>3</v>
      </c>
      <c r="AR268" s="1" t="s">
        <v>1757</v>
      </c>
      <c r="AS268" s="1">
        <v>0</v>
      </c>
      <c r="AT268" s="1" t="s">
        <v>1806</v>
      </c>
      <c r="AU268" s="1">
        <v>10</v>
      </c>
      <c r="AV268" s="1">
        <v>18083</v>
      </c>
      <c r="AW268" s="1">
        <v>0</v>
      </c>
      <c r="AX268" t="b">
        <v>0</v>
      </c>
    </row>
    <row r="269" spans="1:50" x14ac:dyDescent="0.3">
      <c r="A269" s="1">
        <v>270</v>
      </c>
      <c r="B269" s="1" t="s">
        <v>5645</v>
      </c>
      <c r="C269" s="1" t="s">
        <v>5646</v>
      </c>
      <c r="D269" s="1">
        <v>5</v>
      </c>
      <c r="E269" s="1">
        <v>1</v>
      </c>
      <c r="F269" s="1">
        <v>18</v>
      </c>
      <c r="G269" s="1" t="s">
        <v>470</v>
      </c>
      <c r="H269" s="1" t="s">
        <v>359</v>
      </c>
      <c r="I269" s="1" t="s">
        <v>328</v>
      </c>
      <c r="J269" s="1" t="s">
        <v>328</v>
      </c>
      <c r="K269" s="1" t="s">
        <v>328</v>
      </c>
      <c r="L269" s="1" t="s">
        <v>328</v>
      </c>
      <c r="M269" s="1" t="s">
        <v>896</v>
      </c>
      <c r="N269" s="1" t="s">
        <v>328</v>
      </c>
      <c r="O269" s="1" t="s">
        <v>328</v>
      </c>
      <c r="P269" s="1" t="s">
        <v>328</v>
      </c>
      <c r="Q269" s="1" t="s">
        <v>328</v>
      </c>
      <c r="R269" s="1" t="s">
        <v>328</v>
      </c>
      <c r="S269" s="1" t="s">
        <v>328</v>
      </c>
      <c r="T269" s="1" t="s">
        <v>328</v>
      </c>
      <c r="U269" s="1">
        <v>0</v>
      </c>
      <c r="V269" s="1">
        <v>0</v>
      </c>
      <c r="W269" s="1">
        <v>0</v>
      </c>
      <c r="X269" s="1">
        <v>0</v>
      </c>
      <c r="Y269" s="1">
        <v>0</v>
      </c>
      <c r="Z269" s="1">
        <v>0</v>
      </c>
      <c r="AA269" s="1">
        <v>0</v>
      </c>
      <c r="AB269" s="1">
        <v>0</v>
      </c>
      <c r="AC269" s="1">
        <v>4</v>
      </c>
      <c r="AD269" s="1">
        <v>2</v>
      </c>
      <c r="AE269" s="1">
        <v>2</v>
      </c>
      <c r="AF269" s="1">
        <v>2</v>
      </c>
      <c r="AG269" s="208" t="s">
        <v>152</v>
      </c>
      <c r="AH269" s="1">
        <v>3540</v>
      </c>
      <c r="AI269" s="1" t="s">
        <v>5647</v>
      </c>
      <c r="AJ269" s="1">
        <v>0</v>
      </c>
      <c r="AK269" s="1" t="s">
        <v>5648</v>
      </c>
      <c r="AL269" s="1" t="s">
        <v>5649</v>
      </c>
      <c r="AM269" s="1">
        <v>0.45</v>
      </c>
      <c r="AN269" s="1">
        <v>0.15</v>
      </c>
      <c r="AO269" s="1">
        <v>0.3</v>
      </c>
      <c r="AP269" s="1">
        <v>0.15</v>
      </c>
      <c r="AQ269" s="1">
        <v>3</v>
      </c>
      <c r="AR269" s="1" t="s">
        <v>5650</v>
      </c>
      <c r="AS269" s="1">
        <v>0</v>
      </c>
      <c r="AT269" s="1" t="s">
        <v>1806</v>
      </c>
      <c r="AU269" s="1">
        <v>10</v>
      </c>
      <c r="AV269" s="1">
        <v>18084</v>
      </c>
      <c r="AW269" s="1">
        <v>0</v>
      </c>
      <c r="AX269" t="b">
        <v>0</v>
      </c>
    </row>
    <row r="270" spans="1:50" x14ac:dyDescent="0.3">
      <c r="A270" s="1">
        <v>271</v>
      </c>
      <c r="B270" s="1" t="s">
        <v>5752</v>
      </c>
      <c r="C270" s="1" t="s">
        <v>5753</v>
      </c>
      <c r="D270" s="1">
        <v>5</v>
      </c>
      <c r="E270" s="1">
        <v>2</v>
      </c>
      <c r="F270" s="1">
        <v>19</v>
      </c>
      <c r="G270" s="1" t="s">
        <v>391</v>
      </c>
      <c r="H270" s="1" t="s">
        <v>328</v>
      </c>
      <c r="I270" s="1" t="s">
        <v>328</v>
      </c>
      <c r="J270" s="1" t="s">
        <v>328</v>
      </c>
      <c r="K270" s="1" t="s">
        <v>328</v>
      </c>
      <c r="L270" s="1" t="s">
        <v>328</v>
      </c>
      <c r="M270" s="1" t="s">
        <v>328</v>
      </c>
      <c r="N270" s="1" t="s">
        <v>410</v>
      </c>
      <c r="O270" s="1" t="s">
        <v>328</v>
      </c>
      <c r="P270" s="1" t="s">
        <v>328</v>
      </c>
      <c r="Q270" s="1" t="s">
        <v>328</v>
      </c>
      <c r="R270" s="1" t="s">
        <v>328</v>
      </c>
      <c r="S270" s="1" t="s">
        <v>328</v>
      </c>
      <c r="T270" s="1" t="s">
        <v>328</v>
      </c>
      <c r="U270" s="1">
        <v>0</v>
      </c>
      <c r="V270" s="1">
        <v>0</v>
      </c>
      <c r="W270" s="1">
        <v>0</v>
      </c>
      <c r="X270" s="1">
        <v>0</v>
      </c>
      <c r="Y270" s="1">
        <v>0</v>
      </c>
      <c r="Z270" s="1">
        <v>0</v>
      </c>
      <c r="AA270" s="1">
        <v>0</v>
      </c>
      <c r="AB270" s="1">
        <v>0</v>
      </c>
      <c r="AC270" s="1">
        <v>4</v>
      </c>
      <c r="AD270" s="1">
        <v>4</v>
      </c>
      <c r="AE270" s="1">
        <v>0</v>
      </c>
      <c r="AF270" s="1">
        <v>2</v>
      </c>
      <c r="AG270" s="208" t="s">
        <v>64</v>
      </c>
      <c r="AH270" s="1">
        <v>3600</v>
      </c>
      <c r="AI270" s="1" t="s">
        <v>1843</v>
      </c>
      <c r="AJ270" s="1">
        <v>0</v>
      </c>
      <c r="AK270" s="1" t="s">
        <v>4790</v>
      </c>
      <c r="AL270" s="1" t="s">
        <v>5754</v>
      </c>
      <c r="AM270" s="1">
        <v>0.48</v>
      </c>
      <c r="AN270" s="1">
        <v>0.48</v>
      </c>
      <c r="AO270" s="1">
        <v>0.08</v>
      </c>
      <c r="AP270" s="1">
        <v>0.25</v>
      </c>
      <c r="AQ270" s="1">
        <v>3</v>
      </c>
      <c r="AR270" s="1" t="s">
        <v>1473</v>
      </c>
      <c r="AS270" s="1">
        <v>0</v>
      </c>
      <c r="AT270" s="1" t="s">
        <v>1806</v>
      </c>
      <c r="AU270" s="1">
        <v>10</v>
      </c>
      <c r="AV270" s="1">
        <v>19037</v>
      </c>
      <c r="AW270" s="1">
        <v>0</v>
      </c>
      <c r="AX270" t="b">
        <v>0</v>
      </c>
    </row>
    <row r="271" spans="1:50" x14ac:dyDescent="0.3">
      <c r="A271" s="1">
        <v>272</v>
      </c>
      <c r="B271" s="1" t="s">
        <v>5755</v>
      </c>
      <c r="C271" s="1" t="s">
        <v>5756</v>
      </c>
      <c r="D271" s="1">
        <v>5</v>
      </c>
      <c r="E271" s="1">
        <v>2</v>
      </c>
      <c r="F271" s="1">
        <v>19</v>
      </c>
      <c r="G271" s="1" t="s">
        <v>338</v>
      </c>
      <c r="H271" s="1" t="s">
        <v>328</v>
      </c>
      <c r="I271" s="1" t="s">
        <v>328</v>
      </c>
      <c r="J271" s="1" t="s">
        <v>328</v>
      </c>
      <c r="K271" s="1" t="s">
        <v>328</v>
      </c>
      <c r="L271" s="1" t="s">
        <v>328</v>
      </c>
      <c r="M271" s="1" t="s">
        <v>328</v>
      </c>
      <c r="N271" s="1" t="s">
        <v>386</v>
      </c>
      <c r="O271" s="1" t="s">
        <v>328</v>
      </c>
      <c r="P271" s="1" t="s">
        <v>328</v>
      </c>
      <c r="Q271" s="1" t="s">
        <v>328</v>
      </c>
      <c r="R271" s="1" t="s">
        <v>328</v>
      </c>
      <c r="S271" s="1" t="s">
        <v>328</v>
      </c>
      <c r="T271" s="1" t="s">
        <v>328</v>
      </c>
      <c r="U271" s="1">
        <v>0</v>
      </c>
      <c r="V271" s="1">
        <v>0</v>
      </c>
      <c r="W271" s="1">
        <v>0</v>
      </c>
      <c r="X271" s="1">
        <v>0</v>
      </c>
      <c r="Y271" s="1">
        <v>0</v>
      </c>
      <c r="Z271" s="1">
        <v>0</v>
      </c>
      <c r="AA271" s="1">
        <v>0</v>
      </c>
      <c r="AB271" s="1">
        <v>0</v>
      </c>
      <c r="AC271" s="1">
        <v>4</v>
      </c>
      <c r="AD271" s="1">
        <v>4</v>
      </c>
      <c r="AE271" s="1">
        <v>0</v>
      </c>
      <c r="AF271" s="1">
        <v>2</v>
      </c>
      <c r="AG271" s="208" t="s">
        <v>5720</v>
      </c>
      <c r="AH271" s="1">
        <v>3600</v>
      </c>
      <c r="AI271" s="1" t="s">
        <v>1843</v>
      </c>
      <c r="AJ271" s="1">
        <v>0</v>
      </c>
      <c r="AK271" s="1" t="s">
        <v>5751</v>
      </c>
      <c r="AL271" s="1" t="s">
        <v>5757</v>
      </c>
      <c r="AM271" s="1">
        <v>0.48</v>
      </c>
      <c r="AN271" s="1">
        <v>0.48</v>
      </c>
      <c r="AO271" s="1">
        <v>0.08</v>
      </c>
      <c r="AP271" s="1">
        <v>0.25</v>
      </c>
      <c r="AQ271" s="1">
        <v>3</v>
      </c>
      <c r="AR271" s="1" t="s">
        <v>1473</v>
      </c>
      <c r="AS271" s="1">
        <v>0</v>
      </c>
      <c r="AT271" s="1" t="s">
        <v>1806</v>
      </c>
      <c r="AU271" s="1">
        <v>10</v>
      </c>
      <c r="AV271" s="1">
        <v>19038</v>
      </c>
      <c r="AW271" s="1">
        <v>0</v>
      </c>
      <c r="AX271" t="b">
        <v>0</v>
      </c>
    </row>
    <row r="272" spans="1:50" x14ac:dyDescent="0.3">
      <c r="A272" s="1">
        <v>273</v>
      </c>
      <c r="B272" s="1" t="s">
        <v>5758</v>
      </c>
      <c r="C272" s="1" t="s">
        <v>5759</v>
      </c>
      <c r="D272" s="1">
        <v>5</v>
      </c>
      <c r="E272" s="1">
        <v>1</v>
      </c>
      <c r="F272" s="1">
        <v>18</v>
      </c>
      <c r="G272" s="1" t="s">
        <v>337</v>
      </c>
      <c r="H272" s="1" t="s">
        <v>343</v>
      </c>
      <c r="I272" s="1" t="s">
        <v>328</v>
      </c>
      <c r="J272" s="1" t="s">
        <v>328</v>
      </c>
      <c r="K272" s="1" t="s">
        <v>339</v>
      </c>
      <c r="L272" s="1" t="s">
        <v>328</v>
      </c>
      <c r="M272" s="1" t="s">
        <v>328</v>
      </c>
      <c r="N272" s="1" t="s">
        <v>328</v>
      </c>
      <c r="O272" s="1" t="s">
        <v>328</v>
      </c>
      <c r="P272" s="1" t="s">
        <v>328</v>
      </c>
      <c r="Q272" s="1" t="s">
        <v>328</v>
      </c>
      <c r="R272" s="1" t="s">
        <v>328</v>
      </c>
      <c r="S272" s="1" t="s">
        <v>328</v>
      </c>
      <c r="T272" s="1" t="s">
        <v>328</v>
      </c>
      <c r="U272" s="1">
        <v>0</v>
      </c>
      <c r="V272" s="1">
        <v>0</v>
      </c>
      <c r="W272" s="1">
        <v>0</v>
      </c>
      <c r="X272" s="1">
        <v>0</v>
      </c>
      <c r="Y272" s="1">
        <v>0</v>
      </c>
      <c r="Z272" s="1">
        <v>0</v>
      </c>
      <c r="AA272" s="1">
        <v>0</v>
      </c>
      <c r="AB272" s="1">
        <v>0</v>
      </c>
      <c r="AC272" s="1">
        <v>4</v>
      </c>
      <c r="AD272" s="1">
        <v>0</v>
      </c>
      <c r="AE272" s="1">
        <v>3</v>
      </c>
      <c r="AF272" s="1">
        <v>2</v>
      </c>
      <c r="AG272" s="208" t="s">
        <v>5735</v>
      </c>
      <c r="AH272" s="1">
        <v>3600</v>
      </c>
      <c r="AI272" s="1" t="s">
        <v>5642</v>
      </c>
      <c r="AJ272" s="1">
        <v>0</v>
      </c>
      <c r="AK272" s="1" t="s">
        <v>5760</v>
      </c>
      <c r="AL272" s="1" t="s">
        <v>5761</v>
      </c>
      <c r="AM272" s="1">
        <v>0.45</v>
      </c>
      <c r="AN272" s="1">
        <v>0.15</v>
      </c>
      <c r="AO272" s="1">
        <v>0.3</v>
      </c>
      <c r="AP272" s="1">
        <v>0.15</v>
      </c>
      <c r="AQ272" s="1">
        <v>3</v>
      </c>
      <c r="AR272" s="1" t="s">
        <v>1528</v>
      </c>
      <c r="AS272" s="1">
        <v>0</v>
      </c>
      <c r="AT272" s="1" t="s">
        <v>1806</v>
      </c>
      <c r="AU272" s="1">
        <v>10</v>
      </c>
      <c r="AV272" s="1">
        <v>18085</v>
      </c>
      <c r="AW272" s="1">
        <v>0</v>
      </c>
      <c r="AX272" t="b">
        <v>0</v>
      </c>
    </row>
    <row r="273" spans="1:50" x14ac:dyDescent="0.3">
      <c r="A273" s="1">
        <v>274</v>
      </c>
      <c r="B273" s="1" t="s">
        <v>5762</v>
      </c>
      <c r="C273" s="1" t="s">
        <v>5763</v>
      </c>
      <c r="D273" s="1">
        <v>5</v>
      </c>
      <c r="E273" s="1">
        <v>1</v>
      </c>
      <c r="F273" s="1">
        <v>18</v>
      </c>
      <c r="G273" s="1" t="s">
        <v>328</v>
      </c>
      <c r="H273" s="1" t="s">
        <v>328</v>
      </c>
      <c r="I273" s="1" t="s">
        <v>328</v>
      </c>
      <c r="J273" s="1" t="s">
        <v>328</v>
      </c>
      <c r="K273" s="1" t="s">
        <v>328</v>
      </c>
      <c r="L273" s="1" t="s">
        <v>389</v>
      </c>
      <c r="M273" s="1" t="s">
        <v>5764</v>
      </c>
      <c r="N273" s="1" t="s">
        <v>328</v>
      </c>
      <c r="O273" s="1" t="s">
        <v>328</v>
      </c>
      <c r="P273" s="1" t="s">
        <v>328</v>
      </c>
      <c r="Q273" s="1" t="s">
        <v>328</v>
      </c>
      <c r="R273" s="1" t="s">
        <v>328</v>
      </c>
      <c r="S273" s="1" t="s">
        <v>328</v>
      </c>
      <c r="T273" s="1" t="s">
        <v>328</v>
      </c>
      <c r="U273" s="1">
        <v>0</v>
      </c>
      <c r="V273" s="1">
        <v>0</v>
      </c>
      <c r="W273" s="1">
        <v>0</v>
      </c>
      <c r="X273" s="1">
        <v>0</v>
      </c>
      <c r="Y273" s="1">
        <v>0</v>
      </c>
      <c r="Z273" s="1">
        <v>0</v>
      </c>
      <c r="AA273" s="1">
        <v>0</v>
      </c>
      <c r="AB273" s="1">
        <v>0</v>
      </c>
      <c r="AC273" s="1">
        <v>4</v>
      </c>
      <c r="AD273" s="1">
        <v>0</v>
      </c>
      <c r="AE273" s="1">
        <v>3</v>
      </c>
      <c r="AF273" s="1">
        <v>2</v>
      </c>
      <c r="AG273" s="208" t="s">
        <v>5728</v>
      </c>
      <c r="AH273" s="1">
        <v>3600</v>
      </c>
      <c r="AI273" s="1" t="s">
        <v>1843</v>
      </c>
      <c r="AJ273" s="1">
        <v>0</v>
      </c>
      <c r="AK273" s="1" t="s">
        <v>5765</v>
      </c>
      <c r="AL273" s="1" t="s">
        <v>5766</v>
      </c>
      <c r="AM273" s="1">
        <v>0.45</v>
      </c>
      <c r="AN273" s="1">
        <v>0.15</v>
      </c>
      <c r="AO273" s="1">
        <v>0.3</v>
      </c>
      <c r="AP273" s="1">
        <v>0.15</v>
      </c>
      <c r="AQ273" s="1">
        <v>3</v>
      </c>
      <c r="AR273" s="1" t="s">
        <v>5767</v>
      </c>
      <c r="AS273" s="1">
        <v>0</v>
      </c>
      <c r="AT273" s="1" t="s">
        <v>1806</v>
      </c>
      <c r="AU273" s="1">
        <v>10</v>
      </c>
      <c r="AV273" s="1">
        <v>18086</v>
      </c>
      <c r="AW273" s="1">
        <v>0</v>
      </c>
      <c r="AX273" t="b">
        <v>0</v>
      </c>
    </row>
    <row r="274" spans="1:50" x14ac:dyDescent="0.3">
      <c r="A274" s="1">
        <v>275</v>
      </c>
      <c r="B274" s="1" t="s">
        <v>5768</v>
      </c>
      <c r="C274" s="1" t="s">
        <v>5769</v>
      </c>
      <c r="D274" s="1">
        <v>5</v>
      </c>
      <c r="E274" s="1">
        <v>3</v>
      </c>
      <c r="F274" s="1">
        <v>20</v>
      </c>
      <c r="G274" s="1" t="s">
        <v>338</v>
      </c>
      <c r="H274" s="1" t="s">
        <v>328</v>
      </c>
      <c r="I274" s="1" t="s">
        <v>356</v>
      </c>
      <c r="J274" s="1" t="s">
        <v>328</v>
      </c>
      <c r="K274" s="1" t="s">
        <v>328</v>
      </c>
      <c r="L274" s="1" t="s">
        <v>402</v>
      </c>
      <c r="M274" s="1" t="s">
        <v>328</v>
      </c>
      <c r="N274" s="1" t="s">
        <v>328</v>
      </c>
      <c r="O274" s="1" t="s">
        <v>328</v>
      </c>
      <c r="P274" s="1" t="s">
        <v>328</v>
      </c>
      <c r="Q274" s="1" t="s">
        <v>328</v>
      </c>
      <c r="R274" s="1" t="s">
        <v>328</v>
      </c>
      <c r="S274" s="1" t="s">
        <v>328</v>
      </c>
      <c r="T274" s="1" t="s">
        <v>328</v>
      </c>
      <c r="U274" s="1">
        <v>0</v>
      </c>
      <c r="V274" s="1">
        <v>0</v>
      </c>
      <c r="W274" s="1">
        <v>0</v>
      </c>
      <c r="X274" s="1">
        <v>0</v>
      </c>
      <c r="Y274" s="1">
        <v>0</v>
      </c>
      <c r="Z274" s="1">
        <v>0</v>
      </c>
      <c r="AA274" s="1">
        <v>0</v>
      </c>
      <c r="AB274" s="1">
        <v>0</v>
      </c>
      <c r="AC274" s="1">
        <v>4</v>
      </c>
      <c r="AD274" s="1">
        <v>3</v>
      </c>
      <c r="AE274" s="1">
        <v>0</v>
      </c>
      <c r="AF274" s="1">
        <v>2</v>
      </c>
      <c r="AG274" s="208" t="s">
        <v>5744</v>
      </c>
      <c r="AH274" s="1">
        <v>3060</v>
      </c>
      <c r="AI274" s="1" t="s">
        <v>2406</v>
      </c>
      <c r="AJ274" s="1">
        <v>0</v>
      </c>
      <c r="AK274" s="1" t="s">
        <v>5770</v>
      </c>
      <c r="AL274" s="1" t="s">
        <v>5771</v>
      </c>
      <c r="AM274" s="1">
        <v>0.3</v>
      </c>
      <c r="AN274" s="1">
        <v>0.23</v>
      </c>
      <c r="AO274" s="1">
        <v>0.15</v>
      </c>
      <c r="AP274" s="1">
        <v>0.38</v>
      </c>
      <c r="AQ274" s="1">
        <v>3</v>
      </c>
      <c r="AR274" s="1" t="s">
        <v>5772</v>
      </c>
      <c r="AS274" s="1">
        <v>0</v>
      </c>
      <c r="AT274" s="1" t="s">
        <v>1806</v>
      </c>
      <c r="AU274" s="1">
        <v>10</v>
      </c>
      <c r="AV274" s="1">
        <v>20047</v>
      </c>
      <c r="AW274" s="1">
        <v>0</v>
      </c>
      <c r="AX274" t="b">
        <v>0</v>
      </c>
    </row>
    <row r="275" spans="1:50" x14ac:dyDescent="0.3">
      <c r="A275" s="1">
        <v>276</v>
      </c>
      <c r="B275" s="1" t="s">
        <v>6306</v>
      </c>
      <c r="C275" s="1" t="s">
        <v>6307</v>
      </c>
      <c r="D275" s="1">
        <v>5</v>
      </c>
      <c r="E275" s="1">
        <v>1</v>
      </c>
      <c r="F275" s="1">
        <v>18</v>
      </c>
      <c r="G275" s="1" t="s">
        <v>328</v>
      </c>
      <c r="H275" s="1" t="s">
        <v>328</v>
      </c>
      <c r="I275" s="1" t="s">
        <v>341</v>
      </c>
      <c r="J275" s="1" t="s">
        <v>328</v>
      </c>
      <c r="K275" s="1" t="s">
        <v>328</v>
      </c>
      <c r="L275" s="1" t="s">
        <v>328</v>
      </c>
      <c r="M275" s="1" t="s">
        <v>385</v>
      </c>
      <c r="N275" s="1" t="s">
        <v>328</v>
      </c>
      <c r="O275" s="1" t="s">
        <v>328</v>
      </c>
      <c r="P275" s="1" t="s">
        <v>328</v>
      </c>
      <c r="Q275" s="1" t="s">
        <v>328</v>
      </c>
      <c r="R275" s="1" t="s">
        <v>328</v>
      </c>
      <c r="S275" s="1" t="s">
        <v>328</v>
      </c>
      <c r="T275" s="1" t="s">
        <v>328</v>
      </c>
      <c r="U275" s="1">
        <v>0</v>
      </c>
      <c r="V275" s="1">
        <v>0</v>
      </c>
      <c r="W275" s="1">
        <v>0</v>
      </c>
      <c r="X275" s="1">
        <v>0</v>
      </c>
      <c r="Y275" s="1">
        <v>0</v>
      </c>
      <c r="Z275" s="1">
        <v>0</v>
      </c>
      <c r="AA275" s="1">
        <v>0</v>
      </c>
      <c r="AB275" s="1">
        <v>0</v>
      </c>
      <c r="AC275" s="1">
        <v>4</v>
      </c>
      <c r="AD275" s="1">
        <v>2</v>
      </c>
      <c r="AE275" s="1">
        <v>2</v>
      </c>
      <c r="AF275" s="1">
        <v>2</v>
      </c>
      <c r="AG275" s="208" t="s">
        <v>122</v>
      </c>
      <c r="AH275" s="1">
        <v>2820</v>
      </c>
      <c r="AI275" s="1" t="s">
        <v>2229</v>
      </c>
      <c r="AJ275" s="1">
        <v>0</v>
      </c>
      <c r="AK275" s="1" t="s">
        <v>6308</v>
      </c>
      <c r="AL275" s="1" t="s">
        <v>6309</v>
      </c>
      <c r="AM275" s="1">
        <v>0.55000000000000004</v>
      </c>
      <c r="AN275" s="1">
        <v>0.23</v>
      </c>
      <c r="AO275" s="1">
        <v>0.23</v>
      </c>
      <c r="AP275" s="1">
        <v>0.23</v>
      </c>
      <c r="AQ275" s="1">
        <v>3</v>
      </c>
      <c r="AR275" s="1" t="s">
        <v>1594</v>
      </c>
      <c r="AS275" s="1">
        <v>0</v>
      </c>
      <c r="AT275" s="1" t="s">
        <v>1806</v>
      </c>
      <c r="AU275" s="1">
        <v>10</v>
      </c>
      <c r="AV275" s="1">
        <v>18087</v>
      </c>
      <c r="AW275" s="1">
        <v>0</v>
      </c>
      <c r="AX275" t="b">
        <v>0</v>
      </c>
    </row>
    <row r="276" spans="1:50" x14ac:dyDescent="0.3">
      <c r="A276" s="1">
        <v>277</v>
      </c>
      <c r="B276" s="1" t="s">
        <v>6341</v>
      </c>
      <c r="C276" s="1" t="s">
        <v>6342</v>
      </c>
      <c r="D276" s="1">
        <v>5</v>
      </c>
      <c r="E276" s="1">
        <v>1</v>
      </c>
      <c r="F276" s="1">
        <v>18</v>
      </c>
      <c r="G276" s="1" t="s">
        <v>328</v>
      </c>
      <c r="H276" s="1" t="s">
        <v>337</v>
      </c>
      <c r="I276" s="1" t="s">
        <v>341</v>
      </c>
      <c r="J276" s="1" t="s">
        <v>364</v>
      </c>
      <c r="K276" s="1" t="s">
        <v>328</v>
      </c>
      <c r="L276" s="1" t="s">
        <v>328</v>
      </c>
      <c r="M276" s="1" t="s">
        <v>328</v>
      </c>
      <c r="N276" s="1" t="s">
        <v>328</v>
      </c>
      <c r="O276" s="1" t="s">
        <v>328</v>
      </c>
      <c r="P276" s="1" t="s">
        <v>328</v>
      </c>
      <c r="Q276" s="1" t="s">
        <v>328</v>
      </c>
      <c r="R276" s="1" t="s">
        <v>328</v>
      </c>
      <c r="S276" s="1" t="s">
        <v>328</v>
      </c>
      <c r="T276" s="1" t="s">
        <v>328</v>
      </c>
      <c r="U276" s="1">
        <v>0</v>
      </c>
      <c r="V276" s="1">
        <v>0</v>
      </c>
      <c r="W276" s="1">
        <v>0</v>
      </c>
      <c r="X276" s="1">
        <v>0</v>
      </c>
      <c r="Y276" s="1">
        <v>0</v>
      </c>
      <c r="Z276" s="1">
        <v>0</v>
      </c>
      <c r="AA276" s="1">
        <v>0</v>
      </c>
      <c r="AB276" s="1">
        <v>0</v>
      </c>
      <c r="AC276" s="1">
        <v>4</v>
      </c>
      <c r="AD276" s="1">
        <v>2</v>
      </c>
      <c r="AE276" s="1">
        <v>2</v>
      </c>
      <c r="AF276" s="1">
        <v>2</v>
      </c>
      <c r="AG276" s="208" t="s">
        <v>190</v>
      </c>
      <c r="AH276" s="1">
        <v>2820</v>
      </c>
      <c r="AI276" s="1" t="s">
        <v>6343</v>
      </c>
      <c r="AJ276" s="1">
        <v>0</v>
      </c>
      <c r="AK276" s="1" t="s">
        <v>5376</v>
      </c>
      <c r="AL276" s="1" t="s">
        <v>6344</v>
      </c>
      <c r="AM276" s="1">
        <v>0.55000000000000004</v>
      </c>
      <c r="AN276" s="1">
        <v>0.23</v>
      </c>
      <c r="AO276" s="1">
        <v>0.23</v>
      </c>
      <c r="AP276" s="1">
        <v>0.23</v>
      </c>
      <c r="AQ276" s="1">
        <v>3</v>
      </c>
      <c r="AR276" s="1" t="s">
        <v>6345</v>
      </c>
      <c r="AS276" s="1">
        <v>0</v>
      </c>
      <c r="AT276" s="1" t="s">
        <v>1806</v>
      </c>
      <c r="AU276" s="1">
        <v>10</v>
      </c>
      <c r="AV276" s="1">
        <v>18088</v>
      </c>
      <c r="AW276" s="1">
        <v>0</v>
      </c>
      <c r="AX276" t="b">
        <v>0</v>
      </c>
    </row>
    <row r="277" spans="1:50" x14ac:dyDescent="0.3">
      <c r="A277" s="1">
        <v>278</v>
      </c>
      <c r="B277" s="1" t="s">
        <v>6401</v>
      </c>
      <c r="C277" s="1" t="s">
        <v>6402</v>
      </c>
      <c r="D277" s="1">
        <v>5</v>
      </c>
      <c r="E277" s="1">
        <v>1</v>
      </c>
      <c r="F277" s="1">
        <v>18</v>
      </c>
      <c r="G277" s="1" t="s">
        <v>328</v>
      </c>
      <c r="H277" s="1" t="s">
        <v>328</v>
      </c>
      <c r="I277" s="1" t="s">
        <v>402</v>
      </c>
      <c r="J277" s="1" t="s">
        <v>328</v>
      </c>
      <c r="K277" s="1" t="s">
        <v>328</v>
      </c>
      <c r="L277" s="1" t="s">
        <v>328</v>
      </c>
      <c r="M277" s="1" t="s">
        <v>385</v>
      </c>
      <c r="N277" s="1" t="s">
        <v>328</v>
      </c>
      <c r="O277" s="1" t="s">
        <v>328</v>
      </c>
      <c r="P277" s="1" t="s">
        <v>328</v>
      </c>
      <c r="Q277" s="1" t="s">
        <v>328</v>
      </c>
      <c r="R277" s="1" t="s">
        <v>328</v>
      </c>
      <c r="S277" s="1" t="s">
        <v>328</v>
      </c>
      <c r="T277" s="1" t="s">
        <v>328</v>
      </c>
      <c r="U277" s="1">
        <v>0</v>
      </c>
      <c r="V277" s="1">
        <v>0</v>
      </c>
      <c r="W277" s="1">
        <v>0</v>
      </c>
      <c r="X277" s="1">
        <v>0</v>
      </c>
      <c r="Y277" s="1">
        <v>0</v>
      </c>
      <c r="Z277" s="1">
        <v>0</v>
      </c>
      <c r="AA277" s="1">
        <v>0</v>
      </c>
      <c r="AB277" s="1">
        <v>0</v>
      </c>
      <c r="AC277" s="1">
        <v>4</v>
      </c>
      <c r="AD277" s="1">
        <v>2</v>
      </c>
      <c r="AE277" s="1">
        <v>2</v>
      </c>
      <c r="AF277" s="1">
        <v>2</v>
      </c>
      <c r="AG277" s="208" t="s">
        <v>197</v>
      </c>
      <c r="AH277" s="1">
        <v>2820</v>
      </c>
      <c r="AI277" s="1" t="s">
        <v>2215</v>
      </c>
      <c r="AJ277" s="1">
        <v>0</v>
      </c>
      <c r="AK277" s="1" t="s">
        <v>5414</v>
      </c>
      <c r="AL277" s="1" t="s">
        <v>6403</v>
      </c>
      <c r="AM277" s="1">
        <v>0.55000000000000004</v>
      </c>
      <c r="AN277" s="1">
        <v>0.23</v>
      </c>
      <c r="AO277" s="1">
        <v>0.23</v>
      </c>
      <c r="AP277" s="1">
        <v>0.23</v>
      </c>
      <c r="AQ277" s="1">
        <v>3</v>
      </c>
      <c r="AR277" s="1" t="s">
        <v>1550</v>
      </c>
      <c r="AS277" s="1">
        <v>0</v>
      </c>
      <c r="AT277" s="1" t="s">
        <v>1806</v>
      </c>
      <c r="AU277" s="1">
        <v>10</v>
      </c>
      <c r="AV277" s="1">
        <v>18089</v>
      </c>
      <c r="AW277" s="1">
        <v>0</v>
      </c>
      <c r="AX277" t="b">
        <v>0</v>
      </c>
    </row>
    <row r="278" spans="1:50" x14ac:dyDescent="0.3">
      <c r="A278" s="1">
        <v>279</v>
      </c>
      <c r="B278" s="1" t="s">
        <v>6404</v>
      </c>
      <c r="C278" s="1" t="s">
        <v>6405</v>
      </c>
      <c r="D278" s="1">
        <v>5</v>
      </c>
      <c r="E278" s="1">
        <v>1</v>
      </c>
      <c r="F278" s="1">
        <v>18</v>
      </c>
      <c r="G278" s="1" t="s">
        <v>328</v>
      </c>
      <c r="H278" s="1" t="s">
        <v>328</v>
      </c>
      <c r="I278" s="1" t="s">
        <v>328</v>
      </c>
      <c r="J278" s="1" t="s">
        <v>328</v>
      </c>
      <c r="K278" s="1" t="s">
        <v>331</v>
      </c>
      <c r="L278" s="1" t="s">
        <v>328</v>
      </c>
      <c r="M278" s="1" t="s">
        <v>327</v>
      </c>
      <c r="N278" s="1" t="s">
        <v>328</v>
      </c>
      <c r="O278" s="1" t="s">
        <v>328</v>
      </c>
      <c r="P278" s="1" t="s">
        <v>328</v>
      </c>
      <c r="Q278" s="1" t="s">
        <v>328</v>
      </c>
      <c r="R278" s="1" t="s">
        <v>328</v>
      </c>
      <c r="S278" s="1" t="s">
        <v>328</v>
      </c>
      <c r="T278" s="1" t="s">
        <v>328</v>
      </c>
      <c r="U278" s="1">
        <v>0</v>
      </c>
      <c r="V278" s="1">
        <v>0</v>
      </c>
      <c r="W278" s="1">
        <v>0</v>
      </c>
      <c r="X278" s="1">
        <v>0</v>
      </c>
      <c r="Y278" s="1">
        <v>0</v>
      </c>
      <c r="Z278" s="1">
        <v>0</v>
      </c>
      <c r="AA278" s="1">
        <v>0</v>
      </c>
      <c r="AB278" s="1">
        <v>0</v>
      </c>
      <c r="AC278" s="1">
        <v>4</v>
      </c>
      <c r="AD278" s="1">
        <v>0</v>
      </c>
      <c r="AE278" s="1">
        <v>3</v>
      </c>
      <c r="AF278" s="1">
        <v>2</v>
      </c>
      <c r="AG278" s="208" t="s">
        <v>86</v>
      </c>
      <c r="AH278" s="1">
        <v>3600</v>
      </c>
      <c r="AI278" s="1" t="s">
        <v>1843</v>
      </c>
      <c r="AJ278" s="1">
        <v>0</v>
      </c>
      <c r="AK278" s="1" t="s">
        <v>5541</v>
      </c>
      <c r="AL278" s="1" t="s">
        <v>6406</v>
      </c>
      <c r="AM278" s="1">
        <v>0.45</v>
      </c>
      <c r="AN278" s="1">
        <v>0.15</v>
      </c>
      <c r="AO278" s="1">
        <v>0.3</v>
      </c>
      <c r="AP278" s="1">
        <v>0.15</v>
      </c>
      <c r="AQ278" s="1">
        <v>3</v>
      </c>
      <c r="AR278" s="1" t="s">
        <v>1543</v>
      </c>
      <c r="AS278" s="1">
        <v>0</v>
      </c>
      <c r="AT278" s="1" t="s">
        <v>1806</v>
      </c>
      <c r="AU278" s="1">
        <v>10</v>
      </c>
      <c r="AV278" s="1">
        <v>18090</v>
      </c>
      <c r="AW278" s="1">
        <v>0</v>
      </c>
      <c r="AX278" t="b">
        <v>0</v>
      </c>
    </row>
    <row r="279" spans="1:50" x14ac:dyDescent="0.3">
      <c r="A279" s="1">
        <v>280</v>
      </c>
      <c r="B279" s="1" t="s">
        <v>6407</v>
      </c>
      <c r="C279" s="1" t="s">
        <v>6408</v>
      </c>
      <c r="D279" s="1">
        <v>5</v>
      </c>
      <c r="E279" s="1">
        <v>2</v>
      </c>
      <c r="F279" s="1">
        <v>19</v>
      </c>
      <c r="G279" s="1" t="s">
        <v>6409</v>
      </c>
      <c r="H279" s="1" t="s">
        <v>470</v>
      </c>
      <c r="I279" s="1" t="s">
        <v>328</v>
      </c>
      <c r="J279" s="1" t="s">
        <v>328</v>
      </c>
      <c r="K279" s="1" t="s">
        <v>434</v>
      </c>
      <c r="L279" s="1" t="s">
        <v>328</v>
      </c>
      <c r="M279" s="1" t="s">
        <v>328</v>
      </c>
      <c r="N279" s="1" t="s">
        <v>328</v>
      </c>
      <c r="O279" s="1" t="s">
        <v>328</v>
      </c>
      <c r="P279" s="1" t="s">
        <v>328</v>
      </c>
      <c r="Q279" s="1" t="s">
        <v>328</v>
      </c>
      <c r="R279" s="1" t="s">
        <v>328</v>
      </c>
      <c r="S279" s="1" t="s">
        <v>328</v>
      </c>
      <c r="T279" s="1" t="s">
        <v>328</v>
      </c>
      <c r="U279" s="1">
        <v>0</v>
      </c>
      <c r="V279" s="1">
        <v>0</v>
      </c>
      <c r="W279" s="1">
        <v>0</v>
      </c>
      <c r="X279" s="1">
        <v>0</v>
      </c>
      <c r="Y279" s="1">
        <v>0</v>
      </c>
      <c r="Z279" s="1">
        <v>0</v>
      </c>
      <c r="AA279" s="1">
        <v>0</v>
      </c>
      <c r="AB279" s="1">
        <v>0</v>
      </c>
      <c r="AC279" s="1">
        <v>4</v>
      </c>
      <c r="AD279" s="1">
        <v>4</v>
      </c>
      <c r="AE279" s="1">
        <v>0</v>
      </c>
      <c r="AF279" s="1">
        <v>2</v>
      </c>
      <c r="AG279" s="208" t="s">
        <v>181</v>
      </c>
      <c r="AH279" s="1">
        <v>3180</v>
      </c>
      <c r="AI279" s="1" t="s">
        <v>6410</v>
      </c>
      <c r="AJ279" s="1">
        <v>0</v>
      </c>
      <c r="AK279" s="1" t="s">
        <v>5229</v>
      </c>
      <c r="AL279" s="1" t="s">
        <v>6411</v>
      </c>
      <c r="AM279" s="1">
        <v>0.48</v>
      </c>
      <c r="AN279" s="1">
        <v>0.48</v>
      </c>
      <c r="AO279" s="1">
        <v>0.08</v>
      </c>
      <c r="AP279" s="1">
        <v>0.25</v>
      </c>
      <c r="AQ279" s="1">
        <v>3</v>
      </c>
      <c r="AR279" s="1" t="s">
        <v>6412</v>
      </c>
      <c r="AS279" s="1">
        <v>0</v>
      </c>
      <c r="AT279" s="1" t="s">
        <v>1806</v>
      </c>
      <c r="AU279" s="1">
        <v>10</v>
      </c>
      <c r="AV279" s="1">
        <v>19039</v>
      </c>
      <c r="AW279" s="1">
        <v>0</v>
      </c>
      <c r="AX279" t="b">
        <v>0</v>
      </c>
    </row>
    <row r="280" spans="1:50" x14ac:dyDescent="0.3">
      <c r="A280" s="1">
        <v>281</v>
      </c>
      <c r="B280" s="1" t="s">
        <v>6413</v>
      </c>
      <c r="C280" s="1" t="s">
        <v>6414</v>
      </c>
      <c r="D280" s="1">
        <v>5</v>
      </c>
      <c r="E280" s="1">
        <v>2</v>
      </c>
      <c r="F280" s="1">
        <v>19</v>
      </c>
      <c r="G280" s="1" t="s">
        <v>335</v>
      </c>
      <c r="H280" s="1" t="s">
        <v>328</v>
      </c>
      <c r="I280" s="1" t="s">
        <v>328</v>
      </c>
      <c r="J280" s="1" t="s">
        <v>328</v>
      </c>
      <c r="K280" s="1" t="s">
        <v>328</v>
      </c>
      <c r="L280" s="1" t="s">
        <v>328</v>
      </c>
      <c r="M280" s="1" t="s">
        <v>328</v>
      </c>
      <c r="N280" s="1" t="s">
        <v>352</v>
      </c>
      <c r="O280" s="1" t="s">
        <v>328</v>
      </c>
      <c r="P280" s="1" t="s">
        <v>328</v>
      </c>
      <c r="Q280" s="1" t="s">
        <v>328</v>
      </c>
      <c r="R280" s="1" t="s">
        <v>328</v>
      </c>
      <c r="S280" s="1" t="s">
        <v>328</v>
      </c>
      <c r="T280" s="1" t="s">
        <v>328</v>
      </c>
      <c r="U280" s="1">
        <v>0</v>
      </c>
      <c r="V280" s="1">
        <v>0</v>
      </c>
      <c r="W280" s="1">
        <v>0</v>
      </c>
      <c r="X280" s="1">
        <v>0</v>
      </c>
      <c r="Y280" s="1">
        <v>0</v>
      </c>
      <c r="Z280" s="1">
        <v>0</v>
      </c>
      <c r="AA280" s="1">
        <v>0</v>
      </c>
      <c r="AB280" s="1">
        <v>0</v>
      </c>
      <c r="AC280" s="1">
        <v>0</v>
      </c>
      <c r="AD280" s="1">
        <v>4</v>
      </c>
      <c r="AE280" s="1">
        <v>2</v>
      </c>
      <c r="AF280" s="1">
        <v>3</v>
      </c>
      <c r="AG280" s="208" t="s">
        <v>1612</v>
      </c>
      <c r="AH280" s="1">
        <v>3300</v>
      </c>
      <c r="AI280" s="1" t="s">
        <v>1843</v>
      </c>
      <c r="AJ280" s="1">
        <v>0</v>
      </c>
      <c r="AK280" s="1" t="s">
        <v>6415</v>
      </c>
      <c r="AL280" s="1" t="s">
        <v>6416</v>
      </c>
      <c r="AM280" s="1">
        <v>0.08</v>
      </c>
      <c r="AN280" s="1">
        <v>0.5</v>
      </c>
      <c r="AO280" s="1">
        <v>0.3</v>
      </c>
      <c r="AP280" s="1">
        <v>0.3</v>
      </c>
      <c r="AQ280" s="1">
        <v>3</v>
      </c>
      <c r="AR280" s="1" t="s">
        <v>1552</v>
      </c>
      <c r="AS280" s="1">
        <v>0</v>
      </c>
      <c r="AT280" s="1" t="s">
        <v>1806</v>
      </c>
      <c r="AU280" s="1">
        <v>10</v>
      </c>
      <c r="AV280" s="1">
        <v>19040</v>
      </c>
      <c r="AW280" s="1">
        <v>0</v>
      </c>
      <c r="AX280" t="b">
        <v>0</v>
      </c>
    </row>
    <row r="281" spans="1:50" x14ac:dyDescent="0.3">
      <c r="A281" s="1">
        <v>282</v>
      </c>
      <c r="B281" s="1" t="s">
        <v>6417</v>
      </c>
      <c r="C281" s="1" t="s">
        <v>6418</v>
      </c>
      <c r="D281" s="1">
        <v>5</v>
      </c>
      <c r="E281" s="1">
        <v>1</v>
      </c>
      <c r="F281" s="1">
        <v>18</v>
      </c>
      <c r="G281" s="1" t="s">
        <v>328</v>
      </c>
      <c r="H281" s="1" t="s">
        <v>328</v>
      </c>
      <c r="I281" s="1" t="s">
        <v>328</v>
      </c>
      <c r="J281" s="1" t="s">
        <v>328</v>
      </c>
      <c r="K281" s="1" t="s">
        <v>328</v>
      </c>
      <c r="L281" s="1" t="s">
        <v>338</v>
      </c>
      <c r="M281" s="1" t="s">
        <v>327</v>
      </c>
      <c r="N281" s="1" t="s">
        <v>328</v>
      </c>
      <c r="O281" s="1" t="s">
        <v>328</v>
      </c>
      <c r="P281" s="1" t="s">
        <v>328</v>
      </c>
      <c r="Q281" s="1" t="s">
        <v>328</v>
      </c>
      <c r="R281" s="1" t="s">
        <v>328</v>
      </c>
      <c r="S281" s="1" t="s">
        <v>328</v>
      </c>
      <c r="T281" s="1" t="s">
        <v>328</v>
      </c>
      <c r="U281" s="1">
        <v>0</v>
      </c>
      <c r="V281" s="1">
        <v>0</v>
      </c>
      <c r="W281" s="1">
        <v>0</v>
      </c>
      <c r="X281" s="1">
        <v>0</v>
      </c>
      <c r="Y281" s="1">
        <v>0</v>
      </c>
      <c r="Z281" s="1">
        <v>0</v>
      </c>
      <c r="AA281" s="1">
        <v>0</v>
      </c>
      <c r="AB281" s="1">
        <v>0</v>
      </c>
      <c r="AC281" s="1">
        <v>4</v>
      </c>
      <c r="AD281" s="1">
        <v>0</v>
      </c>
      <c r="AE281" s="1">
        <v>3</v>
      </c>
      <c r="AF281" s="1">
        <v>2</v>
      </c>
      <c r="AG281" s="208" t="s">
        <v>837</v>
      </c>
      <c r="AH281" s="1">
        <v>3600</v>
      </c>
      <c r="AI281" s="1" t="s">
        <v>1843</v>
      </c>
      <c r="AJ281" s="1">
        <v>0</v>
      </c>
      <c r="AK281" s="1" t="s">
        <v>5415</v>
      </c>
      <c r="AL281" s="1" t="s">
        <v>6419</v>
      </c>
      <c r="AM281" s="1">
        <v>0.45</v>
      </c>
      <c r="AN281" s="1">
        <v>0.15</v>
      </c>
      <c r="AO281" s="1">
        <v>0.3</v>
      </c>
      <c r="AP281" s="1">
        <v>0.15</v>
      </c>
      <c r="AQ281" s="1">
        <v>3</v>
      </c>
      <c r="AR281" s="1" t="s">
        <v>1551</v>
      </c>
      <c r="AS281" s="1">
        <v>0</v>
      </c>
      <c r="AT281" s="1" t="s">
        <v>1806</v>
      </c>
      <c r="AU281" s="1">
        <v>10</v>
      </c>
      <c r="AV281" s="1">
        <v>18091</v>
      </c>
      <c r="AW281" s="1">
        <v>0</v>
      </c>
      <c r="AX281" t="b">
        <v>0</v>
      </c>
    </row>
    <row r="282" spans="1:50" x14ac:dyDescent="0.3">
      <c r="A282" s="1">
        <v>283</v>
      </c>
      <c r="B282" s="1" t="s">
        <v>6446</v>
      </c>
      <c r="C282" s="1" t="s">
        <v>6447</v>
      </c>
      <c r="D282" s="1">
        <v>5</v>
      </c>
      <c r="E282" s="1">
        <v>1</v>
      </c>
      <c r="F282" s="1">
        <v>18</v>
      </c>
      <c r="G282" s="1" t="s">
        <v>335</v>
      </c>
      <c r="H282" s="1" t="s">
        <v>328</v>
      </c>
      <c r="I282" s="1" t="s">
        <v>328</v>
      </c>
      <c r="J282" s="1" t="s">
        <v>328</v>
      </c>
      <c r="K282" s="1" t="s">
        <v>328</v>
      </c>
      <c r="L282" s="1" t="s">
        <v>328</v>
      </c>
      <c r="M282" s="1" t="s">
        <v>327</v>
      </c>
      <c r="N282" s="1" t="s">
        <v>328</v>
      </c>
      <c r="O282" s="1" t="s">
        <v>328</v>
      </c>
      <c r="P282" s="1" t="s">
        <v>328</v>
      </c>
      <c r="Q282" s="1" t="s">
        <v>328</v>
      </c>
      <c r="R282" s="1" t="s">
        <v>328</v>
      </c>
      <c r="S282" s="1" t="s">
        <v>328</v>
      </c>
      <c r="T282" s="1" t="s">
        <v>328</v>
      </c>
      <c r="U282" s="1">
        <v>0</v>
      </c>
      <c r="V282" s="1">
        <v>0</v>
      </c>
      <c r="W282" s="1">
        <v>0</v>
      </c>
      <c r="X282" s="1">
        <v>0</v>
      </c>
      <c r="Y282" s="1">
        <v>0</v>
      </c>
      <c r="Z282" s="1">
        <v>0</v>
      </c>
      <c r="AA282" s="1">
        <v>0</v>
      </c>
      <c r="AB282" s="1">
        <v>0</v>
      </c>
      <c r="AC282" s="1">
        <v>4</v>
      </c>
      <c r="AD282" s="1">
        <v>0</v>
      </c>
      <c r="AE282" s="1">
        <v>3</v>
      </c>
      <c r="AF282" s="1">
        <v>2</v>
      </c>
      <c r="AG282" s="208" t="s">
        <v>185</v>
      </c>
      <c r="AH282" s="1">
        <v>2700</v>
      </c>
      <c r="AI282" s="1" t="s">
        <v>2207</v>
      </c>
      <c r="AJ282" s="1">
        <v>0</v>
      </c>
      <c r="AK282" s="1" t="s">
        <v>5403</v>
      </c>
      <c r="AL282" s="1" t="s">
        <v>6448</v>
      </c>
      <c r="AM282" s="1">
        <v>0.45</v>
      </c>
      <c r="AN282" s="1">
        <v>0.15</v>
      </c>
      <c r="AO282" s="1">
        <v>0.3</v>
      </c>
      <c r="AP282" s="1">
        <v>0.15</v>
      </c>
      <c r="AQ282" s="1">
        <v>3</v>
      </c>
      <c r="AR282" s="1" t="s">
        <v>1521</v>
      </c>
      <c r="AS282" s="1">
        <v>0</v>
      </c>
      <c r="AT282" s="1" t="s">
        <v>1806</v>
      </c>
      <c r="AU282" s="1">
        <v>10</v>
      </c>
      <c r="AV282" s="1">
        <v>18092</v>
      </c>
      <c r="AW282" s="1">
        <v>0</v>
      </c>
      <c r="AX282" t="b">
        <v>0</v>
      </c>
    </row>
    <row r="283" spans="1:50" x14ac:dyDescent="0.3">
      <c r="A283" s="1">
        <v>284</v>
      </c>
      <c r="B283" s="1" t="s">
        <v>6492</v>
      </c>
      <c r="C283" s="1" t="s">
        <v>6493</v>
      </c>
      <c r="D283" s="1">
        <v>5</v>
      </c>
      <c r="E283" s="1">
        <v>2</v>
      </c>
      <c r="F283" s="1">
        <v>19</v>
      </c>
      <c r="G283" s="1" t="s">
        <v>328</v>
      </c>
      <c r="H283" s="1" t="s">
        <v>338</v>
      </c>
      <c r="I283" s="1" t="s">
        <v>328</v>
      </c>
      <c r="J283" s="1" t="s">
        <v>328</v>
      </c>
      <c r="K283" s="1" t="s">
        <v>328</v>
      </c>
      <c r="L283" s="1" t="s">
        <v>328</v>
      </c>
      <c r="M283" s="1" t="s">
        <v>328</v>
      </c>
      <c r="N283" s="1" t="s">
        <v>328</v>
      </c>
      <c r="O283" s="1" t="s">
        <v>328</v>
      </c>
      <c r="P283" s="1" t="s">
        <v>328</v>
      </c>
      <c r="Q283" s="1" t="s">
        <v>328</v>
      </c>
      <c r="R283" s="1" t="s">
        <v>328</v>
      </c>
      <c r="S283" s="1" t="s">
        <v>328</v>
      </c>
      <c r="T283" s="1" t="s">
        <v>328</v>
      </c>
      <c r="U283" s="1">
        <v>0</v>
      </c>
      <c r="V283" s="1">
        <v>150</v>
      </c>
      <c r="W283" s="1">
        <v>0</v>
      </c>
      <c r="X283" s="1">
        <v>0</v>
      </c>
      <c r="Y283" s="1">
        <v>0</v>
      </c>
      <c r="Z283" s="1">
        <v>0</v>
      </c>
      <c r="AA283" s="1">
        <v>0</v>
      </c>
      <c r="AB283" s="1">
        <v>0</v>
      </c>
      <c r="AC283" s="1">
        <v>4</v>
      </c>
      <c r="AD283" s="1">
        <v>4</v>
      </c>
      <c r="AE283" s="1">
        <v>0</v>
      </c>
      <c r="AF283" s="1">
        <v>2</v>
      </c>
      <c r="AG283" s="208" t="s">
        <v>6462</v>
      </c>
      <c r="AH283" s="1">
        <v>3600</v>
      </c>
      <c r="AI283" s="1" t="s">
        <v>1843</v>
      </c>
      <c r="AJ283" s="1">
        <v>0</v>
      </c>
      <c r="AK283" s="1" t="s">
        <v>6490</v>
      </c>
      <c r="AL283" s="1" t="s">
        <v>6494</v>
      </c>
      <c r="AM283" s="1">
        <v>0.48</v>
      </c>
      <c r="AN283" s="1">
        <v>0.48</v>
      </c>
      <c r="AO283" s="1">
        <v>0.08</v>
      </c>
      <c r="AP283" s="1">
        <v>0.25</v>
      </c>
      <c r="AQ283" s="1">
        <v>3</v>
      </c>
      <c r="AR283" s="1" t="s">
        <v>1470</v>
      </c>
      <c r="AS283" s="1">
        <v>0</v>
      </c>
      <c r="AT283" s="1" t="s">
        <v>2468</v>
      </c>
      <c r="AU283" s="1">
        <v>10</v>
      </c>
      <c r="AV283" s="1">
        <v>19041</v>
      </c>
      <c r="AW283" s="1">
        <v>0</v>
      </c>
      <c r="AX283" t="b">
        <v>0</v>
      </c>
    </row>
    <row r="284" spans="1:50" x14ac:dyDescent="0.3">
      <c r="A284" s="1">
        <v>285</v>
      </c>
      <c r="B284" s="1" t="s">
        <v>6495</v>
      </c>
      <c r="C284" s="1" t="s">
        <v>6496</v>
      </c>
      <c r="D284" s="1">
        <v>5</v>
      </c>
      <c r="E284" s="1">
        <v>1</v>
      </c>
      <c r="F284" s="1">
        <v>18</v>
      </c>
      <c r="G284" s="1" t="s">
        <v>335</v>
      </c>
      <c r="H284" s="1" t="s">
        <v>470</v>
      </c>
      <c r="I284" s="1" t="s">
        <v>328</v>
      </c>
      <c r="J284" s="1" t="s">
        <v>328</v>
      </c>
      <c r="K284" s="1" t="s">
        <v>328</v>
      </c>
      <c r="L284" s="1" t="s">
        <v>328</v>
      </c>
      <c r="M284" s="1" t="s">
        <v>397</v>
      </c>
      <c r="N284" s="1" t="s">
        <v>328</v>
      </c>
      <c r="O284" s="1" t="s">
        <v>328</v>
      </c>
      <c r="P284" s="1" t="s">
        <v>328</v>
      </c>
      <c r="Q284" s="1" t="s">
        <v>328</v>
      </c>
      <c r="R284" s="1" t="s">
        <v>328</v>
      </c>
      <c r="S284" s="1" t="s">
        <v>328</v>
      </c>
      <c r="T284" s="1" t="s">
        <v>328</v>
      </c>
      <c r="U284" s="1">
        <v>0</v>
      </c>
      <c r="V284" s="1">
        <v>0</v>
      </c>
      <c r="W284" s="1">
        <v>0</v>
      </c>
      <c r="X284" s="1">
        <v>0</v>
      </c>
      <c r="Y284" s="1">
        <v>0</v>
      </c>
      <c r="Z284" s="1">
        <v>0</v>
      </c>
      <c r="AA284" s="1">
        <v>0</v>
      </c>
      <c r="AB284" s="1">
        <v>0</v>
      </c>
      <c r="AC284" s="1">
        <v>4</v>
      </c>
      <c r="AD284" s="1">
        <v>0</v>
      </c>
      <c r="AE284" s="1">
        <v>3</v>
      </c>
      <c r="AF284" s="1">
        <v>2</v>
      </c>
      <c r="AG284" s="208" t="s">
        <v>6470</v>
      </c>
      <c r="AH284" s="1">
        <v>3600</v>
      </c>
      <c r="AI284" s="1" t="s">
        <v>1843</v>
      </c>
      <c r="AJ284" s="1">
        <v>0</v>
      </c>
      <c r="AK284" s="1" t="s">
        <v>6489</v>
      </c>
      <c r="AL284" s="1" t="s">
        <v>6497</v>
      </c>
      <c r="AM284" s="1">
        <v>0.45</v>
      </c>
      <c r="AN284" s="1">
        <v>0.15</v>
      </c>
      <c r="AO284" s="1">
        <v>0.3</v>
      </c>
      <c r="AP284" s="1">
        <v>0.15</v>
      </c>
      <c r="AQ284" s="1">
        <v>3</v>
      </c>
      <c r="AR284" s="1" t="s">
        <v>1561</v>
      </c>
      <c r="AS284" s="1">
        <v>0</v>
      </c>
      <c r="AT284" s="1" t="s">
        <v>1806</v>
      </c>
      <c r="AU284" s="1">
        <v>10</v>
      </c>
      <c r="AV284" s="1">
        <v>18093</v>
      </c>
      <c r="AW284" s="1">
        <v>0</v>
      </c>
      <c r="AX284" t="b">
        <v>0</v>
      </c>
    </row>
    <row r="285" spans="1:50" x14ac:dyDescent="0.3">
      <c r="A285" s="1">
        <v>286</v>
      </c>
      <c r="B285" s="1" t="s">
        <v>6498</v>
      </c>
      <c r="C285" s="1" t="s">
        <v>6499</v>
      </c>
      <c r="D285" s="1">
        <v>5</v>
      </c>
      <c r="E285" s="1">
        <v>2</v>
      </c>
      <c r="F285" s="1">
        <v>19</v>
      </c>
      <c r="G285" s="1" t="s">
        <v>328</v>
      </c>
      <c r="H285" s="1" t="s">
        <v>385</v>
      </c>
      <c r="I285" s="1" t="s">
        <v>328</v>
      </c>
      <c r="J285" s="1" t="s">
        <v>328</v>
      </c>
      <c r="K285" s="1" t="s">
        <v>328</v>
      </c>
      <c r="L285" s="1" t="s">
        <v>328</v>
      </c>
      <c r="M285" s="1" t="s">
        <v>328</v>
      </c>
      <c r="N285" s="1" t="s">
        <v>328</v>
      </c>
      <c r="O285" s="1" t="s">
        <v>328</v>
      </c>
      <c r="P285" s="1" t="s">
        <v>328</v>
      </c>
      <c r="Q285" s="1" t="s">
        <v>328</v>
      </c>
      <c r="R285" s="1" t="s">
        <v>328</v>
      </c>
      <c r="S285" s="1" t="s">
        <v>328</v>
      </c>
      <c r="T285" s="1" t="s">
        <v>328</v>
      </c>
      <c r="U285" s="1">
        <v>0</v>
      </c>
      <c r="V285" s="1">
        <v>150</v>
      </c>
      <c r="W285" s="1">
        <v>0</v>
      </c>
      <c r="X285" s="1">
        <v>0</v>
      </c>
      <c r="Y285" s="1">
        <v>0</v>
      </c>
      <c r="Z285" s="1">
        <v>0</v>
      </c>
      <c r="AA285" s="1">
        <v>0</v>
      </c>
      <c r="AB285" s="1">
        <v>0</v>
      </c>
      <c r="AC285" s="1">
        <v>4</v>
      </c>
      <c r="AD285" s="1">
        <v>4</v>
      </c>
      <c r="AE285" s="1">
        <v>0</v>
      </c>
      <c r="AF285" s="1">
        <v>2</v>
      </c>
      <c r="AG285" s="208" t="s">
        <v>6508</v>
      </c>
      <c r="AH285" s="1">
        <v>3600</v>
      </c>
      <c r="AI285" s="1" t="s">
        <v>6500</v>
      </c>
      <c r="AJ285" s="1">
        <v>0</v>
      </c>
      <c r="AK285" s="1" t="s">
        <v>6491</v>
      </c>
      <c r="AL285" s="1" t="s">
        <v>6501</v>
      </c>
      <c r="AM285" s="1">
        <v>0.48</v>
      </c>
      <c r="AN285" s="1">
        <v>0.48</v>
      </c>
      <c r="AO285" s="1">
        <v>0.08</v>
      </c>
      <c r="AP285" s="1">
        <v>0.25</v>
      </c>
      <c r="AQ285" s="1">
        <v>3</v>
      </c>
      <c r="AR285" s="1" t="s">
        <v>1493</v>
      </c>
      <c r="AS285" s="1">
        <v>0</v>
      </c>
      <c r="AT285" s="1" t="s">
        <v>6502</v>
      </c>
      <c r="AU285" s="1">
        <v>10</v>
      </c>
      <c r="AV285" s="1">
        <v>19042</v>
      </c>
      <c r="AW285" s="1">
        <v>0</v>
      </c>
      <c r="AX285" t="b">
        <v>0</v>
      </c>
    </row>
    <row r="286" spans="1:50" x14ac:dyDescent="0.3">
      <c r="A286" s="1">
        <v>287</v>
      </c>
      <c r="B286" s="1" t="s">
        <v>6503</v>
      </c>
      <c r="C286" s="1" t="s">
        <v>6504</v>
      </c>
      <c r="D286" s="1">
        <v>5</v>
      </c>
      <c r="E286" s="1">
        <v>1</v>
      </c>
      <c r="F286" s="1">
        <v>18</v>
      </c>
      <c r="G286" s="1" t="s">
        <v>335</v>
      </c>
      <c r="H286" s="1" t="s">
        <v>328</v>
      </c>
      <c r="I286" s="1" t="s">
        <v>328</v>
      </c>
      <c r="J286" s="1" t="s">
        <v>328</v>
      </c>
      <c r="K286" s="1" t="s">
        <v>328</v>
      </c>
      <c r="L286" s="1" t="s">
        <v>328</v>
      </c>
      <c r="M286" s="1" t="s">
        <v>327</v>
      </c>
      <c r="N286" s="1" t="s">
        <v>328</v>
      </c>
      <c r="O286" s="1" t="s">
        <v>328</v>
      </c>
      <c r="P286" s="1" t="s">
        <v>328</v>
      </c>
      <c r="Q286" s="1" t="s">
        <v>328</v>
      </c>
      <c r="R286" s="1" t="s">
        <v>328</v>
      </c>
      <c r="S286" s="1" t="s">
        <v>328</v>
      </c>
      <c r="T286" s="1" t="s">
        <v>328</v>
      </c>
      <c r="U286" s="1">
        <v>0</v>
      </c>
      <c r="V286" s="1">
        <v>0</v>
      </c>
      <c r="W286" s="1">
        <v>0</v>
      </c>
      <c r="X286" s="1">
        <v>0</v>
      </c>
      <c r="Y286" s="1">
        <v>0</v>
      </c>
      <c r="Z286" s="1">
        <v>0</v>
      </c>
      <c r="AA286" s="1">
        <v>0</v>
      </c>
      <c r="AB286" s="1">
        <v>0</v>
      </c>
      <c r="AC286" s="1">
        <v>4</v>
      </c>
      <c r="AD286" s="1">
        <v>0</v>
      </c>
      <c r="AE286" s="1">
        <v>3</v>
      </c>
      <c r="AF286" s="1">
        <v>2</v>
      </c>
      <c r="AG286" s="208" t="s">
        <v>6483</v>
      </c>
      <c r="AH286" s="1">
        <v>2700</v>
      </c>
      <c r="AI286" s="1" t="s">
        <v>6505</v>
      </c>
      <c r="AJ286" s="1">
        <v>0</v>
      </c>
      <c r="AK286" s="1" t="s">
        <v>6506</v>
      </c>
      <c r="AL286" s="1" t="s">
        <v>6507</v>
      </c>
      <c r="AM286" s="1">
        <v>0.45</v>
      </c>
      <c r="AN286" s="1">
        <v>0.15</v>
      </c>
      <c r="AO286" s="1">
        <v>0.3</v>
      </c>
      <c r="AP286" s="1">
        <v>0.15</v>
      </c>
      <c r="AQ286" s="1">
        <v>3</v>
      </c>
      <c r="AR286" s="1" t="s">
        <v>1521</v>
      </c>
      <c r="AS286" s="1">
        <v>0</v>
      </c>
      <c r="AT286" s="1" t="s">
        <v>1806</v>
      </c>
      <c r="AU286" s="1">
        <v>10</v>
      </c>
      <c r="AV286" s="1">
        <v>18094</v>
      </c>
      <c r="AW286" s="1">
        <v>0</v>
      </c>
      <c r="AX286" t="b">
        <v>0</v>
      </c>
    </row>
    <row r="287" spans="1:50" x14ac:dyDescent="0.3">
      <c r="A287" s="1">
        <v>288</v>
      </c>
      <c r="B287" s="1" t="s">
        <v>6515</v>
      </c>
      <c r="C287" s="1" t="s">
        <v>6516</v>
      </c>
      <c r="D287" s="1">
        <v>5</v>
      </c>
      <c r="E287" s="1">
        <v>1</v>
      </c>
      <c r="F287" s="1">
        <v>18</v>
      </c>
      <c r="G287" s="1" t="s">
        <v>335</v>
      </c>
      <c r="H287" s="1" t="s">
        <v>399</v>
      </c>
      <c r="I287" s="1" t="s">
        <v>328</v>
      </c>
      <c r="J287" s="1" t="s">
        <v>328</v>
      </c>
      <c r="K287" s="1" t="s">
        <v>493</v>
      </c>
      <c r="L287" s="1" t="s">
        <v>328</v>
      </c>
      <c r="M287" s="1" t="s">
        <v>328</v>
      </c>
      <c r="N287" s="1" t="s">
        <v>328</v>
      </c>
      <c r="O287" s="1" t="s">
        <v>328</v>
      </c>
      <c r="P287" s="1" t="s">
        <v>328</v>
      </c>
      <c r="Q287" s="1" t="s">
        <v>328</v>
      </c>
      <c r="R287" s="1" t="s">
        <v>328</v>
      </c>
      <c r="S287" s="1" t="s">
        <v>328</v>
      </c>
      <c r="T287" s="1" t="s">
        <v>328</v>
      </c>
      <c r="U287" s="1">
        <v>0</v>
      </c>
      <c r="V287" s="1">
        <v>0</v>
      </c>
      <c r="W287" s="1">
        <v>0</v>
      </c>
      <c r="X287" s="1">
        <v>0</v>
      </c>
      <c r="Y287" s="1">
        <v>0</v>
      </c>
      <c r="Z287" s="1">
        <v>0</v>
      </c>
      <c r="AA287" s="1">
        <v>0</v>
      </c>
      <c r="AB287" s="1">
        <v>0</v>
      </c>
      <c r="AC287" s="1">
        <v>4</v>
      </c>
      <c r="AD287" s="1">
        <v>0</v>
      </c>
      <c r="AE287" s="1">
        <v>3</v>
      </c>
      <c r="AF287" s="1">
        <v>2</v>
      </c>
      <c r="AG287" s="208" t="s">
        <v>230</v>
      </c>
      <c r="AH287" s="1">
        <v>3600</v>
      </c>
      <c r="AI287" s="1" t="s">
        <v>720</v>
      </c>
      <c r="AJ287" s="1">
        <v>0</v>
      </c>
      <c r="AK287" s="1" t="s">
        <v>6517</v>
      </c>
      <c r="AL287" s="1" t="s">
        <v>6518</v>
      </c>
      <c r="AM287" s="1">
        <v>0.45</v>
      </c>
      <c r="AN287" s="1">
        <v>0.15</v>
      </c>
      <c r="AO287" s="1">
        <v>0.3</v>
      </c>
      <c r="AP287" s="1">
        <v>0.15</v>
      </c>
      <c r="AQ287" s="1">
        <v>3</v>
      </c>
      <c r="AR287" s="1" t="s">
        <v>6519</v>
      </c>
      <c r="AS287" s="1">
        <v>0</v>
      </c>
      <c r="AT287" s="1" t="s">
        <v>6520</v>
      </c>
      <c r="AU287" s="1">
        <v>10</v>
      </c>
      <c r="AV287" s="1">
        <v>18095</v>
      </c>
      <c r="AW287" s="1">
        <v>0</v>
      </c>
      <c r="AX287" t="b">
        <v>0</v>
      </c>
    </row>
    <row r="288" spans="1:50" x14ac:dyDescent="0.3">
      <c r="A288">
        <v>289</v>
      </c>
      <c r="B288" t="s">
        <v>6538</v>
      </c>
      <c r="C288" t="s">
        <v>6539</v>
      </c>
      <c r="D288">
        <v>5</v>
      </c>
      <c r="E288">
        <v>1</v>
      </c>
      <c r="F288">
        <v>18</v>
      </c>
      <c r="G288" s="1" t="s">
        <v>354</v>
      </c>
      <c r="H288" s="1" t="s">
        <v>328</v>
      </c>
      <c r="I288" s="1" t="s">
        <v>328</v>
      </c>
      <c r="J288" s="1" t="s">
        <v>328</v>
      </c>
      <c r="K288" s="1" t="s">
        <v>328</v>
      </c>
      <c r="L288" s="1" t="s">
        <v>328</v>
      </c>
      <c r="M288" s="1" t="s">
        <v>397</v>
      </c>
      <c r="N288" s="1" t="s">
        <v>328</v>
      </c>
      <c r="O288" s="1" t="s">
        <v>328</v>
      </c>
      <c r="P288" s="1" t="s">
        <v>328</v>
      </c>
      <c r="Q288" s="1" t="s">
        <v>328</v>
      </c>
      <c r="R288" s="1" t="s">
        <v>328</v>
      </c>
      <c r="S288" s="1" t="s">
        <v>328</v>
      </c>
      <c r="T288" s="1" t="s">
        <v>328</v>
      </c>
      <c r="U288" s="1">
        <v>0</v>
      </c>
      <c r="V288" s="1">
        <v>0</v>
      </c>
      <c r="W288" s="1">
        <v>0</v>
      </c>
      <c r="X288" s="1">
        <v>0</v>
      </c>
      <c r="Y288" s="1">
        <v>0</v>
      </c>
      <c r="Z288" s="1">
        <v>0</v>
      </c>
      <c r="AA288" s="1">
        <v>0</v>
      </c>
      <c r="AB288" s="1">
        <v>0</v>
      </c>
      <c r="AC288" s="1">
        <v>4</v>
      </c>
      <c r="AD288" s="1">
        <v>0</v>
      </c>
      <c r="AE288" s="1">
        <v>3</v>
      </c>
      <c r="AF288" s="1">
        <v>2</v>
      </c>
      <c r="AG288" s="208" t="s">
        <v>1625</v>
      </c>
      <c r="AH288" s="1">
        <v>3600</v>
      </c>
      <c r="AI288" t="s">
        <v>2207</v>
      </c>
      <c r="AJ288">
        <v>0</v>
      </c>
      <c r="AK288" s="1" t="s">
        <v>6540</v>
      </c>
      <c r="AL288" s="1" t="s">
        <v>6541</v>
      </c>
      <c r="AM288" s="1">
        <v>0.45</v>
      </c>
      <c r="AN288" s="1">
        <v>0.15</v>
      </c>
      <c r="AO288" s="1">
        <v>0.3</v>
      </c>
      <c r="AP288" s="1">
        <v>0.15</v>
      </c>
      <c r="AQ288" s="1">
        <v>3</v>
      </c>
      <c r="AR288" t="s">
        <v>6542</v>
      </c>
      <c r="AS288">
        <v>0</v>
      </c>
      <c r="AT288" t="s">
        <v>1806</v>
      </c>
      <c r="AU288">
        <v>10</v>
      </c>
      <c r="AV288">
        <v>18096</v>
      </c>
      <c r="AW288">
        <v>0</v>
      </c>
      <c r="AX288" t="b">
        <v>0</v>
      </c>
    </row>
    <row r="289" spans="1:50" x14ac:dyDescent="0.3">
      <c r="A289">
        <v>290</v>
      </c>
      <c r="B289" t="s">
        <v>6543</v>
      </c>
      <c r="C289" t="s">
        <v>6544</v>
      </c>
      <c r="D289">
        <v>5</v>
      </c>
      <c r="E289">
        <v>1</v>
      </c>
      <c r="F289">
        <v>18</v>
      </c>
      <c r="G289" s="1" t="s">
        <v>398</v>
      </c>
      <c r="H289" s="1" t="s">
        <v>335</v>
      </c>
      <c r="I289" s="1" t="s">
        <v>328</v>
      </c>
      <c r="J289" s="1" t="s">
        <v>328</v>
      </c>
      <c r="K289" s="1" t="s">
        <v>328</v>
      </c>
      <c r="L289" s="1" t="s">
        <v>328</v>
      </c>
      <c r="M289" s="1" t="s">
        <v>6545</v>
      </c>
      <c r="N289" s="1" t="s">
        <v>328</v>
      </c>
      <c r="O289" s="1" t="s">
        <v>328</v>
      </c>
      <c r="P289" s="1" t="s">
        <v>328</v>
      </c>
      <c r="Q289" s="1" t="s">
        <v>328</v>
      </c>
      <c r="R289" s="1" t="s">
        <v>328</v>
      </c>
      <c r="S289" s="1" t="s">
        <v>328</v>
      </c>
      <c r="T289" s="1" t="s">
        <v>328</v>
      </c>
      <c r="U289" s="1">
        <v>0</v>
      </c>
      <c r="V289" s="1">
        <v>0</v>
      </c>
      <c r="W289" s="1">
        <v>0</v>
      </c>
      <c r="X289" s="1">
        <v>0</v>
      </c>
      <c r="Y289" s="1">
        <v>0</v>
      </c>
      <c r="Z289" s="1">
        <v>0</v>
      </c>
      <c r="AA289" s="1">
        <v>0</v>
      </c>
      <c r="AB289" s="1">
        <v>0</v>
      </c>
      <c r="AC289" s="1">
        <v>4</v>
      </c>
      <c r="AD289" s="1">
        <v>0</v>
      </c>
      <c r="AE289" s="1">
        <v>3</v>
      </c>
      <c r="AF289" s="1">
        <v>2</v>
      </c>
      <c r="AG289" s="208" t="s">
        <v>112</v>
      </c>
      <c r="AH289" s="1">
        <v>3600</v>
      </c>
      <c r="AI289" t="s">
        <v>1843</v>
      </c>
      <c r="AJ289">
        <v>0</v>
      </c>
      <c r="AK289" s="1" t="s">
        <v>6546</v>
      </c>
      <c r="AL289" s="1" t="s">
        <v>6547</v>
      </c>
      <c r="AM289" s="1">
        <v>0.45</v>
      </c>
      <c r="AN289" s="1">
        <v>0.15</v>
      </c>
      <c r="AO289" s="1">
        <v>0.3</v>
      </c>
      <c r="AP289" s="1">
        <v>0.15</v>
      </c>
      <c r="AQ289" s="1">
        <v>3</v>
      </c>
      <c r="AR289" t="s">
        <v>6548</v>
      </c>
      <c r="AS289">
        <v>0</v>
      </c>
      <c r="AT289" t="s">
        <v>1806</v>
      </c>
      <c r="AU289">
        <v>10</v>
      </c>
      <c r="AV289">
        <v>18097</v>
      </c>
      <c r="AW289">
        <v>0</v>
      </c>
      <c r="AX289" t="b">
        <v>0</v>
      </c>
    </row>
    <row r="290" spans="1:50" x14ac:dyDescent="0.3">
      <c r="A290">
        <v>291</v>
      </c>
      <c r="B290" t="s">
        <v>6549</v>
      </c>
      <c r="C290" t="s">
        <v>6550</v>
      </c>
      <c r="D290">
        <v>5</v>
      </c>
      <c r="E290">
        <v>1</v>
      </c>
      <c r="F290">
        <v>18</v>
      </c>
      <c r="G290" s="1" t="s">
        <v>470</v>
      </c>
      <c r="H290" s="1" t="s">
        <v>385</v>
      </c>
      <c r="I290" s="1" t="s">
        <v>328</v>
      </c>
      <c r="J290" s="1" t="s">
        <v>328</v>
      </c>
      <c r="K290" s="1" t="s">
        <v>328</v>
      </c>
      <c r="L290" s="1" t="s">
        <v>328</v>
      </c>
      <c r="M290" s="1" t="s">
        <v>896</v>
      </c>
      <c r="N290" s="1" t="s">
        <v>328</v>
      </c>
      <c r="O290" s="1" t="s">
        <v>328</v>
      </c>
      <c r="P290" s="1" t="s">
        <v>328</v>
      </c>
      <c r="Q290" s="1" t="s">
        <v>328</v>
      </c>
      <c r="R290" s="1" t="s">
        <v>328</v>
      </c>
      <c r="S290" s="1" t="s">
        <v>328</v>
      </c>
      <c r="T290" s="1" t="s">
        <v>328</v>
      </c>
      <c r="U290" s="1">
        <v>0</v>
      </c>
      <c r="V290" s="1">
        <v>0</v>
      </c>
      <c r="W290" s="1">
        <v>0</v>
      </c>
      <c r="X290" s="1">
        <v>0</v>
      </c>
      <c r="Y290" s="1">
        <v>0</v>
      </c>
      <c r="Z290" s="1">
        <v>0</v>
      </c>
      <c r="AA290" s="1">
        <v>0</v>
      </c>
      <c r="AB290" s="1">
        <v>0</v>
      </c>
      <c r="AC290" s="1">
        <v>4</v>
      </c>
      <c r="AD290" s="1">
        <v>2</v>
      </c>
      <c r="AE290" s="1">
        <v>2</v>
      </c>
      <c r="AF290" s="1">
        <v>2</v>
      </c>
      <c r="AG290" s="208" t="s">
        <v>71</v>
      </c>
      <c r="AH290" s="1">
        <v>3600</v>
      </c>
      <c r="AI290" t="s">
        <v>1843</v>
      </c>
      <c r="AJ290">
        <v>0</v>
      </c>
      <c r="AK290" s="1" t="s">
        <v>6551</v>
      </c>
      <c r="AL290" s="1" t="s">
        <v>6552</v>
      </c>
      <c r="AM290" s="1">
        <v>0.45</v>
      </c>
      <c r="AN290" s="1">
        <v>0.15</v>
      </c>
      <c r="AO290" s="1">
        <v>0.3</v>
      </c>
      <c r="AP290" s="1">
        <v>0.15</v>
      </c>
      <c r="AQ290" s="1">
        <v>3</v>
      </c>
      <c r="AR290" t="s">
        <v>5650</v>
      </c>
      <c r="AS290">
        <v>0</v>
      </c>
      <c r="AT290" t="s">
        <v>1806</v>
      </c>
      <c r="AU290">
        <v>10</v>
      </c>
      <c r="AV290">
        <v>18098</v>
      </c>
      <c r="AW290">
        <v>0</v>
      </c>
      <c r="AX290" t="b">
        <v>0</v>
      </c>
    </row>
    <row r="291" spans="1:50" x14ac:dyDescent="0.3">
      <c r="A291">
        <v>292</v>
      </c>
      <c r="B291" t="s">
        <v>6553</v>
      </c>
      <c r="C291" t="s">
        <v>6554</v>
      </c>
      <c r="D291">
        <v>5</v>
      </c>
      <c r="E291">
        <v>1</v>
      </c>
      <c r="F291">
        <v>18</v>
      </c>
      <c r="G291" s="1" t="s">
        <v>335</v>
      </c>
      <c r="H291" s="1" t="s">
        <v>343</v>
      </c>
      <c r="I291" s="1" t="s">
        <v>328</v>
      </c>
      <c r="J291" s="1" t="s">
        <v>328</v>
      </c>
      <c r="K291" s="1" t="s">
        <v>328</v>
      </c>
      <c r="L291" s="1" t="s">
        <v>328</v>
      </c>
      <c r="M291" s="1" t="s">
        <v>328</v>
      </c>
      <c r="N291" s="1" t="s">
        <v>328</v>
      </c>
      <c r="O291" s="1" t="s">
        <v>328</v>
      </c>
      <c r="P291" s="1" t="s">
        <v>328</v>
      </c>
      <c r="Q291" s="1" t="s">
        <v>328</v>
      </c>
      <c r="R291" s="1" t="s">
        <v>328</v>
      </c>
      <c r="S291" s="1" t="s">
        <v>328</v>
      </c>
      <c r="T291" s="1" t="s">
        <v>328</v>
      </c>
      <c r="U291" s="1">
        <v>0</v>
      </c>
      <c r="V291" s="1">
        <v>0</v>
      </c>
      <c r="W291" s="1">
        <v>0</v>
      </c>
      <c r="X291" s="1">
        <v>0</v>
      </c>
      <c r="Y291" s="1">
        <v>0</v>
      </c>
      <c r="Z291" s="1">
        <v>0</v>
      </c>
      <c r="AA291" s="1">
        <v>0</v>
      </c>
      <c r="AB291" s="1">
        <v>0</v>
      </c>
      <c r="AC291" s="1">
        <v>4</v>
      </c>
      <c r="AD291" s="1">
        <v>0</v>
      </c>
      <c r="AE291" s="1">
        <v>3</v>
      </c>
      <c r="AF291" s="1">
        <v>2</v>
      </c>
      <c r="AG291" s="208" t="s">
        <v>1634</v>
      </c>
      <c r="AH291" s="1">
        <v>3000</v>
      </c>
      <c r="AI291" t="s">
        <v>6555</v>
      </c>
      <c r="AJ291">
        <v>0</v>
      </c>
      <c r="AK291" s="1" t="s">
        <v>6556</v>
      </c>
      <c r="AL291" s="1" t="s">
        <v>6557</v>
      </c>
      <c r="AM291" s="1">
        <v>0.45</v>
      </c>
      <c r="AN291" s="1">
        <v>0.15</v>
      </c>
      <c r="AO291" s="1">
        <v>0.3</v>
      </c>
      <c r="AP291" s="1">
        <v>0.15</v>
      </c>
      <c r="AQ291" s="1">
        <v>3</v>
      </c>
      <c r="AR291" t="s">
        <v>5498</v>
      </c>
      <c r="AS291">
        <v>0</v>
      </c>
      <c r="AT291" t="s">
        <v>6558</v>
      </c>
      <c r="AU291">
        <v>10</v>
      </c>
      <c r="AV291">
        <v>18099</v>
      </c>
      <c r="AW291">
        <v>0</v>
      </c>
      <c r="AX291" t="b">
        <v>0</v>
      </c>
    </row>
    <row r="292" spans="1:50" x14ac:dyDescent="0.3">
      <c r="A292">
        <v>293</v>
      </c>
      <c r="B292" t="s">
        <v>6609</v>
      </c>
      <c r="C292" t="s">
        <v>6610</v>
      </c>
      <c r="D292">
        <v>5</v>
      </c>
      <c r="E292">
        <v>3</v>
      </c>
      <c r="F292">
        <v>20</v>
      </c>
      <c r="G292" s="1" t="s">
        <v>470</v>
      </c>
      <c r="H292" s="1" t="s">
        <v>328</v>
      </c>
      <c r="I292" s="1" t="s">
        <v>328</v>
      </c>
      <c r="J292" s="1" t="s">
        <v>328</v>
      </c>
      <c r="K292" s="1" t="s">
        <v>328</v>
      </c>
      <c r="L292" s="1" t="s">
        <v>328</v>
      </c>
      <c r="M292" s="1" t="s">
        <v>328</v>
      </c>
      <c r="N292" s="1" t="s">
        <v>328</v>
      </c>
      <c r="O292" s="1" t="s">
        <v>358</v>
      </c>
      <c r="P292" s="1" t="s">
        <v>328</v>
      </c>
      <c r="Q292" s="1" t="s">
        <v>328</v>
      </c>
      <c r="R292" s="1" t="s">
        <v>328</v>
      </c>
      <c r="S292" s="1" t="s">
        <v>328</v>
      </c>
      <c r="T292" s="1" t="s">
        <v>328</v>
      </c>
      <c r="U292" s="1">
        <v>0</v>
      </c>
      <c r="V292" s="1">
        <v>0</v>
      </c>
      <c r="W292" s="1">
        <v>0</v>
      </c>
      <c r="X292" s="1">
        <v>0</v>
      </c>
      <c r="Y292" s="1">
        <v>0</v>
      </c>
      <c r="Z292" s="1">
        <v>0</v>
      </c>
      <c r="AA292" s="1">
        <v>0</v>
      </c>
      <c r="AB292" s="1">
        <v>0</v>
      </c>
      <c r="AC292" s="1">
        <v>2</v>
      </c>
      <c r="AD292" s="1">
        <v>2</v>
      </c>
      <c r="AE292" s="1">
        <v>3</v>
      </c>
      <c r="AF292" s="1">
        <v>3</v>
      </c>
      <c r="AG292" s="208" t="s">
        <v>811</v>
      </c>
      <c r="AH292" s="1">
        <v>3600</v>
      </c>
      <c r="AI292" t="s">
        <v>1843</v>
      </c>
      <c r="AJ292">
        <v>0</v>
      </c>
      <c r="AK292" s="1" t="s">
        <v>6611</v>
      </c>
      <c r="AL292" s="1" t="s">
        <v>6612</v>
      </c>
      <c r="AM292" s="1">
        <v>0.23</v>
      </c>
      <c r="AN292" s="1">
        <v>0.23</v>
      </c>
      <c r="AO292" s="1">
        <v>0.33</v>
      </c>
      <c r="AP292" s="1">
        <v>0.33</v>
      </c>
      <c r="AQ292" s="1">
        <v>3</v>
      </c>
      <c r="AR292" t="s">
        <v>6613</v>
      </c>
      <c r="AS292">
        <v>0</v>
      </c>
      <c r="AT292" t="s">
        <v>1806</v>
      </c>
      <c r="AU292">
        <v>10</v>
      </c>
      <c r="AV292">
        <v>20048</v>
      </c>
      <c r="AW292">
        <v>0</v>
      </c>
      <c r="AX292" t="b">
        <v>0</v>
      </c>
    </row>
    <row r="293" spans="1:50" x14ac:dyDescent="0.3">
      <c r="A293">
        <v>294</v>
      </c>
      <c r="B293" t="s">
        <v>6614</v>
      </c>
      <c r="C293" t="s">
        <v>6615</v>
      </c>
      <c r="D293">
        <v>5</v>
      </c>
      <c r="E293">
        <v>1</v>
      </c>
      <c r="F293">
        <v>18</v>
      </c>
      <c r="G293" s="1" t="s">
        <v>398</v>
      </c>
      <c r="H293" s="1" t="s">
        <v>328</v>
      </c>
      <c r="I293" s="1" t="s">
        <v>328</v>
      </c>
      <c r="J293" s="1" t="s">
        <v>328</v>
      </c>
      <c r="K293" s="1" t="s">
        <v>328</v>
      </c>
      <c r="L293" s="1" t="s">
        <v>328</v>
      </c>
      <c r="M293" s="1" t="s">
        <v>327</v>
      </c>
      <c r="N293" s="1" t="s">
        <v>328</v>
      </c>
      <c r="O293" s="1" t="s">
        <v>328</v>
      </c>
      <c r="P293" s="1" t="s">
        <v>328</v>
      </c>
      <c r="Q293" s="1" t="s">
        <v>328</v>
      </c>
      <c r="R293" s="1" t="s">
        <v>328</v>
      </c>
      <c r="S293" s="1" t="s">
        <v>328</v>
      </c>
      <c r="T293" s="1" t="s">
        <v>328</v>
      </c>
      <c r="U293" s="1">
        <v>0</v>
      </c>
      <c r="V293" s="1">
        <v>0</v>
      </c>
      <c r="W293" s="1">
        <v>0</v>
      </c>
      <c r="X293" s="1">
        <v>0</v>
      </c>
      <c r="Y293" s="1">
        <v>0</v>
      </c>
      <c r="Z293" s="1">
        <v>0</v>
      </c>
      <c r="AA293" s="1">
        <v>0</v>
      </c>
      <c r="AB293" s="1">
        <v>0</v>
      </c>
      <c r="AC293" s="1">
        <v>4</v>
      </c>
      <c r="AD293" s="1">
        <v>0</v>
      </c>
      <c r="AE293" s="1">
        <v>3</v>
      </c>
      <c r="AF293" s="1">
        <v>2</v>
      </c>
      <c r="AG293" s="208" t="s">
        <v>213</v>
      </c>
      <c r="AH293" s="1">
        <v>3600</v>
      </c>
      <c r="AI293" t="s">
        <v>1843</v>
      </c>
      <c r="AJ293">
        <v>0</v>
      </c>
      <c r="AK293" s="1" t="s">
        <v>6616</v>
      </c>
      <c r="AL293" s="1" t="s">
        <v>6617</v>
      </c>
      <c r="AM293" s="1">
        <v>0.45</v>
      </c>
      <c r="AN293" s="1">
        <v>0.15</v>
      </c>
      <c r="AO293" s="1">
        <v>0.3</v>
      </c>
      <c r="AP293" s="1">
        <v>0.15</v>
      </c>
      <c r="AQ293" s="1">
        <v>3</v>
      </c>
      <c r="AR293" t="s">
        <v>1521</v>
      </c>
      <c r="AS293">
        <v>0</v>
      </c>
      <c r="AT293" t="s">
        <v>6618</v>
      </c>
      <c r="AU293">
        <v>10</v>
      </c>
      <c r="AV293">
        <v>18100</v>
      </c>
      <c r="AW293">
        <v>0</v>
      </c>
      <c r="AX293" t="b">
        <v>0</v>
      </c>
    </row>
    <row r="294" spans="1:50" x14ac:dyDescent="0.3">
      <c r="A294">
        <v>295</v>
      </c>
      <c r="B294" t="s">
        <v>6621</v>
      </c>
      <c r="C294" t="s">
        <v>6622</v>
      </c>
      <c r="D294">
        <v>5</v>
      </c>
      <c r="E294">
        <v>1</v>
      </c>
      <c r="F294">
        <v>18</v>
      </c>
      <c r="G294" s="1" t="s">
        <v>328</v>
      </c>
      <c r="H294" s="1" t="s">
        <v>328</v>
      </c>
      <c r="I294" s="1" t="s">
        <v>328</v>
      </c>
      <c r="J294" s="1" t="s">
        <v>328</v>
      </c>
      <c r="K294" s="1" t="s">
        <v>328</v>
      </c>
      <c r="L294" s="1" t="s">
        <v>402</v>
      </c>
      <c r="M294" s="1" t="s">
        <v>6623</v>
      </c>
      <c r="N294" s="1" t="s">
        <v>328</v>
      </c>
      <c r="O294" s="1" t="s">
        <v>328</v>
      </c>
      <c r="P294" s="1" t="s">
        <v>328</v>
      </c>
      <c r="Q294" s="1" t="s">
        <v>328</v>
      </c>
      <c r="R294" s="1" t="s">
        <v>328</v>
      </c>
      <c r="S294" s="1" t="s">
        <v>328</v>
      </c>
      <c r="T294" s="1" t="s">
        <v>328</v>
      </c>
      <c r="U294" s="1">
        <v>0</v>
      </c>
      <c r="V294" s="1">
        <v>0</v>
      </c>
      <c r="W294" s="1">
        <v>0</v>
      </c>
      <c r="X294" s="1">
        <v>0</v>
      </c>
      <c r="Y294" s="1">
        <v>0</v>
      </c>
      <c r="Z294" s="1">
        <v>0</v>
      </c>
      <c r="AA294" s="1">
        <v>0</v>
      </c>
      <c r="AB294" s="1">
        <v>0</v>
      </c>
      <c r="AC294" s="1">
        <v>4</v>
      </c>
      <c r="AD294" s="1">
        <v>0</v>
      </c>
      <c r="AE294" s="1">
        <v>3</v>
      </c>
      <c r="AF294" s="1">
        <v>2</v>
      </c>
      <c r="AG294" s="208" t="s">
        <v>104</v>
      </c>
      <c r="AH294" s="1">
        <v>3600</v>
      </c>
      <c r="AI294" t="s">
        <v>6624</v>
      </c>
      <c r="AJ294">
        <v>0</v>
      </c>
      <c r="AK294" s="1" t="s">
        <v>6625</v>
      </c>
      <c r="AL294" s="1" t="s">
        <v>6626</v>
      </c>
      <c r="AM294" s="1">
        <v>0.45</v>
      </c>
      <c r="AN294" s="1">
        <v>0.15</v>
      </c>
      <c r="AO294" s="1">
        <v>0.3</v>
      </c>
      <c r="AP294" s="1">
        <v>0.15</v>
      </c>
      <c r="AQ294" s="1">
        <v>3</v>
      </c>
      <c r="AR294" t="s">
        <v>6627</v>
      </c>
      <c r="AS294">
        <v>0</v>
      </c>
      <c r="AT294" t="s">
        <v>6628</v>
      </c>
      <c r="AU294">
        <v>10</v>
      </c>
      <c r="AV294">
        <v>18101</v>
      </c>
      <c r="AW294">
        <v>0</v>
      </c>
      <c r="AX294" t="b">
        <v>0</v>
      </c>
    </row>
    <row r="295" spans="1:50" x14ac:dyDescent="0.3">
      <c r="A295">
        <v>296</v>
      </c>
      <c r="B295" t="s">
        <v>6731</v>
      </c>
      <c r="C295" t="s">
        <v>6732</v>
      </c>
      <c r="D295">
        <v>5</v>
      </c>
      <c r="E295">
        <v>2</v>
      </c>
      <c r="F295">
        <v>19</v>
      </c>
      <c r="G295" s="1" t="s">
        <v>328</v>
      </c>
      <c r="H295" s="1" t="s">
        <v>338</v>
      </c>
      <c r="I295" s="1" t="s">
        <v>328</v>
      </c>
      <c r="J295" s="1" t="s">
        <v>328</v>
      </c>
      <c r="K295" s="1" t="s">
        <v>328</v>
      </c>
      <c r="L295" s="1" t="s">
        <v>328</v>
      </c>
      <c r="M295" s="1" t="s">
        <v>328</v>
      </c>
      <c r="N295" s="1" t="s">
        <v>328</v>
      </c>
      <c r="O295" s="1" t="s">
        <v>328</v>
      </c>
      <c r="P295" s="1" t="s">
        <v>328</v>
      </c>
      <c r="Q295" s="1" t="s">
        <v>328</v>
      </c>
      <c r="R295" s="1" t="s">
        <v>328</v>
      </c>
      <c r="S295" s="1" t="s">
        <v>328</v>
      </c>
      <c r="T295" s="1" t="s">
        <v>328</v>
      </c>
      <c r="U295" s="1">
        <v>0</v>
      </c>
      <c r="V295" s="1">
        <v>150</v>
      </c>
      <c r="W295" s="1">
        <v>0</v>
      </c>
      <c r="X295" s="1">
        <v>0</v>
      </c>
      <c r="Y295" s="1">
        <v>0</v>
      </c>
      <c r="Z295" s="1">
        <v>0</v>
      </c>
      <c r="AA295" s="1">
        <v>0</v>
      </c>
      <c r="AB295" s="1">
        <v>0</v>
      </c>
      <c r="AC295" s="1">
        <v>4</v>
      </c>
      <c r="AD295" s="1">
        <v>4</v>
      </c>
      <c r="AE295" s="1">
        <v>0</v>
      </c>
      <c r="AF295" s="1">
        <v>2</v>
      </c>
      <c r="AG295" s="208" t="s">
        <v>6754</v>
      </c>
      <c r="AH295" s="1">
        <v>3600</v>
      </c>
      <c r="AI295" t="s">
        <v>1843</v>
      </c>
      <c r="AJ295">
        <v>0</v>
      </c>
      <c r="AK295" s="1" t="s">
        <v>6733</v>
      </c>
      <c r="AL295" s="1" t="s">
        <v>6734</v>
      </c>
      <c r="AM295" s="1">
        <v>0.48</v>
      </c>
      <c r="AN295" s="1">
        <v>0.48</v>
      </c>
      <c r="AO295" s="1">
        <v>0.08</v>
      </c>
      <c r="AP295" s="1">
        <v>0.25</v>
      </c>
      <c r="AQ295" s="1">
        <v>3</v>
      </c>
      <c r="AR295" t="s">
        <v>1470</v>
      </c>
      <c r="AS295">
        <v>0</v>
      </c>
      <c r="AT295" t="s">
        <v>2468</v>
      </c>
      <c r="AU295">
        <v>10</v>
      </c>
      <c r="AV295">
        <v>19043</v>
      </c>
      <c r="AW295">
        <v>0</v>
      </c>
      <c r="AX295" t="b">
        <v>0</v>
      </c>
    </row>
    <row r="296" spans="1:50" x14ac:dyDescent="0.3">
      <c r="A296">
        <v>297</v>
      </c>
      <c r="B296" t="s">
        <v>6735</v>
      </c>
      <c r="C296" t="s">
        <v>6736</v>
      </c>
      <c r="D296">
        <v>5</v>
      </c>
      <c r="E296">
        <v>3</v>
      </c>
      <c r="F296">
        <v>20</v>
      </c>
      <c r="G296" s="1" t="s">
        <v>328</v>
      </c>
      <c r="H296" s="1" t="s">
        <v>328</v>
      </c>
      <c r="I296" s="1" t="s">
        <v>344</v>
      </c>
      <c r="J296" s="1" t="s">
        <v>328</v>
      </c>
      <c r="K296" s="1" t="s">
        <v>328</v>
      </c>
      <c r="L296" s="1" t="s">
        <v>6623</v>
      </c>
      <c r="M296" s="1" t="s">
        <v>328</v>
      </c>
      <c r="N296" s="1" t="s">
        <v>328</v>
      </c>
      <c r="O296" s="1" t="s">
        <v>328</v>
      </c>
      <c r="P296" s="1" t="s">
        <v>328</v>
      </c>
      <c r="Q296" s="1" t="s">
        <v>328</v>
      </c>
      <c r="R296" s="1" t="s">
        <v>328</v>
      </c>
      <c r="S296" s="1" t="s">
        <v>328</v>
      </c>
      <c r="T296" s="1" t="s">
        <v>328</v>
      </c>
      <c r="U296" s="1">
        <v>0</v>
      </c>
      <c r="V296" s="1">
        <v>0</v>
      </c>
      <c r="W296" s="1">
        <v>0</v>
      </c>
      <c r="X296" s="1">
        <v>0</v>
      </c>
      <c r="Y296" s="1">
        <v>0</v>
      </c>
      <c r="Z296" s="1">
        <v>0</v>
      </c>
      <c r="AA296" s="1">
        <v>0</v>
      </c>
      <c r="AB296" s="1">
        <v>0</v>
      </c>
      <c r="AC296" s="1">
        <v>4</v>
      </c>
      <c r="AD296" s="1">
        <v>0</v>
      </c>
      <c r="AE296" s="1">
        <v>5</v>
      </c>
      <c r="AF296" s="1">
        <v>0</v>
      </c>
      <c r="AG296" s="208" t="s">
        <v>6755</v>
      </c>
      <c r="AH296" s="1">
        <v>3360</v>
      </c>
      <c r="AI296" t="s">
        <v>1843</v>
      </c>
      <c r="AJ296">
        <v>0</v>
      </c>
      <c r="AK296" s="1" t="s">
        <v>6729</v>
      </c>
      <c r="AL296" s="1" t="s">
        <v>6737</v>
      </c>
      <c r="AM296" s="1">
        <v>0.55000000000000004</v>
      </c>
      <c r="AN296" s="1">
        <v>0.16</v>
      </c>
      <c r="AO296" s="1">
        <v>0.6</v>
      </c>
      <c r="AP296" s="1">
        <v>0.16</v>
      </c>
      <c r="AQ296" s="1">
        <v>3</v>
      </c>
      <c r="AR296" t="s">
        <v>6738</v>
      </c>
      <c r="AS296">
        <v>0</v>
      </c>
      <c r="AT296" t="s">
        <v>1806</v>
      </c>
      <c r="AU296">
        <v>10</v>
      </c>
      <c r="AV296">
        <v>20049</v>
      </c>
      <c r="AW296">
        <v>0</v>
      </c>
      <c r="AX296" t="b">
        <v>0</v>
      </c>
    </row>
    <row r="297" spans="1:50" x14ac:dyDescent="0.3">
      <c r="A297">
        <v>298</v>
      </c>
      <c r="B297" t="s">
        <v>6739</v>
      </c>
      <c r="C297" t="s">
        <v>6740</v>
      </c>
      <c r="D297">
        <v>5</v>
      </c>
      <c r="E297">
        <v>2</v>
      </c>
      <c r="F297">
        <v>19</v>
      </c>
      <c r="G297" s="1" t="s">
        <v>398</v>
      </c>
      <c r="H297" s="1" t="s">
        <v>328</v>
      </c>
      <c r="I297" s="1" t="s">
        <v>328</v>
      </c>
      <c r="J297" s="1" t="s">
        <v>328</v>
      </c>
      <c r="K297" s="1" t="s">
        <v>328</v>
      </c>
      <c r="L297" s="1" t="s">
        <v>328</v>
      </c>
      <c r="M297" s="1" t="s">
        <v>328</v>
      </c>
      <c r="N297" s="1" t="s">
        <v>6741</v>
      </c>
      <c r="O297" s="1" t="s">
        <v>328</v>
      </c>
      <c r="P297" s="1" t="s">
        <v>328</v>
      </c>
      <c r="Q297" s="1" t="s">
        <v>328</v>
      </c>
      <c r="R297" s="1" t="s">
        <v>328</v>
      </c>
      <c r="S297" s="1" t="s">
        <v>328</v>
      </c>
      <c r="T297" s="1" t="s">
        <v>328</v>
      </c>
      <c r="U297" s="1">
        <v>0</v>
      </c>
      <c r="V297" s="1">
        <v>0</v>
      </c>
      <c r="W297" s="1">
        <v>0</v>
      </c>
      <c r="X297" s="1">
        <v>0</v>
      </c>
      <c r="Y297" s="1">
        <v>0</v>
      </c>
      <c r="Z297" s="1">
        <v>0</v>
      </c>
      <c r="AA297" s="1">
        <v>0</v>
      </c>
      <c r="AB297" s="1">
        <v>0</v>
      </c>
      <c r="AC297" s="1">
        <v>0</v>
      </c>
      <c r="AD297" s="1">
        <v>4</v>
      </c>
      <c r="AE297" s="1">
        <v>2</v>
      </c>
      <c r="AF297" s="1">
        <v>3</v>
      </c>
      <c r="AG297" s="208" t="s">
        <v>6756</v>
      </c>
      <c r="AH297" s="1">
        <v>3300</v>
      </c>
      <c r="AI297" t="s">
        <v>1843</v>
      </c>
      <c r="AJ297">
        <v>0</v>
      </c>
      <c r="AK297" s="1" t="s">
        <v>6730</v>
      </c>
      <c r="AL297" s="1" t="s">
        <v>6742</v>
      </c>
      <c r="AM297" s="1">
        <v>0.08</v>
      </c>
      <c r="AN297" s="1">
        <v>0.5</v>
      </c>
      <c r="AO297" s="1">
        <v>0.3</v>
      </c>
      <c r="AP297" s="1">
        <v>0.3</v>
      </c>
      <c r="AQ297" s="1">
        <v>3</v>
      </c>
      <c r="AR297" t="s">
        <v>6743</v>
      </c>
      <c r="AS297">
        <v>0</v>
      </c>
      <c r="AT297" t="s">
        <v>1806</v>
      </c>
      <c r="AU297">
        <v>10</v>
      </c>
      <c r="AV297">
        <v>19044</v>
      </c>
      <c r="AW297">
        <v>0</v>
      </c>
      <c r="AX297" t="b">
        <v>0</v>
      </c>
    </row>
    <row r="298" spans="1:50" x14ac:dyDescent="0.3">
      <c r="A298">
        <v>299</v>
      </c>
      <c r="B298" t="s">
        <v>6744</v>
      </c>
      <c r="C298" t="s">
        <v>6745</v>
      </c>
      <c r="D298">
        <v>5</v>
      </c>
      <c r="E298">
        <v>3</v>
      </c>
      <c r="F298">
        <v>20</v>
      </c>
      <c r="G298" s="1" t="s">
        <v>338</v>
      </c>
      <c r="H298" s="1" t="s">
        <v>328</v>
      </c>
      <c r="I298" s="1" t="s">
        <v>328</v>
      </c>
      <c r="J298" s="1" t="s">
        <v>328</v>
      </c>
      <c r="K298" s="1" t="s">
        <v>335</v>
      </c>
      <c r="L298" s="1" t="s">
        <v>404</v>
      </c>
      <c r="M298" s="1" t="s">
        <v>328</v>
      </c>
      <c r="N298" s="1" t="s">
        <v>328</v>
      </c>
      <c r="O298" s="1" t="s">
        <v>328</v>
      </c>
      <c r="P298" s="1" t="s">
        <v>328</v>
      </c>
      <c r="Q298" s="1" t="s">
        <v>328</v>
      </c>
      <c r="R298" s="1" t="s">
        <v>328</v>
      </c>
      <c r="S298" s="1" t="s">
        <v>328</v>
      </c>
      <c r="T298" s="1" t="s">
        <v>328</v>
      </c>
      <c r="U298" s="1">
        <v>0</v>
      </c>
      <c r="V298" s="1">
        <v>0</v>
      </c>
      <c r="W298" s="1">
        <v>0</v>
      </c>
      <c r="X298" s="1">
        <v>0</v>
      </c>
      <c r="Y298" s="1">
        <v>0</v>
      </c>
      <c r="Z298" s="1">
        <v>0</v>
      </c>
      <c r="AA298" s="1">
        <v>0</v>
      </c>
      <c r="AB298" s="1">
        <v>0</v>
      </c>
      <c r="AC298" s="1">
        <v>4</v>
      </c>
      <c r="AD298" s="1">
        <v>3</v>
      </c>
      <c r="AE298" s="1">
        <v>0</v>
      </c>
      <c r="AF298" s="1">
        <v>2</v>
      </c>
      <c r="AG298" s="208" t="s">
        <v>6758</v>
      </c>
      <c r="AH298" s="1">
        <v>3060</v>
      </c>
      <c r="AI298" t="s">
        <v>1843</v>
      </c>
      <c r="AJ298">
        <v>0</v>
      </c>
      <c r="AK298" s="1" t="s">
        <v>6746</v>
      </c>
      <c r="AL298" s="1" t="s">
        <v>6747</v>
      </c>
      <c r="AM298" s="1">
        <v>0.3</v>
      </c>
      <c r="AN298" s="1">
        <v>0.23</v>
      </c>
      <c r="AO298" s="1">
        <v>0.15</v>
      </c>
      <c r="AP298" s="1">
        <v>0.38</v>
      </c>
      <c r="AQ298" s="1">
        <v>3</v>
      </c>
      <c r="AR298" t="s">
        <v>6748</v>
      </c>
      <c r="AS298">
        <v>0</v>
      </c>
      <c r="AT298" t="s">
        <v>1806</v>
      </c>
      <c r="AU298">
        <v>10</v>
      </c>
      <c r="AV298">
        <v>20050</v>
      </c>
      <c r="AW298">
        <v>0</v>
      </c>
      <c r="AX298" t="b">
        <v>0</v>
      </c>
    </row>
    <row r="299" spans="1:50" x14ac:dyDescent="0.3">
      <c r="A299">
        <v>300</v>
      </c>
      <c r="B299" t="s">
        <v>6749</v>
      </c>
      <c r="C299" t="s">
        <v>6750</v>
      </c>
      <c r="D299">
        <v>5</v>
      </c>
      <c r="E299">
        <v>1</v>
      </c>
      <c r="F299">
        <v>18</v>
      </c>
      <c r="G299" s="1" t="s">
        <v>406</v>
      </c>
      <c r="H299" s="1" t="s">
        <v>328</v>
      </c>
      <c r="I299" s="1" t="s">
        <v>328</v>
      </c>
      <c r="J299" s="1" t="s">
        <v>328</v>
      </c>
      <c r="K299" s="1" t="s">
        <v>328</v>
      </c>
      <c r="L299" s="1" t="s">
        <v>328</v>
      </c>
      <c r="M299" s="1" t="s">
        <v>419</v>
      </c>
      <c r="N299" s="1" t="s">
        <v>328</v>
      </c>
      <c r="O299" s="1" t="s">
        <v>328</v>
      </c>
      <c r="P299" s="1" t="s">
        <v>328</v>
      </c>
      <c r="Q299" s="1" t="s">
        <v>328</v>
      </c>
      <c r="R299" s="1" t="s">
        <v>328</v>
      </c>
      <c r="S299" s="1" t="s">
        <v>328</v>
      </c>
      <c r="T299" s="1" t="s">
        <v>328</v>
      </c>
      <c r="U299" s="1">
        <v>0</v>
      </c>
      <c r="V299" s="1">
        <v>0</v>
      </c>
      <c r="W299" s="1">
        <v>0</v>
      </c>
      <c r="X299" s="1">
        <v>0</v>
      </c>
      <c r="Y299" s="1">
        <v>0</v>
      </c>
      <c r="Z299" s="1">
        <v>0</v>
      </c>
      <c r="AA299" s="1">
        <v>0</v>
      </c>
      <c r="AB299" s="1">
        <v>0</v>
      </c>
      <c r="AC299" s="1">
        <v>4</v>
      </c>
      <c r="AD299" s="1">
        <v>0</v>
      </c>
      <c r="AE299" s="1">
        <v>3</v>
      </c>
      <c r="AF299" s="1">
        <v>2</v>
      </c>
      <c r="AG299" s="208" t="s">
        <v>1654</v>
      </c>
      <c r="AH299" s="1">
        <v>2700</v>
      </c>
      <c r="AI299" t="s">
        <v>6751</v>
      </c>
      <c r="AJ299">
        <v>0</v>
      </c>
      <c r="AK299" s="1" t="s">
        <v>6752</v>
      </c>
      <c r="AL299" s="1" t="s">
        <v>6753</v>
      </c>
      <c r="AM299" s="1">
        <v>0.45</v>
      </c>
      <c r="AN299" s="1">
        <v>0.15</v>
      </c>
      <c r="AO299" s="1">
        <v>0.3</v>
      </c>
      <c r="AP299" s="1">
        <v>0.15</v>
      </c>
      <c r="AQ299" s="1">
        <v>3</v>
      </c>
      <c r="AR299" t="s">
        <v>1521</v>
      </c>
      <c r="AS299">
        <v>0</v>
      </c>
      <c r="AT299" t="s">
        <v>1806</v>
      </c>
      <c r="AU299">
        <v>10</v>
      </c>
      <c r="AV299">
        <v>18102</v>
      </c>
      <c r="AW299">
        <v>0</v>
      </c>
      <c r="AX299" t="b">
        <v>0</v>
      </c>
    </row>
    <row r="300" spans="1:50" x14ac:dyDescent="0.3">
      <c r="A300">
        <v>301</v>
      </c>
      <c r="B300" t="s">
        <v>6761</v>
      </c>
      <c r="C300" t="s">
        <v>6762</v>
      </c>
      <c r="D300">
        <v>5</v>
      </c>
      <c r="E300">
        <v>1</v>
      </c>
      <c r="F300">
        <v>18</v>
      </c>
      <c r="G300" s="1" t="s">
        <v>328</v>
      </c>
      <c r="H300" s="1" t="s">
        <v>328</v>
      </c>
      <c r="I300" s="1" t="s">
        <v>328</v>
      </c>
      <c r="J300" s="1" t="s">
        <v>328</v>
      </c>
      <c r="K300" s="1" t="s">
        <v>331</v>
      </c>
      <c r="L300" s="1" t="s">
        <v>328</v>
      </c>
      <c r="M300" s="1" t="s">
        <v>327</v>
      </c>
      <c r="N300" s="1" t="s">
        <v>328</v>
      </c>
      <c r="O300" s="1" t="s">
        <v>328</v>
      </c>
      <c r="P300" s="1" t="s">
        <v>328</v>
      </c>
      <c r="Q300" s="1" t="s">
        <v>328</v>
      </c>
      <c r="R300" s="1" t="s">
        <v>328</v>
      </c>
      <c r="S300" s="1" t="s">
        <v>328</v>
      </c>
      <c r="T300" s="1" t="s">
        <v>328</v>
      </c>
      <c r="U300" s="1">
        <v>0</v>
      </c>
      <c r="V300" s="1">
        <v>0</v>
      </c>
      <c r="W300" s="1">
        <v>0</v>
      </c>
      <c r="X300" s="1">
        <v>0</v>
      </c>
      <c r="Y300" s="1">
        <v>0</v>
      </c>
      <c r="Z300" s="1">
        <v>0</v>
      </c>
      <c r="AA300" s="1">
        <v>0</v>
      </c>
      <c r="AB300" s="1">
        <v>0</v>
      </c>
      <c r="AC300" s="1">
        <v>4</v>
      </c>
      <c r="AD300" s="1">
        <v>0</v>
      </c>
      <c r="AE300" s="1">
        <v>3</v>
      </c>
      <c r="AF300" s="1">
        <v>2</v>
      </c>
      <c r="AG300" s="208" t="s">
        <v>94</v>
      </c>
      <c r="AH300" s="1">
        <v>3600</v>
      </c>
      <c r="AI300" t="s">
        <v>1843</v>
      </c>
      <c r="AJ300">
        <v>0</v>
      </c>
      <c r="AK300" s="1" t="s">
        <v>5559</v>
      </c>
      <c r="AL300" s="1" t="s">
        <v>6763</v>
      </c>
      <c r="AM300" s="1">
        <v>0.45</v>
      </c>
      <c r="AN300" s="1">
        <v>0.15</v>
      </c>
      <c r="AO300" s="1">
        <v>0.3</v>
      </c>
      <c r="AP300" s="1">
        <v>0.15</v>
      </c>
      <c r="AQ300" s="1">
        <v>3</v>
      </c>
      <c r="AR300" t="s">
        <v>1543</v>
      </c>
      <c r="AS300">
        <v>0</v>
      </c>
      <c r="AT300" t="s">
        <v>1806</v>
      </c>
      <c r="AU300">
        <v>10</v>
      </c>
      <c r="AV300">
        <v>18103</v>
      </c>
      <c r="AW300">
        <v>0</v>
      </c>
      <c r="AX300" t="b">
        <v>0</v>
      </c>
    </row>
    <row r="301" spans="1:50" x14ac:dyDescent="0.3">
      <c r="A301">
        <v>302</v>
      </c>
      <c r="B301" t="s">
        <v>6764</v>
      </c>
      <c r="C301" t="s">
        <v>6765</v>
      </c>
      <c r="D301">
        <v>5</v>
      </c>
      <c r="E301">
        <v>1</v>
      </c>
      <c r="F301">
        <v>18</v>
      </c>
      <c r="G301" s="1" t="s">
        <v>328</v>
      </c>
      <c r="H301" s="1" t="s">
        <v>328</v>
      </c>
      <c r="I301" s="1" t="s">
        <v>413</v>
      </c>
      <c r="J301" s="1" t="s">
        <v>328</v>
      </c>
      <c r="K301" s="1" t="s">
        <v>328</v>
      </c>
      <c r="L301" s="1" t="s">
        <v>328</v>
      </c>
      <c r="M301" s="1" t="s">
        <v>385</v>
      </c>
      <c r="N301" s="1" t="s">
        <v>328</v>
      </c>
      <c r="O301" s="1" t="s">
        <v>328</v>
      </c>
      <c r="P301" s="1" t="s">
        <v>328</v>
      </c>
      <c r="Q301" s="1" t="s">
        <v>328</v>
      </c>
      <c r="R301" s="1" t="s">
        <v>328</v>
      </c>
      <c r="S301" s="1" t="s">
        <v>328</v>
      </c>
      <c r="T301" s="1" t="s">
        <v>328</v>
      </c>
      <c r="U301" s="1">
        <v>0</v>
      </c>
      <c r="V301" s="1">
        <v>0</v>
      </c>
      <c r="W301" s="1">
        <v>0</v>
      </c>
      <c r="X301" s="1">
        <v>0</v>
      </c>
      <c r="Y301" s="1">
        <v>0</v>
      </c>
      <c r="Z301" s="1">
        <v>0</v>
      </c>
      <c r="AA301" s="1">
        <v>0</v>
      </c>
      <c r="AB301" s="1">
        <v>0</v>
      </c>
      <c r="AC301" s="1">
        <v>4</v>
      </c>
      <c r="AD301" s="1">
        <v>2</v>
      </c>
      <c r="AE301" s="1">
        <v>2</v>
      </c>
      <c r="AF301" s="1">
        <v>2</v>
      </c>
      <c r="AG301" s="208" t="s">
        <v>129</v>
      </c>
      <c r="AH301" s="1">
        <v>3540</v>
      </c>
      <c r="AI301" t="s">
        <v>6766</v>
      </c>
      <c r="AJ301">
        <v>0</v>
      </c>
      <c r="AK301" s="1" t="s">
        <v>6767</v>
      </c>
      <c r="AL301" s="1" t="s">
        <v>6768</v>
      </c>
      <c r="AM301" s="1">
        <v>0.45</v>
      </c>
      <c r="AN301" s="1">
        <v>0.15</v>
      </c>
      <c r="AO301" s="1">
        <v>0.3</v>
      </c>
      <c r="AP301" s="1">
        <v>0.15</v>
      </c>
      <c r="AQ301" s="1">
        <v>3</v>
      </c>
      <c r="AR301" t="s">
        <v>1559</v>
      </c>
      <c r="AS301">
        <v>0</v>
      </c>
      <c r="AT301" t="s">
        <v>1806</v>
      </c>
      <c r="AU301">
        <v>10</v>
      </c>
      <c r="AV301">
        <v>18104</v>
      </c>
      <c r="AW301">
        <v>0</v>
      </c>
      <c r="AX301" t="b">
        <v>0</v>
      </c>
    </row>
    <row r="302" spans="1:50" x14ac:dyDescent="0.3">
      <c r="A302">
        <v>303</v>
      </c>
      <c r="B302" t="s">
        <v>6769</v>
      </c>
      <c r="C302" t="s">
        <v>6770</v>
      </c>
      <c r="D302">
        <v>5</v>
      </c>
      <c r="E302">
        <v>1</v>
      </c>
      <c r="F302">
        <v>18</v>
      </c>
      <c r="G302" s="1" t="s">
        <v>331</v>
      </c>
      <c r="H302" s="1" t="s">
        <v>328</v>
      </c>
      <c r="I302" s="1" t="s">
        <v>341</v>
      </c>
      <c r="J302" s="1" t="s">
        <v>328</v>
      </c>
      <c r="K302" s="1" t="s">
        <v>328</v>
      </c>
      <c r="L302" s="1" t="s">
        <v>328</v>
      </c>
      <c r="M302" s="1" t="s">
        <v>328</v>
      </c>
      <c r="N302" s="1" t="s">
        <v>328</v>
      </c>
      <c r="O302" s="1" t="s">
        <v>328</v>
      </c>
      <c r="P302" s="1" t="s">
        <v>328</v>
      </c>
      <c r="Q302" s="1" t="s">
        <v>328</v>
      </c>
      <c r="R302" s="1" t="s">
        <v>328</v>
      </c>
      <c r="S302" s="1" t="s">
        <v>328</v>
      </c>
      <c r="T302" s="1" t="s">
        <v>328</v>
      </c>
      <c r="U302" s="1">
        <v>0</v>
      </c>
      <c r="V302" s="1">
        <v>0</v>
      </c>
      <c r="W302" s="1">
        <v>0</v>
      </c>
      <c r="X302" s="1">
        <v>0</v>
      </c>
      <c r="Y302" s="1">
        <v>0</v>
      </c>
      <c r="Z302" s="1">
        <v>0</v>
      </c>
      <c r="AA302" s="1">
        <v>0</v>
      </c>
      <c r="AB302" s="1">
        <v>0</v>
      </c>
      <c r="AC302" s="1">
        <v>4</v>
      </c>
      <c r="AD302" s="1">
        <v>2</v>
      </c>
      <c r="AE302" s="1">
        <v>2</v>
      </c>
      <c r="AF302" s="1">
        <v>2</v>
      </c>
      <c r="AG302" s="208" t="s">
        <v>3178</v>
      </c>
      <c r="AH302" s="1">
        <v>2820</v>
      </c>
      <c r="AI302" t="s">
        <v>2399</v>
      </c>
      <c r="AJ302">
        <v>0</v>
      </c>
      <c r="AK302" s="1" t="s">
        <v>6771</v>
      </c>
      <c r="AL302" s="1" t="s">
        <v>6772</v>
      </c>
      <c r="AM302" s="1">
        <v>0.55000000000000004</v>
      </c>
      <c r="AN302" s="1">
        <v>0.23</v>
      </c>
      <c r="AO302" s="1">
        <v>0.23</v>
      </c>
      <c r="AP302" s="1">
        <v>0.23</v>
      </c>
      <c r="AQ302" s="1">
        <v>3</v>
      </c>
      <c r="AR302" t="s">
        <v>1565</v>
      </c>
      <c r="AS302">
        <v>0</v>
      </c>
      <c r="AT302" t="s">
        <v>1806</v>
      </c>
      <c r="AU302">
        <v>10</v>
      </c>
      <c r="AV302">
        <v>18105</v>
      </c>
      <c r="AW302">
        <v>0</v>
      </c>
      <c r="AX302" t="b">
        <v>0</v>
      </c>
    </row>
    <row r="303" spans="1:50" x14ac:dyDescent="0.3">
      <c r="A303">
        <v>304</v>
      </c>
      <c r="B303" t="s">
        <v>6773</v>
      </c>
      <c r="C303" t="s">
        <v>6774</v>
      </c>
      <c r="D303">
        <v>5</v>
      </c>
      <c r="E303">
        <v>1</v>
      </c>
      <c r="F303">
        <v>18</v>
      </c>
      <c r="G303" s="1" t="s">
        <v>470</v>
      </c>
      <c r="H303" s="1" t="s">
        <v>398</v>
      </c>
      <c r="I303" s="1" t="s">
        <v>328</v>
      </c>
      <c r="J303" s="1" t="s">
        <v>328</v>
      </c>
      <c r="K303" s="1" t="s">
        <v>328</v>
      </c>
      <c r="L303" s="1" t="s">
        <v>328</v>
      </c>
      <c r="M303" s="1" t="s">
        <v>397</v>
      </c>
      <c r="N303" s="1" t="s">
        <v>328</v>
      </c>
      <c r="O303" s="1" t="s">
        <v>328</v>
      </c>
      <c r="P303" s="1" t="s">
        <v>328</v>
      </c>
      <c r="Q303" s="1" t="s">
        <v>328</v>
      </c>
      <c r="R303" s="1" t="s">
        <v>328</v>
      </c>
      <c r="S303" s="1" t="s">
        <v>328</v>
      </c>
      <c r="T303" s="1" t="s">
        <v>328</v>
      </c>
      <c r="U303" s="1">
        <v>0</v>
      </c>
      <c r="V303" s="1">
        <v>0</v>
      </c>
      <c r="W303" s="1">
        <v>0</v>
      </c>
      <c r="X303" s="1">
        <v>0</v>
      </c>
      <c r="Y303" s="1">
        <v>0</v>
      </c>
      <c r="Z303" s="1">
        <v>0</v>
      </c>
      <c r="AA303" s="1">
        <v>0</v>
      </c>
      <c r="AB303" s="1">
        <v>0</v>
      </c>
      <c r="AC303" s="1">
        <v>4</v>
      </c>
      <c r="AD303" s="1">
        <v>0</v>
      </c>
      <c r="AE303" s="1">
        <v>3</v>
      </c>
      <c r="AF303" s="1">
        <v>2</v>
      </c>
      <c r="AG303" s="208" t="s">
        <v>168</v>
      </c>
      <c r="AH303" s="1">
        <v>3600</v>
      </c>
      <c r="AI303" t="s">
        <v>6775</v>
      </c>
      <c r="AJ303">
        <v>0</v>
      </c>
      <c r="AK303" s="1" t="s">
        <v>6776</v>
      </c>
      <c r="AL303" s="1" t="s">
        <v>6777</v>
      </c>
      <c r="AM303" s="1">
        <v>0.45</v>
      </c>
      <c r="AN303" s="1">
        <v>0.15</v>
      </c>
      <c r="AO303" s="1">
        <v>0.3</v>
      </c>
      <c r="AP303" s="1">
        <v>0.15</v>
      </c>
      <c r="AQ303" s="1">
        <v>3</v>
      </c>
      <c r="AR303" t="s">
        <v>6778</v>
      </c>
      <c r="AS303">
        <v>0</v>
      </c>
      <c r="AT303" t="s">
        <v>6779</v>
      </c>
      <c r="AU303">
        <v>10</v>
      </c>
      <c r="AV303">
        <v>18106</v>
      </c>
      <c r="AW303">
        <v>0</v>
      </c>
      <c r="AX303" t="b">
        <v>0</v>
      </c>
    </row>
    <row r="304" spans="1:50" x14ac:dyDescent="0.3">
      <c r="A304">
        <v>305</v>
      </c>
      <c r="B304" t="s">
        <v>6790</v>
      </c>
      <c r="C304" t="s">
        <v>6791</v>
      </c>
      <c r="D304">
        <v>5</v>
      </c>
      <c r="E304">
        <v>1</v>
      </c>
      <c r="F304">
        <v>4</v>
      </c>
      <c r="G304" s="1" t="s">
        <v>328</v>
      </c>
      <c r="H304" s="1" t="s">
        <v>328</v>
      </c>
      <c r="I304" s="1" t="s">
        <v>6792</v>
      </c>
      <c r="J304" s="1" t="s">
        <v>328</v>
      </c>
      <c r="K304" s="1" t="s">
        <v>328</v>
      </c>
      <c r="L304" s="1" t="s">
        <v>328</v>
      </c>
      <c r="M304" s="1" t="s">
        <v>328</v>
      </c>
      <c r="N304" s="1" t="s">
        <v>328</v>
      </c>
      <c r="O304" s="1" t="s">
        <v>328</v>
      </c>
      <c r="P304" s="1" t="s">
        <v>328</v>
      </c>
      <c r="Q304" s="1" t="s">
        <v>328</v>
      </c>
      <c r="R304" s="1" t="s">
        <v>328</v>
      </c>
      <c r="S304" s="1" t="s">
        <v>328</v>
      </c>
      <c r="T304" s="1" t="s">
        <v>328</v>
      </c>
      <c r="U304" s="1">
        <v>0</v>
      </c>
      <c r="V304" s="1">
        <v>150</v>
      </c>
      <c r="W304" s="1">
        <v>0</v>
      </c>
      <c r="X304" s="1">
        <v>0</v>
      </c>
      <c r="Y304" s="1">
        <v>0</v>
      </c>
      <c r="Z304" s="1">
        <v>0</v>
      </c>
      <c r="AA304" s="1">
        <v>0</v>
      </c>
      <c r="AB304" s="1">
        <v>0</v>
      </c>
      <c r="AC304" s="1">
        <v>3</v>
      </c>
      <c r="AD304" s="1">
        <v>1</v>
      </c>
      <c r="AE304" s="1">
        <v>4</v>
      </c>
      <c r="AF304" s="1">
        <v>2</v>
      </c>
      <c r="AG304" s="208" t="s">
        <v>6837</v>
      </c>
      <c r="AH304" s="1">
        <v>3060</v>
      </c>
      <c r="AI304" t="s">
        <v>1843</v>
      </c>
      <c r="AJ304">
        <v>0</v>
      </c>
      <c r="AK304" s="1" t="s">
        <v>328</v>
      </c>
      <c r="AL304" s="1" t="s">
        <v>6793</v>
      </c>
      <c r="AM304" s="1">
        <v>0.45</v>
      </c>
      <c r="AN304" s="1">
        <v>0.15</v>
      </c>
      <c r="AO304" s="1">
        <v>0.3</v>
      </c>
      <c r="AP304" s="1">
        <v>0.15</v>
      </c>
      <c r="AQ304" s="1">
        <v>1</v>
      </c>
      <c r="AR304" t="s">
        <v>1584</v>
      </c>
      <c r="AS304">
        <v>0</v>
      </c>
      <c r="AT304" t="s">
        <v>6794</v>
      </c>
      <c r="AU304">
        <v>10</v>
      </c>
      <c r="AV304">
        <v>4002</v>
      </c>
      <c r="AW304">
        <v>0</v>
      </c>
      <c r="AX304" t="b">
        <v>0</v>
      </c>
    </row>
    <row r="305" spans="1:50" x14ac:dyDescent="0.3">
      <c r="A305">
        <v>306</v>
      </c>
      <c r="B305" t="s">
        <v>6795</v>
      </c>
      <c r="C305" t="s">
        <v>6796</v>
      </c>
      <c r="D305">
        <v>3</v>
      </c>
      <c r="E305">
        <v>1</v>
      </c>
      <c r="F305">
        <v>22</v>
      </c>
      <c r="G305" s="1" t="s">
        <v>328</v>
      </c>
      <c r="H305" s="1" t="s">
        <v>470</v>
      </c>
      <c r="I305" s="1" t="s">
        <v>328</v>
      </c>
      <c r="J305" s="1" t="s">
        <v>328</v>
      </c>
      <c r="K305" s="1" t="s">
        <v>328</v>
      </c>
      <c r="L305" s="1" t="s">
        <v>328</v>
      </c>
      <c r="M305" s="1" t="s">
        <v>328</v>
      </c>
      <c r="N305" s="1" t="s">
        <v>328</v>
      </c>
      <c r="O305" s="1" t="s">
        <v>328</v>
      </c>
      <c r="P305" s="1" t="s">
        <v>328</v>
      </c>
      <c r="Q305" s="1" t="s">
        <v>328</v>
      </c>
      <c r="R305" s="1" t="s">
        <v>328</v>
      </c>
      <c r="S305" s="1" t="s">
        <v>328</v>
      </c>
      <c r="T305" s="1" t="s">
        <v>329</v>
      </c>
      <c r="U305" s="1">
        <v>0</v>
      </c>
      <c r="V305" s="1">
        <v>0</v>
      </c>
      <c r="W305" s="1">
        <v>0</v>
      </c>
      <c r="X305" s="1">
        <v>0</v>
      </c>
      <c r="Y305" s="1">
        <v>0</v>
      </c>
      <c r="Z305" s="1">
        <v>0</v>
      </c>
      <c r="AA305" s="1">
        <v>0</v>
      </c>
      <c r="AB305" s="1">
        <v>0</v>
      </c>
      <c r="AC305" s="1">
        <v>0</v>
      </c>
      <c r="AD305" s="1">
        <v>4</v>
      </c>
      <c r="AE305" s="1">
        <v>0</v>
      </c>
      <c r="AF305" s="1">
        <v>0</v>
      </c>
      <c r="AG305" s="208" t="s">
        <v>6838</v>
      </c>
      <c r="AH305" s="1">
        <v>1800</v>
      </c>
      <c r="AI305" t="s">
        <v>1843</v>
      </c>
      <c r="AJ305">
        <v>0</v>
      </c>
      <c r="AK305" s="1" t="s">
        <v>328</v>
      </c>
      <c r="AL305" s="1" t="s">
        <v>6797</v>
      </c>
      <c r="AM305" s="1">
        <v>0.55000000000000004</v>
      </c>
      <c r="AN305" s="1">
        <v>0.23</v>
      </c>
      <c r="AO305" s="1">
        <v>0.23</v>
      </c>
      <c r="AP305" s="1">
        <v>0.23</v>
      </c>
      <c r="AQ305" s="1">
        <v>1</v>
      </c>
      <c r="AR305" t="s">
        <v>6798</v>
      </c>
      <c r="AS305">
        <v>0</v>
      </c>
      <c r="AT305" t="s">
        <v>1806</v>
      </c>
      <c r="AU305">
        <v>10</v>
      </c>
      <c r="AV305">
        <v>22001</v>
      </c>
      <c r="AW305">
        <v>0</v>
      </c>
      <c r="AX305" t="b">
        <v>0</v>
      </c>
    </row>
    <row r="306" spans="1:50" x14ac:dyDescent="0.3">
      <c r="A306">
        <v>307</v>
      </c>
      <c r="B306" t="s">
        <v>6799</v>
      </c>
      <c r="C306" t="s">
        <v>6800</v>
      </c>
      <c r="D306">
        <v>4</v>
      </c>
      <c r="E306">
        <v>1</v>
      </c>
      <c r="F306">
        <v>22</v>
      </c>
      <c r="G306" s="1" t="s">
        <v>328</v>
      </c>
      <c r="H306" s="1" t="s">
        <v>398</v>
      </c>
      <c r="I306" s="1" t="s">
        <v>328</v>
      </c>
      <c r="J306" s="1" t="s">
        <v>328</v>
      </c>
      <c r="K306" s="1" t="s">
        <v>328</v>
      </c>
      <c r="L306" s="1" t="s">
        <v>328</v>
      </c>
      <c r="M306" s="1" t="s">
        <v>328</v>
      </c>
      <c r="N306" s="1" t="s">
        <v>328</v>
      </c>
      <c r="O306" s="1" t="s">
        <v>328</v>
      </c>
      <c r="P306" s="1" t="s">
        <v>328</v>
      </c>
      <c r="Q306" s="1" t="s">
        <v>328</v>
      </c>
      <c r="R306" s="1" t="s">
        <v>328</v>
      </c>
      <c r="S306" s="1" t="s">
        <v>328</v>
      </c>
      <c r="T306" s="1" t="s">
        <v>331</v>
      </c>
      <c r="U306" s="1">
        <v>0</v>
      </c>
      <c r="V306" s="1">
        <v>0</v>
      </c>
      <c r="W306" s="1">
        <v>0</v>
      </c>
      <c r="X306" s="1">
        <v>0</v>
      </c>
      <c r="Y306" s="1">
        <v>0</v>
      </c>
      <c r="Z306" s="1">
        <v>0</v>
      </c>
      <c r="AA306" s="1">
        <v>0</v>
      </c>
      <c r="AB306" s="1">
        <v>0</v>
      </c>
      <c r="AC306" s="1">
        <v>1</v>
      </c>
      <c r="AD306" s="1">
        <v>4</v>
      </c>
      <c r="AE306" s="1">
        <v>1</v>
      </c>
      <c r="AF306" s="1">
        <v>0</v>
      </c>
      <c r="AG306" s="208" t="s">
        <v>6839</v>
      </c>
      <c r="AH306" s="1">
        <v>2640</v>
      </c>
      <c r="AI306" t="s">
        <v>1843</v>
      </c>
      <c r="AJ306">
        <v>0</v>
      </c>
      <c r="AK306" s="1" t="s">
        <v>328</v>
      </c>
      <c r="AL306" s="1" t="s">
        <v>6801</v>
      </c>
      <c r="AM306" s="1">
        <v>0.55000000000000004</v>
      </c>
      <c r="AN306" s="1">
        <v>0.23</v>
      </c>
      <c r="AO306" s="1">
        <v>0.23</v>
      </c>
      <c r="AP306" s="1">
        <v>0.23</v>
      </c>
      <c r="AQ306" s="1">
        <v>1</v>
      </c>
      <c r="AR306" t="s">
        <v>6802</v>
      </c>
      <c r="AS306">
        <v>0</v>
      </c>
      <c r="AT306" t="s">
        <v>1806</v>
      </c>
      <c r="AU306">
        <v>10</v>
      </c>
      <c r="AV306">
        <v>22001</v>
      </c>
      <c r="AW306">
        <v>0</v>
      </c>
      <c r="AX306" t="b">
        <v>0</v>
      </c>
    </row>
    <row r="307" spans="1:50" x14ac:dyDescent="0.3">
      <c r="A307">
        <v>308</v>
      </c>
      <c r="B307" t="s">
        <v>6803</v>
      </c>
      <c r="C307" t="s">
        <v>6804</v>
      </c>
      <c r="D307">
        <v>5</v>
      </c>
      <c r="E307">
        <v>1</v>
      </c>
      <c r="F307">
        <v>22</v>
      </c>
      <c r="G307" s="1" t="s">
        <v>328</v>
      </c>
      <c r="H307" s="1" t="s">
        <v>335</v>
      </c>
      <c r="I307" s="1" t="s">
        <v>328</v>
      </c>
      <c r="J307" s="1" t="s">
        <v>328</v>
      </c>
      <c r="K307" s="1" t="s">
        <v>328</v>
      </c>
      <c r="L307" s="1" t="s">
        <v>328</v>
      </c>
      <c r="M307" s="1" t="s">
        <v>328</v>
      </c>
      <c r="N307" s="1" t="s">
        <v>328</v>
      </c>
      <c r="O307" s="1" t="s">
        <v>328</v>
      </c>
      <c r="P307" s="1" t="s">
        <v>328</v>
      </c>
      <c r="Q307" s="1" t="s">
        <v>328</v>
      </c>
      <c r="R307" s="1" t="s">
        <v>328</v>
      </c>
      <c r="S307" s="1" t="s">
        <v>328</v>
      </c>
      <c r="T307" s="1" t="s">
        <v>334</v>
      </c>
      <c r="U307" s="1">
        <v>0</v>
      </c>
      <c r="V307" s="1">
        <v>0</v>
      </c>
      <c r="W307" s="1">
        <v>0</v>
      </c>
      <c r="X307" s="1">
        <v>0</v>
      </c>
      <c r="Y307" s="1">
        <v>0</v>
      </c>
      <c r="Z307" s="1">
        <v>0</v>
      </c>
      <c r="AA307" s="1">
        <v>0</v>
      </c>
      <c r="AB307" s="1">
        <v>0</v>
      </c>
      <c r="AC307" s="1">
        <v>1</v>
      </c>
      <c r="AD307" s="1">
        <v>4</v>
      </c>
      <c r="AE307" s="1">
        <v>1</v>
      </c>
      <c r="AF307" s="1">
        <v>1</v>
      </c>
      <c r="AG307" s="208" t="s">
        <v>6840</v>
      </c>
      <c r="AH307" s="1">
        <v>3360</v>
      </c>
      <c r="AI307" t="s">
        <v>1843</v>
      </c>
      <c r="AJ307">
        <v>0</v>
      </c>
      <c r="AK307" s="1" t="s">
        <v>328</v>
      </c>
      <c r="AL307" s="1" t="s">
        <v>6805</v>
      </c>
      <c r="AM307" s="1">
        <v>0.55000000000000004</v>
      </c>
      <c r="AN307" s="1">
        <v>0.23</v>
      </c>
      <c r="AO307" s="1">
        <v>0.23</v>
      </c>
      <c r="AP307" s="1">
        <v>0.23</v>
      </c>
      <c r="AQ307" s="1">
        <v>1</v>
      </c>
      <c r="AR307" t="s">
        <v>6806</v>
      </c>
      <c r="AS307">
        <v>0</v>
      </c>
      <c r="AT307" t="s">
        <v>1806</v>
      </c>
      <c r="AU307">
        <v>10</v>
      </c>
      <c r="AV307">
        <v>22001</v>
      </c>
      <c r="AW307">
        <v>0</v>
      </c>
      <c r="AX307" t="b">
        <v>0</v>
      </c>
    </row>
    <row r="308" spans="1:50" x14ac:dyDescent="0.3">
      <c r="A308">
        <v>309</v>
      </c>
      <c r="B308" t="s">
        <v>6807</v>
      </c>
      <c r="C308" t="s">
        <v>6808</v>
      </c>
      <c r="D308">
        <v>5</v>
      </c>
      <c r="E308">
        <v>3</v>
      </c>
      <c r="F308">
        <v>9</v>
      </c>
      <c r="G308" s="1" t="s">
        <v>337</v>
      </c>
      <c r="H308" s="1" t="s">
        <v>328</v>
      </c>
      <c r="I308" s="1" t="s">
        <v>328</v>
      </c>
      <c r="J308" s="1" t="s">
        <v>328</v>
      </c>
      <c r="K308" s="1" t="s">
        <v>6809</v>
      </c>
      <c r="L308" s="1" t="s">
        <v>399</v>
      </c>
      <c r="M308" s="1" t="s">
        <v>328</v>
      </c>
      <c r="N308" s="1" t="s">
        <v>328</v>
      </c>
      <c r="O308" s="1" t="s">
        <v>328</v>
      </c>
      <c r="P308" s="1" t="s">
        <v>328</v>
      </c>
      <c r="Q308" s="1" t="s">
        <v>328</v>
      </c>
      <c r="R308" s="1" t="s">
        <v>328</v>
      </c>
      <c r="S308" s="1" t="s">
        <v>328</v>
      </c>
      <c r="T308" s="1" t="s">
        <v>328</v>
      </c>
      <c r="U308" s="1">
        <v>0</v>
      </c>
      <c r="V308" s="1">
        <v>0</v>
      </c>
      <c r="W308" s="1">
        <v>0</v>
      </c>
      <c r="X308" s="1">
        <v>0</v>
      </c>
      <c r="Y308" s="1">
        <v>0</v>
      </c>
      <c r="Z308" s="1">
        <v>0</v>
      </c>
      <c r="AA308" s="1">
        <v>0</v>
      </c>
      <c r="AB308" s="1">
        <v>0</v>
      </c>
      <c r="AC308" s="1">
        <v>2</v>
      </c>
      <c r="AD308" s="1">
        <v>4</v>
      </c>
      <c r="AE308" s="1">
        <v>2</v>
      </c>
      <c r="AF308" s="1">
        <v>1</v>
      </c>
      <c r="AG308" s="208" t="s">
        <v>6930</v>
      </c>
      <c r="AH308" s="1">
        <v>3120</v>
      </c>
      <c r="AI308" t="s">
        <v>1843</v>
      </c>
      <c r="AJ308">
        <v>0</v>
      </c>
      <c r="AK308" s="1" t="s">
        <v>328</v>
      </c>
      <c r="AL308" s="1" t="s">
        <v>6810</v>
      </c>
      <c r="AM308" s="1">
        <v>0.3</v>
      </c>
      <c r="AN308" s="1">
        <v>0.23</v>
      </c>
      <c r="AO308" s="1">
        <v>0.15</v>
      </c>
      <c r="AP308" s="1">
        <v>0.38</v>
      </c>
      <c r="AQ308" s="1">
        <v>1</v>
      </c>
      <c r="AR308" t="s">
        <v>1554</v>
      </c>
      <c r="AS308">
        <v>0</v>
      </c>
      <c r="AT308" t="s">
        <v>1806</v>
      </c>
      <c r="AU308">
        <v>10</v>
      </c>
      <c r="AV308">
        <v>9002</v>
      </c>
      <c r="AW308">
        <v>0</v>
      </c>
      <c r="AX308" t="b">
        <v>0</v>
      </c>
    </row>
    <row r="309" spans="1:50" x14ac:dyDescent="0.3">
      <c r="A309">
        <v>310</v>
      </c>
      <c r="B309" t="s">
        <v>6811</v>
      </c>
      <c r="C309" t="s">
        <v>6812</v>
      </c>
      <c r="D309">
        <v>4</v>
      </c>
      <c r="E309">
        <v>3</v>
      </c>
      <c r="F309">
        <v>23</v>
      </c>
      <c r="G309" s="1" t="s">
        <v>470</v>
      </c>
      <c r="H309" s="1" t="s">
        <v>328</v>
      </c>
      <c r="I309" s="1" t="s">
        <v>328</v>
      </c>
      <c r="J309" s="1" t="s">
        <v>328</v>
      </c>
      <c r="K309" s="1" t="s">
        <v>328</v>
      </c>
      <c r="L309" s="1" t="s">
        <v>328</v>
      </c>
      <c r="M309" s="1" t="s">
        <v>328</v>
      </c>
      <c r="N309" s="1" t="s">
        <v>328</v>
      </c>
      <c r="O309" s="1" t="s">
        <v>328</v>
      </c>
      <c r="P309" s="1" t="s">
        <v>328</v>
      </c>
      <c r="Q309" s="1" t="s">
        <v>328</v>
      </c>
      <c r="R309" s="1" t="s">
        <v>328</v>
      </c>
      <c r="S309" s="1" t="s">
        <v>328</v>
      </c>
      <c r="T309" s="1" t="s">
        <v>328</v>
      </c>
      <c r="U309" s="1">
        <v>0</v>
      </c>
      <c r="V309" s="1">
        <v>100</v>
      </c>
      <c r="W309" s="1">
        <v>0</v>
      </c>
      <c r="X309" s="1">
        <v>0</v>
      </c>
      <c r="Y309" s="1">
        <v>0</v>
      </c>
      <c r="Z309" s="1">
        <v>0</v>
      </c>
      <c r="AA309" s="1">
        <v>0</v>
      </c>
      <c r="AB309" s="1">
        <v>0</v>
      </c>
      <c r="AC309" s="1">
        <v>2</v>
      </c>
      <c r="AD309" s="1">
        <v>4</v>
      </c>
      <c r="AE309" s="1">
        <v>3</v>
      </c>
      <c r="AF309" s="1">
        <v>2</v>
      </c>
      <c r="AG309" s="208" t="s">
        <v>6841</v>
      </c>
      <c r="AH309" s="1">
        <v>2580</v>
      </c>
      <c r="AI309" t="s">
        <v>6766</v>
      </c>
      <c r="AJ309">
        <v>0</v>
      </c>
      <c r="AK309" s="1" t="s">
        <v>328</v>
      </c>
      <c r="AL309" s="1" t="s">
        <v>6813</v>
      </c>
      <c r="AM309" s="1">
        <v>0.55000000000000004</v>
      </c>
      <c r="AN309" s="1">
        <v>0.16</v>
      </c>
      <c r="AO309" s="1">
        <v>0.6</v>
      </c>
      <c r="AP309" s="1">
        <v>0.16</v>
      </c>
      <c r="AQ309" s="1">
        <v>1</v>
      </c>
      <c r="AR309" t="s">
        <v>1475</v>
      </c>
      <c r="AS309">
        <v>0</v>
      </c>
      <c r="AT309" t="s">
        <v>6814</v>
      </c>
      <c r="AU309">
        <v>10</v>
      </c>
      <c r="AV309">
        <v>23001</v>
      </c>
      <c r="AW309">
        <v>0</v>
      </c>
      <c r="AX309" t="b">
        <v>0</v>
      </c>
    </row>
    <row r="310" spans="1:50" x14ac:dyDescent="0.3">
      <c r="A310">
        <v>311</v>
      </c>
      <c r="B310" t="s">
        <v>6815</v>
      </c>
      <c r="C310" t="s">
        <v>6816</v>
      </c>
      <c r="D310">
        <v>5</v>
      </c>
      <c r="E310">
        <v>3</v>
      </c>
      <c r="F310">
        <v>23</v>
      </c>
      <c r="G310" s="1" t="s">
        <v>335</v>
      </c>
      <c r="H310" s="1" t="s">
        <v>328</v>
      </c>
      <c r="I310" s="1" t="s">
        <v>328</v>
      </c>
      <c r="J310" s="1" t="s">
        <v>328</v>
      </c>
      <c r="K310" s="1" t="s">
        <v>328</v>
      </c>
      <c r="L310" s="1" t="s">
        <v>328</v>
      </c>
      <c r="M310" s="1" t="s">
        <v>328</v>
      </c>
      <c r="N310" s="1" t="s">
        <v>328</v>
      </c>
      <c r="O310" s="1" t="s">
        <v>328</v>
      </c>
      <c r="P310" s="1" t="s">
        <v>328</v>
      </c>
      <c r="Q310" s="1" t="s">
        <v>328</v>
      </c>
      <c r="R310" s="1" t="s">
        <v>328</v>
      </c>
      <c r="S310" s="1" t="s">
        <v>328</v>
      </c>
      <c r="T310" s="1" t="s">
        <v>328</v>
      </c>
      <c r="U310" s="1">
        <v>0</v>
      </c>
      <c r="V310" s="1">
        <v>150</v>
      </c>
      <c r="W310" s="1">
        <v>0</v>
      </c>
      <c r="X310" s="1">
        <v>0</v>
      </c>
      <c r="Y310" s="1">
        <v>0</v>
      </c>
      <c r="Z310" s="1">
        <v>0</v>
      </c>
      <c r="AA310" s="1">
        <v>0</v>
      </c>
      <c r="AB310" s="1">
        <v>0</v>
      </c>
      <c r="AC310" s="1">
        <v>2</v>
      </c>
      <c r="AD310" s="1">
        <v>4</v>
      </c>
      <c r="AE310" s="1">
        <v>3</v>
      </c>
      <c r="AF310" s="1">
        <v>2</v>
      </c>
      <c r="AG310" s="208" t="s">
        <v>6842</v>
      </c>
      <c r="AH310" s="1">
        <v>3600</v>
      </c>
      <c r="AI310" t="s">
        <v>1843</v>
      </c>
      <c r="AJ310">
        <v>0</v>
      </c>
      <c r="AK310" s="1" t="s">
        <v>328</v>
      </c>
      <c r="AL310" s="1" t="s">
        <v>6817</v>
      </c>
      <c r="AM310" s="1">
        <v>0.55000000000000004</v>
      </c>
      <c r="AN310" s="1">
        <v>0.16</v>
      </c>
      <c r="AO310" s="1">
        <v>0.6</v>
      </c>
      <c r="AP310" s="1">
        <v>0.16</v>
      </c>
      <c r="AQ310" s="1">
        <v>1</v>
      </c>
      <c r="AR310" t="s">
        <v>1473</v>
      </c>
      <c r="AS310">
        <v>0</v>
      </c>
      <c r="AT310" t="s">
        <v>6818</v>
      </c>
      <c r="AU310">
        <v>10</v>
      </c>
      <c r="AV310">
        <v>23001</v>
      </c>
      <c r="AW310">
        <v>0</v>
      </c>
      <c r="AX310" t="b">
        <v>0</v>
      </c>
    </row>
    <row r="311" spans="1:50" x14ac:dyDescent="0.3">
      <c r="A311">
        <v>312</v>
      </c>
      <c r="B311" t="s">
        <v>6819</v>
      </c>
      <c r="C311" t="s">
        <v>6820</v>
      </c>
      <c r="D311">
        <v>3</v>
      </c>
      <c r="E311">
        <v>3</v>
      </c>
      <c r="F311">
        <v>21</v>
      </c>
      <c r="G311" s="1" t="s">
        <v>328</v>
      </c>
      <c r="H311" s="1" t="s">
        <v>470</v>
      </c>
      <c r="I311" s="1" t="s">
        <v>328</v>
      </c>
      <c r="J311" s="1" t="s">
        <v>366</v>
      </c>
      <c r="K311" s="1" t="s">
        <v>328</v>
      </c>
      <c r="L311" s="1" t="s">
        <v>328</v>
      </c>
      <c r="M311" s="1" t="s">
        <v>328</v>
      </c>
      <c r="N311" s="1" t="s">
        <v>328</v>
      </c>
      <c r="O311" s="1" t="s">
        <v>328</v>
      </c>
      <c r="P311" s="1" t="s">
        <v>328</v>
      </c>
      <c r="Q311" s="1" t="s">
        <v>328</v>
      </c>
      <c r="R311" s="1" t="s">
        <v>328</v>
      </c>
      <c r="S311" s="1" t="s">
        <v>328</v>
      </c>
      <c r="T311" s="1" t="s">
        <v>328</v>
      </c>
      <c r="U311" s="1">
        <v>0</v>
      </c>
      <c r="V311" s="1">
        <v>50</v>
      </c>
      <c r="W311" s="1">
        <v>0</v>
      </c>
      <c r="X311" s="1">
        <v>0</v>
      </c>
      <c r="Y311" s="1">
        <v>0</v>
      </c>
      <c r="Z311" s="1">
        <v>0</v>
      </c>
      <c r="AA311" s="1">
        <v>0</v>
      </c>
      <c r="AB311" s="1">
        <v>0</v>
      </c>
      <c r="AC311" s="1">
        <v>2</v>
      </c>
      <c r="AD311" s="1">
        <v>0</v>
      </c>
      <c r="AE311" s="1">
        <v>0</v>
      </c>
      <c r="AF311" s="1">
        <v>1</v>
      </c>
      <c r="AG311" s="208" t="s">
        <v>6931</v>
      </c>
      <c r="AH311" s="1">
        <v>1920</v>
      </c>
      <c r="AI311" t="s">
        <v>1843</v>
      </c>
      <c r="AJ311">
        <v>0</v>
      </c>
      <c r="AK311" s="1" t="s">
        <v>328</v>
      </c>
      <c r="AL311" s="1" t="s">
        <v>6821</v>
      </c>
      <c r="AM311" s="1">
        <v>0.1</v>
      </c>
      <c r="AN311" s="1">
        <v>0.1</v>
      </c>
      <c r="AO311" s="1">
        <v>0.1</v>
      </c>
      <c r="AP311" s="1">
        <v>0.55000000000000004</v>
      </c>
      <c r="AQ311" s="1">
        <v>1</v>
      </c>
      <c r="AR311" t="s">
        <v>1493</v>
      </c>
      <c r="AS311">
        <v>0</v>
      </c>
      <c r="AT311" t="s">
        <v>6822</v>
      </c>
      <c r="AU311">
        <v>10</v>
      </c>
      <c r="AV311">
        <v>21001</v>
      </c>
      <c r="AW311">
        <v>0</v>
      </c>
      <c r="AX311" t="b">
        <v>0</v>
      </c>
    </row>
    <row r="312" spans="1:50" x14ac:dyDescent="0.3">
      <c r="A312">
        <v>313</v>
      </c>
      <c r="B312" t="s">
        <v>6823</v>
      </c>
      <c r="C312" t="s">
        <v>6824</v>
      </c>
      <c r="D312">
        <v>4</v>
      </c>
      <c r="E312">
        <v>3</v>
      </c>
      <c r="F312">
        <v>21</v>
      </c>
      <c r="G312" s="1" t="s">
        <v>328</v>
      </c>
      <c r="H312" s="1" t="s">
        <v>398</v>
      </c>
      <c r="I312" s="1" t="s">
        <v>328</v>
      </c>
      <c r="J312" s="1" t="s">
        <v>366</v>
      </c>
      <c r="K312" s="1" t="s">
        <v>328</v>
      </c>
      <c r="L312" s="1" t="s">
        <v>328</v>
      </c>
      <c r="M312" s="1" t="s">
        <v>328</v>
      </c>
      <c r="N312" s="1" t="s">
        <v>328</v>
      </c>
      <c r="O312" s="1" t="s">
        <v>328</v>
      </c>
      <c r="P312" s="1" t="s">
        <v>328</v>
      </c>
      <c r="Q312" s="1" t="s">
        <v>328</v>
      </c>
      <c r="R312" s="1" t="s">
        <v>328</v>
      </c>
      <c r="S312" s="1" t="s">
        <v>328</v>
      </c>
      <c r="T312" s="1" t="s">
        <v>328</v>
      </c>
      <c r="U312" s="1">
        <v>0</v>
      </c>
      <c r="V312" s="1">
        <v>100</v>
      </c>
      <c r="W312" s="1">
        <v>0</v>
      </c>
      <c r="X312" s="1">
        <v>0</v>
      </c>
      <c r="Y312" s="1">
        <v>0</v>
      </c>
      <c r="Z312" s="1">
        <v>0</v>
      </c>
      <c r="AA312" s="1">
        <v>0</v>
      </c>
      <c r="AB312" s="1">
        <v>0</v>
      </c>
      <c r="AC312" s="1">
        <v>3</v>
      </c>
      <c r="AD312" s="1">
        <v>0</v>
      </c>
      <c r="AE312" s="1">
        <v>0</v>
      </c>
      <c r="AF312" s="1">
        <v>2</v>
      </c>
      <c r="AG312" s="208" t="s">
        <v>6932</v>
      </c>
      <c r="AH312" s="1">
        <v>2940</v>
      </c>
      <c r="AI312" t="s">
        <v>1843</v>
      </c>
      <c r="AJ312">
        <v>0</v>
      </c>
      <c r="AK312" s="1" t="s">
        <v>328</v>
      </c>
      <c r="AL312" s="1" t="s">
        <v>6825</v>
      </c>
      <c r="AM312" s="1">
        <v>0.1</v>
      </c>
      <c r="AN312" s="1">
        <v>0.1</v>
      </c>
      <c r="AO312" s="1">
        <v>0.1</v>
      </c>
      <c r="AP312" s="1">
        <v>0.55000000000000004</v>
      </c>
      <c r="AQ312" s="1">
        <v>1</v>
      </c>
      <c r="AR312" t="s">
        <v>1470</v>
      </c>
      <c r="AS312">
        <v>0</v>
      </c>
      <c r="AT312" t="s">
        <v>6826</v>
      </c>
      <c r="AU312">
        <v>10</v>
      </c>
      <c r="AV312">
        <v>21001</v>
      </c>
      <c r="AW312">
        <v>0</v>
      </c>
      <c r="AX312" t="b">
        <v>0</v>
      </c>
    </row>
    <row r="313" spans="1:50" x14ac:dyDescent="0.3">
      <c r="A313">
        <v>314</v>
      </c>
      <c r="B313" t="s">
        <v>6827</v>
      </c>
      <c r="C313" t="s">
        <v>6828</v>
      </c>
      <c r="D313">
        <v>5</v>
      </c>
      <c r="E313">
        <v>3</v>
      </c>
      <c r="F313">
        <v>21</v>
      </c>
      <c r="G313" s="1" t="s">
        <v>328</v>
      </c>
      <c r="H313" s="1" t="s">
        <v>337</v>
      </c>
      <c r="I313" s="1" t="s">
        <v>328</v>
      </c>
      <c r="J313" s="1" t="s">
        <v>366</v>
      </c>
      <c r="K313" s="1" t="s">
        <v>328</v>
      </c>
      <c r="L313" s="1" t="s">
        <v>328</v>
      </c>
      <c r="M313" s="1" t="s">
        <v>328</v>
      </c>
      <c r="N313" s="1" t="s">
        <v>328</v>
      </c>
      <c r="O313" s="1" t="s">
        <v>328</v>
      </c>
      <c r="P313" s="1" t="s">
        <v>328</v>
      </c>
      <c r="Q313" s="1" t="s">
        <v>328</v>
      </c>
      <c r="R313" s="1" t="s">
        <v>328</v>
      </c>
      <c r="S313" s="1" t="s">
        <v>328</v>
      </c>
      <c r="T313" s="1" t="s">
        <v>328</v>
      </c>
      <c r="U313" s="1">
        <v>0</v>
      </c>
      <c r="V313" s="1">
        <v>150</v>
      </c>
      <c r="W313" s="1">
        <v>0</v>
      </c>
      <c r="X313" s="1">
        <v>0</v>
      </c>
      <c r="Y313" s="1">
        <v>0</v>
      </c>
      <c r="Z313" s="1">
        <v>0</v>
      </c>
      <c r="AA313" s="1">
        <v>0</v>
      </c>
      <c r="AB313" s="1">
        <v>0</v>
      </c>
      <c r="AC313" s="1">
        <v>3</v>
      </c>
      <c r="AD313" s="1">
        <v>1</v>
      </c>
      <c r="AE313" s="1">
        <v>1</v>
      </c>
      <c r="AF313" s="1">
        <v>3</v>
      </c>
      <c r="AG313" s="208" t="s">
        <v>6933</v>
      </c>
      <c r="AH313" s="1">
        <v>3540</v>
      </c>
      <c r="AI313" t="s">
        <v>1843</v>
      </c>
      <c r="AJ313">
        <v>0</v>
      </c>
      <c r="AK313" s="1" t="s">
        <v>328</v>
      </c>
      <c r="AL313" s="1" t="s">
        <v>6829</v>
      </c>
      <c r="AM313" s="1">
        <v>0.1</v>
      </c>
      <c r="AN313" s="1">
        <v>0.1</v>
      </c>
      <c r="AO313" s="1">
        <v>0.1</v>
      </c>
      <c r="AP313" s="1">
        <v>0.55000000000000004</v>
      </c>
      <c r="AQ313" s="1">
        <v>1</v>
      </c>
      <c r="AR313" t="s">
        <v>1493</v>
      </c>
      <c r="AS313">
        <v>0</v>
      </c>
      <c r="AT313" t="s">
        <v>6830</v>
      </c>
      <c r="AU313">
        <v>10</v>
      </c>
      <c r="AV313">
        <v>21001</v>
      </c>
      <c r="AW313">
        <v>0</v>
      </c>
      <c r="AX313" t="b">
        <v>0</v>
      </c>
    </row>
    <row r="314" spans="1:50" x14ac:dyDescent="0.3">
      <c r="A314">
        <v>315</v>
      </c>
      <c r="B314" t="s">
        <v>6831</v>
      </c>
      <c r="C314" t="s">
        <v>6832</v>
      </c>
      <c r="D314">
        <v>5</v>
      </c>
      <c r="E314">
        <v>1</v>
      </c>
      <c r="F314">
        <v>18</v>
      </c>
      <c r="G314" s="1" t="s">
        <v>328</v>
      </c>
      <c r="H314" s="1" t="s">
        <v>363</v>
      </c>
      <c r="I314" s="1" t="s">
        <v>328</v>
      </c>
      <c r="J314" s="1" t="s">
        <v>328</v>
      </c>
      <c r="K314" s="1" t="s">
        <v>344</v>
      </c>
      <c r="L314" s="1" t="s">
        <v>328</v>
      </c>
      <c r="M314" s="1" t="s">
        <v>328</v>
      </c>
      <c r="N314" s="1" t="s">
        <v>328</v>
      </c>
      <c r="O314" s="1" t="s">
        <v>328</v>
      </c>
      <c r="P314" s="1" t="s">
        <v>328</v>
      </c>
      <c r="Q314" s="1" t="s">
        <v>328</v>
      </c>
      <c r="R314" s="1" t="s">
        <v>328</v>
      </c>
      <c r="S314" s="1" t="s">
        <v>328</v>
      </c>
      <c r="T314" s="1" t="s">
        <v>328</v>
      </c>
      <c r="U314" s="1">
        <v>0</v>
      </c>
      <c r="V314" s="1">
        <v>0</v>
      </c>
      <c r="W314" s="1">
        <v>0</v>
      </c>
      <c r="X314" s="1">
        <v>0</v>
      </c>
      <c r="Y314" s="1">
        <v>0</v>
      </c>
      <c r="Z314" s="1">
        <v>0</v>
      </c>
      <c r="AA314" s="1">
        <v>0</v>
      </c>
      <c r="AB314" s="1">
        <v>0</v>
      </c>
      <c r="AC314" s="1">
        <v>4</v>
      </c>
      <c r="AD314" s="1">
        <v>0</v>
      </c>
      <c r="AE314" s="1">
        <v>3</v>
      </c>
      <c r="AF314" s="1">
        <v>2</v>
      </c>
      <c r="AG314" s="208" t="s">
        <v>1636</v>
      </c>
      <c r="AH314" s="1">
        <v>3000</v>
      </c>
      <c r="AI314" t="s">
        <v>1843</v>
      </c>
      <c r="AJ314">
        <v>0</v>
      </c>
      <c r="AK314" s="1" t="s">
        <v>6833</v>
      </c>
      <c r="AL314" s="1" t="s">
        <v>6834</v>
      </c>
      <c r="AM314" s="1">
        <v>0.45</v>
      </c>
      <c r="AN314" s="1">
        <v>0.15</v>
      </c>
      <c r="AO314" s="1">
        <v>0.3</v>
      </c>
      <c r="AP314" s="1">
        <v>0.15</v>
      </c>
      <c r="AQ314" s="1">
        <v>3</v>
      </c>
      <c r="AR314" t="s">
        <v>6835</v>
      </c>
      <c r="AS314">
        <v>0</v>
      </c>
      <c r="AT314" t="s">
        <v>6836</v>
      </c>
      <c r="AU314">
        <v>10</v>
      </c>
      <c r="AV314">
        <v>18080</v>
      </c>
      <c r="AW314">
        <v>0</v>
      </c>
      <c r="AX314" t="b">
        <v>0</v>
      </c>
    </row>
    <row r="315" spans="1:50" x14ac:dyDescent="0.3">
      <c r="A315">
        <v>316</v>
      </c>
      <c r="B315" t="s">
        <v>6863</v>
      </c>
      <c r="C315" t="s">
        <v>6864</v>
      </c>
      <c r="D315">
        <v>5</v>
      </c>
      <c r="E315">
        <v>1</v>
      </c>
      <c r="F315">
        <v>18</v>
      </c>
      <c r="G315" s="1" t="s">
        <v>470</v>
      </c>
      <c r="H315" s="1" t="s">
        <v>343</v>
      </c>
      <c r="I315" s="1" t="s">
        <v>328</v>
      </c>
      <c r="J315" s="1" t="s">
        <v>328</v>
      </c>
      <c r="K315" s="1" t="s">
        <v>328</v>
      </c>
      <c r="L315" s="1" t="s">
        <v>328</v>
      </c>
      <c r="M315" s="1" t="s">
        <v>896</v>
      </c>
      <c r="N315" s="1" t="s">
        <v>328</v>
      </c>
      <c r="O315" s="1" t="s">
        <v>328</v>
      </c>
      <c r="P315" s="1" t="s">
        <v>328</v>
      </c>
      <c r="Q315" s="1" t="s">
        <v>328</v>
      </c>
      <c r="R315" s="1" t="s">
        <v>328</v>
      </c>
      <c r="S315" s="1" t="s">
        <v>328</v>
      </c>
      <c r="T315" s="1" t="s">
        <v>328</v>
      </c>
      <c r="U315" s="1">
        <v>0</v>
      </c>
      <c r="V315" s="1">
        <v>0</v>
      </c>
      <c r="W315" s="1">
        <v>0</v>
      </c>
      <c r="X315" s="1">
        <v>0</v>
      </c>
      <c r="Y315" s="1">
        <v>0</v>
      </c>
      <c r="Z315" s="1">
        <v>0</v>
      </c>
      <c r="AA315" s="1">
        <v>0</v>
      </c>
      <c r="AB315" s="1">
        <v>0</v>
      </c>
      <c r="AC315" s="1">
        <v>4</v>
      </c>
      <c r="AD315" s="1">
        <v>0</v>
      </c>
      <c r="AE315" s="1">
        <v>3</v>
      </c>
      <c r="AF315" s="1">
        <v>2</v>
      </c>
      <c r="AG315" s="208" t="s">
        <v>154</v>
      </c>
      <c r="AH315" s="1">
        <v>3600</v>
      </c>
      <c r="AI315" t="s">
        <v>2406</v>
      </c>
      <c r="AJ315">
        <v>0</v>
      </c>
      <c r="AK315" s="1" t="s">
        <v>6865</v>
      </c>
      <c r="AL315" s="1" t="s">
        <v>6866</v>
      </c>
      <c r="AM315" s="1">
        <v>0.45</v>
      </c>
      <c r="AN315" s="1">
        <v>0.15</v>
      </c>
      <c r="AO315" s="1">
        <v>0.3</v>
      </c>
      <c r="AP315" s="1">
        <v>0.15</v>
      </c>
      <c r="AQ315" s="1">
        <v>3</v>
      </c>
      <c r="AR315" t="s">
        <v>1514</v>
      </c>
      <c r="AS315">
        <v>0</v>
      </c>
      <c r="AT315" t="s">
        <v>6867</v>
      </c>
      <c r="AU315">
        <v>10</v>
      </c>
      <c r="AV315">
        <v>18081</v>
      </c>
      <c r="AW315">
        <v>0</v>
      </c>
      <c r="AX315" t="b">
        <v>0</v>
      </c>
    </row>
    <row r="316" spans="1:50" x14ac:dyDescent="0.3">
      <c r="A316">
        <v>317</v>
      </c>
      <c r="B316" t="s">
        <v>6907</v>
      </c>
      <c r="C316" t="s">
        <v>6908</v>
      </c>
      <c r="D316">
        <v>5</v>
      </c>
      <c r="E316">
        <v>2</v>
      </c>
      <c r="F316">
        <v>19</v>
      </c>
      <c r="G316" s="1" t="s">
        <v>356</v>
      </c>
      <c r="H316" s="1" t="s">
        <v>328</v>
      </c>
      <c r="I316" s="1" t="s">
        <v>328</v>
      </c>
      <c r="J316" s="1" t="s">
        <v>328</v>
      </c>
      <c r="K316" s="1" t="s">
        <v>328</v>
      </c>
      <c r="L316" s="1" t="s">
        <v>328</v>
      </c>
      <c r="M316" s="1" t="s">
        <v>328</v>
      </c>
      <c r="N316" s="1" t="s">
        <v>328</v>
      </c>
      <c r="O316" s="1" t="s">
        <v>328</v>
      </c>
      <c r="P316" s="1" t="s">
        <v>328</v>
      </c>
      <c r="Q316" s="1" t="s">
        <v>328</v>
      </c>
      <c r="R316" s="1" t="s">
        <v>328</v>
      </c>
      <c r="S316" s="1" t="s">
        <v>328</v>
      </c>
      <c r="T316" s="1" t="s">
        <v>328</v>
      </c>
      <c r="U316" s="1">
        <v>0</v>
      </c>
      <c r="V316" s="1">
        <v>0</v>
      </c>
      <c r="W316" s="1">
        <v>0</v>
      </c>
      <c r="X316" s="1">
        <v>0</v>
      </c>
      <c r="Y316" s="1">
        <v>0</v>
      </c>
      <c r="Z316" s="1">
        <v>0</v>
      </c>
      <c r="AA316" s="1">
        <v>0</v>
      </c>
      <c r="AB316" s="1">
        <v>0</v>
      </c>
      <c r="AC316" s="1">
        <v>0</v>
      </c>
      <c r="AD316" s="1">
        <v>5</v>
      </c>
      <c r="AE316" s="1">
        <v>3</v>
      </c>
      <c r="AF316" s="1">
        <v>2</v>
      </c>
      <c r="AG316" s="208" t="s">
        <v>6901</v>
      </c>
      <c r="AH316" s="1">
        <v>3600</v>
      </c>
      <c r="AI316" t="s">
        <v>1843</v>
      </c>
      <c r="AJ316">
        <v>0</v>
      </c>
      <c r="AK316" s="1" t="s">
        <v>6909</v>
      </c>
      <c r="AL316" s="1" t="s">
        <v>6910</v>
      </c>
      <c r="AM316" s="1">
        <v>0.15</v>
      </c>
      <c r="AN316" s="1">
        <v>0.6</v>
      </c>
      <c r="AO316" s="1">
        <v>0.38</v>
      </c>
      <c r="AP316" s="1">
        <v>0.23</v>
      </c>
      <c r="AQ316" s="1">
        <v>3</v>
      </c>
      <c r="AR316" t="s">
        <v>1473</v>
      </c>
      <c r="AS316">
        <v>0</v>
      </c>
      <c r="AT316" t="s">
        <v>1806</v>
      </c>
      <c r="AU316">
        <v>10</v>
      </c>
      <c r="AV316">
        <v>19045</v>
      </c>
      <c r="AW316">
        <v>0</v>
      </c>
      <c r="AX316" t="b">
        <v>0</v>
      </c>
    </row>
    <row r="317" spans="1:50" x14ac:dyDescent="0.3">
      <c r="A317">
        <v>318</v>
      </c>
      <c r="B317" t="s">
        <v>6911</v>
      </c>
      <c r="C317" t="s">
        <v>6912</v>
      </c>
      <c r="D317">
        <v>5</v>
      </c>
      <c r="E317">
        <v>2</v>
      </c>
      <c r="F317">
        <v>19</v>
      </c>
      <c r="G317" s="1" t="s">
        <v>470</v>
      </c>
      <c r="H317" s="1" t="s">
        <v>328</v>
      </c>
      <c r="I317" s="1" t="s">
        <v>328</v>
      </c>
      <c r="J317" s="1" t="s">
        <v>328</v>
      </c>
      <c r="K317" s="1" t="s">
        <v>328</v>
      </c>
      <c r="L317" s="1" t="s">
        <v>328</v>
      </c>
      <c r="M317" s="1" t="s">
        <v>328</v>
      </c>
      <c r="N317" s="1" t="s">
        <v>6913</v>
      </c>
      <c r="O317" s="1" t="s">
        <v>328</v>
      </c>
      <c r="P317" s="1" t="s">
        <v>328</v>
      </c>
      <c r="Q317" s="1" t="s">
        <v>328</v>
      </c>
      <c r="R317" s="1" t="s">
        <v>328</v>
      </c>
      <c r="S317" s="1" t="s">
        <v>328</v>
      </c>
      <c r="T317" s="1" t="s">
        <v>328</v>
      </c>
      <c r="U317" s="1">
        <v>0</v>
      </c>
      <c r="V317" s="1">
        <v>0</v>
      </c>
      <c r="W317" s="1">
        <v>0</v>
      </c>
      <c r="X317" s="1">
        <v>0</v>
      </c>
      <c r="Y317" s="1">
        <v>0</v>
      </c>
      <c r="Z317" s="1">
        <v>0</v>
      </c>
      <c r="AA317" s="1">
        <v>0</v>
      </c>
      <c r="AB317" s="1">
        <v>0</v>
      </c>
      <c r="AC317" s="1">
        <v>0</v>
      </c>
      <c r="AD317" s="1">
        <v>4</v>
      </c>
      <c r="AE317" s="1">
        <v>2</v>
      </c>
      <c r="AF317" s="1">
        <v>3</v>
      </c>
      <c r="AG317" s="208" t="s">
        <v>6893</v>
      </c>
      <c r="AH317" s="1">
        <v>3600</v>
      </c>
      <c r="AI317" t="s">
        <v>1843</v>
      </c>
      <c r="AJ317">
        <v>0</v>
      </c>
      <c r="AK317" s="1" t="s">
        <v>6914</v>
      </c>
      <c r="AL317" s="1" t="s">
        <v>6915</v>
      </c>
      <c r="AM317" s="1">
        <v>0.08</v>
      </c>
      <c r="AN317" s="1">
        <v>0.5</v>
      </c>
      <c r="AO317" s="1">
        <v>0.3</v>
      </c>
      <c r="AP317" s="1">
        <v>0.3</v>
      </c>
      <c r="AQ317" s="1">
        <v>3</v>
      </c>
      <c r="AR317" t="s">
        <v>6916</v>
      </c>
      <c r="AS317">
        <v>0</v>
      </c>
      <c r="AT317" t="s">
        <v>1806</v>
      </c>
      <c r="AU317">
        <v>10</v>
      </c>
      <c r="AV317">
        <v>19046</v>
      </c>
      <c r="AW317">
        <v>0</v>
      </c>
      <c r="AX317" t="b">
        <v>0</v>
      </c>
    </row>
    <row r="318" spans="1:50" x14ac:dyDescent="0.3">
      <c r="A318">
        <v>319</v>
      </c>
      <c r="B318" t="s">
        <v>6926</v>
      </c>
      <c r="C318" t="s">
        <v>6927</v>
      </c>
      <c r="D318">
        <v>5</v>
      </c>
      <c r="E318">
        <v>2</v>
      </c>
      <c r="F318">
        <v>19</v>
      </c>
      <c r="G318" s="1" t="s">
        <v>356</v>
      </c>
      <c r="H318" s="1" t="s">
        <v>328</v>
      </c>
      <c r="I318" s="1" t="s">
        <v>328</v>
      </c>
      <c r="J318" s="1" t="s">
        <v>328</v>
      </c>
      <c r="K318" s="1" t="s">
        <v>328</v>
      </c>
      <c r="L318" s="1" t="s">
        <v>328</v>
      </c>
      <c r="M318" s="1" t="s">
        <v>328</v>
      </c>
      <c r="N318" s="1" t="s">
        <v>328</v>
      </c>
      <c r="O318" s="1" t="s">
        <v>328</v>
      </c>
      <c r="P318" s="1" t="s">
        <v>328</v>
      </c>
      <c r="Q318" s="1" t="s">
        <v>328</v>
      </c>
      <c r="R318" s="1" t="s">
        <v>328</v>
      </c>
      <c r="S318" s="1" t="s">
        <v>328</v>
      </c>
      <c r="T318" s="1" t="s">
        <v>328</v>
      </c>
      <c r="U318" s="1">
        <v>0</v>
      </c>
      <c r="V318" s="1">
        <v>0</v>
      </c>
      <c r="W318" s="1">
        <v>0</v>
      </c>
      <c r="X318" s="1">
        <v>0</v>
      </c>
      <c r="Y318" s="1">
        <v>0</v>
      </c>
      <c r="Z318" s="1">
        <v>0</v>
      </c>
      <c r="AA318" s="1">
        <v>0</v>
      </c>
      <c r="AB318" s="1">
        <v>0</v>
      </c>
      <c r="AC318" s="1">
        <v>0</v>
      </c>
      <c r="AD318" s="1">
        <v>5</v>
      </c>
      <c r="AE318" s="1">
        <v>3</v>
      </c>
      <c r="AF318" s="1">
        <v>2</v>
      </c>
      <c r="AG318" s="208" t="s">
        <v>210</v>
      </c>
      <c r="AH318" s="1">
        <v>3600</v>
      </c>
      <c r="AI318" t="s">
        <v>1843</v>
      </c>
      <c r="AJ318">
        <v>0</v>
      </c>
      <c r="AK318" s="1" t="s">
        <v>5200</v>
      </c>
      <c r="AL318" s="1" t="s">
        <v>6928</v>
      </c>
      <c r="AM318" s="1">
        <v>0.15</v>
      </c>
      <c r="AN318" s="1">
        <v>0.6</v>
      </c>
      <c r="AO318" s="1">
        <v>0.38</v>
      </c>
      <c r="AP318" s="1">
        <v>0.23</v>
      </c>
      <c r="AQ318" s="1">
        <v>3</v>
      </c>
      <c r="AR318" t="s">
        <v>1473</v>
      </c>
      <c r="AS318">
        <v>0</v>
      </c>
      <c r="AT318" t="s">
        <v>6929</v>
      </c>
      <c r="AU318">
        <v>10</v>
      </c>
      <c r="AV318">
        <v>19047</v>
      </c>
      <c r="AW318">
        <v>0</v>
      </c>
      <c r="AX318" t="b">
        <v>0</v>
      </c>
    </row>
    <row r="319" spans="1:50" x14ac:dyDescent="0.3">
      <c r="A319">
        <v>320</v>
      </c>
      <c r="B319" t="s">
        <v>6934</v>
      </c>
      <c r="C319" t="s">
        <v>6935</v>
      </c>
      <c r="D319">
        <v>5</v>
      </c>
      <c r="E319">
        <v>3</v>
      </c>
      <c r="F319">
        <v>20</v>
      </c>
      <c r="G319" s="1" t="s">
        <v>470</v>
      </c>
      <c r="H319" s="1" t="s">
        <v>328</v>
      </c>
      <c r="I319" s="1" t="s">
        <v>363</v>
      </c>
      <c r="J319" s="1" t="s">
        <v>328</v>
      </c>
      <c r="K319" s="1" t="s">
        <v>328</v>
      </c>
      <c r="L319" s="1" t="s">
        <v>328</v>
      </c>
      <c r="M319" s="1" t="s">
        <v>328</v>
      </c>
      <c r="N319" s="1" t="s">
        <v>328</v>
      </c>
      <c r="O319" s="1" t="s">
        <v>328</v>
      </c>
      <c r="P319" s="1" t="s">
        <v>328</v>
      </c>
      <c r="Q319" s="1" t="s">
        <v>328</v>
      </c>
      <c r="R319" s="1" t="s">
        <v>328</v>
      </c>
      <c r="S319" s="1" t="s">
        <v>328</v>
      </c>
      <c r="T319" s="1" t="s">
        <v>328</v>
      </c>
      <c r="U319" s="1">
        <v>0</v>
      </c>
      <c r="V319" s="1">
        <v>0</v>
      </c>
      <c r="W319" s="1">
        <v>0</v>
      </c>
      <c r="X319" s="1">
        <v>0</v>
      </c>
      <c r="Y319" s="1">
        <v>0</v>
      </c>
      <c r="Z319" s="1">
        <v>0</v>
      </c>
      <c r="AA319" s="1">
        <v>0</v>
      </c>
      <c r="AB319" s="1">
        <v>0</v>
      </c>
      <c r="AC319" s="1">
        <v>4</v>
      </c>
      <c r="AD319" s="1">
        <v>2</v>
      </c>
      <c r="AE319" s="1">
        <v>0</v>
      </c>
      <c r="AF319" s="1">
        <v>4</v>
      </c>
      <c r="AG319" s="208" t="s">
        <v>1653</v>
      </c>
      <c r="AH319" s="1">
        <v>3120</v>
      </c>
      <c r="AI319" t="s">
        <v>1843</v>
      </c>
      <c r="AJ319">
        <v>0</v>
      </c>
      <c r="AK319" s="1" t="s">
        <v>6936</v>
      </c>
      <c r="AL319" s="1" t="s">
        <v>6937</v>
      </c>
      <c r="AM319" s="1">
        <v>0.3</v>
      </c>
      <c r="AN319" s="1">
        <v>0.25</v>
      </c>
      <c r="AO319" s="1">
        <v>0.12</v>
      </c>
      <c r="AP319" s="1">
        <v>0.38</v>
      </c>
      <c r="AQ319" s="1">
        <v>3</v>
      </c>
      <c r="AR319" t="s">
        <v>6938</v>
      </c>
      <c r="AS319">
        <v>0</v>
      </c>
      <c r="AT319" t="s">
        <v>1806</v>
      </c>
      <c r="AU319">
        <v>10</v>
      </c>
      <c r="AV319">
        <v>20051</v>
      </c>
      <c r="AW319">
        <v>0</v>
      </c>
      <c r="AX319" t="b">
        <v>1</v>
      </c>
    </row>
    <row r="320" spans="1:50" x14ac:dyDescent="0.3">
      <c r="A320">
        <v>321</v>
      </c>
      <c r="B320" t="s">
        <v>6939</v>
      </c>
      <c r="C320" t="s">
        <v>6940</v>
      </c>
      <c r="D320">
        <v>5</v>
      </c>
      <c r="E320">
        <v>2</v>
      </c>
      <c r="F320">
        <v>19</v>
      </c>
      <c r="G320" s="1" t="s">
        <v>470</v>
      </c>
      <c r="H320" s="1" t="s">
        <v>328</v>
      </c>
      <c r="I320" s="1" t="s">
        <v>328</v>
      </c>
      <c r="J320" s="1" t="s">
        <v>328</v>
      </c>
      <c r="K320" s="1" t="s">
        <v>328</v>
      </c>
      <c r="L320" s="1" t="s">
        <v>328</v>
      </c>
      <c r="M320" s="1" t="s">
        <v>328</v>
      </c>
      <c r="N320" s="1" t="s">
        <v>6941</v>
      </c>
      <c r="O320" s="1" t="s">
        <v>328</v>
      </c>
      <c r="P320" s="1" t="s">
        <v>328</v>
      </c>
      <c r="Q320" s="1" t="s">
        <v>328</v>
      </c>
      <c r="R320" s="1" t="s">
        <v>328</v>
      </c>
      <c r="S320" s="1" t="s">
        <v>328</v>
      </c>
      <c r="T320" s="1" t="s">
        <v>328</v>
      </c>
      <c r="U320" s="1">
        <v>0</v>
      </c>
      <c r="V320" s="1">
        <v>0</v>
      </c>
      <c r="W320" s="1">
        <v>0</v>
      </c>
      <c r="X320" s="1">
        <v>0</v>
      </c>
      <c r="Y320" s="1">
        <v>0</v>
      </c>
      <c r="Z320" s="1">
        <v>0</v>
      </c>
      <c r="AA320" s="1">
        <v>0</v>
      </c>
      <c r="AB320" s="1">
        <v>0</v>
      </c>
      <c r="AC320" s="1">
        <v>0</v>
      </c>
      <c r="AD320" s="1">
        <v>4</v>
      </c>
      <c r="AE320" s="1">
        <v>2</v>
      </c>
      <c r="AF320" s="1">
        <v>3</v>
      </c>
      <c r="AG320" s="208" t="s">
        <v>1667</v>
      </c>
      <c r="AH320" s="1">
        <v>3300</v>
      </c>
      <c r="AI320" t="s">
        <v>1843</v>
      </c>
      <c r="AJ320">
        <v>0</v>
      </c>
      <c r="AK320" s="1" t="s">
        <v>5390</v>
      </c>
      <c r="AL320" s="1" t="s">
        <v>6942</v>
      </c>
      <c r="AM320" s="1">
        <v>0.08</v>
      </c>
      <c r="AN320" s="1">
        <v>0.5</v>
      </c>
      <c r="AO320" s="1">
        <v>0.3</v>
      </c>
      <c r="AP320" s="1">
        <v>0.3</v>
      </c>
      <c r="AQ320" s="1">
        <v>3</v>
      </c>
      <c r="AR320" t="s">
        <v>6943</v>
      </c>
      <c r="AS320">
        <v>0</v>
      </c>
      <c r="AT320" t="s">
        <v>6944</v>
      </c>
      <c r="AU320">
        <v>10</v>
      </c>
      <c r="AV320">
        <v>19048</v>
      </c>
      <c r="AW320">
        <v>0</v>
      </c>
      <c r="AX320" t="b">
        <v>1</v>
      </c>
    </row>
    <row r="321" spans="1:50" x14ac:dyDescent="0.3">
      <c r="A321">
        <v>322</v>
      </c>
      <c r="B321" t="s">
        <v>6945</v>
      </c>
      <c r="C321" t="s">
        <v>6946</v>
      </c>
      <c r="D321">
        <v>5</v>
      </c>
      <c r="E321">
        <v>2</v>
      </c>
      <c r="F321">
        <v>19</v>
      </c>
      <c r="G321" s="1" t="s">
        <v>335</v>
      </c>
      <c r="H321" s="1" t="s">
        <v>328</v>
      </c>
      <c r="I321" s="1" t="s">
        <v>328</v>
      </c>
      <c r="J321" s="1" t="s">
        <v>328</v>
      </c>
      <c r="K321" s="1" t="s">
        <v>328</v>
      </c>
      <c r="L321" s="1" t="s">
        <v>328</v>
      </c>
      <c r="M321" s="1" t="s">
        <v>328</v>
      </c>
      <c r="N321" s="1" t="s">
        <v>352</v>
      </c>
      <c r="O321" s="1" t="s">
        <v>328</v>
      </c>
      <c r="P321" s="1" t="s">
        <v>328</v>
      </c>
      <c r="Q321" s="1" t="s">
        <v>328</v>
      </c>
      <c r="R321" s="1" t="s">
        <v>328</v>
      </c>
      <c r="S321" s="1" t="s">
        <v>328</v>
      </c>
      <c r="T321" s="1" t="s">
        <v>328</v>
      </c>
      <c r="U321" s="1">
        <v>0</v>
      </c>
      <c r="V321" s="1">
        <v>0</v>
      </c>
      <c r="W321" s="1">
        <v>0</v>
      </c>
      <c r="X321" s="1">
        <v>0</v>
      </c>
      <c r="Y321" s="1">
        <v>0</v>
      </c>
      <c r="Z321" s="1">
        <v>0</v>
      </c>
      <c r="AA321" s="1">
        <v>0</v>
      </c>
      <c r="AB321" s="1">
        <v>0</v>
      </c>
      <c r="AC321" s="1">
        <v>0</v>
      </c>
      <c r="AD321" s="1">
        <v>4</v>
      </c>
      <c r="AE321" s="1">
        <v>2</v>
      </c>
      <c r="AF321" s="1">
        <v>3</v>
      </c>
      <c r="AG321" s="208" t="s">
        <v>1603</v>
      </c>
      <c r="AH321" s="1">
        <v>3300</v>
      </c>
      <c r="AI321" t="s">
        <v>1843</v>
      </c>
      <c r="AJ321">
        <v>0</v>
      </c>
      <c r="AK321" s="1" t="s">
        <v>6947</v>
      </c>
      <c r="AL321" s="1" t="s">
        <v>6948</v>
      </c>
      <c r="AM321" s="1">
        <v>0.08</v>
      </c>
      <c r="AN321" s="1">
        <v>0.5</v>
      </c>
      <c r="AO321" s="1">
        <v>0.3</v>
      </c>
      <c r="AP321" s="1">
        <v>0.3</v>
      </c>
      <c r="AQ321" s="1">
        <v>3</v>
      </c>
      <c r="AR321" t="s">
        <v>1552</v>
      </c>
      <c r="AS321">
        <v>0</v>
      </c>
      <c r="AT321" t="s">
        <v>1806</v>
      </c>
      <c r="AU321">
        <v>10</v>
      </c>
      <c r="AV321">
        <v>19049</v>
      </c>
      <c r="AW321">
        <v>0</v>
      </c>
      <c r="AX321" t="b">
        <v>1</v>
      </c>
    </row>
    <row r="322" spans="1:50" x14ac:dyDescent="0.3">
      <c r="A322">
        <v>323</v>
      </c>
      <c r="B322" t="s">
        <v>6949</v>
      </c>
      <c r="C322" t="s">
        <v>6950</v>
      </c>
      <c r="D322">
        <v>5</v>
      </c>
      <c r="E322">
        <v>1</v>
      </c>
      <c r="F322">
        <v>18</v>
      </c>
      <c r="G322" s="1" t="s">
        <v>354</v>
      </c>
      <c r="H322" s="1" t="s">
        <v>328</v>
      </c>
      <c r="I322" s="1" t="s">
        <v>328</v>
      </c>
      <c r="J322" s="1" t="s">
        <v>328</v>
      </c>
      <c r="K322" s="1" t="s">
        <v>328</v>
      </c>
      <c r="L322" s="1" t="s">
        <v>328</v>
      </c>
      <c r="M322" s="1" t="s">
        <v>327</v>
      </c>
      <c r="N322" s="1" t="s">
        <v>328</v>
      </c>
      <c r="O322" s="1" t="s">
        <v>328</v>
      </c>
      <c r="P322" s="1" t="s">
        <v>328</v>
      </c>
      <c r="Q322" s="1" t="s">
        <v>328</v>
      </c>
      <c r="R322" s="1" t="s">
        <v>328</v>
      </c>
      <c r="S322" s="1" t="s">
        <v>328</v>
      </c>
      <c r="T322" s="1" t="s">
        <v>328</v>
      </c>
      <c r="U322" s="1">
        <v>0</v>
      </c>
      <c r="V322" s="1">
        <v>0</v>
      </c>
      <c r="W322" s="1">
        <v>0</v>
      </c>
      <c r="X322" s="1">
        <v>0</v>
      </c>
      <c r="Y322" s="1">
        <v>0</v>
      </c>
      <c r="Z322" s="1">
        <v>0</v>
      </c>
      <c r="AA322" s="1">
        <v>0</v>
      </c>
      <c r="AB322" s="1">
        <v>0</v>
      </c>
      <c r="AC322" s="1">
        <v>4</v>
      </c>
      <c r="AD322" s="1">
        <v>2</v>
      </c>
      <c r="AE322" s="1">
        <v>2</v>
      </c>
      <c r="AF322" s="1">
        <v>2</v>
      </c>
      <c r="AG322" s="208" t="s">
        <v>206</v>
      </c>
      <c r="AH322" s="1">
        <v>2820</v>
      </c>
      <c r="AI322" t="s">
        <v>6951</v>
      </c>
      <c r="AJ322">
        <v>0</v>
      </c>
      <c r="AK322" s="1" t="s">
        <v>6952</v>
      </c>
      <c r="AL322" s="1" t="s">
        <v>6953</v>
      </c>
      <c r="AM322" s="1">
        <v>0.55000000000000004</v>
      </c>
      <c r="AN322" s="1">
        <v>0.23</v>
      </c>
      <c r="AO322" s="1">
        <v>0.23</v>
      </c>
      <c r="AP322" s="1">
        <v>0.23</v>
      </c>
      <c r="AQ322" s="1">
        <v>3</v>
      </c>
      <c r="AR322" t="s">
        <v>1521</v>
      </c>
      <c r="AS322">
        <v>0</v>
      </c>
      <c r="AT322" t="s">
        <v>1806</v>
      </c>
      <c r="AU322">
        <v>10</v>
      </c>
      <c r="AV322">
        <v>18109</v>
      </c>
      <c r="AW322">
        <v>0</v>
      </c>
      <c r="AX322" t="b">
        <v>1</v>
      </c>
    </row>
    <row r="323" spans="1:50" x14ac:dyDescent="0.3">
      <c r="A323">
        <v>324</v>
      </c>
      <c r="B323" t="s">
        <v>6954</v>
      </c>
      <c r="C323" t="s">
        <v>6955</v>
      </c>
      <c r="D323">
        <v>5</v>
      </c>
      <c r="E323">
        <v>1</v>
      </c>
      <c r="F323">
        <v>18</v>
      </c>
      <c r="G323" s="1" t="s">
        <v>398</v>
      </c>
      <c r="H323" s="1" t="s">
        <v>335</v>
      </c>
      <c r="I323" s="1" t="s">
        <v>328</v>
      </c>
      <c r="J323" s="1" t="s">
        <v>328</v>
      </c>
      <c r="K323" s="1" t="s">
        <v>328</v>
      </c>
      <c r="L323" s="1" t="s">
        <v>328</v>
      </c>
      <c r="M323" s="1" t="s">
        <v>6545</v>
      </c>
      <c r="N323" s="1" t="s">
        <v>328</v>
      </c>
      <c r="O323" s="1" t="s">
        <v>328</v>
      </c>
      <c r="P323" s="1" t="s">
        <v>328</v>
      </c>
      <c r="Q323" s="1" t="s">
        <v>328</v>
      </c>
      <c r="R323" s="1" t="s">
        <v>328</v>
      </c>
      <c r="S323" s="1" t="s">
        <v>328</v>
      </c>
      <c r="T323" s="1" t="s">
        <v>328</v>
      </c>
      <c r="U323" s="1">
        <v>0</v>
      </c>
      <c r="V323" s="1">
        <v>0</v>
      </c>
      <c r="W323" s="1">
        <v>0</v>
      </c>
      <c r="X323" s="1">
        <v>0</v>
      </c>
      <c r="Y323" s="1">
        <v>0</v>
      </c>
      <c r="Z323" s="1">
        <v>0</v>
      </c>
      <c r="AA323" s="1">
        <v>0</v>
      </c>
      <c r="AB323" s="1">
        <v>0</v>
      </c>
      <c r="AC323" s="1">
        <v>4</v>
      </c>
      <c r="AD323" s="1">
        <v>0</v>
      </c>
      <c r="AE323" s="1">
        <v>3</v>
      </c>
      <c r="AF323" s="1">
        <v>2</v>
      </c>
      <c r="AG323" s="208" t="s">
        <v>113</v>
      </c>
      <c r="AH323" s="1">
        <v>3600</v>
      </c>
      <c r="AI323" t="s">
        <v>1843</v>
      </c>
      <c r="AJ323">
        <v>0</v>
      </c>
      <c r="AK323" s="1" t="s">
        <v>6956</v>
      </c>
      <c r="AL323" s="1" t="s">
        <v>6957</v>
      </c>
      <c r="AM323" s="1">
        <v>0.45</v>
      </c>
      <c r="AN323" s="1">
        <v>0.15</v>
      </c>
      <c r="AO323" s="1">
        <v>0.3</v>
      </c>
      <c r="AP323" s="1">
        <v>0.15</v>
      </c>
      <c r="AQ323" s="1">
        <v>3</v>
      </c>
      <c r="AR323" t="s">
        <v>6548</v>
      </c>
      <c r="AS323">
        <v>0</v>
      </c>
      <c r="AT323" t="s">
        <v>1806</v>
      </c>
      <c r="AU323">
        <v>10</v>
      </c>
      <c r="AV323">
        <v>18110</v>
      </c>
      <c r="AW323">
        <v>0</v>
      </c>
      <c r="AX323" t="b">
        <v>1</v>
      </c>
    </row>
    <row r="324" spans="1:50" x14ac:dyDescent="0.3">
      <c r="A324">
        <v>325</v>
      </c>
      <c r="B324" t="s">
        <v>7052</v>
      </c>
      <c r="C324" t="s">
        <v>7053</v>
      </c>
      <c r="D324">
        <v>5</v>
      </c>
      <c r="E324">
        <v>1</v>
      </c>
      <c r="F324">
        <v>18</v>
      </c>
      <c r="G324" s="1" t="s">
        <v>328</v>
      </c>
      <c r="H324" s="1" t="s">
        <v>328</v>
      </c>
      <c r="I324" s="1" t="s">
        <v>328</v>
      </c>
      <c r="J324" s="1" t="s">
        <v>328</v>
      </c>
      <c r="K324" s="1" t="s">
        <v>328</v>
      </c>
      <c r="L324" s="1" t="s">
        <v>413</v>
      </c>
      <c r="M324" s="1" t="s">
        <v>7054</v>
      </c>
      <c r="N324" s="1" t="s">
        <v>328</v>
      </c>
      <c r="O324" s="1" t="s">
        <v>328</v>
      </c>
      <c r="P324" s="1" t="s">
        <v>328</v>
      </c>
      <c r="Q324" s="1" t="s">
        <v>328</v>
      </c>
      <c r="R324" s="1" t="s">
        <v>328</v>
      </c>
      <c r="S324" s="1" t="s">
        <v>328</v>
      </c>
      <c r="T324" s="1" t="s">
        <v>328</v>
      </c>
      <c r="U324" s="1">
        <v>0</v>
      </c>
      <c r="V324" s="1">
        <v>0</v>
      </c>
      <c r="W324" s="1">
        <v>0</v>
      </c>
      <c r="X324" s="1">
        <v>0</v>
      </c>
      <c r="Y324" s="1">
        <v>0</v>
      </c>
      <c r="Z324" s="1">
        <v>0</v>
      </c>
      <c r="AA324" s="1">
        <v>0</v>
      </c>
      <c r="AB324" s="1">
        <v>0</v>
      </c>
      <c r="AC324" s="1">
        <v>4</v>
      </c>
      <c r="AD324" s="1">
        <v>0</v>
      </c>
      <c r="AE324" s="1">
        <v>3</v>
      </c>
      <c r="AF324" s="1">
        <v>2</v>
      </c>
      <c r="AG324" s="208" t="s">
        <v>235</v>
      </c>
      <c r="AH324" s="1">
        <v>2700</v>
      </c>
      <c r="AI324" t="s">
        <v>1843</v>
      </c>
      <c r="AJ324">
        <v>0</v>
      </c>
      <c r="AK324" s="1" t="s">
        <v>7055</v>
      </c>
      <c r="AL324" s="1" t="s">
        <v>7056</v>
      </c>
      <c r="AM324" s="1">
        <v>0.45</v>
      </c>
      <c r="AN324" s="1">
        <v>0.15</v>
      </c>
      <c r="AO324" s="1">
        <v>0.3</v>
      </c>
      <c r="AP324" s="1">
        <v>0.15</v>
      </c>
      <c r="AQ324" s="1">
        <v>3</v>
      </c>
      <c r="AR324" t="s">
        <v>1568</v>
      </c>
      <c r="AS324">
        <v>0</v>
      </c>
      <c r="AT324" t="s">
        <v>1806</v>
      </c>
      <c r="AU324">
        <v>10</v>
      </c>
      <c r="AV324">
        <v>18111</v>
      </c>
      <c r="AW324">
        <v>0</v>
      </c>
      <c r="AX324" t="b">
        <v>0</v>
      </c>
    </row>
    <row r="325" spans="1:50" x14ac:dyDescent="0.3">
      <c r="A325">
        <v>326</v>
      </c>
      <c r="B325" t="s">
        <v>7057</v>
      </c>
      <c r="C325" t="s">
        <v>7058</v>
      </c>
      <c r="D325">
        <v>5</v>
      </c>
      <c r="E325">
        <v>1</v>
      </c>
      <c r="F325">
        <v>18</v>
      </c>
      <c r="G325" s="1" t="s">
        <v>470</v>
      </c>
      <c r="H325" s="1" t="s">
        <v>398</v>
      </c>
      <c r="I325" s="1" t="s">
        <v>328</v>
      </c>
      <c r="J325" s="1" t="s">
        <v>328</v>
      </c>
      <c r="K325" s="1" t="s">
        <v>328</v>
      </c>
      <c r="L325" s="1" t="s">
        <v>328</v>
      </c>
      <c r="M325" s="1" t="s">
        <v>397</v>
      </c>
      <c r="N325" s="1" t="s">
        <v>328</v>
      </c>
      <c r="O325" s="1" t="s">
        <v>328</v>
      </c>
      <c r="P325" s="1" t="s">
        <v>328</v>
      </c>
      <c r="Q325" s="1" t="s">
        <v>328</v>
      </c>
      <c r="R325" s="1" t="s">
        <v>328</v>
      </c>
      <c r="S325" s="1" t="s">
        <v>328</v>
      </c>
      <c r="T325" s="1" t="s">
        <v>328</v>
      </c>
      <c r="U325" s="1">
        <v>0</v>
      </c>
      <c r="V325" s="1">
        <v>0</v>
      </c>
      <c r="W325" s="1">
        <v>0</v>
      </c>
      <c r="X325" s="1">
        <v>0</v>
      </c>
      <c r="Y325" s="1">
        <v>0</v>
      </c>
      <c r="Z325" s="1">
        <v>0</v>
      </c>
      <c r="AA325" s="1">
        <v>0</v>
      </c>
      <c r="AB325" s="1">
        <v>0</v>
      </c>
      <c r="AC325" s="1">
        <v>4</v>
      </c>
      <c r="AD325" s="1">
        <v>0</v>
      </c>
      <c r="AE325" s="1">
        <v>3</v>
      </c>
      <c r="AF325" s="1">
        <v>2</v>
      </c>
      <c r="AG325" s="208" t="s">
        <v>7011</v>
      </c>
      <c r="AH325" s="1">
        <v>2700</v>
      </c>
      <c r="AI325" t="s">
        <v>1843</v>
      </c>
      <c r="AJ325">
        <v>0</v>
      </c>
      <c r="AK325" s="1" t="s">
        <v>7059</v>
      </c>
      <c r="AL325" s="1" t="s">
        <v>7060</v>
      </c>
      <c r="AM325" s="1">
        <v>0.45</v>
      </c>
      <c r="AN325" s="1">
        <v>0.15</v>
      </c>
      <c r="AO325" s="1">
        <v>0.3</v>
      </c>
      <c r="AP325" s="1">
        <v>0.15</v>
      </c>
      <c r="AQ325" s="1">
        <v>3</v>
      </c>
      <c r="AR325" t="s">
        <v>1518</v>
      </c>
      <c r="AS325">
        <v>0</v>
      </c>
      <c r="AT325" t="s">
        <v>1806</v>
      </c>
      <c r="AU325">
        <v>10</v>
      </c>
      <c r="AV325">
        <v>18112</v>
      </c>
      <c r="AW325">
        <v>0</v>
      </c>
      <c r="AX325" t="b">
        <v>0</v>
      </c>
    </row>
    <row r="326" spans="1:50" x14ac:dyDescent="0.3">
      <c r="A326">
        <v>327</v>
      </c>
      <c r="B326" t="s">
        <v>7061</v>
      </c>
      <c r="C326" t="s">
        <v>7062</v>
      </c>
      <c r="D326">
        <v>5</v>
      </c>
      <c r="E326">
        <v>2</v>
      </c>
      <c r="F326">
        <v>19</v>
      </c>
      <c r="G326" s="1" t="s">
        <v>389</v>
      </c>
      <c r="H326" s="1" t="s">
        <v>7063</v>
      </c>
      <c r="I326" s="1" t="s">
        <v>328</v>
      </c>
      <c r="J326" s="1" t="s">
        <v>328</v>
      </c>
      <c r="K326" s="1" t="s">
        <v>328</v>
      </c>
      <c r="L326" s="1" t="s">
        <v>328</v>
      </c>
      <c r="M326" s="1" t="s">
        <v>328</v>
      </c>
      <c r="N326" s="1" t="s">
        <v>328</v>
      </c>
      <c r="O326" s="1" t="s">
        <v>328</v>
      </c>
      <c r="P326" s="1" t="s">
        <v>328</v>
      </c>
      <c r="Q326" s="1" t="s">
        <v>328</v>
      </c>
      <c r="R326" s="1" t="s">
        <v>328</v>
      </c>
      <c r="S326" s="1" t="s">
        <v>328</v>
      </c>
      <c r="T326" s="1" t="s">
        <v>328</v>
      </c>
      <c r="U326" s="1">
        <v>0</v>
      </c>
      <c r="V326" s="1">
        <v>0</v>
      </c>
      <c r="W326" s="1">
        <v>0</v>
      </c>
      <c r="X326" s="1">
        <v>0</v>
      </c>
      <c r="Y326" s="1">
        <v>0</v>
      </c>
      <c r="Z326" s="1">
        <v>0</v>
      </c>
      <c r="AA326" s="1">
        <v>0</v>
      </c>
      <c r="AB326" s="1">
        <v>0</v>
      </c>
      <c r="AC326" s="1">
        <v>4</v>
      </c>
      <c r="AD326" s="1">
        <v>4</v>
      </c>
      <c r="AE326" s="1">
        <v>0</v>
      </c>
      <c r="AF326" s="1">
        <v>2</v>
      </c>
      <c r="AG326" s="208" t="s">
        <v>6970</v>
      </c>
      <c r="AH326" s="1">
        <v>3600</v>
      </c>
      <c r="AI326" t="s">
        <v>1843</v>
      </c>
      <c r="AJ326">
        <v>0</v>
      </c>
      <c r="AK326" s="1" t="s">
        <v>7064</v>
      </c>
      <c r="AL326" s="1" t="s">
        <v>7065</v>
      </c>
      <c r="AM326" s="1">
        <v>0.48</v>
      </c>
      <c r="AN326" s="1">
        <v>0.48</v>
      </c>
      <c r="AO326" s="1">
        <v>0.08</v>
      </c>
      <c r="AP326" s="1">
        <v>0.25</v>
      </c>
      <c r="AQ326" s="1">
        <v>3</v>
      </c>
      <c r="AR326" t="s">
        <v>1475</v>
      </c>
      <c r="AS326">
        <v>0</v>
      </c>
      <c r="AT326" t="s">
        <v>1806</v>
      </c>
      <c r="AU326">
        <v>10</v>
      </c>
      <c r="AV326">
        <v>19050</v>
      </c>
      <c r="AW326">
        <v>0</v>
      </c>
      <c r="AX326" t="b">
        <v>0</v>
      </c>
    </row>
    <row r="327" spans="1:50" x14ac:dyDescent="0.3">
      <c r="A327">
        <v>328</v>
      </c>
      <c r="B327" t="s">
        <v>7066</v>
      </c>
      <c r="C327" t="s">
        <v>7067</v>
      </c>
      <c r="D327">
        <v>5</v>
      </c>
      <c r="E327">
        <v>2</v>
      </c>
      <c r="F327">
        <v>19</v>
      </c>
      <c r="G327" s="1" t="s">
        <v>328</v>
      </c>
      <c r="H327" s="1" t="s">
        <v>356</v>
      </c>
      <c r="I327" s="1" t="s">
        <v>328</v>
      </c>
      <c r="J327" s="1" t="s">
        <v>328</v>
      </c>
      <c r="K327" s="1" t="s">
        <v>328</v>
      </c>
      <c r="L327" s="1" t="s">
        <v>328</v>
      </c>
      <c r="M327" s="1" t="s">
        <v>328</v>
      </c>
      <c r="N327" s="1" t="s">
        <v>328</v>
      </c>
      <c r="O327" s="1" t="s">
        <v>328</v>
      </c>
      <c r="P327" s="1" t="s">
        <v>328</v>
      </c>
      <c r="Q327" s="1" t="s">
        <v>328</v>
      </c>
      <c r="R327" s="1" t="s">
        <v>328</v>
      </c>
      <c r="S327" s="1" t="s">
        <v>328</v>
      </c>
      <c r="T327" s="1" t="s">
        <v>328</v>
      </c>
      <c r="U327" s="1">
        <v>0</v>
      </c>
      <c r="V327" s="1">
        <v>150</v>
      </c>
      <c r="W327" s="1">
        <v>0</v>
      </c>
      <c r="X327" s="1">
        <v>0</v>
      </c>
      <c r="Y327" s="1">
        <v>0</v>
      </c>
      <c r="Z327" s="1">
        <v>0</v>
      </c>
      <c r="AA327" s="1">
        <v>0</v>
      </c>
      <c r="AB327" s="1">
        <v>0</v>
      </c>
      <c r="AC327" s="1">
        <v>4</v>
      </c>
      <c r="AD327" s="1">
        <v>4</v>
      </c>
      <c r="AE327" s="1">
        <v>0</v>
      </c>
      <c r="AF327" s="1">
        <v>2</v>
      </c>
      <c r="AG327" s="208" t="s">
        <v>6980</v>
      </c>
      <c r="AH327" s="1">
        <v>3600</v>
      </c>
      <c r="AI327" t="s">
        <v>1843</v>
      </c>
      <c r="AJ327">
        <v>0</v>
      </c>
      <c r="AK327" s="1" t="s">
        <v>7068</v>
      </c>
      <c r="AL327" s="1" t="s">
        <v>7069</v>
      </c>
      <c r="AM327" s="1">
        <v>0.48</v>
      </c>
      <c r="AN327" s="1">
        <v>0.48</v>
      </c>
      <c r="AO327" s="1">
        <v>0.08</v>
      </c>
      <c r="AP327" s="1">
        <v>0.25</v>
      </c>
      <c r="AQ327" s="1">
        <v>3</v>
      </c>
      <c r="AR327" t="s">
        <v>1493</v>
      </c>
      <c r="AS327">
        <v>0</v>
      </c>
      <c r="AT327" t="s">
        <v>2468</v>
      </c>
      <c r="AU327">
        <v>10</v>
      </c>
      <c r="AV327">
        <v>19051</v>
      </c>
      <c r="AW327">
        <v>0</v>
      </c>
      <c r="AX327" t="b">
        <v>0</v>
      </c>
    </row>
    <row r="328" spans="1:50" x14ac:dyDescent="0.3">
      <c r="A328">
        <v>329</v>
      </c>
      <c r="B328" t="s">
        <v>7070</v>
      </c>
      <c r="C328" t="s">
        <v>7071</v>
      </c>
      <c r="D328">
        <v>5</v>
      </c>
      <c r="E328">
        <v>3</v>
      </c>
      <c r="F328">
        <v>20</v>
      </c>
      <c r="G328" s="1" t="s">
        <v>359</v>
      </c>
      <c r="H328" s="1" t="s">
        <v>328</v>
      </c>
      <c r="I328" s="1" t="s">
        <v>328</v>
      </c>
      <c r="J328" s="1" t="s">
        <v>328</v>
      </c>
      <c r="K328" s="1" t="s">
        <v>375</v>
      </c>
      <c r="L328" s="1" t="s">
        <v>902</v>
      </c>
      <c r="M328" s="1" t="s">
        <v>328</v>
      </c>
      <c r="N328" s="1" t="s">
        <v>328</v>
      </c>
      <c r="O328" s="1" t="s">
        <v>328</v>
      </c>
      <c r="P328" s="1" t="s">
        <v>328</v>
      </c>
      <c r="Q328" s="1" t="s">
        <v>328</v>
      </c>
      <c r="R328" s="1" t="s">
        <v>328</v>
      </c>
      <c r="S328" s="1" t="s">
        <v>328</v>
      </c>
      <c r="T328" s="1" t="s">
        <v>328</v>
      </c>
      <c r="U328" s="1">
        <v>0</v>
      </c>
      <c r="V328" s="1">
        <v>0</v>
      </c>
      <c r="W328" s="1">
        <v>0</v>
      </c>
      <c r="X328" s="1">
        <v>0</v>
      </c>
      <c r="Y328" s="1">
        <v>0</v>
      </c>
      <c r="Z328" s="1">
        <v>0</v>
      </c>
      <c r="AA328" s="1">
        <v>0</v>
      </c>
      <c r="AB328" s="1">
        <v>0</v>
      </c>
      <c r="AC328" s="1">
        <v>4</v>
      </c>
      <c r="AD328" s="1">
        <v>3</v>
      </c>
      <c r="AE328" s="1">
        <v>0</v>
      </c>
      <c r="AF328" s="1">
        <v>2</v>
      </c>
      <c r="AG328" s="208" t="s">
        <v>6995</v>
      </c>
      <c r="AH328" s="1">
        <v>3060</v>
      </c>
      <c r="AI328" t="s">
        <v>1843</v>
      </c>
      <c r="AJ328">
        <v>0</v>
      </c>
      <c r="AK328" s="1" t="s">
        <v>7072</v>
      </c>
      <c r="AL328" s="1" t="s">
        <v>7073</v>
      </c>
      <c r="AM328" s="1">
        <v>0.3</v>
      </c>
      <c r="AN328" s="1">
        <v>0.23</v>
      </c>
      <c r="AO328" s="1">
        <v>0.15</v>
      </c>
      <c r="AP328" s="1">
        <v>0.38</v>
      </c>
      <c r="AQ328" s="1">
        <v>3</v>
      </c>
      <c r="AR328" t="s">
        <v>1583</v>
      </c>
      <c r="AS328">
        <v>0</v>
      </c>
      <c r="AT328" t="s">
        <v>1806</v>
      </c>
      <c r="AU328">
        <v>10</v>
      </c>
      <c r="AV328">
        <v>20052</v>
      </c>
      <c r="AW328">
        <v>0</v>
      </c>
      <c r="AX328" t="b">
        <v>0</v>
      </c>
    </row>
    <row r="329" spans="1:50" x14ac:dyDescent="0.3">
      <c r="A329">
        <v>330</v>
      </c>
      <c r="B329" t="s">
        <v>7074</v>
      </c>
      <c r="C329" t="s">
        <v>7075</v>
      </c>
      <c r="D329">
        <v>5</v>
      </c>
      <c r="E329">
        <v>3</v>
      </c>
      <c r="F329">
        <v>20</v>
      </c>
      <c r="G329" s="1" t="s">
        <v>324</v>
      </c>
      <c r="H329" s="1" t="s">
        <v>328</v>
      </c>
      <c r="I329" s="1" t="s">
        <v>328</v>
      </c>
      <c r="J329" s="1" t="s">
        <v>328</v>
      </c>
      <c r="K329" s="1" t="s">
        <v>376</v>
      </c>
      <c r="L329" s="1" t="s">
        <v>397</v>
      </c>
      <c r="M329" s="1" t="s">
        <v>328</v>
      </c>
      <c r="N329" s="1" t="s">
        <v>328</v>
      </c>
      <c r="O329" s="1" t="s">
        <v>328</v>
      </c>
      <c r="P329" s="1" t="s">
        <v>328</v>
      </c>
      <c r="Q329" s="1" t="s">
        <v>328</v>
      </c>
      <c r="R329" s="1" t="s">
        <v>328</v>
      </c>
      <c r="S329" s="1" t="s">
        <v>328</v>
      </c>
      <c r="T329" s="1" t="s">
        <v>328</v>
      </c>
      <c r="U329" s="1">
        <v>0</v>
      </c>
      <c r="V329" s="1">
        <v>0</v>
      </c>
      <c r="W329" s="1">
        <v>0</v>
      </c>
      <c r="X329" s="1">
        <v>0</v>
      </c>
      <c r="Y329" s="1">
        <v>0</v>
      </c>
      <c r="Z329" s="1">
        <v>0</v>
      </c>
      <c r="AA329" s="1">
        <v>0</v>
      </c>
      <c r="AB329" s="1">
        <v>0</v>
      </c>
      <c r="AC329" s="1">
        <v>4</v>
      </c>
      <c r="AD329" s="1">
        <v>3</v>
      </c>
      <c r="AE329" s="1">
        <v>0</v>
      </c>
      <c r="AF329" s="1">
        <v>2</v>
      </c>
      <c r="AG329" s="208" t="s">
        <v>7004</v>
      </c>
      <c r="AH329" s="1">
        <v>3060</v>
      </c>
      <c r="AI329" t="s">
        <v>1843</v>
      </c>
      <c r="AJ329">
        <v>0</v>
      </c>
      <c r="AK329" s="1" t="s">
        <v>7076</v>
      </c>
      <c r="AL329" s="1" t="s">
        <v>7077</v>
      </c>
      <c r="AM329" s="1">
        <v>0.3</v>
      </c>
      <c r="AN329" s="1">
        <v>0.23</v>
      </c>
      <c r="AO329" s="1">
        <v>0.15</v>
      </c>
      <c r="AP329" s="1">
        <v>0.38</v>
      </c>
      <c r="AQ329" s="1">
        <v>3</v>
      </c>
      <c r="AR329" t="s">
        <v>7078</v>
      </c>
      <c r="AS329">
        <v>0</v>
      </c>
      <c r="AT329" t="s">
        <v>1806</v>
      </c>
      <c r="AU329">
        <v>10</v>
      </c>
      <c r="AV329">
        <v>20053</v>
      </c>
      <c r="AW329">
        <v>0</v>
      </c>
      <c r="AX329" t="b">
        <v>0</v>
      </c>
    </row>
    <row r="330" spans="1:50" x14ac:dyDescent="0.3">
      <c r="A330">
        <v>331</v>
      </c>
      <c r="B330" t="s">
        <v>7079</v>
      </c>
      <c r="C330" t="s">
        <v>7080</v>
      </c>
      <c r="D330">
        <v>5</v>
      </c>
      <c r="E330">
        <v>3</v>
      </c>
      <c r="F330">
        <v>20</v>
      </c>
      <c r="G330" s="1" t="s">
        <v>335</v>
      </c>
      <c r="H330" s="1" t="s">
        <v>330</v>
      </c>
      <c r="I330" s="1" t="s">
        <v>328</v>
      </c>
      <c r="J330" s="1" t="s">
        <v>328</v>
      </c>
      <c r="K330" s="1" t="s">
        <v>328</v>
      </c>
      <c r="L330" s="1" t="s">
        <v>328</v>
      </c>
      <c r="M330" s="1" t="s">
        <v>328</v>
      </c>
      <c r="N330" s="1" t="s">
        <v>328</v>
      </c>
      <c r="O330" s="1" t="s">
        <v>358</v>
      </c>
      <c r="P330" s="1" t="s">
        <v>328</v>
      </c>
      <c r="Q330" s="1" t="s">
        <v>328</v>
      </c>
      <c r="R330" s="1" t="s">
        <v>328</v>
      </c>
      <c r="S330" s="1" t="s">
        <v>328</v>
      </c>
      <c r="T330" s="1" t="s">
        <v>328</v>
      </c>
      <c r="U330" s="1">
        <v>0</v>
      </c>
      <c r="V330" s="1">
        <v>0</v>
      </c>
      <c r="W330" s="1">
        <v>0</v>
      </c>
      <c r="X330" s="1">
        <v>0</v>
      </c>
      <c r="Y330" s="1">
        <v>0</v>
      </c>
      <c r="Z330" s="1">
        <v>0</v>
      </c>
      <c r="AA330" s="1">
        <v>0</v>
      </c>
      <c r="AB330" s="1">
        <v>0</v>
      </c>
      <c r="AC330" s="1">
        <v>2</v>
      </c>
      <c r="AD330" s="1">
        <v>2</v>
      </c>
      <c r="AE330" s="1">
        <v>3</v>
      </c>
      <c r="AF330" s="1">
        <v>3</v>
      </c>
      <c r="AG330" s="208" t="s">
        <v>7019</v>
      </c>
      <c r="AH330" s="1">
        <v>3060</v>
      </c>
      <c r="AI330" t="s">
        <v>1843</v>
      </c>
      <c r="AJ330">
        <v>0</v>
      </c>
      <c r="AK330" s="1" t="s">
        <v>7081</v>
      </c>
      <c r="AL330" s="1" t="s">
        <v>7082</v>
      </c>
      <c r="AM330" s="1">
        <v>0.23</v>
      </c>
      <c r="AN330" s="1">
        <v>0.23</v>
      </c>
      <c r="AO330" s="1">
        <v>0.33</v>
      </c>
      <c r="AP330" s="1">
        <v>0.38</v>
      </c>
      <c r="AQ330" s="1">
        <v>3</v>
      </c>
      <c r="AR330" t="s">
        <v>7083</v>
      </c>
      <c r="AS330">
        <v>0</v>
      </c>
      <c r="AT330" t="s">
        <v>1806</v>
      </c>
      <c r="AU330">
        <v>10</v>
      </c>
      <c r="AV330">
        <v>20054</v>
      </c>
      <c r="AW330">
        <v>0</v>
      </c>
      <c r="AX330" t="b">
        <v>0</v>
      </c>
    </row>
    <row r="331" spans="1:50" x14ac:dyDescent="0.3">
      <c r="A331">
        <v>332</v>
      </c>
      <c r="B331" t="s">
        <v>7098</v>
      </c>
      <c r="C331" t="s">
        <v>7099</v>
      </c>
      <c r="D331">
        <v>5</v>
      </c>
      <c r="E331">
        <v>1</v>
      </c>
      <c r="F331">
        <v>18</v>
      </c>
      <c r="G331" s="1" t="s">
        <v>328</v>
      </c>
      <c r="H331" s="1" t="s">
        <v>328</v>
      </c>
      <c r="I331" s="1" t="s">
        <v>338</v>
      </c>
      <c r="J331" s="1" t="s">
        <v>328</v>
      </c>
      <c r="K331" s="1" t="s">
        <v>328</v>
      </c>
      <c r="L331" s="1" t="s">
        <v>328</v>
      </c>
      <c r="M331" s="1" t="s">
        <v>328</v>
      </c>
      <c r="N331" s="1" t="s">
        <v>328</v>
      </c>
      <c r="O331" s="1" t="s">
        <v>328</v>
      </c>
      <c r="P331" s="1" t="s">
        <v>328</v>
      </c>
      <c r="Q331" s="1" t="s">
        <v>328</v>
      </c>
      <c r="R331" s="1" t="s">
        <v>328</v>
      </c>
      <c r="S331" s="1" t="s">
        <v>328</v>
      </c>
      <c r="T331" s="1" t="s">
        <v>328</v>
      </c>
      <c r="U331" s="1">
        <v>0</v>
      </c>
      <c r="V331" s="1">
        <v>300</v>
      </c>
      <c r="W331" s="1">
        <v>0</v>
      </c>
      <c r="X331" s="1">
        <v>0</v>
      </c>
      <c r="Y331" s="1">
        <v>0</v>
      </c>
      <c r="Z331" s="1">
        <v>0</v>
      </c>
      <c r="AA331" s="1">
        <v>0</v>
      </c>
      <c r="AB331" s="1">
        <v>0</v>
      </c>
      <c r="AC331" s="1">
        <v>3</v>
      </c>
      <c r="AD331" s="1">
        <v>1</v>
      </c>
      <c r="AE331" s="1">
        <v>4</v>
      </c>
      <c r="AF331" s="1">
        <v>2</v>
      </c>
      <c r="AG331" s="208" t="s">
        <v>1628</v>
      </c>
      <c r="AH331" s="1">
        <v>3060</v>
      </c>
      <c r="AI331" t="s">
        <v>7100</v>
      </c>
      <c r="AJ331">
        <v>0</v>
      </c>
      <c r="AK331" s="1" t="s">
        <v>7101</v>
      </c>
      <c r="AL331" s="1" t="s">
        <v>7102</v>
      </c>
      <c r="AM331" s="1">
        <v>0.45</v>
      </c>
      <c r="AN331" s="1">
        <v>0.15</v>
      </c>
      <c r="AO331" s="1">
        <v>0.3</v>
      </c>
      <c r="AP331" s="1">
        <v>0.15</v>
      </c>
      <c r="AQ331" s="1">
        <v>3</v>
      </c>
      <c r="AR331" t="s">
        <v>1572</v>
      </c>
      <c r="AS331">
        <v>0</v>
      </c>
      <c r="AT331" t="s">
        <v>7103</v>
      </c>
      <c r="AU331">
        <v>10</v>
      </c>
      <c r="AV331">
        <v>18113</v>
      </c>
      <c r="AW331">
        <v>0</v>
      </c>
      <c r="AX331" t="b">
        <v>0</v>
      </c>
    </row>
    <row r="332" spans="1:50" x14ac:dyDescent="0.3">
      <c r="A332">
        <v>333</v>
      </c>
      <c r="B332" t="s">
        <v>7171</v>
      </c>
      <c r="C332" t="s">
        <v>7172</v>
      </c>
      <c r="D332">
        <v>5</v>
      </c>
      <c r="E332">
        <v>3</v>
      </c>
      <c r="F332">
        <v>20</v>
      </c>
      <c r="G332" s="1" t="s">
        <v>335</v>
      </c>
      <c r="H332" s="1" t="s">
        <v>328</v>
      </c>
      <c r="I332" s="1" t="s">
        <v>328</v>
      </c>
      <c r="J332" s="1" t="s">
        <v>342</v>
      </c>
      <c r="K332" s="1" t="s">
        <v>328</v>
      </c>
      <c r="L332" s="1" t="s">
        <v>328</v>
      </c>
      <c r="M332" s="1" t="s">
        <v>328</v>
      </c>
      <c r="N332" s="1" t="s">
        <v>328</v>
      </c>
      <c r="O332" s="1" t="s">
        <v>328</v>
      </c>
      <c r="P332" s="1" t="s">
        <v>328</v>
      </c>
      <c r="Q332" s="1" t="s">
        <v>328</v>
      </c>
      <c r="R332" s="1" t="s">
        <v>328</v>
      </c>
      <c r="S332" s="1" t="s">
        <v>328</v>
      </c>
      <c r="T332" s="1" t="s">
        <v>328</v>
      </c>
      <c r="U332" s="1">
        <v>0</v>
      </c>
      <c r="V332" s="1">
        <v>150</v>
      </c>
      <c r="W332" s="1">
        <v>0</v>
      </c>
      <c r="X332" s="1">
        <v>0</v>
      </c>
      <c r="Y332" s="1">
        <v>0</v>
      </c>
      <c r="Z332" s="1">
        <v>0</v>
      </c>
      <c r="AA332" s="1">
        <v>0</v>
      </c>
      <c r="AB332" s="1">
        <v>0</v>
      </c>
      <c r="AC332" s="1">
        <v>3</v>
      </c>
      <c r="AD332" s="1">
        <v>1</v>
      </c>
      <c r="AE332" s="1">
        <v>1</v>
      </c>
      <c r="AF332" s="1">
        <v>3</v>
      </c>
      <c r="AG332" s="208" t="s">
        <v>7141</v>
      </c>
      <c r="AH332" s="1">
        <v>3540</v>
      </c>
      <c r="AI332" t="s">
        <v>1843</v>
      </c>
      <c r="AJ332">
        <v>0</v>
      </c>
      <c r="AK332" s="1" t="s">
        <v>7170</v>
      </c>
      <c r="AL332" s="1" t="s">
        <v>7173</v>
      </c>
      <c r="AM332" s="1">
        <v>0.1</v>
      </c>
      <c r="AN332" s="1">
        <v>0.1</v>
      </c>
      <c r="AO332" s="1">
        <v>0.1</v>
      </c>
      <c r="AP332" s="1">
        <v>0.55000000000000004</v>
      </c>
      <c r="AQ332" s="1">
        <v>3</v>
      </c>
      <c r="AR332" t="s">
        <v>1473</v>
      </c>
      <c r="AS332">
        <v>0</v>
      </c>
      <c r="AT332" t="s">
        <v>6830</v>
      </c>
      <c r="AU332">
        <v>10</v>
      </c>
      <c r="AV332">
        <v>20055</v>
      </c>
      <c r="AW332">
        <v>0</v>
      </c>
      <c r="AX332" t="b">
        <v>0</v>
      </c>
    </row>
    <row r="333" spans="1:50" x14ac:dyDescent="0.3">
      <c r="A333">
        <v>334</v>
      </c>
      <c r="B333" t="s">
        <v>7174</v>
      </c>
      <c r="C333" t="s">
        <v>7175</v>
      </c>
      <c r="D333">
        <v>5</v>
      </c>
      <c r="E333">
        <v>3</v>
      </c>
      <c r="F333">
        <v>20</v>
      </c>
      <c r="G333" s="1" t="s">
        <v>1607</v>
      </c>
      <c r="H333" s="1" t="s">
        <v>328</v>
      </c>
      <c r="I333" s="1" t="s">
        <v>363</v>
      </c>
      <c r="J333" s="1" t="s">
        <v>328</v>
      </c>
      <c r="K333" s="1" t="s">
        <v>328</v>
      </c>
      <c r="L333" s="1" t="s">
        <v>328</v>
      </c>
      <c r="M333" s="1" t="s">
        <v>328</v>
      </c>
      <c r="N333" s="1" t="s">
        <v>328</v>
      </c>
      <c r="O333" s="1" t="s">
        <v>328</v>
      </c>
      <c r="P333" s="1" t="s">
        <v>328</v>
      </c>
      <c r="Q333" s="1" t="s">
        <v>328</v>
      </c>
      <c r="R333" s="1" t="s">
        <v>328</v>
      </c>
      <c r="S333" s="1" t="s">
        <v>328</v>
      </c>
      <c r="T333" s="1" t="s">
        <v>328</v>
      </c>
      <c r="U333" s="1">
        <v>0</v>
      </c>
      <c r="V333" s="1">
        <v>0</v>
      </c>
      <c r="W333" s="1">
        <v>0</v>
      </c>
      <c r="X333" s="1">
        <v>0</v>
      </c>
      <c r="Y333" s="1">
        <v>0</v>
      </c>
      <c r="Z333" s="1">
        <v>0</v>
      </c>
      <c r="AA333" s="1">
        <v>0</v>
      </c>
      <c r="AB333" s="1">
        <v>0</v>
      </c>
      <c r="AC333" s="1">
        <v>4</v>
      </c>
      <c r="AD333" s="1">
        <v>2</v>
      </c>
      <c r="AE333" s="1">
        <v>0</v>
      </c>
      <c r="AF333" s="1">
        <v>4</v>
      </c>
      <c r="AG333" s="208" t="s">
        <v>7148</v>
      </c>
      <c r="AH333" s="1">
        <v>3120</v>
      </c>
      <c r="AI333" t="s">
        <v>1843</v>
      </c>
      <c r="AJ333">
        <v>0</v>
      </c>
      <c r="AK333" s="1" t="s">
        <v>7176</v>
      </c>
      <c r="AL333" s="1" t="s">
        <v>7177</v>
      </c>
      <c r="AM333" s="1">
        <v>0.3</v>
      </c>
      <c r="AN333" s="1">
        <v>0.25</v>
      </c>
      <c r="AO333" s="1">
        <v>0.12</v>
      </c>
      <c r="AP333" s="1">
        <v>0.38</v>
      </c>
      <c r="AQ333" s="1">
        <v>3</v>
      </c>
      <c r="AR333" t="s">
        <v>1478</v>
      </c>
      <c r="AS333">
        <v>0</v>
      </c>
      <c r="AT333" t="s">
        <v>1806</v>
      </c>
      <c r="AU333">
        <v>10</v>
      </c>
      <c r="AV333">
        <v>20056</v>
      </c>
      <c r="AW333">
        <v>0</v>
      </c>
      <c r="AX333" t="b">
        <v>0</v>
      </c>
    </row>
    <row r="334" spans="1:50" x14ac:dyDescent="0.3">
      <c r="A334">
        <v>335</v>
      </c>
      <c r="B334" t="s">
        <v>7178</v>
      </c>
      <c r="C334" t="s">
        <v>7179</v>
      </c>
      <c r="D334">
        <v>5</v>
      </c>
      <c r="E334">
        <v>2</v>
      </c>
      <c r="F334">
        <v>19</v>
      </c>
      <c r="G334" s="1" t="s">
        <v>328</v>
      </c>
      <c r="H334" s="1" t="s">
        <v>385</v>
      </c>
      <c r="I334" s="1" t="s">
        <v>328</v>
      </c>
      <c r="J334" s="1" t="s">
        <v>328</v>
      </c>
      <c r="K334" s="1" t="s">
        <v>328</v>
      </c>
      <c r="L334" s="1" t="s">
        <v>328</v>
      </c>
      <c r="M334" s="1" t="s">
        <v>328</v>
      </c>
      <c r="N334" s="1" t="s">
        <v>328</v>
      </c>
      <c r="O334" s="1" t="s">
        <v>328</v>
      </c>
      <c r="P334" s="1" t="s">
        <v>328</v>
      </c>
      <c r="Q334" s="1" t="s">
        <v>328</v>
      </c>
      <c r="R334" s="1" t="s">
        <v>328</v>
      </c>
      <c r="S334" s="1" t="s">
        <v>328</v>
      </c>
      <c r="T334" s="1" t="s">
        <v>328</v>
      </c>
      <c r="U334" s="1">
        <v>0</v>
      </c>
      <c r="V334" s="1">
        <v>150</v>
      </c>
      <c r="W334" s="1">
        <v>0</v>
      </c>
      <c r="X334" s="1">
        <v>0</v>
      </c>
      <c r="Y334" s="1">
        <v>0</v>
      </c>
      <c r="Z334" s="1">
        <v>0</v>
      </c>
      <c r="AA334" s="1">
        <v>0</v>
      </c>
      <c r="AB334" s="1">
        <v>0</v>
      </c>
      <c r="AC334" s="1">
        <v>4</v>
      </c>
      <c r="AD334" s="1">
        <v>4</v>
      </c>
      <c r="AE334" s="1">
        <v>0</v>
      </c>
      <c r="AF334" s="1">
        <v>2</v>
      </c>
      <c r="AG334" s="208" t="s">
        <v>7192</v>
      </c>
      <c r="AH334" s="1">
        <v>3600</v>
      </c>
      <c r="AI334" t="s">
        <v>6500</v>
      </c>
      <c r="AJ334">
        <v>0</v>
      </c>
      <c r="AK334" s="1" t="s">
        <v>7169</v>
      </c>
      <c r="AL334" s="1" t="s">
        <v>7180</v>
      </c>
      <c r="AM334" s="1">
        <v>0.48</v>
      </c>
      <c r="AN334" s="1">
        <v>0.48</v>
      </c>
      <c r="AO334" s="1">
        <v>0.08</v>
      </c>
      <c r="AP334" s="1">
        <v>0.25</v>
      </c>
      <c r="AQ334" s="1">
        <v>3</v>
      </c>
      <c r="AR334" t="s">
        <v>1493</v>
      </c>
      <c r="AS334">
        <v>0</v>
      </c>
      <c r="AT334" t="s">
        <v>6502</v>
      </c>
      <c r="AU334">
        <v>10</v>
      </c>
      <c r="AV334">
        <v>19052</v>
      </c>
      <c r="AW334">
        <v>0</v>
      </c>
      <c r="AX334" t="b">
        <v>0</v>
      </c>
    </row>
    <row r="335" spans="1:50" x14ac:dyDescent="0.3">
      <c r="A335">
        <v>336</v>
      </c>
      <c r="B335" t="s">
        <v>7181</v>
      </c>
      <c r="C335" t="s">
        <v>7182</v>
      </c>
      <c r="D335">
        <v>5</v>
      </c>
      <c r="E335">
        <v>3</v>
      </c>
      <c r="F335">
        <v>20</v>
      </c>
      <c r="G335" s="1" t="s">
        <v>328</v>
      </c>
      <c r="H335" s="1" t="s">
        <v>328</v>
      </c>
      <c r="I335" s="1" t="s">
        <v>328</v>
      </c>
      <c r="J335" s="1" t="s">
        <v>330</v>
      </c>
      <c r="K335" s="1" t="s">
        <v>328</v>
      </c>
      <c r="L335" s="1" t="s">
        <v>328</v>
      </c>
      <c r="M335" s="1" t="s">
        <v>328</v>
      </c>
      <c r="N335" s="1" t="s">
        <v>328</v>
      </c>
      <c r="O335" s="1" t="s">
        <v>7183</v>
      </c>
      <c r="P335" s="1" t="s">
        <v>328</v>
      </c>
      <c r="Q335" s="1" t="s">
        <v>328</v>
      </c>
      <c r="R335" s="1" t="s">
        <v>328</v>
      </c>
      <c r="S335" s="1" t="s">
        <v>328</v>
      </c>
      <c r="T335" s="1" t="s">
        <v>328</v>
      </c>
      <c r="U335" s="1">
        <v>0</v>
      </c>
      <c r="V335" s="1">
        <v>0</v>
      </c>
      <c r="W335" s="1">
        <v>0</v>
      </c>
      <c r="X335" s="1">
        <v>0</v>
      </c>
      <c r="Y335" s="1">
        <v>0</v>
      </c>
      <c r="Z335" s="1">
        <v>0</v>
      </c>
      <c r="AA335" s="1">
        <v>0</v>
      </c>
      <c r="AB335" s="1">
        <v>0</v>
      </c>
      <c r="AC335" s="1">
        <v>2</v>
      </c>
      <c r="AD335" s="1">
        <v>2</v>
      </c>
      <c r="AE335" s="1">
        <v>3</v>
      </c>
      <c r="AF335" s="1">
        <v>3</v>
      </c>
      <c r="AG335" s="208" t="s">
        <v>7163</v>
      </c>
      <c r="AH335" s="1">
        <v>3060</v>
      </c>
      <c r="AI335" t="s">
        <v>1843</v>
      </c>
      <c r="AJ335">
        <v>0</v>
      </c>
      <c r="AK335" s="1" t="s">
        <v>7184</v>
      </c>
      <c r="AL335" s="1" t="s">
        <v>7185</v>
      </c>
      <c r="AM335" s="1">
        <v>0.23</v>
      </c>
      <c r="AN335" s="1">
        <v>0.23</v>
      </c>
      <c r="AO335" s="1">
        <v>0.33</v>
      </c>
      <c r="AP335" s="1">
        <v>0.38</v>
      </c>
      <c r="AQ335" s="1">
        <v>3</v>
      </c>
      <c r="AR335" t="s">
        <v>1585</v>
      </c>
      <c r="AS335">
        <v>0</v>
      </c>
      <c r="AT335" t="s">
        <v>7186</v>
      </c>
      <c r="AU335">
        <v>10</v>
      </c>
      <c r="AV335">
        <v>20057</v>
      </c>
      <c r="AW335">
        <v>0</v>
      </c>
      <c r="AX335" t="b">
        <v>0</v>
      </c>
    </row>
    <row r="336" spans="1:50" x14ac:dyDescent="0.3">
      <c r="A336">
        <v>339</v>
      </c>
      <c r="B336" t="s">
        <v>7187</v>
      </c>
      <c r="C336" t="s">
        <v>7188</v>
      </c>
      <c r="D336">
        <v>5</v>
      </c>
      <c r="E336">
        <v>2</v>
      </c>
      <c r="F336">
        <v>19</v>
      </c>
      <c r="G336" s="1" t="s">
        <v>335</v>
      </c>
      <c r="H336" s="1" t="s">
        <v>328</v>
      </c>
      <c r="I336" s="1" t="s">
        <v>328</v>
      </c>
      <c r="J336" s="1" t="s">
        <v>328</v>
      </c>
      <c r="K336" s="1" t="s">
        <v>328</v>
      </c>
      <c r="L336" s="1" t="s">
        <v>328</v>
      </c>
      <c r="M336" s="1" t="s">
        <v>328</v>
      </c>
      <c r="N336" s="1" t="s">
        <v>352</v>
      </c>
      <c r="O336" s="1" t="s">
        <v>328</v>
      </c>
      <c r="P336" s="1" t="s">
        <v>328</v>
      </c>
      <c r="Q336" s="1" t="s">
        <v>328</v>
      </c>
      <c r="R336" s="1" t="s">
        <v>328</v>
      </c>
      <c r="S336" s="1" t="s">
        <v>328</v>
      </c>
      <c r="T336" s="1" t="s">
        <v>328</v>
      </c>
      <c r="U336" s="1">
        <v>0</v>
      </c>
      <c r="V336" s="1">
        <v>0</v>
      </c>
      <c r="W336" s="1">
        <v>0</v>
      </c>
      <c r="X336" s="1">
        <v>0</v>
      </c>
      <c r="Y336" s="1">
        <v>0</v>
      </c>
      <c r="Z336" s="1">
        <v>0</v>
      </c>
      <c r="AA336" s="1">
        <v>0</v>
      </c>
      <c r="AB336" s="1">
        <v>0</v>
      </c>
      <c r="AC336" s="1">
        <v>0</v>
      </c>
      <c r="AD336" s="1">
        <v>4</v>
      </c>
      <c r="AE336" s="1">
        <v>2</v>
      </c>
      <c r="AF336" s="1">
        <v>3</v>
      </c>
      <c r="AG336" s="208" t="s">
        <v>794</v>
      </c>
      <c r="AH336" s="1">
        <v>3300</v>
      </c>
      <c r="AI336" t="s">
        <v>1843</v>
      </c>
      <c r="AJ336">
        <v>0</v>
      </c>
      <c r="AK336" s="1" t="s">
        <v>7189</v>
      </c>
      <c r="AL336" s="1" t="s">
        <v>7190</v>
      </c>
      <c r="AM336" s="1">
        <v>0.08</v>
      </c>
      <c r="AN336" s="1">
        <v>0.5</v>
      </c>
      <c r="AO336" s="1">
        <v>0.3</v>
      </c>
      <c r="AP336" s="1">
        <v>0.3</v>
      </c>
      <c r="AQ336" s="1">
        <v>3</v>
      </c>
      <c r="AR336" t="s">
        <v>1552</v>
      </c>
      <c r="AS336">
        <v>0</v>
      </c>
      <c r="AT336" t="s">
        <v>7191</v>
      </c>
      <c r="AU336">
        <v>10</v>
      </c>
      <c r="AV336">
        <v>19053</v>
      </c>
      <c r="AW336">
        <v>0</v>
      </c>
      <c r="AX336" t="b">
        <v>0</v>
      </c>
    </row>
    <row r="337" spans="1:50" x14ac:dyDescent="0.3">
      <c r="A337">
        <v>337</v>
      </c>
      <c r="B337" t="s">
        <v>7280</v>
      </c>
      <c r="C337" t="s">
        <v>7281</v>
      </c>
      <c r="D337">
        <v>5</v>
      </c>
      <c r="E337">
        <v>2</v>
      </c>
      <c r="F337">
        <v>19</v>
      </c>
      <c r="G337" s="1" t="s">
        <v>328</v>
      </c>
      <c r="H337" s="1" t="s">
        <v>328</v>
      </c>
      <c r="I337" s="1" t="s">
        <v>328</v>
      </c>
      <c r="J337" s="1" t="s">
        <v>328</v>
      </c>
      <c r="K337" s="1" t="s">
        <v>470</v>
      </c>
      <c r="L337" s="1" t="s">
        <v>328</v>
      </c>
      <c r="M337" s="1" t="s">
        <v>328</v>
      </c>
      <c r="N337" s="1" t="s">
        <v>6913</v>
      </c>
      <c r="O337" s="1" t="s">
        <v>328</v>
      </c>
      <c r="P337" s="1" t="s">
        <v>328</v>
      </c>
      <c r="Q337" s="1" t="s">
        <v>328</v>
      </c>
      <c r="R337" s="1" t="s">
        <v>328</v>
      </c>
      <c r="S337" s="1" t="s">
        <v>328</v>
      </c>
      <c r="T337" s="1" t="s">
        <v>328</v>
      </c>
      <c r="U337" s="1">
        <v>0</v>
      </c>
      <c r="V337" s="1">
        <v>0</v>
      </c>
      <c r="W337" s="1">
        <v>0</v>
      </c>
      <c r="X337" s="1">
        <v>0</v>
      </c>
      <c r="Y337" s="1">
        <v>0</v>
      </c>
      <c r="Z337" s="1">
        <v>0</v>
      </c>
      <c r="AA337" s="1">
        <v>0</v>
      </c>
      <c r="AB337" s="1">
        <v>0</v>
      </c>
      <c r="AC337" s="1">
        <v>0</v>
      </c>
      <c r="AD337" s="1">
        <v>4</v>
      </c>
      <c r="AE337" s="1">
        <v>2</v>
      </c>
      <c r="AF337" s="1">
        <v>3</v>
      </c>
      <c r="AG337" s="208" t="s">
        <v>8117</v>
      </c>
      <c r="AH337" s="1">
        <v>3300</v>
      </c>
      <c r="AI337" t="s">
        <v>1843</v>
      </c>
      <c r="AJ337">
        <v>0</v>
      </c>
      <c r="AK337" s="1" t="s">
        <v>7282</v>
      </c>
      <c r="AL337" s="1" t="s">
        <v>7283</v>
      </c>
      <c r="AM337" s="1">
        <v>0.08</v>
      </c>
      <c r="AN337" s="1">
        <v>0.5</v>
      </c>
      <c r="AO337" s="1">
        <v>0.3</v>
      </c>
      <c r="AP337" s="1">
        <v>0.3</v>
      </c>
      <c r="AQ337" s="1">
        <v>3</v>
      </c>
      <c r="AR337" t="s">
        <v>7284</v>
      </c>
      <c r="AS337">
        <v>0</v>
      </c>
      <c r="AT337" t="s">
        <v>7285</v>
      </c>
      <c r="AU337">
        <v>10</v>
      </c>
      <c r="AV337">
        <v>19053</v>
      </c>
      <c r="AW337">
        <v>3</v>
      </c>
      <c r="AX337" t="b">
        <v>0</v>
      </c>
    </row>
    <row r="338" spans="1:50" x14ac:dyDescent="0.3">
      <c r="A338">
        <v>338</v>
      </c>
      <c r="B338" t="s">
        <v>7286</v>
      </c>
      <c r="C338" t="s">
        <v>7287</v>
      </c>
      <c r="D338">
        <v>5</v>
      </c>
      <c r="E338">
        <v>1</v>
      </c>
      <c r="F338">
        <v>16</v>
      </c>
      <c r="G338" s="1" t="s">
        <v>328</v>
      </c>
      <c r="H338" s="1" t="s">
        <v>328</v>
      </c>
      <c r="I338" s="1" t="s">
        <v>328</v>
      </c>
      <c r="J338" s="1" t="s">
        <v>328</v>
      </c>
      <c r="K338" s="1" t="s">
        <v>470</v>
      </c>
      <c r="L338" s="1" t="s">
        <v>328</v>
      </c>
      <c r="M338" s="1" t="s">
        <v>6623</v>
      </c>
      <c r="N338" s="1" t="s">
        <v>328</v>
      </c>
      <c r="O338" s="1" t="s">
        <v>328</v>
      </c>
      <c r="P338" s="1" t="s">
        <v>328</v>
      </c>
      <c r="Q338" s="1" t="s">
        <v>328</v>
      </c>
      <c r="R338" s="1" t="s">
        <v>328</v>
      </c>
      <c r="S338" s="1" t="s">
        <v>328</v>
      </c>
      <c r="T338" s="1" t="s">
        <v>328</v>
      </c>
      <c r="U338" s="1">
        <v>0</v>
      </c>
      <c r="V338" s="1">
        <v>0</v>
      </c>
      <c r="W338" s="1">
        <v>0</v>
      </c>
      <c r="X338" s="1">
        <v>0</v>
      </c>
      <c r="Y338" s="1">
        <v>0</v>
      </c>
      <c r="Z338" s="1">
        <v>0</v>
      </c>
      <c r="AA338" s="1">
        <v>0</v>
      </c>
      <c r="AB338" s="1">
        <v>0</v>
      </c>
      <c r="AC338" s="1">
        <v>4</v>
      </c>
      <c r="AD338" s="1">
        <v>1</v>
      </c>
      <c r="AE338" s="1">
        <v>4</v>
      </c>
      <c r="AF338" s="1">
        <v>1</v>
      </c>
      <c r="AG338" s="208" t="s">
        <v>8118</v>
      </c>
      <c r="AH338" s="1">
        <v>3600</v>
      </c>
      <c r="AI338" t="s">
        <v>1918</v>
      </c>
      <c r="AJ338">
        <v>0</v>
      </c>
      <c r="AK338" s="1" t="s">
        <v>7288</v>
      </c>
      <c r="AL338" s="1" t="s">
        <v>7289</v>
      </c>
      <c r="AM338" s="1">
        <v>0.5</v>
      </c>
      <c r="AN338" s="1">
        <v>0.25</v>
      </c>
      <c r="AO338" s="1">
        <v>0.55000000000000004</v>
      </c>
      <c r="AP338" s="1">
        <v>0.15</v>
      </c>
      <c r="AQ338" s="1">
        <v>3</v>
      </c>
      <c r="AR338" t="s">
        <v>7290</v>
      </c>
      <c r="AS338">
        <v>0</v>
      </c>
      <c r="AT338" t="s">
        <v>7291</v>
      </c>
      <c r="AU338">
        <v>10</v>
      </c>
      <c r="AV338">
        <v>18114</v>
      </c>
      <c r="AW338">
        <v>4</v>
      </c>
      <c r="AX338" t="b">
        <v>0</v>
      </c>
    </row>
    <row r="339" spans="1:50" x14ac:dyDescent="0.3">
      <c r="A339">
        <v>340</v>
      </c>
      <c r="B339" t="s">
        <v>7292</v>
      </c>
      <c r="C339" t="s">
        <v>7293</v>
      </c>
      <c r="D339">
        <v>5</v>
      </c>
      <c r="E339">
        <v>2</v>
      </c>
      <c r="F339">
        <v>19</v>
      </c>
      <c r="G339" s="1" t="s">
        <v>364</v>
      </c>
      <c r="H339" s="1" t="s">
        <v>328</v>
      </c>
      <c r="I339" s="1" t="s">
        <v>328</v>
      </c>
      <c r="J339" s="1" t="s">
        <v>328</v>
      </c>
      <c r="K339" s="1" t="s">
        <v>328</v>
      </c>
      <c r="L339" s="1" t="s">
        <v>328</v>
      </c>
      <c r="M339" s="1" t="s">
        <v>328</v>
      </c>
      <c r="N339" s="1" t="s">
        <v>7294</v>
      </c>
      <c r="O339" s="1" t="s">
        <v>328</v>
      </c>
      <c r="P339" s="1" t="s">
        <v>328</v>
      </c>
      <c r="Q339" s="1" t="s">
        <v>328</v>
      </c>
      <c r="R339" s="1" t="s">
        <v>328</v>
      </c>
      <c r="S339" s="1" t="s">
        <v>328</v>
      </c>
      <c r="T339" s="1" t="s">
        <v>328</v>
      </c>
      <c r="U339" s="1">
        <v>0</v>
      </c>
      <c r="V339" s="1">
        <v>0</v>
      </c>
      <c r="W339" s="1">
        <v>0</v>
      </c>
      <c r="X339" s="1">
        <v>0</v>
      </c>
      <c r="Y339" s="1">
        <v>0</v>
      </c>
      <c r="Z339" s="1">
        <v>0</v>
      </c>
      <c r="AA339" s="1">
        <v>0</v>
      </c>
      <c r="AB339" s="1">
        <v>0</v>
      </c>
      <c r="AC339" s="1">
        <v>0</v>
      </c>
      <c r="AD339" s="1">
        <v>4</v>
      </c>
      <c r="AE339" s="1">
        <v>2</v>
      </c>
      <c r="AF339" s="1">
        <v>3</v>
      </c>
      <c r="AG339" s="208" t="s">
        <v>7302</v>
      </c>
      <c r="AH339" s="1">
        <v>3300</v>
      </c>
      <c r="AI339" t="s">
        <v>1843</v>
      </c>
      <c r="AJ339">
        <v>0</v>
      </c>
      <c r="AK339" s="1" t="s">
        <v>380</v>
      </c>
      <c r="AL339" s="1" t="s">
        <v>7295</v>
      </c>
      <c r="AM339" s="1">
        <v>0.08</v>
      </c>
      <c r="AN339" s="1">
        <v>0.5</v>
      </c>
      <c r="AO339" s="1">
        <v>0.3</v>
      </c>
      <c r="AP339" s="1">
        <v>0.3</v>
      </c>
      <c r="AQ339" s="1">
        <v>3</v>
      </c>
      <c r="AR339" t="s">
        <v>6943</v>
      </c>
      <c r="AS339">
        <v>0</v>
      </c>
      <c r="AT339" t="s">
        <v>7296</v>
      </c>
      <c r="AU339">
        <v>10</v>
      </c>
      <c r="AV339">
        <v>19055</v>
      </c>
      <c r="AW339">
        <v>0</v>
      </c>
      <c r="AX339" t="b">
        <v>0</v>
      </c>
    </row>
    <row r="340" spans="1:50" x14ac:dyDescent="0.3">
      <c r="A340">
        <v>341</v>
      </c>
      <c r="B340" t="s">
        <v>7297</v>
      </c>
      <c r="C340" t="s">
        <v>7298</v>
      </c>
      <c r="D340">
        <v>5</v>
      </c>
      <c r="E340">
        <v>2</v>
      </c>
      <c r="F340">
        <v>19</v>
      </c>
      <c r="G340" s="1" t="s">
        <v>470</v>
      </c>
      <c r="H340" s="1" t="s">
        <v>328</v>
      </c>
      <c r="I340" s="1" t="s">
        <v>328</v>
      </c>
      <c r="J340" s="1" t="s">
        <v>328</v>
      </c>
      <c r="K340" s="1" t="s">
        <v>328</v>
      </c>
      <c r="L340" s="1" t="s">
        <v>328</v>
      </c>
      <c r="M340" s="1" t="s">
        <v>328</v>
      </c>
      <c r="N340" s="1" t="s">
        <v>7299</v>
      </c>
      <c r="O340" s="1" t="s">
        <v>328</v>
      </c>
      <c r="P340" s="1" t="s">
        <v>328</v>
      </c>
      <c r="Q340" s="1" t="s">
        <v>328</v>
      </c>
      <c r="R340" s="1" t="s">
        <v>328</v>
      </c>
      <c r="S340" s="1" t="s">
        <v>328</v>
      </c>
      <c r="T340" s="1" t="s">
        <v>328</v>
      </c>
      <c r="U340" s="1">
        <v>0</v>
      </c>
      <c r="V340" s="1">
        <v>0</v>
      </c>
      <c r="W340" s="1">
        <v>0</v>
      </c>
      <c r="X340" s="1">
        <v>0</v>
      </c>
      <c r="Y340" s="1">
        <v>0</v>
      </c>
      <c r="Z340" s="1">
        <v>0</v>
      </c>
      <c r="AA340" s="1">
        <v>0</v>
      </c>
      <c r="AB340" s="1">
        <v>0</v>
      </c>
      <c r="AC340" s="1">
        <v>0</v>
      </c>
      <c r="AD340" s="1">
        <v>4</v>
      </c>
      <c r="AE340" s="1">
        <v>2</v>
      </c>
      <c r="AF340" s="1">
        <v>3</v>
      </c>
      <c r="AG340" s="208" t="s">
        <v>1651</v>
      </c>
      <c r="AH340" s="1">
        <v>3300</v>
      </c>
      <c r="AI340" t="s">
        <v>1843</v>
      </c>
      <c r="AJ340">
        <v>0</v>
      </c>
      <c r="AK340" s="1" t="s">
        <v>6978</v>
      </c>
      <c r="AL340" s="1" t="s">
        <v>7300</v>
      </c>
      <c r="AM340" s="1">
        <v>0.08</v>
      </c>
      <c r="AN340" s="1">
        <v>0.5</v>
      </c>
      <c r="AO340" s="1">
        <v>0.3</v>
      </c>
      <c r="AP340" s="1">
        <v>0.3</v>
      </c>
      <c r="AQ340" s="1">
        <v>3</v>
      </c>
      <c r="AR340" t="s">
        <v>6943</v>
      </c>
      <c r="AS340">
        <v>0</v>
      </c>
      <c r="AT340" t="s">
        <v>7301</v>
      </c>
      <c r="AU340">
        <v>10</v>
      </c>
      <c r="AV340">
        <v>19056</v>
      </c>
      <c r="AW340">
        <v>0</v>
      </c>
      <c r="AX340" t="b">
        <v>0</v>
      </c>
    </row>
    <row r="341" spans="1:50" x14ac:dyDescent="0.3">
      <c r="A341">
        <v>342</v>
      </c>
      <c r="B341" t="s">
        <v>7956</v>
      </c>
      <c r="C341" t="s">
        <v>7957</v>
      </c>
      <c r="D341">
        <v>5</v>
      </c>
      <c r="E341">
        <v>2</v>
      </c>
      <c r="F341">
        <v>19</v>
      </c>
      <c r="G341" s="1" t="s">
        <v>328</v>
      </c>
      <c r="H341" s="1" t="s">
        <v>338</v>
      </c>
      <c r="I341" s="1" t="s">
        <v>328</v>
      </c>
      <c r="J341" s="1" t="s">
        <v>328</v>
      </c>
      <c r="K341" s="1" t="s">
        <v>328</v>
      </c>
      <c r="L341" s="1" t="s">
        <v>328</v>
      </c>
      <c r="M341" s="1" t="s">
        <v>328</v>
      </c>
      <c r="N341" s="1" t="s">
        <v>328</v>
      </c>
      <c r="O341" s="1" t="s">
        <v>328</v>
      </c>
      <c r="P341" s="1" t="s">
        <v>328</v>
      </c>
      <c r="Q341" s="1" t="s">
        <v>328</v>
      </c>
      <c r="R341" s="1" t="s">
        <v>328</v>
      </c>
      <c r="S341" s="1" t="s">
        <v>328</v>
      </c>
      <c r="T341" s="1" t="s">
        <v>328</v>
      </c>
      <c r="U341" s="1">
        <v>0</v>
      </c>
      <c r="V341" s="1">
        <v>150</v>
      </c>
      <c r="W341" s="1">
        <v>0</v>
      </c>
      <c r="X341" s="1">
        <v>0</v>
      </c>
      <c r="Y341" s="1">
        <v>0</v>
      </c>
      <c r="Z341" s="1">
        <v>0</v>
      </c>
      <c r="AA341" s="1">
        <v>0</v>
      </c>
      <c r="AB341" s="1">
        <v>0</v>
      </c>
      <c r="AC341" s="1">
        <v>4</v>
      </c>
      <c r="AD341" s="1">
        <v>4</v>
      </c>
      <c r="AE341" s="1">
        <v>0</v>
      </c>
      <c r="AF341" s="1">
        <v>2</v>
      </c>
      <c r="AG341" s="208" t="s">
        <v>8119</v>
      </c>
      <c r="AH341" s="1">
        <v>3600</v>
      </c>
      <c r="AI341" t="s">
        <v>1843</v>
      </c>
      <c r="AJ341">
        <v>0</v>
      </c>
      <c r="AK341" s="1" t="s">
        <v>7958</v>
      </c>
      <c r="AL341" s="1" t="s">
        <v>7959</v>
      </c>
      <c r="AM341" s="1">
        <v>0.48</v>
      </c>
      <c r="AN341" s="1">
        <v>0.48</v>
      </c>
      <c r="AO341" s="1">
        <v>0.08</v>
      </c>
      <c r="AP341" s="1">
        <v>0.25</v>
      </c>
      <c r="AQ341" s="1">
        <v>3</v>
      </c>
      <c r="AR341" t="s">
        <v>1470</v>
      </c>
      <c r="AS341">
        <v>0</v>
      </c>
      <c r="AT341" t="s">
        <v>7960</v>
      </c>
      <c r="AU341">
        <v>10</v>
      </c>
      <c r="AV341">
        <v>19057</v>
      </c>
      <c r="AW341">
        <v>5</v>
      </c>
      <c r="AX341" t="b">
        <v>0</v>
      </c>
    </row>
    <row r="342" spans="1:50" x14ac:dyDescent="0.3">
      <c r="A342">
        <v>343</v>
      </c>
      <c r="B342" t="s">
        <v>7961</v>
      </c>
      <c r="C342" t="s">
        <v>7962</v>
      </c>
      <c r="D342">
        <v>5</v>
      </c>
      <c r="E342">
        <v>2</v>
      </c>
      <c r="F342">
        <v>19</v>
      </c>
      <c r="G342" s="1" t="s">
        <v>328</v>
      </c>
      <c r="H342" s="1" t="s">
        <v>338</v>
      </c>
      <c r="I342" s="1" t="s">
        <v>328</v>
      </c>
      <c r="J342" s="1" t="s">
        <v>328</v>
      </c>
      <c r="K342" s="1" t="s">
        <v>328</v>
      </c>
      <c r="L342" s="1" t="s">
        <v>328</v>
      </c>
      <c r="M342" s="1" t="s">
        <v>328</v>
      </c>
      <c r="N342" s="1" t="s">
        <v>328</v>
      </c>
      <c r="O342" s="1" t="s">
        <v>328</v>
      </c>
      <c r="P342" s="1" t="s">
        <v>328</v>
      </c>
      <c r="Q342" s="1" t="s">
        <v>328</v>
      </c>
      <c r="R342" s="1" t="s">
        <v>328</v>
      </c>
      <c r="S342" s="1" t="s">
        <v>328</v>
      </c>
      <c r="T342" s="1" t="s">
        <v>328</v>
      </c>
      <c r="U342" s="1">
        <v>0</v>
      </c>
      <c r="V342" s="1">
        <v>150</v>
      </c>
      <c r="W342" s="1">
        <v>0</v>
      </c>
      <c r="X342" s="1">
        <v>0</v>
      </c>
      <c r="Y342" s="1">
        <v>0</v>
      </c>
      <c r="Z342" s="1">
        <v>0</v>
      </c>
      <c r="AA342" s="1">
        <v>0</v>
      </c>
      <c r="AB342" s="1">
        <v>0</v>
      </c>
      <c r="AC342" s="1">
        <v>4</v>
      </c>
      <c r="AD342" s="1">
        <v>4</v>
      </c>
      <c r="AE342" s="1">
        <v>0</v>
      </c>
      <c r="AF342" s="1">
        <v>2</v>
      </c>
      <c r="AG342" s="208" t="s">
        <v>8120</v>
      </c>
      <c r="AH342" s="1">
        <v>3600</v>
      </c>
      <c r="AI342" t="s">
        <v>1843</v>
      </c>
      <c r="AJ342">
        <v>0</v>
      </c>
      <c r="AK342" s="1" t="s">
        <v>7963</v>
      </c>
      <c r="AL342" s="1" t="s">
        <v>7964</v>
      </c>
      <c r="AM342" s="1">
        <v>0.48</v>
      </c>
      <c r="AN342" s="1">
        <v>0.48</v>
      </c>
      <c r="AO342" s="1">
        <v>0.08</v>
      </c>
      <c r="AP342" s="1">
        <v>0.25</v>
      </c>
      <c r="AQ342" s="1">
        <v>3</v>
      </c>
      <c r="AR342" t="s">
        <v>1470</v>
      </c>
      <c r="AS342">
        <v>0</v>
      </c>
      <c r="AT342" t="s">
        <v>7965</v>
      </c>
      <c r="AU342">
        <v>10</v>
      </c>
      <c r="AV342">
        <v>19058</v>
      </c>
      <c r="AW342">
        <v>6</v>
      </c>
      <c r="AX342" t="b">
        <v>0</v>
      </c>
    </row>
    <row r="343" spans="1:50" x14ac:dyDescent="0.3">
      <c r="A343">
        <v>344</v>
      </c>
      <c r="B343" t="s">
        <v>7970</v>
      </c>
      <c r="C343" t="s">
        <v>7971</v>
      </c>
      <c r="D343">
        <v>5</v>
      </c>
      <c r="E343">
        <v>1</v>
      </c>
      <c r="F343">
        <v>18</v>
      </c>
      <c r="G343" s="1" t="s">
        <v>328</v>
      </c>
      <c r="H343" s="1" t="s">
        <v>328</v>
      </c>
      <c r="I343" s="1" t="s">
        <v>413</v>
      </c>
      <c r="J343" s="1" t="s">
        <v>328</v>
      </c>
      <c r="K343" s="1" t="s">
        <v>328</v>
      </c>
      <c r="L343" s="1" t="s">
        <v>328</v>
      </c>
      <c r="M343" s="1" t="s">
        <v>488</v>
      </c>
      <c r="N343" s="1" t="s">
        <v>328</v>
      </c>
      <c r="O343" s="1" t="s">
        <v>328</v>
      </c>
      <c r="P343" s="1" t="s">
        <v>328</v>
      </c>
      <c r="Q343" s="1" t="s">
        <v>328</v>
      </c>
      <c r="R343" s="1" t="s">
        <v>328</v>
      </c>
      <c r="S343" s="1" t="s">
        <v>328</v>
      </c>
      <c r="T343" s="1" t="s">
        <v>328</v>
      </c>
      <c r="U343" s="1">
        <v>0</v>
      </c>
      <c r="V343" s="1">
        <v>0</v>
      </c>
      <c r="W343" s="1">
        <v>0</v>
      </c>
      <c r="X343" s="1">
        <v>0</v>
      </c>
      <c r="Y343" s="1">
        <v>0</v>
      </c>
      <c r="Z343" s="1">
        <v>0</v>
      </c>
      <c r="AA343" s="1">
        <v>0</v>
      </c>
      <c r="AB343" s="1">
        <v>0</v>
      </c>
      <c r="AC343" s="1">
        <v>4</v>
      </c>
      <c r="AD343" s="1">
        <v>2</v>
      </c>
      <c r="AE343" s="1">
        <v>2</v>
      </c>
      <c r="AF343" s="1">
        <v>2</v>
      </c>
      <c r="AG343" s="208" t="s">
        <v>3213</v>
      </c>
      <c r="AH343" s="1">
        <v>3540</v>
      </c>
      <c r="AI343" t="s">
        <v>1843</v>
      </c>
      <c r="AJ343">
        <v>0</v>
      </c>
      <c r="AK343" s="1" t="s">
        <v>7972</v>
      </c>
      <c r="AL343" s="1" t="s">
        <v>7973</v>
      </c>
      <c r="AM343" s="1">
        <v>0.45</v>
      </c>
      <c r="AN343" s="1">
        <v>0.15</v>
      </c>
      <c r="AO343" s="1">
        <v>0.3</v>
      </c>
      <c r="AP343" s="1">
        <v>0.15</v>
      </c>
      <c r="AQ343" s="1">
        <v>3</v>
      </c>
      <c r="AR343" t="s">
        <v>1566</v>
      </c>
      <c r="AS343">
        <v>0</v>
      </c>
      <c r="AT343" t="s">
        <v>1806</v>
      </c>
      <c r="AU343">
        <v>10</v>
      </c>
      <c r="AV343">
        <v>18114</v>
      </c>
      <c r="AW343">
        <v>0</v>
      </c>
      <c r="AX343" t="b">
        <v>0</v>
      </c>
    </row>
    <row r="344" spans="1:50" x14ac:dyDescent="0.3">
      <c r="A344">
        <v>345</v>
      </c>
      <c r="B344" t="s">
        <v>7974</v>
      </c>
      <c r="C344" t="s">
        <v>7975</v>
      </c>
      <c r="D344">
        <v>5</v>
      </c>
      <c r="E344">
        <v>1</v>
      </c>
      <c r="F344">
        <v>18</v>
      </c>
      <c r="G344" s="1" t="s">
        <v>335</v>
      </c>
      <c r="H344" s="1" t="s">
        <v>328</v>
      </c>
      <c r="I344" s="1" t="s">
        <v>328</v>
      </c>
      <c r="J344" s="1" t="s">
        <v>328</v>
      </c>
      <c r="K344" s="1" t="s">
        <v>328</v>
      </c>
      <c r="L344" s="1" t="s">
        <v>328</v>
      </c>
      <c r="M344" s="1" t="s">
        <v>363</v>
      </c>
      <c r="N344" s="1" t="s">
        <v>328</v>
      </c>
      <c r="O344" s="1" t="s">
        <v>328</v>
      </c>
      <c r="P344" s="1" t="s">
        <v>328</v>
      </c>
      <c r="Q344" s="1" t="s">
        <v>328</v>
      </c>
      <c r="R344" s="1" t="s">
        <v>328</v>
      </c>
      <c r="S344" s="1" t="s">
        <v>328</v>
      </c>
      <c r="T344" s="1" t="s">
        <v>328</v>
      </c>
      <c r="U344" s="1">
        <v>0</v>
      </c>
      <c r="V344" s="1">
        <v>0</v>
      </c>
      <c r="W344" s="1">
        <v>0</v>
      </c>
      <c r="X344" s="1">
        <v>0</v>
      </c>
      <c r="Y344" s="1">
        <v>0</v>
      </c>
      <c r="Z344" s="1">
        <v>0</v>
      </c>
      <c r="AA344" s="1">
        <v>0</v>
      </c>
      <c r="AB344" s="1">
        <v>0</v>
      </c>
      <c r="AC344" s="1">
        <v>4</v>
      </c>
      <c r="AD344" s="1">
        <v>0</v>
      </c>
      <c r="AE344" s="1">
        <v>3</v>
      </c>
      <c r="AF344" s="1">
        <v>2</v>
      </c>
      <c r="AG344" s="208" t="s">
        <v>788</v>
      </c>
      <c r="AH344" s="1">
        <v>2700</v>
      </c>
      <c r="AI344" t="s">
        <v>1843</v>
      </c>
      <c r="AJ344">
        <v>0</v>
      </c>
      <c r="AK344" s="1" t="s">
        <v>5416</v>
      </c>
      <c r="AL344" s="1" t="s">
        <v>7976</v>
      </c>
      <c r="AM344" s="1">
        <v>0.45</v>
      </c>
      <c r="AN344" s="1">
        <v>0.15</v>
      </c>
      <c r="AO344" s="1">
        <v>0.3</v>
      </c>
      <c r="AP344" s="1">
        <v>0.15</v>
      </c>
      <c r="AQ344" s="1">
        <v>3</v>
      </c>
      <c r="AR344" t="s">
        <v>1521</v>
      </c>
      <c r="AS344">
        <v>0</v>
      </c>
      <c r="AT344" t="s">
        <v>1806</v>
      </c>
      <c r="AU344">
        <v>10</v>
      </c>
      <c r="AV344">
        <v>18115</v>
      </c>
      <c r="AW344">
        <v>0</v>
      </c>
      <c r="AX344" t="b">
        <v>0</v>
      </c>
    </row>
    <row r="345" spans="1:50" x14ac:dyDescent="0.3">
      <c r="A345">
        <v>346</v>
      </c>
      <c r="B345" t="s">
        <v>7977</v>
      </c>
      <c r="C345" t="s">
        <v>7978</v>
      </c>
      <c r="D345">
        <v>5</v>
      </c>
      <c r="E345">
        <v>2</v>
      </c>
      <c r="F345">
        <v>19</v>
      </c>
      <c r="G345" s="1" t="s">
        <v>402</v>
      </c>
      <c r="H345" s="1" t="s">
        <v>328</v>
      </c>
      <c r="I345" s="1" t="s">
        <v>328</v>
      </c>
      <c r="J345" s="1" t="s">
        <v>328</v>
      </c>
      <c r="K345" s="1" t="s">
        <v>328</v>
      </c>
      <c r="L345" s="1" t="s">
        <v>328</v>
      </c>
      <c r="M345" s="1" t="s">
        <v>328</v>
      </c>
      <c r="N345" s="1" t="s">
        <v>386</v>
      </c>
      <c r="O345" s="1" t="s">
        <v>328</v>
      </c>
      <c r="P345" s="1" t="s">
        <v>328</v>
      </c>
      <c r="Q345" s="1" t="s">
        <v>328</v>
      </c>
      <c r="R345" s="1" t="s">
        <v>328</v>
      </c>
      <c r="S345" s="1" t="s">
        <v>328</v>
      </c>
      <c r="T345" s="1" t="s">
        <v>328</v>
      </c>
      <c r="U345" s="1">
        <v>0</v>
      </c>
      <c r="V345" s="1">
        <v>0</v>
      </c>
      <c r="W345" s="1">
        <v>0</v>
      </c>
      <c r="X345" s="1">
        <v>0</v>
      </c>
      <c r="Y345" s="1">
        <v>0</v>
      </c>
      <c r="Z345" s="1">
        <v>0</v>
      </c>
      <c r="AA345" s="1">
        <v>0</v>
      </c>
      <c r="AB345" s="1">
        <v>0</v>
      </c>
      <c r="AC345" s="1">
        <v>4</v>
      </c>
      <c r="AD345" s="1">
        <v>4</v>
      </c>
      <c r="AE345" s="1">
        <v>0</v>
      </c>
      <c r="AF345" s="1">
        <v>2</v>
      </c>
      <c r="AG345" s="208" t="s">
        <v>66</v>
      </c>
      <c r="AH345" s="1">
        <v>3600</v>
      </c>
      <c r="AI345" t="s">
        <v>1843</v>
      </c>
      <c r="AJ345">
        <v>0</v>
      </c>
      <c r="AK345" s="1" t="s">
        <v>4858</v>
      </c>
      <c r="AL345" s="1" t="s">
        <v>7979</v>
      </c>
      <c r="AM345" s="1">
        <v>0.48</v>
      </c>
      <c r="AN345" s="1">
        <v>0.48</v>
      </c>
      <c r="AO345" s="1">
        <v>0.08</v>
      </c>
      <c r="AP345" s="1">
        <v>0.25</v>
      </c>
      <c r="AQ345" s="1">
        <v>3</v>
      </c>
      <c r="AR345" t="s">
        <v>1473</v>
      </c>
      <c r="AS345">
        <v>0</v>
      </c>
      <c r="AT345" t="s">
        <v>1806</v>
      </c>
      <c r="AU345">
        <v>10</v>
      </c>
      <c r="AV345">
        <v>19059</v>
      </c>
      <c r="AW345">
        <v>0</v>
      </c>
      <c r="AX345" t="b">
        <v>0</v>
      </c>
    </row>
    <row r="346" spans="1:50" x14ac:dyDescent="0.3">
      <c r="A346">
        <v>347</v>
      </c>
      <c r="B346" t="s">
        <v>7980</v>
      </c>
      <c r="C346" t="s">
        <v>7981</v>
      </c>
      <c r="D346">
        <v>5</v>
      </c>
      <c r="E346">
        <v>3</v>
      </c>
      <c r="F346">
        <v>20</v>
      </c>
      <c r="G346" s="1" t="s">
        <v>328</v>
      </c>
      <c r="H346" s="1" t="s">
        <v>328</v>
      </c>
      <c r="I346" s="1" t="s">
        <v>328</v>
      </c>
      <c r="J346" s="1" t="s">
        <v>329</v>
      </c>
      <c r="K346" s="1" t="s">
        <v>328</v>
      </c>
      <c r="L346" s="1" t="s">
        <v>328</v>
      </c>
      <c r="M346" s="1" t="s">
        <v>328</v>
      </c>
      <c r="N346" s="1" t="s">
        <v>328</v>
      </c>
      <c r="O346" s="1" t="s">
        <v>4825</v>
      </c>
      <c r="P346" s="1" t="s">
        <v>328</v>
      </c>
      <c r="Q346" s="1" t="s">
        <v>328</v>
      </c>
      <c r="R346" s="1" t="s">
        <v>328</v>
      </c>
      <c r="S346" s="1" t="s">
        <v>328</v>
      </c>
      <c r="T346" s="1" t="s">
        <v>328</v>
      </c>
      <c r="U346" s="1">
        <v>0</v>
      </c>
      <c r="V346" s="1">
        <v>0</v>
      </c>
      <c r="W346" s="1">
        <v>0</v>
      </c>
      <c r="X346" s="1">
        <v>0</v>
      </c>
      <c r="Y346" s="1">
        <v>0</v>
      </c>
      <c r="Z346" s="1">
        <v>0</v>
      </c>
      <c r="AA346" s="1">
        <v>0</v>
      </c>
      <c r="AB346" s="1">
        <v>0</v>
      </c>
      <c r="AC346" s="1">
        <v>2</v>
      </c>
      <c r="AD346" s="1">
        <v>2</v>
      </c>
      <c r="AE346" s="1">
        <v>3</v>
      </c>
      <c r="AF346" s="1">
        <v>3</v>
      </c>
      <c r="AG346" s="208" t="s">
        <v>145</v>
      </c>
      <c r="AH346" s="1">
        <v>3060</v>
      </c>
      <c r="AI346" t="s">
        <v>1843</v>
      </c>
      <c r="AJ346">
        <v>0</v>
      </c>
      <c r="AK346" s="1" t="s">
        <v>7982</v>
      </c>
      <c r="AL346" s="1" t="s">
        <v>7983</v>
      </c>
      <c r="AM346" s="1">
        <v>0.23</v>
      </c>
      <c r="AN346" s="1">
        <v>0.23</v>
      </c>
      <c r="AO346" s="1">
        <v>0.33</v>
      </c>
      <c r="AP346" s="1">
        <v>0.38</v>
      </c>
      <c r="AQ346" s="1">
        <v>3</v>
      </c>
      <c r="AR346" t="s">
        <v>7984</v>
      </c>
      <c r="AS346">
        <v>0</v>
      </c>
      <c r="AT346" t="s">
        <v>7985</v>
      </c>
      <c r="AU346">
        <v>10</v>
      </c>
      <c r="AV346">
        <v>20058</v>
      </c>
      <c r="AW346">
        <v>0</v>
      </c>
      <c r="AX346" t="b">
        <v>0</v>
      </c>
    </row>
    <row r="347" spans="1:50" x14ac:dyDescent="0.3">
      <c r="A347">
        <v>348</v>
      </c>
      <c r="B347" t="s">
        <v>8023</v>
      </c>
      <c r="C347" t="s">
        <v>8024</v>
      </c>
      <c r="D347">
        <v>5</v>
      </c>
      <c r="E347">
        <v>2</v>
      </c>
      <c r="F347">
        <v>19</v>
      </c>
      <c r="G347" s="1" t="s">
        <v>324</v>
      </c>
      <c r="H347" s="1" t="s">
        <v>335</v>
      </c>
      <c r="I347" s="1" t="s">
        <v>328</v>
      </c>
      <c r="J347" s="1" t="s">
        <v>328</v>
      </c>
      <c r="K347" s="1" t="s">
        <v>328</v>
      </c>
      <c r="L347" s="1" t="s">
        <v>328</v>
      </c>
      <c r="M347" s="1" t="s">
        <v>328</v>
      </c>
      <c r="N347" s="1" t="s">
        <v>386</v>
      </c>
      <c r="O347" s="1" t="s">
        <v>328</v>
      </c>
      <c r="P347" s="1" t="s">
        <v>328</v>
      </c>
      <c r="Q347" s="1" t="s">
        <v>328</v>
      </c>
      <c r="R347" s="1" t="s">
        <v>328</v>
      </c>
      <c r="S347" s="1" t="s">
        <v>328</v>
      </c>
      <c r="T347" s="1" t="s">
        <v>328</v>
      </c>
      <c r="U347" s="1">
        <v>0</v>
      </c>
      <c r="V347" s="1">
        <v>0</v>
      </c>
      <c r="W347" s="1">
        <v>0</v>
      </c>
      <c r="X347" s="1">
        <v>0</v>
      </c>
      <c r="Y347" s="1">
        <v>0</v>
      </c>
      <c r="Z347" s="1">
        <v>0</v>
      </c>
      <c r="AA347" s="1">
        <v>0</v>
      </c>
      <c r="AB347" s="1">
        <v>0</v>
      </c>
      <c r="AC347" s="1">
        <v>4</v>
      </c>
      <c r="AD347" s="1">
        <v>4</v>
      </c>
      <c r="AE347" s="1">
        <v>0</v>
      </c>
      <c r="AF347" s="1">
        <v>2</v>
      </c>
      <c r="AG347" s="208" t="s">
        <v>8121</v>
      </c>
      <c r="AH347" s="1">
        <v>3600</v>
      </c>
      <c r="AI347" t="s">
        <v>1843</v>
      </c>
      <c r="AJ347">
        <v>0</v>
      </c>
      <c r="AK347" s="1" t="s">
        <v>8025</v>
      </c>
      <c r="AL347" s="1" t="s">
        <v>8026</v>
      </c>
      <c r="AM347" s="1">
        <v>0.48</v>
      </c>
      <c r="AN347" s="1">
        <v>0.48</v>
      </c>
      <c r="AO347" s="1">
        <v>0.08</v>
      </c>
      <c r="AP347" s="1">
        <v>0.25</v>
      </c>
      <c r="AQ347" s="1">
        <v>3</v>
      </c>
      <c r="AR347" t="s">
        <v>1528</v>
      </c>
      <c r="AS347">
        <v>0</v>
      </c>
      <c r="AT347" t="s">
        <v>8027</v>
      </c>
      <c r="AU347">
        <v>10</v>
      </c>
      <c r="AV347">
        <v>19060</v>
      </c>
      <c r="AW347">
        <v>7</v>
      </c>
      <c r="AX347" t="b">
        <v>0</v>
      </c>
    </row>
    <row r="348" spans="1:50" x14ac:dyDescent="0.3">
      <c r="A348">
        <v>349</v>
      </c>
      <c r="B348" t="s">
        <v>8028</v>
      </c>
      <c r="C348" t="s">
        <v>8029</v>
      </c>
      <c r="D348">
        <v>5</v>
      </c>
      <c r="E348">
        <v>3</v>
      </c>
      <c r="F348">
        <v>20</v>
      </c>
      <c r="G348" s="1" t="s">
        <v>470</v>
      </c>
      <c r="H348" s="1" t="s">
        <v>328</v>
      </c>
      <c r="I348" s="1" t="s">
        <v>328</v>
      </c>
      <c r="J348" s="1" t="s">
        <v>4825</v>
      </c>
      <c r="K348" s="1" t="s">
        <v>328</v>
      </c>
      <c r="L348" s="1" t="s">
        <v>328</v>
      </c>
      <c r="M348" s="1" t="s">
        <v>328</v>
      </c>
      <c r="N348" s="1" t="s">
        <v>328</v>
      </c>
      <c r="O348" s="1" t="s">
        <v>328</v>
      </c>
      <c r="P348" s="1" t="s">
        <v>328</v>
      </c>
      <c r="Q348" s="1" t="s">
        <v>328</v>
      </c>
      <c r="R348" s="1" t="s">
        <v>328</v>
      </c>
      <c r="S348" s="1" t="s">
        <v>328</v>
      </c>
      <c r="T348" s="1" t="s">
        <v>328</v>
      </c>
      <c r="U348" s="1">
        <v>0</v>
      </c>
      <c r="V348" s="1">
        <v>300</v>
      </c>
      <c r="W348" s="1">
        <v>0</v>
      </c>
      <c r="X348" s="1">
        <v>0</v>
      </c>
      <c r="Y348" s="1">
        <v>0</v>
      </c>
      <c r="Z348" s="1">
        <v>0</v>
      </c>
      <c r="AA348" s="1">
        <v>0</v>
      </c>
      <c r="AB348" s="1">
        <v>0</v>
      </c>
      <c r="AC348" s="1">
        <v>3</v>
      </c>
      <c r="AD348" s="1">
        <v>1</v>
      </c>
      <c r="AE348" s="1">
        <v>1</v>
      </c>
      <c r="AF348" s="1">
        <v>3</v>
      </c>
      <c r="AG348" s="208" t="s">
        <v>8122</v>
      </c>
      <c r="AH348" s="1">
        <v>3540</v>
      </c>
      <c r="AI348" t="s">
        <v>1843</v>
      </c>
      <c r="AJ348">
        <v>0</v>
      </c>
      <c r="AK348" s="1" t="s">
        <v>8030</v>
      </c>
      <c r="AL348" s="1" t="s">
        <v>8031</v>
      </c>
      <c r="AM348" s="1">
        <v>0.1</v>
      </c>
      <c r="AN348" s="1">
        <v>0.1</v>
      </c>
      <c r="AO348" s="1">
        <v>0.1</v>
      </c>
      <c r="AP348" s="1">
        <v>0.55000000000000004</v>
      </c>
      <c r="AQ348" s="1">
        <v>3</v>
      </c>
      <c r="AR348" t="s">
        <v>1475</v>
      </c>
      <c r="AS348">
        <v>0</v>
      </c>
      <c r="AT348" t="s">
        <v>8032</v>
      </c>
      <c r="AU348">
        <v>10</v>
      </c>
      <c r="AV348">
        <v>20059</v>
      </c>
      <c r="AW348">
        <v>8</v>
      </c>
      <c r="AX348" t="b">
        <v>0</v>
      </c>
    </row>
    <row r="349" spans="1:50" x14ac:dyDescent="0.3">
      <c r="A349">
        <v>350</v>
      </c>
      <c r="B349" t="s">
        <v>8035</v>
      </c>
      <c r="C349" t="s">
        <v>8036</v>
      </c>
      <c r="D349">
        <v>5</v>
      </c>
      <c r="E349">
        <v>3</v>
      </c>
      <c r="F349">
        <v>20</v>
      </c>
      <c r="G349" s="1" t="s">
        <v>328</v>
      </c>
      <c r="H349" s="1" t="s">
        <v>328</v>
      </c>
      <c r="I349" s="1" t="s">
        <v>5389</v>
      </c>
      <c r="J349" s="1" t="s">
        <v>332</v>
      </c>
      <c r="K349" s="1" t="s">
        <v>328</v>
      </c>
      <c r="L349" s="1" t="s">
        <v>328</v>
      </c>
      <c r="M349" s="1" t="s">
        <v>328</v>
      </c>
      <c r="N349" s="1" t="s">
        <v>328</v>
      </c>
      <c r="O349" s="1" t="s">
        <v>328</v>
      </c>
      <c r="P349" s="1" t="s">
        <v>328</v>
      </c>
      <c r="Q349" s="1" t="s">
        <v>328</v>
      </c>
      <c r="R349" s="1" t="s">
        <v>328</v>
      </c>
      <c r="S349" s="1" t="s">
        <v>328</v>
      </c>
      <c r="T349" s="1" t="s">
        <v>328</v>
      </c>
      <c r="U349" s="1">
        <v>0</v>
      </c>
      <c r="V349" s="1">
        <v>0</v>
      </c>
      <c r="W349" s="1">
        <v>0</v>
      </c>
      <c r="X349" s="1">
        <v>0</v>
      </c>
      <c r="Y349" s="1">
        <v>0</v>
      </c>
      <c r="Z349" s="1">
        <v>0</v>
      </c>
      <c r="AA349" s="1">
        <v>0</v>
      </c>
      <c r="AB349" s="1">
        <v>0</v>
      </c>
      <c r="AC349" s="1">
        <v>4</v>
      </c>
      <c r="AD349" s="1">
        <v>2</v>
      </c>
      <c r="AE349" s="1">
        <v>0</v>
      </c>
      <c r="AF349" s="1">
        <v>4</v>
      </c>
      <c r="AG349" s="208" t="s">
        <v>1641</v>
      </c>
      <c r="AH349" s="1">
        <v>3120</v>
      </c>
      <c r="AI349" t="s">
        <v>1843</v>
      </c>
      <c r="AJ349">
        <v>0</v>
      </c>
      <c r="AK349" s="1" t="s">
        <v>5193</v>
      </c>
      <c r="AL349" s="1" t="s">
        <v>8037</v>
      </c>
      <c r="AM349" s="1">
        <v>0.3</v>
      </c>
      <c r="AN349" s="1">
        <v>0.25</v>
      </c>
      <c r="AO349" s="1">
        <v>0.12</v>
      </c>
      <c r="AP349" s="1">
        <v>0.38</v>
      </c>
      <c r="AQ349" s="1">
        <v>3</v>
      </c>
      <c r="AR349" t="s">
        <v>1757</v>
      </c>
      <c r="AS349">
        <v>0</v>
      </c>
      <c r="AT349" t="s">
        <v>8038</v>
      </c>
      <c r="AU349">
        <v>10</v>
      </c>
      <c r="AV349">
        <v>20060</v>
      </c>
      <c r="AW349">
        <v>0</v>
      </c>
      <c r="AX349" t="b">
        <v>0</v>
      </c>
    </row>
    <row r="350" spans="1:50" x14ac:dyDescent="0.3">
      <c r="A350">
        <v>351</v>
      </c>
      <c r="B350" t="s">
        <v>8039</v>
      </c>
      <c r="C350" t="s">
        <v>8040</v>
      </c>
      <c r="D350">
        <v>5</v>
      </c>
      <c r="E350">
        <v>3</v>
      </c>
      <c r="F350">
        <v>20</v>
      </c>
      <c r="G350" s="1" t="s">
        <v>408</v>
      </c>
      <c r="H350" s="1" t="s">
        <v>328</v>
      </c>
      <c r="I350" s="1" t="s">
        <v>8041</v>
      </c>
      <c r="J350" s="1" t="s">
        <v>328</v>
      </c>
      <c r="K350" s="1" t="s">
        <v>328</v>
      </c>
      <c r="L350" s="1" t="s">
        <v>328</v>
      </c>
      <c r="M350" s="1" t="s">
        <v>328</v>
      </c>
      <c r="N350" s="1" t="s">
        <v>328</v>
      </c>
      <c r="O350" s="1" t="s">
        <v>328</v>
      </c>
      <c r="P350" s="1" t="s">
        <v>328</v>
      </c>
      <c r="Q350" s="1" t="s">
        <v>328</v>
      </c>
      <c r="R350" s="1" t="s">
        <v>328</v>
      </c>
      <c r="S350" s="1" t="s">
        <v>328</v>
      </c>
      <c r="T350" s="1" t="s">
        <v>328</v>
      </c>
      <c r="U350" s="1">
        <v>0</v>
      </c>
      <c r="V350" s="1">
        <v>0</v>
      </c>
      <c r="W350" s="1">
        <v>0</v>
      </c>
      <c r="X350" s="1">
        <v>0</v>
      </c>
      <c r="Y350" s="1">
        <v>0</v>
      </c>
      <c r="Z350" s="1">
        <v>0</v>
      </c>
      <c r="AA350" s="1">
        <v>0</v>
      </c>
      <c r="AB350" s="1">
        <v>0</v>
      </c>
      <c r="AC350" s="1">
        <v>4</v>
      </c>
      <c r="AD350" s="1">
        <v>2</v>
      </c>
      <c r="AE350" s="1">
        <v>0</v>
      </c>
      <c r="AF350" s="1">
        <v>4</v>
      </c>
      <c r="AG350" s="208" t="s">
        <v>8123</v>
      </c>
      <c r="AH350" s="1">
        <v>3120</v>
      </c>
      <c r="AI350" t="s">
        <v>1843</v>
      </c>
      <c r="AJ350">
        <v>0</v>
      </c>
      <c r="AK350" s="1" t="s">
        <v>8042</v>
      </c>
      <c r="AL350" s="1" t="s">
        <v>8043</v>
      </c>
      <c r="AM350" s="1">
        <v>0.3</v>
      </c>
      <c r="AN350" s="1">
        <v>0.25</v>
      </c>
      <c r="AO350" s="1">
        <v>0.12</v>
      </c>
      <c r="AP350" s="1">
        <v>0.38</v>
      </c>
      <c r="AQ350" s="1">
        <v>3</v>
      </c>
      <c r="AR350" t="s">
        <v>1757</v>
      </c>
      <c r="AS350">
        <v>0</v>
      </c>
      <c r="AT350" t="s">
        <v>8044</v>
      </c>
      <c r="AU350">
        <v>10</v>
      </c>
      <c r="AV350">
        <v>20061</v>
      </c>
      <c r="AW350">
        <v>9</v>
      </c>
      <c r="AX350" t="b">
        <v>0</v>
      </c>
    </row>
    <row r="351" spans="1:50" x14ac:dyDescent="0.3">
      <c r="A351">
        <v>352</v>
      </c>
      <c r="B351" t="s">
        <v>8045</v>
      </c>
      <c r="C351" t="s">
        <v>8046</v>
      </c>
      <c r="D351">
        <v>5</v>
      </c>
      <c r="E351">
        <v>3</v>
      </c>
      <c r="F351">
        <v>20</v>
      </c>
      <c r="G351" s="1" t="s">
        <v>331</v>
      </c>
      <c r="H351" s="1" t="s">
        <v>328</v>
      </c>
      <c r="I351" s="1" t="s">
        <v>328</v>
      </c>
      <c r="J351" s="1" t="s">
        <v>328</v>
      </c>
      <c r="K351" s="1" t="s">
        <v>328</v>
      </c>
      <c r="L351" s="1" t="s">
        <v>328</v>
      </c>
      <c r="M351" s="1" t="s">
        <v>8047</v>
      </c>
      <c r="N351" s="1" t="s">
        <v>328</v>
      </c>
      <c r="O351" s="1" t="s">
        <v>328</v>
      </c>
      <c r="P351" s="1" t="s">
        <v>328</v>
      </c>
      <c r="Q351" s="1" t="s">
        <v>328</v>
      </c>
      <c r="R351" s="1" t="s">
        <v>328</v>
      </c>
      <c r="S351" s="1" t="s">
        <v>328</v>
      </c>
      <c r="T351" s="1" t="s">
        <v>328</v>
      </c>
      <c r="U351" s="1">
        <v>0</v>
      </c>
      <c r="V351" s="1">
        <v>0</v>
      </c>
      <c r="W351" s="1">
        <v>0</v>
      </c>
      <c r="X351" s="1">
        <v>0</v>
      </c>
      <c r="Y351" s="1">
        <v>0</v>
      </c>
      <c r="Z351" s="1">
        <v>0</v>
      </c>
      <c r="AA351" s="1">
        <v>0</v>
      </c>
      <c r="AB351" s="1">
        <v>0</v>
      </c>
      <c r="AC351" s="1">
        <v>4</v>
      </c>
      <c r="AD351" s="1">
        <v>2</v>
      </c>
      <c r="AE351" s="1">
        <v>0</v>
      </c>
      <c r="AF351" s="1">
        <v>4</v>
      </c>
      <c r="AG351" s="208" t="s">
        <v>8116</v>
      </c>
      <c r="AH351" s="1">
        <v>3120</v>
      </c>
      <c r="AI351" t="s">
        <v>1843</v>
      </c>
      <c r="AJ351">
        <v>0</v>
      </c>
      <c r="AK351" s="1" t="s">
        <v>8048</v>
      </c>
      <c r="AL351" s="1" t="s">
        <v>8049</v>
      </c>
      <c r="AM351" s="1">
        <v>0.3</v>
      </c>
      <c r="AN351" s="1">
        <v>0.25</v>
      </c>
      <c r="AO351" s="1">
        <v>0.12</v>
      </c>
      <c r="AP351" s="1">
        <v>0.38</v>
      </c>
      <c r="AQ351" s="1">
        <v>3</v>
      </c>
      <c r="AR351" t="s">
        <v>8050</v>
      </c>
      <c r="AS351">
        <v>0</v>
      </c>
      <c r="AT351" t="s">
        <v>8051</v>
      </c>
      <c r="AU351">
        <v>10</v>
      </c>
      <c r="AV351">
        <v>20062</v>
      </c>
      <c r="AW351">
        <v>10</v>
      </c>
      <c r="AX351" t="b">
        <v>0</v>
      </c>
    </row>
    <row r="352" spans="1:50" x14ac:dyDescent="0.3">
      <c r="A352">
        <v>353</v>
      </c>
      <c r="B352" t="s">
        <v>8052</v>
      </c>
      <c r="C352" t="s">
        <v>8053</v>
      </c>
      <c r="D352">
        <v>5</v>
      </c>
      <c r="E352">
        <v>3</v>
      </c>
      <c r="F352">
        <v>20</v>
      </c>
      <c r="G352" s="1" t="s">
        <v>328</v>
      </c>
      <c r="H352" s="1" t="s">
        <v>328</v>
      </c>
      <c r="I352" s="1" t="s">
        <v>8054</v>
      </c>
      <c r="J352" s="1" t="s">
        <v>331</v>
      </c>
      <c r="K352" s="1" t="s">
        <v>328</v>
      </c>
      <c r="L352" s="1" t="s">
        <v>328</v>
      </c>
      <c r="M352" s="1" t="s">
        <v>328</v>
      </c>
      <c r="N352" s="1" t="s">
        <v>328</v>
      </c>
      <c r="O352" s="1" t="s">
        <v>328</v>
      </c>
      <c r="P352" s="1" t="s">
        <v>328</v>
      </c>
      <c r="Q352" s="1" t="s">
        <v>328</v>
      </c>
      <c r="R352" s="1" t="s">
        <v>328</v>
      </c>
      <c r="S352" s="1" t="s">
        <v>328</v>
      </c>
      <c r="T352" s="1" t="s">
        <v>328</v>
      </c>
      <c r="U352" s="1">
        <v>0</v>
      </c>
      <c r="V352" s="1">
        <v>0</v>
      </c>
      <c r="W352" s="1">
        <v>0</v>
      </c>
      <c r="X352" s="1">
        <v>0</v>
      </c>
      <c r="Y352" s="1">
        <v>0</v>
      </c>
      <c r="Z352" s="1">
        <v>0</v>
      </c>
      <c r="AA352" s="1">
        <v>0</v>
      </c>
      <c r="AB352" s="1">
        <v>0</v>
      </c>
      <c r="AC352" s="1">
        <v>4</v>
      </c>
      <c r="AD352" s="1">
        <v>2</v>
      </c>
      <c r="AE352" s="1">
        <v>0</v>
      </c>
      <c r="AF352" s="1">
        <v>4</v>
      </c>
      <c r="AG352" s="208" t="s">
        <v>72</v>
      </c>
      <c r="AH352" s="1">
        <v>3120</v>
      </c>
      <c r="AI352" t="s">
        <v>1843</v>
      </c>
      <c r="AJ352">
        <v>0</v>
      </c>
      <c r="AK352" s="1" t="s">
        <v>479</v>
      </c>
      <c r="AL352" s="1" t="s">
        <v>8055</v>
      </c>
      <c r="AM352" s="1">
        <v>0.3</v>
      </c>
      <c r="AN352" s="1">
        <v>0.25</v>
      </c>
      <c r="AO352" s="1">
        <v>0.12</v>
      </c>
      <c r="AP352" s="1">
        <v>0.38</v>
      </c>
      <c r="AQ352" s="1">
        <v>3</v>
      </c>
      <c r="AR352" t="s">
        <v>1757</v>
      </c>
      <c r="AS352">
        <v>0</v>
      </c>
      <c r="AT352" t="s">
        <v>1806</v>
      </c>
      <c r="AU352">
        <v>10</v>
      </c>
      <c r="AV352">
        <v>20063</v>
      </c>
      <c r="AW352">
        <v>0</v>
      </c>
      <c r="AX352" t="b">
        <v>0</v>
      </c>
    </row>
    <row r="353" spans="1:50" x14ac:dyDescent="0.3">
      <c r="A353">
        <v>354</v>
      </c>
      <c r="B353" t="s">
        <v>8059</v>
      </c>
      <c r="C353" t="s">
        <v>8060</v>
      </c>
      <c r="D353">
        <v>5</v>
      </c>
      <c r="E353">
        <v>3</v>
      </c>
      <c r="F353">
        <v>20</v>
      </c>
      <c r="G353" s="1" t="s">
        <v>328</v>
      </c>
      <c r="H353" s="1" t="s">
        <v>335</v>
      </c>
      <c r="I353" s="1" t="s">
        <v>328</v>
      </c>
      <c r="J353" s="1" t="s">
        <v>328</v>
      </c>
      <c r="K353" s="1" t="s">
        <v>328</v>
      </c>
      <c r="L353" s="1" t="s">
        <v>488</v>
      </c>
      <c r="M353" s="1" t="s">
        <v>328</v>
      </c>
      <c r="N353" s="1" t="s">
        <v>328</v>
      </c>
      <c r="O353" s="1" t="s">
        <v>328</v>
      </c>
      <c r="P353" s="1" t="s">
        <v>328</v>
      </c>
      <c r="Q353" s="1" t="s">
        <v>328</v>
      </c>
      <c r="R353" s="1" t="s">
        <v>328</v>
      </c>
      <c r="S353" s="1" t="s">
        <v>328</v>
      </c>
      <c r="T353" s="1" t="s">
        <v>328</v>
      </c>
      <c r="U353" s="1">
        <v>0</v>
      </c>
      <c r="V353" s="1">
        <v>0</v>
      </c>
      <c r="W353" s="1">
        <v>0</v>
      </c>
      <c r="X353" s="1">
        <v>0</v>
      </c>
      <c r="Y353" s="1">
        <v>0</v>
      </c>
      <c r="Z353" s="1">
        <v>0</v>
      </c>
      <c r="AA353" s="1">
        <v>0</v>
      </c>
      <c r="AB353" s="1">
        <v>0</v>
      </c>
      <c r="AC353" s="1">
        <v>4</v>
      </c>
      <c r="AD353" s="1">
        <v>0</v>
      </c>
      <c r="AE353" s="1">
        <v>5</v>
      </c>
      <c r="AF353" s="1">
        <v>0</v>
      </c>
      <c r="AG353" s="208" t="s">
        <v>1668</v>
      </c>
      <c r="AH353" s="1">
        <v>3360</v>
      </c>
      <c r="AI353" t="s">
        <v>1843</v>
      </c>
      <c r="AJ353">
        <v>0</v>
      </c>
      <c r="AK353" s="1" t="s">
        <v>5318</v>
      </c>
      <c r="AL353" s="1" t="s">
        <v>8061</v>
      </c>
      <c r="AM353" s="1">
        <v>0.55000000000000004</v>
      </c>
      <c r="AN353" s="1">
        <v>0.16</v>
      </c>
      <c r="AO353" s="1">
        <v>0.6</v>
      </c>
      <c r="AP353" s="1">
        <v>0.16</v>
      </c>
      <c r="AQ353" s="1">
        <v>3</v>
      </c>
      <c r="AR353" t="s">
        <v>8062</v>
      </c>
      <c r="AS353">
        <v>0</v>
      </c>
      <c r="AT353" t="s">
        <v>8063</v>
      </c>
      <c r="AU353">
        <v>10</v>
      </c>
      <c r="AV353">
        <v>20064</v>
      </c>
      <c r="AW353">
        <v>0</v>
      </c>
      <c r="AX353" t="b">
        <v>0</v>
      </c>
    </row>
    <row r="354" spans="1:50" x14ac:dyDescent="0.3">
      <c r="A354">
        <v>355</v>
      </c>
      <c r="B354" t="s">
        <v>8098</v>
      </c>
      <c r="C354" t="s">
        <v>8099</v>
      </c>
      <c r="D354">
        <v>5</v>
      </c>
      <c r="E354">
        <v>3</v>
      </c>
      <c r="F354">
        <v>20</v>
      </c>
      <c r="G354" s="1" t="s">
        <v>328</v>
      </c>
      <c r="H354" s="1" t="s">
        <v>328</v>
      </c>
      <c r="I354" s="1" t="s">
        <v>8100</v>
      </c>
      <c r="J354" s="1" t="s">
        <v>328</v>
      </c>
      <c r="K354" s="1" t="s">
        <v>328</v>
      </c>
      <c r="L354" s="1" t="s">
        <v>328</v>
      </c>
      <c r="M354" s="1" t="s">
        <v>328</v>
      </c>
      <c r="N354" s="1" t="s">
        <v>328</v>
      </c>
      <c r="O354" s="1" t="s">
        <v>328</v>
      </c>
      <c r="P354" s="1" t="s">
        <v>328</v>
      </c>
      <c r="Q354" s="1" t="s">
        <v>328</v>
      </c>
      <c r="R354" s="1" t="s">
        <v>328</v>
      </c>
      <c r="S354" s="1" t="s">
        <v>328</v>
      </c>
      <c r="T354" s="1" t="s">
        <v>328</v>
      </c>
      <c r="U354" s="1">
        <v>0</v>
      </c>
      <c r="V354" s="1">
        <v>0</v>
      </c>
      <c r="W354" s="1">
        <v>0</v>
      </c>
      <c r="X354" s="1">
        <v>0</v>
      </c>
      <c r="Y354" s="1">
        <v>0</v>
      </c>
      <c r="Z354" s="1">
        <v>0</v>
      </c>
      <c r="AA354" s="1">
        <v>0</v>
      </c>
      <c r="AB354" s="1">
        <v>0</v>
      </c>
      <c r="AC354" s="1">
        <v>4</v>
      </c>
      <c r="AD354" s="1">
        <v>2</v>
      </c>
      <c r="AE354" s="1">
        <v>0</v>
      </c>
      <c r="AF354" s="1">
        <v>4</v>
      </c>
      <c r="AG354" s="208" t="s">
        <v>8115</v>
      </c>
      <c r="AH354" s="1">
        <v>3120</v>
      </c>
      <c r="AI354" t="s">
        <v>1843</v>
      </c>
      <c r="AJ354">
        <v>0</v>
      </c>
      <c r="AK354" s="1" t="s">
        <v>8101</v>
      </c>
      <c r="AL354" s="1" t="s">
        <v>8102</v>
      </c>
      <c r="AM354" s="1">
        <v>0.3</v>
      </c>
      <c r="AN354" s="1">
        <v>0.25</v>
      </c>
      <c r="AO354" s="1">
        <v>0.12</v>
      </c>
      <c r="AP354" s="1">
        <v>0.38</v>
      </c>
      <c r="AQ354" s="1">
        <v>3</v>
      </c>
      <c r="AR354" t="s">
        <v>1757</v>
      </c>
      <c r="AS354">
        <v>0</v>
      </c>
      <c r="AT354" t="s">
        <v>8103</v>
      </c>
      <c r="AU354">
        <v>10</v>
      </c>
      <c r="AV354">
        <v>20065</v>
      </c>
      <c r="AW354">
        <v>11</v>
      </c>
      <c r="AX354" t="b">
        <v>0</v>
      </c>
    </row>
    <row r="355" spans="1:50" x14ac:dyDescent="0.3">
      <c r="A355">
        <v>356</v>
      </c>
      <c r="B355" t="s">
        <v>8104</v>
      </c>
      <c r="C355" t="s">
        <v>8105</v>
      </c>
      <c r="D355">
        <v>5</v>
      </c>
      <c r="E355">
        <v>2</v>
      </c>
      <c r="F355">
        <v>19</v>
      </c>
      <c r="G355" s="1" t="s">
        <v>356</v>
      </c>
      <c r="H355" s="1" t="s">
        <v>328</v>
      </c>
      <c r="I355" s="1" t="s">
        <v>328</v>
      </c>
      <c r="J355" s="1" t="s">
        <v>328</v>
      </c>
      <c r="K355" s="1" t="s">
        <v>328</v>
      </c>
      <c r="L355" s="1" t="s">
        <v>328</v>
      </c>
      <c r="M355" s="1" t="s">
        <v>328</v>
      </c>
      <c r="N355" s="1" t="s">
        <v>328</v>
      </c>
      <c r="O355" s="1" t="s">
        <v>328</v>
      </c>
      <c r="P355" s="1" t="s">
        <v>328</v>
      </c>
      <c r="Q355" s="1" t="s">
        <v>328</v>
      </c>
      <c r="R355" s="1" t="s">
        <v>328</v>
      </c>
      <c r="S355" s="1" t="s">
        <v>328</v>
      </c>
      <c r="T355" s="1" t="s">
        <v>328</v>
      </c>
      <c r="U355" s="1">
        <v>0</v>
      </c>
      <c r="V355" s="1">
        <v>300</v>
      </c>
      <c r="W355" s="1">
        <v>0</v>
      </c>
      <c r="X355" s="1">
        <v>0</v>
      </c>
      <c r="Y355" s="1">
        <v>0</v>
      </c>
      <c r="Z355" s="1">
        <v>0</v>
      </c>
      <c r="AA355" s="1">
        <v>0</v>
      </c>
      <c r="AB355" s="1">
        <v>0</v>
      </c>
      <c r="AC355" s="1">
        <v>0</v>
      </c>
      <c r="AD355" s="1">
        <v>5</v>
      </c>
      <c r="AE355" s="1">
        <v>3</v>
      </c>
      <c r="AF355" s="1">
        <v>2</v>
      </c>
      <c r="AG355" s="208" t="s">
        <v>8114</v>
      </c>
      <c r="AH355" s="1">
        <v>3600</v>
      </c>
      <c r="AI355" t="s">
        <v>1843</v>
      </c>
      <c r="AJ355">
        <v>0</v>
      </c>
      <c r="AK355" s="1" t="s">
        <v>8106</v>
      </c>
      <c r="AL355" s="1" t="s">
        <v>8107</v>
      </c>
      <c r="AM355" s="1">
        <v>0.15</v>
      </c>
      <c r="AN355" s="1">
        <v>0.6</v>
      </c>
      <c r="AO355" s="1">
        <v>0.38</v>
      </c>
      <c r="AP355" s="1">
        <v>0.23</v>
      </c>
      <c r="AQ355" s="1">
        <v>3</v>
      </c>
      <c r="AR355" t="s">
        <v>1475</v>
      </c>
      <c r="AS355">
        <v>0</v>
      </c>
      <c r="AT355" t="s">
        <v>8108</v>
      </c>
      <c r="AU355">
        <v>10</v>
      </c>
      <c r="AV355">
        <v>19061</v>
      </c>
      <c r="AW355">
        <v>12</v>
      </c>
      <c r="AX355" t="b">
        <v>0</v>
      </c>
    </row>
    <row r="356" spans="1:50" x14ac:dyDescent="0.3">
      <c r="A356">
        <v>357</v>
      </c>
      <c r="B356" t="s">
        <v>8109</v>
      </c>
      <c r="C356" t="s">
        <v>8110</v>
      </c>
      <c r="D356">
        <v>5</v>
      </c>
      <c r="E356">
        <v>3</v>
      </c>
      <c r="F356">
        <v>20</v>
      </c>
      <c r="G356" s="1" t="s">
        <v>328</v>
      </c>
      <c r="H356" s="1" t="s">
        <v>328</v>
      </c>
      <c r="I356" s="1" t="s">
        <v>1596</v>
      </c>
      <c r="J356" s="1" t="s">
        <v>328</v>
      </c>
      <c r="K356" s="1" t="s">
        <v>328</v>
      </c>
      <c r="L356" s="1" t="s">
        <v>328</v>
      </c>
      <c r="M356" s="1" t="s">
        <v>328</v>
      </c>
      <c r="N356" s="1" t="s">
        <v>328</v>
      </c>
      <c r="O356" s="1" t="s">
        <v>328</v>
      </c>
      <c r="P356" s="1" t="s">
        <v>328</v>
      </c>
      <c r="Q356" s="1" t="s">
        <v>328</v>
      </c>
      <c r="R356" s="1" t="s">
        <v>328</v>
      </c>
      <c r="S356" s="1" t="s">
        <v>328</v>
      </c>
      <c r="T356" s="1" t="s">
        <v>328</v>
      </c>
      <c r="U356" s="1">
        <v>0</v>
      </c>
      <c r="V356" s="1">
        <v>0</v>
      </c>
      <c r="W356" s="1">
        <v>0</v>
      </c>
      <c r="X356" s="1">
        <v>0</v>
      </c>
      <c r="Y356" s="1">
        <v>0</v>
      </c>
      <c r="Z356" s="1">
        <v>0</v>
      </c>
      <c r="AA356" s="1">
        <v>0</v>
      </c>
      <c r="AB356" s="1">
        <v>0</v>
      </c>
      <c r="AC356" s="1">
        <v>4</v>
      </c>
      <c r="AD356" s="1">
        <v>2</v>
      </c>
      <c r="AE356" s="1">
        <v>0</v>
      </c>
      <c r="AF356" s="1">
        <v>4</v>
      </c>
      <c r="AG356" s="208" t="s">
        <v>161</v>
      </c>
      <c r="AH356" s="1">
        <v>3120</v>
      </c>
      <c r="AI356" t="s">
        <v>1843</v>
      </c>
      <c r="AJ356">
        <v>0</v>
      </c>
      <c r="AK356" s="1" t="s">
        <v>8111</v>
      </c>
      <c r="AL356" s="1" t="s">
        <v>8112</v>
      </c>
      <c r="AM356" s="1">
        <v>0.3</v>
      </c>
      <c r="AN356" s="1">
        <v>0.25</v>
      </c>
      <c r="AO356" s="1">
        <v>0.12</v>
      </c>
      <c r="AP356" s="1">
        <v>0.38</v>
      </c>
      <c r="AQ356" s="1">
        <v>3</v>
      </c>
      <c r="AR356" t="s">
        <v>1757</v>
      </c>
      <c r="AS356">
        <v>0</v>
      </c>
      <c r="AT356" t="s">
        <v>8113</v>
      </c>
      <c r="AU356">
        <v>10</v>
      </c>
      <c r="AV356">
        <v>20066</v>
      </c>
      <c r="AW356">
        <v>0</v>
      </c>
      <c r="AX356" t="b">
        <v>0</v>
      </c>
    </row>
    <row r="357" spans="1:50" x14ac:dyDescent="0.3">
      <c r="A357">
        <v>358</v>
      </c>
      <c r="B357" t="s">
        <v>8134</v>
      </c>
      <c r="C357" t="s">
        <v>8135</v>
      </c>
      <c r="D357">
        <v>5</v>
      </c>
      <c r="E357">
        <v>2</v>
      </c>
      <c r="F357">
        <v>19</v>
      </c>
      <c r="G357" s="1" t="s">
        <v>338</v>
      </c>
      <c r="H357" s="1" t="s">
        <v>402</v>
      </c>
      <c r="I357" s="1" t="s">
        <v>328</v>
      </c>
      <c r="J357" s="1" t="s">
        <v>328</v>
      </c>
      <c r="K357" s="1" t="s">
        <v>328</v>
      </c>
      <c r="L357" s="1" t="s">
        <v>328</v>
      </c>
      <c r="M357" s="1" t="s">
        <v>328</v>
      </c>
      <c r="N357" s="1" t="s">
        <v>328</v>
      </c>
      <c r="O357" s="1" t="s">
        <v>328</v>
      </c>
      <c r="P357" s="1" t="s">
        <v>328</v>
      </c>
      <c r="Q357" s="1" t="s">
        <v>328</v>
      </c>
      <c r="R357" s="1" t="s">
        <v>328</v>
      </c>
      <c r="S357" s="1" t="s">
        <v>328</v>
      </c>
      <c r="T357" s="1" t="s">
        <v>328</v>
      </c>
      <c r="U357" s="1">
        <v>0</v>
      </c>
      <c r="V357" s="1">
        <v>0</v>
      </c>
      <c r="W357" s="1">
        <v>0</v>
      </c>
      <c r="X357" s="1">
        <v>0</v>
      </c>
      <c r="Y357" s="1">
        <v>0</v>
      </c>
      <c r="Z357" s="1">
        <v>0</v>
      </c>
      <c r="AA357" s="1">
        <v>0</v>
      </c>
      <c r="AB357" s="1">
        <v>0</v>
      </c>
      <c r="AC357" s="1">
        <v>4</v>
      </c>
      <c r="AD357" s="1">
        <v>4</v>
      </c>
      <c r="AE357" s="1">
        <v>0</v>
      </c>
      <c r="AF357" s="1">
        <v>2</v>
      </c>
      <c r="AG357" s="208" t="s">
        <v>8159</v>
      </c>
      <c r="AH357" s="1">
        <v>3600</v>
      </c>
      <c r="AI357" t="s">
        <v>1843</v>
      </c>
      <c r="AJ357">
        <v>0</v>
      </c>
      <c r="AK357" s="1" t="s">
        <v>8136</v>
      </c>
      <c r="AL357" s="1" t="s">
        <v>8137</v>
      </c>
      <c r="AM357" s="1">
        <v>0.48</v>
      </c>
      <c r="AN357" s="1">
        <v>0.48</v>
      </c>
      <c r="AO357" s="1">
        <v>0.08</v>
      </c>
      <c r="AP357" s="1">
        <v>0.25</v>
      </c>
      <c r="AQ357" s="1">
        <v>3</v>
      </c>
      <c r="AR357" t="s">
        <v>8138</v>
      </c>
      <c r="AS357">
        <v>0</v>
      </c>
      <c r="AT357" t="s">
        <v>8139</v>
      </c>
      <c r="AU357">
        <v>10</v>
      </c>
      <c r="AV357">
        <v>19062</v>
      </c>
      <c r="AX357" t="b">
        <v>0</v>
      </c>
    </row>
    <row r="358" spans="1:50" x14ac:dyDescent="0.3">
      <c r="A358">
        <v>359</v>
      </c>
      <c r="B358" t="s">
        <v>8140</v>
      </c>
      <c r="C358" t="s">
        <v>8141</v>
      </c>
      <c r="D358">
        <v>5</v>
      </c>
      <c r="E358">
        <v>2</v>
      </c>
      <c r="F358">
        <v>19</v>
      </c>
      <c r="G358" s="1" t="s">
        <v>324</v>
      </c>
      <c r="H358" s="1" t="s">
        <v>328</v>
      </c>
      <c r="I358" s="1" t="s">
        <v>328</v>
      </c>
      <c r="J358" s="1" t="s">
        <v>328</v>
      </c>
      <c r="K358" s="1" t="s">
        <v>328</v>
      </c>
      <c r="L358" s="1" t="s">
        <v>328</v>
      </c>
      <c r="M358" s="1" t="s">
        <v>338</v>
      </c>
      <c r="N358" s="1" t="s">
        <v>328</v>
      </c>
      <c r="O358" s="1" t="s">
        <v>328</v>
      </c>
      <c r="P358" s="1" t="s">
        <v>328</v>
      </c>
      <c r="Q358" s="1" t="s">
        <v>328</v>
      </c>
      <c r="R358" s="1" t="s">
        <v>328</v>
      </c>
      <c r="S358" s="1" t="s">
        <v>328</v>
      </c>
      <c r="T358" s="1" t="s">
        <v>328</v>
      </c>
      <c r="U358" s="1">
        <v>0</v>
      </c>
      <c r="V358" s="1">
        <v>0</v>
      </c>
      <c r="W358" s="1">
        <v>0</v>
      </c>
      <c r="X358" s="1">
        <v>0</v>
      </c>
      <c r="Y358" s="1">
        <v>0</v>
      </c>
      <c r="Z358" s="1">
        <v>0</v>
      </c>
      <c r="AA358" s="1">
        <v>0</v>
      </c>
      <c r="AB358" s="1">
        <v>0</v>
      </c>
      <c r="AC358" s="1">
        <v>4</v>
      </c>
      <c r="AD358" s="1">
        <v>4</v>
      </c>
      <c r="AE358" s="1">
        <v>0</v>
      </c>
      <c r="AF358" s="1">
        <v>2</v>
      </c>
      <c r="AG358" s="208" t="s">
        <v>8160</v>
      </c>
      <c r="AH358" s="1">
        <v>3600</v>
      </c>
      <c r="AI358" t="s">
        <v>1843</v>
      </c>
      <c r="AJ358">
        <v>0</v>
      </c>
      <c r="AK358" s="1" t="s">
        <v>8142</v>
      </c>
      <c r="AL358" s="1" t="s">
        <v>8143</v>
      </c>
      <c r="AM358" s="1">
        <v>0.48</v>
      </c>
      <c r="AN358" s="1">
        <v>0.48</v>
      </c>
      <c r="AO358" s="1">
        <v>0.08</v>
      </c>
      <c r="AP358" s="1">
        <v>0.25</v>
      </c>
      <c r="AQ358" s="1">
        <v>3</v>
      </c>
      <c r="AR358" t="s">
        <v>1521</v>
      </c>
      <c r="AS358">
        <v>0</v>
      </c>
      <c r="AT358" t="s">
        <v>8144</v>
      </c>
      <c r="AU358">
        <v>10</v>
      </c>
      <c r="AV358">
        <v>19063</v>
      </c>
      <c r="AX358" t="b">
        <v>0</v>
      </c>
    </row>
    <row r="359" spans="1:50" x14ac:dyDescent="0.3">
      <c r="A359">
        <v>361</v>
      </c>
      <c r="B359" t="s">
        <v>8145</v>
      </c>
      <c r="C359" t="s">
        <v>8146</v>
      </c>
      <c r="D359">
        <v>5</v>
      </c>
      <c r="E359">
        <v>2</v>
      </c>
      <c r="F359">
        <v>19</v>
      </c>
      <c r="G359" s="1" t="s">
        <v>8147</v>
      </c>
      <c r="H359" s="1" t="s">
        <v>328</v>
      </c>
      <c r="I359" s="1" t="s">
        <v>328</v>
      </c>
      <c r="J359" s="1" t="s">
        <v>328</v>
      </c>
      <c r="K359" s="1" t="s">
        <v>328</v>
      </c>
      <c r="L359" s="1" t="s">
        <v>328</v>
      </c>
      <c r="M359" s="1" t="s">
        <v>328</v>
      </c>
      <c r="N359" s="1" t="s">
        <v>1759</v>
      </c>
      <c r="O359" s="1" t="s">
        <v>328</v>
      </c>
      <c r="P359" s="1" t="s">
        <v>328</v>
      </c>
      <c r="Q359" s="1" t="s">
        <v>328</v>
      </c>
      <c r="R359" s="1" t="s">
        <v>328</v>
      </c>
      <c r="S359" s="1" t="s">
        <v>328</v>
      </c>
      <c r="T359" s="1" t="s">
        <v>328</v>
      </c>
      <c r="U359" s="1">
        <v>0</v>
      </c>
      <c r="V359" s="1">
        <v>0</v>
      </c>
      <c r="W359" s="1">
        <v>0</v>
      </c>
      <c r="X359" s="1">
        <v>0</v>
      </c>
      <c r="Y359" s="1">
        <v>0</v>
      </c>
      <c r="Z359" s="1">
        <v>0</v>
      </c>
      <c r="AA359" s="1">
        <v>0</v>
      </c>
      <c r="AB359" s="1">
        <v>0</v>
      </c>
      <c r="AC359" s="1">
        <v>0</v>
      </c>
      <c r="AD359" s="1">
        <v>4</v>
      </c>
      <c r="AE359" s="1">
        <v>2</v>
      </c>
      <c r="AF359" s="1">
        <v>3</v>
      </c>
      <c r="AG359" s="208" t="s">
        <v>138</v>
      </c>
      <c r="AH359" s="1">
        <v>3300</v>
      </c>
      <c r="AI359" t="s">
        <v>1843</v>
      </c>
      <c r="AJ359">
        <v>0</v>
      </c>
      <c r="AK359" s="1" t="s">
        <v>8148</v>
      </c>
      <c r="AL359" s="1" t="s">
        <v>8149</v>
      </c>
      <c r="AM359" s="1">
        <v>0.08</v>
      </c>
      <c r="AN359" s="1">
        <v>0.5</v>
      </c>
      <c r="AO359" s="1">
        <v>0.3</v>
      </c>
      <c r="AP359" s="1">
        <v>0.3</v>
      </c>
      <c r="AQ359" s="1">
        <v>3</v>
      </c>
      <c r="AR359" t="s">
        <v>8150</v>
      </c>
      <c r="AS359">
        <v>0</v>
      </c>
      <c r="AT359" t="s">
        <v>1806</v>
      </c>
      <c r="AU359">
        <v>10</v>
      </c>
      <c r="AV359">
        <v>19064</v>
      </c>
      <c r="AX359" t="b">
        <v>0</v>
      </c>
    </row>
    <row r="360" spans="1:50" x14ac:dyDescent="0.3">
      <c r="A360">
        <v>362</v>
      </c>
      <c r="B360" t="s">
        <v>8151</v>
      </c>
      <c r="C360" t="s">
        <v>8152</v>
      </c>
      <c r="D360">
        <v>5</v>
      </c>
      <c r="E360">
        <v>2</v>
      </c>
      <c r="F360">
        <v>19</v>
      </c>
      <c r="G360" s="1" t="s">
        <v>470</v>
      </c>
      <c r="H360" s="1" t="s">
        <v>328</v>
      </c>
      <c r="I360" s="1" t="s">
        <v>328</v>
      </c>
      <c r="J360" s="1" t="s">
        <v>328</v>
      </c>
      <c r="K360" s="1" t="s">
        <v>328</v>
      </c>
      <c r="L360" s="1" t="s">
        <v>328</v>
      </c>
      <c r="M360" s="1" t="s">
        <v>328</v>
      </c>
      <c r="N360" s="1" t="s">
        <v>7299</v>
      </c>
      <c r="O360" s="1" t="s">
        <v>328</v>
      </c>
      <c r="P360" s="1" t="s">
        <v>328</v>
      </c>
      <c r="Q360" s="1" t="s">
        <v>328</v>
      </c>
      <c r="R360" s="1" t="s">
        <v>328</v>
      </c>
      <c r="S360" s="1" t="s">
        <v>328</v>
      </c>
      <c r="T360" s="1" t="s">
        <v>328</v>
      </c>
      <c r="U360" s="1">
        <v>0</v>
      </c>
      <c r="V360" s="1">
        <v>0</v>
      </c>
      <c r="W360" s="1">
        <v>0</v>
      </c>
      <c r="X360" s="1">
        <v>0</v>
      </c>
      <c r="Y360" s="1">
        <v>0</v>
      </c>
      <c r="Z360" s="1">
        <v>0</v>
      </c>
      <c r="AA360" s="1">
        <v>0</v>
      </c>
      <c r="AB360" s="1">
        <v>0</v>
      </c>
      <c r="AC360" s="1">
        <v>0</v>
      </c>
      <c r="AD360" s="1">
        <v>4</v>
      </c>
      <c r="AE360" s="1">
        <v>2</v>
      </c>
      <c r="AF360" s="1">
        <v>3</v>
      </c>
      <c r="AG360" s="208" t="s">
        <v>1621</v>
      </c>
      <c r="AH360" s="1">
        <v>3300</v>
      </c>
      <c r="AI360" t="s">
        <v>1843</v>
      </c>
      <c r="AJ360">
        <v>0</v>
      </c>
      <c r="AK360" s="1" t="s">
        <v>8153</v>
      </c>
      <c r="AL360" s="1" t="s">
        <v>8154</v>
      </c>
      <c r="AM360" s="1">
        <v>0.08</v>
      </c>
      <c r="AN360" s="1">
        <v>0.5</v>
      </c>
      <c r="AO360" s="1">
        <v>0.3</v>
      </c>
      <c r="AP360" s="1">
        <v>0.3</v>
      </c>
      <c r="AQ360" s="1">
        <v>3</v>
      </c>
      <c r="AR360" t="s">
        <v>6943</v>
      </c>
      <c r="AS360">
        <v>0</v>
      </c>
      <c r="AT360" t="s">
        <v>1806</v>
      </c>
      <c r="AU360">
        <v>10</v>
      </c>
      <c r="AV360">
        <v>19065</v>
      </c>
      <c r="AX360" t="b">
        <v>0</v>
      </c>
    </row>
    <row r="361" spans="1:50" x14ac:dyDescent="0.3">
      <c r="A361">
        <v>363</v>
      </c>
      <c r="B361" t="s">
        <v>8155</v>
      </c>
      <c r="C361" t="s">
        <v>8156</v>
      </c>
      <c r="D361">
        <v>5</v>
      </c>
      <c r="E361">
        <v>3</v>
      </c>
      <c r="F361">
        <v>20</v>
      </c>
      <c r="G361" s="1" t="s">
        <v>359</v>
      </c>
      <c r="H361" s="1" t="s">
        <v>328</v>
      </c>
      <c r="I361" s="1" t="s">
        <v>328</v>
      </c>
      <c r="J361" s="1" t="s">
        <v>328</v>
      </c>
      <c r="K361" s="1" t="s">
        <v>375</v>
      </c>
      <c r="L361" s="1" t="s">
        <v>902</v>
      </c>
      <c r="M361" s="1" t="s">
        <v>328</v>
      </c>
      <c r="N361" s="1" t="s">
        <v>328</v>
      </c>
      <c r="O361" s="1" t="s">
        <v>328</v>
      </c>
      <c r="P361" s="1" t="s">
        <v>328</v>
      </c>
      <c r="Q361" s="1" t="s">
        <v>328</v>
      </c>
      <c r="R361" s="1" t="s">
        <v>328</v>
      </c>
      <c r="S361" s="1" t="s">
        <v>328</v>
      </c>
      <c r="T361" s="1" t="s">
        <v>328</v>
      </c>
      <c r="U361" s="1">
        <v>0</v>
      </c>
      <c r="V361" s="1">
        <v>0</v>
      </c>
      <c r="W361" s="1">
        <v>0</v>
      </c>
      <c r="X361" s="1">
        <v>0</v>
      </c>
      <c r="Y361" s="1">
        <v>0</v>
      </c>
      <c r="Z361" s="1">
        <v>0</v>
      </c>
      <c r="AA361" s="1">
        <v>0</v>
      </c>
      <c r="AB361" s="1">
        <v>0</v>
      </c>
      <c r="AC361" s="1">
        <v>4</v>
      </c>
      <c r="AD361" s="1">
        <v>3</v>
      </c>
      <c r="AE361" s="1">
        <v>0</v>
      </c>
      <c r="AF361" s="1">
        <v>2</v>
      </c>
      <c r="AG361" s="208" t="s">
        <v>137</v>
      </c>
      <c r="AH361" s="1">
        <v>3060</v>
      </c>
      <c r="AI361" t="s">
        <v>1843</v>
      </c>
      <c r="AJ361">
        <v>0</v>
      </c>
      <c r="AK361" s="1" t="s">
        <v>8157</v>
      </c>
      <c r="AL361" s="1" t="s">
        <v>8158</v>
      </c>
      <c r="AM361" s="1">
        <v>0.3</v>
      </c>
      <c r="AN361" s="1">
        <v>0.23</v>
      </c>
      <c r="AO361" s="1">
        <v>0.15</v>
      </c>
      <c r="AP361" s="1">
        <v>0.38</v>
      </c>
      <c r="AQ361" s="1">
        <v>3</v>
      </c>
      <c r="AR361" t="s">
        <v>1583</v>
      </c>
      <c r="AS361">
        <v>0</v>
      </c>
      <c r="AT361" t="s">
        <v>1806</v>
      </c>
      <c r="AU361">
        <v>10</v>
      </c>
      <c r="AV361">
        <v>20068</v>
      </c>
      <c r="AX361" t="b">
        <v>0</v>
      </c>
    </row>
    <row r="362" spans="1:50" x14ac:dyDescent="0.3">
      <c r="A362">
        <v>360</v>
      </c>
      <c r="B362" t="s">
        <v>8162</v>
      </c>
      <c r="C362" t="s">
        <v>8163</v>
      </c>
      <c r="D362">
        <v>5</v>
      </c>
      <c r="E362">
        <v>3</v>
      </c>
      <c r="F362">
        <v>20</v>
      </c>
      <c r="G362" s="1" t="s">
        <v>402</v>
      </c>
      <c r="H362" s="1" t="s">
        <v>328</v>
      </c>
      <c r="I362" s="1" t="s">
        <v>328</v>
      </c>
      <c r="J362" s="1" t="s">
        <v>328</v>
      </c>
      <c r="K362" s="1" t="s">
        <v>376</v>
      </c>
      <c r="L362" s="1" t="s">
        <v>5575</v>
      </c>
      <c r="M362" s="1" t="s">
        <v>328</v>
      </c>
      <c r="N362" s="1" t="s">
        <v>328</v>
      </c>
      <c r="O362" s="1" t="s">
        <v>328</v>
      </c>
      <c r="P362" s="1" t="s">
        <v>328</v>
      </c>
      <c r="Q362" s="1" t="s">
        <v>328</v>
      </c>
      <c r="R362" s="1" t="s">
        <v>328</v>
      </c>
      <c r="S362" s="1" t="s">
        <v>328</v>
      </c>
      <c r="T362" s="1" t="s">
        <v>328</v>
      </c>
      <c r="U362" s="1">
        <v>0</v>
      </c>
      <c r="V362" s="1">
        <v>0</v>
      </c>
      <c r="W362" s="1">
        <v>0</v>
      </c>
      <c r="X362" s="1">
        <v>0</v>
      </c>
      <c r="Y362" s="1">
        <v>0</v>
      </c>
      <c r="Z362" s="1">
        <v>0</v>
      </c>
      <c r="AA362" s="1">
        <v>0</v>
      </c>
      <c r="AB362" s="1">
        <v>0</v>
      </c>
      <c r="AC362" s="1">
        <v>4</v>
      </c>
      <c r="AD362" s="1">
        <v>3</v>
      </c>
      <c r="AE362" s="1">
        <v>0</v>
      </c>
      <c r="AF362" s="1">
        <v>2</v>
      </c>
      <c r="AG362" s="208" t="s">
        <v>101</v>
      </c>
      <c r="AH362" s="1">
        <v>3060</v>
      </c>
      <c r="AI362" t="s">
        <v>1843</v>
      </c>
      <c r="AJ362">
        <v>0</v>
      </c>
      <c r="AK362" s="1" t="s">
        <v>8164</v>
      </c>
      <c r="AL362" s="1" t="s">
        <v>8165</v>
      </c>
      <c r="AM362" s="1">
        <v>0.3</v>
      </c>
      <c r="AN362" s="1">
        <v>0.23</v>
      </c>
      <c r="AO362" s="1">
        <v>0.15</v>
      </c>
      <c r="AP362" s="1">
        <v>0.38</v>
      </c>
      <c r="AQ362" s="1">
        <v>3</v>
      </c>
      <c r="AR362" t="s">
        <v>8166</v>
      </c>
      <c r="AS362">
        <v>0</v>
      </c>
      <c r="AT362" t="s">
        <v>1806</v>
      </c>
      <c r="AU362">
        <v>10</v>
      </c>
      <c r="AV362">
        <v>20067</v>
      </c>
      <c r="AX362" t="b">
        <v>0</v>
      </c>
    </row>
    <row r="363" spans="1:50" x14ac:dyDescent="0.3">
      <c r="A363">
        <v>364</v>
      </c>
      <c r="B363" t="s">
        <v>8167</v>
      </c>
      <c r="C363" t="s">
        <v>8168</v>
      </c>
      <c r="D363">
        <v>5</v>
      </c>
      <c r="E363">
        <v>3</v>
      </c>
      <c r="F363">
        <v>20</v>
      </c>
      <c r="G363" s="1" t="s">
        <v>328</v>
      </c>
      <c r="H363" s="1" t="s">
        <v>328</v>
      </c>
      <c r="I363" s="1" t="s">
        <v>328</v>
      </c>
      <c r="J363" s="1" t="s">
        <v>364</v>
      </c>
      <c r="K363" s="1" t="s">
        <v>328</v>
      </c>
      <c r="L363" s="1" t="s">
        <v>328</v>
      </c>
      <c r="M363" s="1" t="s">
        <v>328</v>
      </c>
      <c r="N363" s="1" t="s">
        <v>328</v>
      </c>
      <c r="O363" s="1" t="s">
        <v>7183</v>
      </c>
      <c r="P363" s="1" t="s">
        <v>328</v>
      </c>
      <c r="Q363" s="1" t="s">
        <v>328</v>
      </c>
      <c r="R363" s="1" t="s">
        <v>328</v>
      </c>
      <c r="S363" s="1" t="s">
        <v>328</v>
      </c>
      <c r="T363" s="1" t="s">
        <v>328</v>
      </c>
      <c r="U363" s="1">
        <v>0</v>
      </c>
      <c r="V363" s="1">
        <v>0</v>
      </c>
      <c r="W363" s="1">
        <v>0</v>
      </c>
      <c r="X363" s="1">
        <v>0</v>
      </c>
      <c r="Y363" s="1">
        <v>0</v>
      </c>
      <c r="Z363" s="1">
        <v>0</v>
      </c>
      <c r="AA363" s="1">
        <v>0</v>
      </c>
      <c r="AB363" s="1">
        <v>0</v>
      </c>
      <c r="AC363" s="1">
        <v>2</v>
      </c>
      <c r="AD363" s="1">
        <v>2</v>
      </c>
      <c r="AE363" s="1">
        <v>3</v>
      </c>
      <c r="AF363" s="1">
        <v>3</v>
      </c>
      <c r="AG363" s="208" t="s">
        <v>5631</v>
      </c>
      <c r="AH363" s="1">
        <v>3060</v>
      </c>
      <c r="AI363" t="s">
        <v>1843</v>
      </c>
      <c r="AJ363">
        <v>0</v>
      </c>
      <c r="AK363" s="1" t="s">
        <v>5285</v>
      </c>
      <c r="AL363" s="1" t="s">
        <v>8169</v>
      </c>
      <c r="AM363" s="1">
        <v>0.23</v>
      </c>
      <c r="AN363" s="1">
        <v>0.23</v>
      </c>
      <c r="AO363" s="1">
        <v>0.33</v>
      </c>
      <c r="AP363" s="1">
        <v>0.38</v>
      </c>
      <c r="AQ363" s="1">
        <v>3</v>
      </c>
      <c r="AR363" t="s">
        <v>1585</v>
      </c>
      <c r="AS363">
        <v>0</v>
      </c>
      <c r="AT363" t="s">
        <v>8170</v>
      </c>
      <c r="AU363">
        <v>10</v>
      </c>
      <c r="AV363">
        <v>20069</v>
      </c>
      <c r="AX363" t="b">
        <v>0</v>
      </c>
    </row>
    <row r="364" spans="1:50" x14ac:dyDescent="0.3">
      <c r="A364">
        <v>365</v>
      </c>
      <c r="B364" t="s">
        <v>8274</v>
      </c>
      <c r="C364" t="s">
        <v>8275</v>
      </c>
      <c r="D364">
        <v>5</v>
      </c>
      <c r="E364">
        <v>3</v>
      </c>
      <c r="F364">
        <v>20</v>
      </c>
      <c r="G364" s="1" t="s">
        <v>328</v>
      </c>
      <c r="H364" s="1" t="s">
        <v>328</v>
      </c>
      <c r="I364" s="1" t="s">
        <v>328</v>
      </c>
      <c r="J364" s="1" t="s">
        <v>328</v>
      </c>
      <c r="K364" s="1" t="s">
        <v>470</v>
      </c>
      <c r="L364" s="1" t="s">
        <v>389</v>
      </c>
      <c r="M364" s="1" t="s">
        <v>328</v>
      </c>
      <c r="N364" s="1" t="s">
        <v>328</v>
      </c>
      <c r="O364" s="1" t="s">
        <v>328</v>
      </c>
      <c r="P364" s="1" t="s">
        <v>328</v>
      </c>
      <c r="Q364" s="1" t="s">
        <v>328</v>
      </c>
      <c r="R364" s="1" t="s">
        <v>328</v>
      </c>
      <c r="S364" s="1" t="s">
        <v>328</v>
      </c>
      <c r="T364" s="1" t="s">
        <v>328</v>
      </c>
      <c r="U364" s="1">
        <v>0</v>
      </c>
      <c r="V364" s="1">
        <v>0</v>
      </c>
      <c r="W364" s="1">
        <v>0</v>
      </c>
      <c r="X364" s="1">
        <v>0</v>
      </c>
      <c r="Y364" s="1">
        <v>0</v>
      </c>
      <c r="Z364" s="1">
        <v>0</v>
      </c>
      <c r="AA364" s="1">
        <v>0</v>
      </c>
      <c r="AB364" s="1">
        <v>0</v>
      </c>
      <c r="AC364" s="1">
        <v>4</v>
      </c>
      <c r="AD364" s="1">
        <v>0</v>
      </c>
      <c r="AE364" s="1">
        <v>5</v>
      </c>
      <c r="AF364" s="1">
        <v>0</v>
      </c>
      <c r="AG364" s="208" t="s">
        <v>8301</v>
      </c>
      <c r="AH364" s="1">
        <v>3360</v>
      </c>
      <c r="AI364" t="s">
        <v>1843</v>
      </c>
      <c r="AJ364">
        <v>0</v>
      </c>
      <c r="AK364" s="1" t="s">
        <v>8276</v>
      </c>
      <c r="AL364" s="1" t="s">
        <v>8277</v>
      </c>
      <c r="AM364" s="1">
        <v>0.55000000000000004</v>
      </c>
      <c r="AN364" s="1">
        <v>0.16</v>
      </c>
      <c r="AO364" s="1">
        <v>0.6</v>
      </c>
      <c r="AP364" s="1">
        <v>0.16</v>
      </c>
      <c r="AQ364" s="1">
        <v>3</v>
      </c>
      <c r="AR364" t="s">
        <v>8278</v>
      </c>
      <c r="AS364">
        <v>0</v>
      </c>
      <c r="AT364" t="s">
        <v>8279</v>
      </c>
      <c r="AU364">
        <v>10</v>
      </c>
      <c r="AV364">
        <v>20070</v>
      </c>
      <c r="AX364" t="b">
        <v>0</v>
      </c>
    </row>
    <row r="365" spans="1:50" x14ac:dyDescent="0.3">
      <c r="A365">
        <v>366</v>
      </c>
      <c r="B365" t="s">
        <v>8280</v>
      </c>
      <c r="C365" t="s">
        <v>8281</v>
      </c>
      <c r="D365">
        <v>5</v>
      </c>
      <c r="E365">
        <v>2</v>
      </c>
      <c r="F365">
        <v>19</v>
      </c>
      <c r="G365" s="1" t="s">
        <v>328</v>
      </c>
      <c r="H365" s="1" t="s">
        <v>328</v>
      </c>
      <c r="I365" s="1" t="s">
        <v>328</v>
      </c>
      <c r="J365" s="1" t="s">
        <v>328</v>
      </c>
      <c r="K365" s="1" t="s">
        <v>328</v>
      </c>
      <c r="L365" s="1" t="s">
        <v>335</v>
      </c>
      <c r="M365" s="1" t="s">
        <v>328</v>
      </c>
      <c r="N365" s="1" t="s">
        <v>7299</v>
      </c>
      <c r="O365" s="1" t="s">
        <v>328</v>
      </c>
      <c r="P365" s="1" t="s">
        <v>328</v>
      </c>
      <c r="Q365" s="1" t="s">
        <v>328</v>
      </c>
      <c r="R365" s="1" t="s">
        <v>328</v>
      </c>
      <c r="S365" s="1" t="s">
        <v>328</v>
      </c>
      <c r="T365" s="1" t="s">
        <v>328</v>
      </c>
      <c r="U365" s="1">
        <v>0</v>
      </c>
      <c r="V365" s="1">
        <v>0</v>
      </c>
      <c r="W365" s="1">
        <v>0</v>
      </c>
      <c r="X365" s="1">
        <v>0</v>
      </c>
      <c r="Y365" s="1">
        <v>0</v>
      </c>
      <c r="Z365" s="1">
        <v>0</v>
      </c>
      <c r="AA365" s="1">
        <v>0</v>
      </c>
      <c r="AB365" s="1">
        <v>0</v>
      </c>
      <c r="AC365" s="1">
        <v>0</v>
      </c>
      <c r="AD365" s="1">
        <v>4</v>
      </c>
      <c r="AE365" s="1">
        <v>2</v>
      </c>
      <c r="AF365" s="1">
        <v>3</v>
      </c>
      <c r="AG365" s="208" t="s">
        <v>8300</v>
      </c>
      <c r="AH365" s="1">
        <v>3300</v>
      </c>
      <c r="AI365" t="s">
        <v>1843</v>
      </c>
      <c r="AJ365">
        <v>0</v>
      </c>
      <c r="AK365" s="1" t="s">
        <v>8282</v>
      </c>
      <c r="AL365" s="1" t="s">
        <v>8283</v>
      </c>
      <c r="AM365" s="1">
        <v>0.08</v>
      </c>
      <c r="AN365" s="1">
        <v>0.5</v>
      </c>
      <c r="AO365" s="1">
        <v>0.3</v>
      </c>
      <c r="AP365" s="1">
        <v>0.3</v>
      </c>
      <c r="AQ365" s="1">
        <v>3</v>
      </c>
      <c r="AR365" t="s">
        <v>8284</v>
      </c>
      <c r="AS365">
        <v>0</v>
      </c>
      <c r="AT365" t="s">
        <v>8285</v>
      </c>
      <c r="AU365">
        <v>10</v>
      </c>
      <c r="AV365">
        <v>19066</v>
      </c>
      <c r="AX365" t="b">
        <v>0</v>
      </c>
    </row>
    <row r="366" spans="1:50" x14ac:dyDescent="0.3">
      <c r="A366">
        <v>367</v>
      </c>
      <c r="B366" t="s">
        <v>8319</v>
      </c>
      <c r="C366" t="s">
        <v>8320</v>
      </c>
      <c r="D366">
        <v>5</v>
      </c>
      <c r="E366">
        <v>3</v>
      </c>
      <c r="F366">
        <v>20</v>
      </c>
      <c r="G366" s="1" t="s">
        <v>328</v>
      </c>
      <c r="H366" s="1" t="s">
        <v>331</v>
      </c>
      <c r="I366" s="1" t="s">
        <v>8321</v>
      </c>
      <c r="J366" s="1" t="s">
        <v>328</v>
      </c>
      <c r="K366" s="1" t="s">
        <v>328</v>
      </c>
      <c r="L366" s="1" t="s">
        <v>328</v>
      </c>
      <c r="M366" s="1" t="s">
        <v>328</v>
      </c>
      <c r="N366" s="1" t="s">
        <v>328</v>
      </c>
      <c r="O366" s="1" t="s">
        <v>328</v>
      </c>
      <c r="P366" s="1" t="s">
        <v>328</v>
      </c>
      <c r="Q366" s="1" t="s">
        <v>328</v>
      </c>
      <c r="R366" s="1" t="s">
        <v>328</v>
      </c>
      <c r="S366" s="1" t="s">
        <v>328</v>
      </c>
      <c r="T366" s="1" t="s">
        <v>328</v>
      </c>
      <c r="U366" s="1">
        <v>0</v>
      </c>
      <c r="V366" s="1">
        <v>0</v>
      </c>
      <c r="W366" s="1">
        <v>0</v>
      </c>
      <c r="X366" s="1">
        <v>0</v>
      </c>
      <c r="Y366" s="1">
        <v>0</v>
      </c>
      <c r="Z366" s="1">
        <v>0</v>
      </c>
      <c r="AA366" s="1">
        <v>0</v>
      </c>
      <c r="AB366" s="1">
        <v>0</v>
      </c>
      <c r="AC366" s="1">
        <v>4</v>
      </c>
      <c r="AD366" s="1">
        <v>2</v>
      </c>
      <c r="AE366" s="1">
        <v>0</v>
      </c>
      <c r="AF366" s="1">
        <v>4</v>
      </c>
      <c r="AG366" s="208" t="s">
        <v>793</v>
      </c>
      <c r="AH366" s="1">
        <v>3120</v>
      </c>
      <c r="AI366" t="s">
        <v>1843</v>
      </c>
      <c r="AJ366">
        <v>0</v>
      </c>
      <c r="AK366" s="1" t="s">
        <v>8322</v>
      </c>
      <c r="AL366" s="1" t="s">
        <v>8323</v>
      </c>
      <c r="AM366" s="1">
        <v>0.3</v>
      </c>
      <c r="AN366" s="1">
        <v>0.25</v>
      </c>
      <c r="AO366" s="1">
        <v>0.12</v>
      </c>
      <c r="AP366" s="1">
        <v>0.38</v>
      </c>
      <c r="AQ366" s="1">
        <v>3</v>
      </c>
      <c r="AR366" t="s">
        <v>8324</v>
      </c>
      <c r="AS366">
        <v>0</v>
      </c>
      <c r="AT366" t="s">
        <v>8325</v>
      </c>
      <c r="AU366">
        <v>10</v>
      </c>
      <c r="AV366">
        <v>20071</v>
      </c>
      <c r="AX366" t="b">
        <v>0</v>
      </c>
    </row>
    <row r="367" spans="1:50" x14ac:dyDescent="0.3">
      <c r="A367">
        <v>368</v>
      </c>
      <c r="B367" t="s">
        <v>8338</v>
      </c>
      <c r="C367" t="s">
        <v>8339</v>
      </c>
      <c r="D367">
        <v>5</v>
      </c>
      <c r="E367">
        <v>2</v>
      </c>
      <c r="F367">
        <v>19</v>
      </c>
      <c r="G367" s="1" t="s">
        <v>452</v>
      </c>
      <c r="H367" s="1" t="s">
        <v>328</v>
      </c>
      <c r="I367" s="1" t="s">
        <v>328</v>
      </c>
      <c r="J367" s="1" t="s">
        <v>328</v>
      </c>
      <c r="K367" s="1" t="s">
        <v>328</v>
      </c>
      <c r="L367" s="1" t="s">
        <v>328</v>
      </c>
      <c r="M367" s="1" t="s">
        <v>328</v>
      </c>
      <c r="N367" s="1" t="s">
        <v>328</v>
      </c>
      <c r="O367" s="1" t="s">
        <v>328</v>
      </c>
      <c r="P367" s="1" t="s">
        <v>328</v>
      </c>
      <c r="Q367" s="1" t="s">
        <v>328</v>
      </c>
      <c r="R367" s="1" t="s">
        <v>328</v>
      </c>
      <c r="S367" s="1" t="s">
        <v>328</v>
      </c>
      <c r="T367" s="1" t="s">
        <v>328</v>
      </c>
      <c r="U367" s="1">
        <v>0</v>
      </c>
      <c r="V367" s="1">
        <v>0</v>
      </c>
      <c r="W367" s="1">
        <v>0</v>
      </c>
      <c r="X367" s="1">
        <v>0</v>
      </c>
      <c r="Y367" s="1">
        <v>0</v>
      </c>
      <c r="Z367" s="1">
        <v>0</v>
      </c>
      <c r="AA367" s="1">
        <v>0</v>
      </c>
      <c r="AB367" s="1">
        <v>0</v>
      </c>
      <c r="AC367" s="1">
        <v>0</v>
      </c>
      <c r="AD367" s="1">
        <v>5</v>
      </c>
      <c r="AE367" s="1">
        <v>3</v>
      </c>
      <c r="AF367" s="1">
        <v>2</v>
      </c>
      <c r="AG367" s="208" t="s">
        <v>8349</v>
      </c>
      <c r="AH367" s="1">
        <v>3600</v>
      </c>
      <c r="AI367" t="s">
        <v>1843</v>
      </c>
      <c r="AJ367">
        <v>0</v>
      </c>
      <c r="AK367" s="1" t="s">
        <v>8340</v>
      </c>
      <c r="AL367" s="1" t="s">
        <v>8341</v>
      </c>
      <c r="AM367" s="1">
        <v>0.15</v>
      </c>
      <c r="AN367" s="1">
        <v>0.6</v>
      </c>
      <c r="AO367" s="1">
        <v>0.38</v>
      </c>
      <c r="AP367" s="1">
        <v>0.23</v>
      </c>
      <c r="AQ367" s="1">
        <v>3</v>
      </c>
      <c r="AR367" t="s">
        <v>1529</v>
      </c>
      <c r="AS367">
        <v>0</v>
      </c>
      <c r="AT367" t="s">
        <v>8342</v>
      </c>
      <c r="AU367">
        <v>10</v>
      </c>
      <c r="AV367">
        <v>19067</v>
      </c>
      <c r="AX367" t="b">
        <v>0</v>
      </c>
    </row>
    <row r="368" spans="1:50" x14ac:dyDescent="0.3">
      <c r="A368">
        <v>369</v>
      </c>
      <c r="B368" t="s">
        <v>8343</v>
      </c>
      <c r="C368" t="s">
        <v>8344</v>
      </c>
      <c r="D368">
        <v>5</v>
      </c>
      <c r="E368">
        <v>2</v>
      </c>
      <c r="F368">
        <v>19</v>
      </c>
      <c r="G368" s="1" t="s">
        <v>470</v>
      </c>
      <c r="H368" s="1" t="s">
        <v>328</v>
      </c>
      <c r="I368" s="1" t="s">
        <v>328</v>
      </c>
      <c r="J368" s="1" t="s">
        <v>328</v>
      </c>
      <c r="K368" s="1" t="s">
        <v>328</v>
      </c>
      <c r="L368" s="1" t="s">
        <v>328</v>
      </c>
      <c r="M368" s="1" t="s">
        <v>328</v>
      </c>
      <c r="N368" s="1" t="s">
        <v>6941</v>
      </c>
      <c r="O368" s="1" t="s">
        <v>328</v>
      </c>
      <c r="P368" s="1" t="s">
        <v>328</v>
      </c>
      <c r="Q368" s="1" t="s">
        <v>328</v>
      </c>
      <c r="R368" s="1" t="s">
        <v>328</v>
      </c>
      <c r="S368" s="1" t="s">
        <v>328</v>
      </c>
      <c r="T368" s="1" t="s">
        <v>328</v>
      </c>
      <c r="U368" s="1">
        <v>0</v>
      </c>
      <c r="V368" s="1">
        <v>0</v>
      </c>
      <c r="W368" s="1">
        <v>0</v>
      </c>
      <c r="X368" s="1">
        <v>0</v>
      </c>
      <c r="Y368" s="1">
        <v>0</v>
      </c>
      <c r="Z368" s="1">
        <v>0</v>
      </c>
      <c r="AA368" s="1">
        <v>0</v>
      </c>
      <c r="AB368" s="1">
        <v>0</v>
      </c>
      <c r="AC368" s="1">
        <v>0</v>
      </c>
      <c r="AD368" s="1">
        <v>4</v>
      </c>
      <c r="AE368" s="1">
        <v>2</v>
      </c>
      <c r="AF368" s="1">
        <v>3</v>
      </c>
      <c r="AG368" s="208" t="s">
        <v>8348</v>
      </c>
      <c r="AH368" s="1">
        <v>3300</v>
      </c>
      <c r="AI368" t="s">
        <v>1843</v>
      </c>
      <c r="AJ368">
        <v>0</v>
      </c>
      <c r="AK368" s="1" t="s">
        <v>8345</v>
      </c>
      <c r="AL368" s="1" t="s">
        <v>8346</v>
      </c>
      <c r="AM368" s="1">
        <v>0.08</v>
      </c>
      <c r="AN368" s="1">
        <v>0.5</v>
      </c>
      <c r="AO368" s="1">
        <v>0.3</v>
      </c>
      <c r="AP368" s="1">
        <v>0.3</v>
      </c>
      <c r="AQ368" s="1">
        <v>3</v>
      </c>
      <c r="AR368" t="s">
        <v>6943</v>
      </c>
      <c r="AS368">
        <v>0</v>
      </c>
      <c r="AT368" t="s">
        <v>8347</v>
      </c>
      <c r="AU368">
        <v>10</v>
      </c>
      <c r="AV368">
        <v>19068</v>
      </c>
      <c r="AX368" t="b">
        <v>0</v>
      </c>
    </row>
    <row r="369" spans="1:50" x14ac:dyDescent="0.3">
      <c r="A369">
        <v>370</v>
      </c>
      <c r="B369" t="s">
        <v>8508</v>
      </c>
      <c r="C369" t="s">
        <v>8509</v>
      </c>
      <c r="D369">
        <v>5</v>
      </c>
      <c r="E369">
        <v>2</v>
      </c>
      <c r="F369">
        <v>19</v>
      </c>
      <c r="G369" s="1" t="s">
        <v>356</v>
      </c>
      <c r="H369" s="1" t="s">
        <v>328</v>
      </c>
      <c r="I369" s="1" t="s">
        <v>328</v>
      </c>
      <c r="J369" s="1" t="s">
        <v>328</v>
      </c>
      <c r="K369" s="1" t="s">
        <v>328</v>
      </c>
      <c r="L369" s="1" t="s">
        <v>328</v>
      </c>
      <c r="M369" s="1" t="s">
        <v>328</v>
      </c>
      <c r="N369" s="1" t="s">
        <v>328</v>
      </c>
      <c r="O369" s="1" t="s">
        <v>328</v>
      </c>
      <c r="P369" s="1" t="s">
        <v>328</v>
      </c>
      <c r="Q369" s="1" t="s">
        <v>328</v>
      </c>
      <c r="R369" s="1" t="s">
        <v>328</v>
      </c>
      <c r="S369" s="1" t="s">
        <v>328</v>
      </c>
      <c r="T369" s="1" t="s">
        <v>328</v>
      </c>
      <c r="U369" s="1">
        <v>0</v>
      </c>
      <c r="V369" s="1">
        <v>0</v>
      </c>
      <c r="W369" s="1">
        <v>0</v>
      </c>
      <c r="X369" s="1">
        <v>0</v>
      </c>
      <c r="Y369" s="1">
        <v>0</v>
      </c>
      <c r="Z369" s="1">
        <v>0</v>
      </c>
      <c r="AA369" s="1">
        <v>0</v>
      </c>
      <c r="AB369" s="1">
        <v>0</v>
      </c>
      <c r="AC369" s="1">
        <v>0</v>
      </c>
      <c r="AD369" s="1">
        <v>5</v>
      </c>
      <c r="AE369" s="1">
        <v>3</v>
      </c>
      <c r="AF369" s="1">
        <v>2</v>
      </c>
      <c r="AG369" s="208" t="s">
        <v>188</v>
      </c>
      <c r="AH369" s="1">
        <v>3600</v>
      </c>
      <c r="AI369" t="s">
        <v>1843</v>
      </c>
      <c r="AJ369">
        <v>0</v>
      </c>
      <c r="AK369" s="1" t="s">
        <v>8510</v>
      </c>
      <c r="AL369" s="1" t="s">
        <v>8511</v>
      </c>
      <c r="AM369" s="1">
        <v>0.15</v>
      </c>
      <c r="AN369" s="1">
        <v>0.6</v>
      </c>
      <c r="AO369" s="1">
        <v>0.38</v>
      </c>
      <c r="AP369" s="1">
        <v>0.23</v>
      </c>
      <c r="AQ369" s="1">
        <v>3</v>
      </c>
      <c r="AR369" t="s">
        <v>1473</v>
      </c>
      <c r="AS369">
        <v>0</v>
      </c>
      <c r="AT369" t="s">
        <v>8512</v>
      </c>
      <c r="AU369">
        <v>10</v>
      </c>
      <c r="AV369">
        <v>19069</v>
      </c>
      <c r="AX369" t="b">
        <v>0</v>
      </c>
    </row>
    <row r="370" spans="1:50" x14ac:dyDescent="0.3">
      <c r="A370">
        <v>371</v>
      </c>
      <c r="B370" t="s">
        <v>8513</v>
      </c>
      <c r="C370" t="s">
        <v>8514</v>
      </c>
      <c r="D370">
        <v>5</v>
      </c>
      <c r="E370">
        <v>3</v>
      </c>
      <c r="F370">
        <v>20</v>
      </c>
      <c r="G370" s="1" t="s">
        <v>328</v>
      </c>
      <c r="H370" s="1" t="s">
        <v>328</v>
      </c>
      <c r="I370" s="1" t="s">
        <v>328</v>
      </c>
      <c r="J370" s="1" t="s">
        <v>328</v>
      </c>
      <c r="K370" s="1" t="s">
        <v>328</v>
      </c>
      <c r="L370" s="1" t="s">
        <v>389</v>
      </c>
      <c r="M370" s="1" t="s">
        <v>328</v>
      </c>
      <c r="N370" s="1" t="s">
        <v>328</v>
      </c>
      <c r="O370" s="1" t="s">
        <v>328</v>
      </c>
      <c r="P370" s="1" t="s">
        <v>328</v>
      </c>
      <c r="Q370" s="1" t="s">
        <v>328</v>
      </c>
      <c r="R370" s="1" t="s">
        <v>328</v>
      </c>
      <c r="S370" s="1" t="s">
        <v>328</v>
      </c>
      <c r="T370" s="1" t="s">
        <v>328</v>
      </c>
      <c r="U370" s="1">
        <v>0</v>
      </c>
      <c r="V370" s="1">
        <v>300</v>
      </c>
      <c r="W370" s="1">
        <v>0</v>
      </c>
      <c r="X370" s="1">
        <v>0</v>
      </c>
      <c r="Y370" s="1">
        <v>0</v>
      </c>
      <c r="Z370" s="1">
        <v>0</v>
      </c>
      <c r="AA370" s="1">
        <v>0</v>
      </c>
      <c r="AB370" s="1">
        <v>0</v>
      </c>
      <c r="AC370" s="1">
        <v>4</v>
      </c>
      <c r="AD370" s="1">
        <v>0</v>
      </c>
      <c r="AE370" s="1">
        <v>5</v>
      </c>
      <c r="AF370" s="1">
        <v>0</v>
      </c>
      <c r="AG370" s="208" t="s">
        <v>8524</v>
      </c>
      <c r="AH370" s="1">
        <v>3360</v>
      </c>
      <c r="AI370" t="s">
        <v>1843</v>
      </c>
      <c r="AJ370">
        <v>0</v>
      </c>
      <c r="AK370" s="1" t="s">
        <v>8515</v>
      </c>
      <c r="AL370" s="1" t="s">
        <v>8516</v>
      </c>
      <c r="AM370" s="1">
        <v>0.55000000000000004</v>
      </c>
      <c r="AN370" s="1">
        <v>0.16</v>
      </c>
      <c r="AO370" s="1">
        <v>0.6</v>
      </c>
      <c r="AP370" s="1">
        <v>0.16</v>
      </c>
      <c r="AQ370" s="1">
        <v>3</v>
      </c>
      <c r="AR370" t="s">
        <v>8517</v>
      </c>
      <c r="AS370">
        <v>0</v>
      </c>
      <c r="AT370" t="s">
        <v>8518</v>
      </c>
      <c r="AU370">
        <v>10</v>
      </c>
      <c r="AV370">
        <v>20072</v>
      </c>
      <c r="AX370" t="b">
        <v>0</v>
      </c>
    </row>
    <row r="371" spans="1:50" x14ac:dyDescent="0.3">
      <c r="A371">
        <v>372</v>
      </c>
      <c r="B371" t="s">
        <v>8519</v>
      </c>
      <c r="C371" t="s">
        <v>8520</v>
      </c>
      <c r="D371">
        <v>5</v>
      </c>
      <c r="E371">
        <v>2</v>
      </c>
      <c r="F371">
        <v>19</v>
      </c>
      <c r="G371" s="1" t="s">
        <v>328</v>
      </c>
      <c r="H371" s="1" t="s">
        <v>389</v>
      </c>
      <c r="I371" s="1" t="s">
        <v>328</v>
      </c>
      <c r="J371" s="1" t="s">
        <v>328</v>
      </c>
      <c r="K371" s="1" t="s">
        <v>328</v>
      </c>
      <c r="L371" s="1" t="s">
        <v>328</v>
      </c>
      <c r="M371" s="1" t="s">
        <v>328</v>
      </c>
      <c r="N371" s="1" t="s">
        <v>328</v>
      </c>
      <c r="O371" s="1" t="s">
        <v>328</v>
      </c>
      <c r="P371" s="1" t="s">
        <v>328</v>
      </c>
      <c r="Q371" s="1" t="s">
        <v>328</v>
      </c>
      <c r="R371" s="1" t="s">
        <v>328</v>
      </c>
      <c r="S371" s="1" t="s">
        <v>328</v>
      </c>
      <c r="T371" s="1" t="s">
        <v>328</v>
      </c>
      <c r="U371" s="1">
        <v>0</v>
      </c>
      <c r="V371" s="1">
        <v>0</v>
      </c>
      <c r="W371" s="1">
        <v>0</v>
      </c>
      <c r="X371" s="1">
        <v>0</v>
      </c>
      <c r="Y371" s="1">
        <v>0</v>
      </c>
      <c r="Z371" s="1">
        <v>0</v>
      </c>
      <c r="AA371" s="1">
        <v>0</v>
      </c>
      <c r="AB371" s="1">
        <v>0</v>
      </c>
      <c r="AC371" s="1">
        <v>1</v>
      </c>
      <c r="AD371" s="1">
        <v>4</v>
      </c>
      <c r="AE371" s="1">
        <v>1</v>
      </c>
      <c r="AF371" s="1">
        <v>3</v>
      </c>
      <c r="AG371" s="208" t="s">
        <v>8525</v>
      </c>
      <c r="AH371" s="1">
        <v>3420</v>
      </c>
      <c r="AI371" t="s">
        <v>1843</v>
      </c>
      <c r="AJ371">
        <v>0</v>
      </c>
      <c r="AK371" s="1" t="s">
        <v>8521</v>
      </c>
      <c r="AL371" s="1" t="s">
        <v>8522</v>
      </c>
      <c r="AM371" s="1">
        <v>0.08</v>
      </c>
      <c r="AN371" s="1">
        <v>0.39</v>
      </c>
      <c r="AO371" s="1">
        <v>0.08</v>
      </c>
      <c r="AP371" s="1">
        <v>0.48</v>
      </c>
      <c r="AQ371" s="1">
        <v>3</v>
      </c>
      <c r="AR371" t="s">
        <v>1470</v>
      </c>
      <c r="AS371">
        <v>0</v>
      </c>
      <c r="AT371" t="s">
        <v>8523</v>
      </c>
      <c r="AU371">
        <v>10</v>
      </c>
      <c r="AV371">
        <v>19070</v>
      </c>
      <c r="AX371" t="b">
        <v>0</v>
      </c>
    </row>
    <row r="372" spans="1:50" x14ac:dyDescent="0.3">
      <c r="A372">
        <v>373</v>
      </c>
      <c r="B372" t="s">
        <v>8526</v>
      </c>
      <c r="C372" t="s">
        <v>8527</v>
      </c>
      <c r="D372">
        <v>5</v>
      </c>
      <c r="E372">
        <v>2</v>
      </c>
      <c r="F372">
        <v>19</v>
      </c>
      <c r="G372" s="1" t="s">
        <v>335</v>
      </c>
      <c r="H372" s="1" t="s">
        <v>328</v>
      </c>
      <c r="I372" s="1" t="s">
        <v>328</v>
      </c>
      <c r="J372" s="1" t="s">
        <v>328</v>
      </c>
      <c r="K372" s="1" t="s">
        <v>328</v>
      </c>
      <c r="L372" s="1" t="s">
        <v>328</v>
      </c>
      <c r="M372" s="1" t="s">
        <v>328</v>
      </c>
      <c r="N372" s="1" t="s">
        <v>352</v>
      </c>
      <c r="O372" s="1" t="s">
        <v>328</v>
      </c>
      <c r="P372" s="1" t="s">
        <v>328</v>
      </c>
      <c r="Q372" s="1" t="s">
        <v>328</v>
      </c>
      <c r="R372" s="1" t="s">
        <v>328</v>
      </c>
      <c r="S372" s="1" t="s">
        <v>328</v>
      </c>
      <c r="T372" s="1" t="s">
        <v>328</v>
      </c>
      <c r="U372" s="1">
        <v>0</v>
      </c>
      <c r="V372" s="1">
        <v>0</v>
      </c>
      <c r="W372" s="1">
        <v>0</v>
      </c>
      <c r="X372" s="1">
        <v>0</v>
      </c>
      <c r="Y372" s="1">
        <v>0</v>
      </c>
      <c r="Z372" s="1">
        <v>0</v>
      </c>
      <c r="AA372" s="1">
        <v>0</v>
      </c>
      <c r="AB372" s="1">
        <v>0</v>
      </c>
      <c r="AC372" s="1">
        <v>0</v>
      </c>
      <c r="AD372" s="1">
        <v>4</v>
      </c>
      <c r="AE372" s="1">
        <v>2</v>
      </c>
      <c r="AF372" s="1">
        <v>3</v>
      </c>
      <c r="AG372" s="208" t="s">
        <v>191</v>
      </c>
      <c r="AH372" s="1">
        <v>3300</v>
      </c>
      <c r="AI372" t="s">
        <v>1843</v>
      </c>
      <c r="AJ372">
        <v>0</v>
      </c>
      <c r="AK372" s="1" t="s">
        <v>5374</v>
      </c>
      <c r="AL372" s="1" t="s">
        <v>8528</v>
      </c>
      <c r="AM372" s="1">
        <v>0.08</v>
      </c>
      <c r="AN372" s="1">
        <v>0.5</v>
      </c>
      <c r="AO372" s="1">
        <v>0.3</v>
      </c>
      <c r="AP372" s="1">
        <v>0.3</v>
      </c>
      <c r="AQ372" s="1">
        <v>3</v>
      </c>
      <c r="AR372" t="s">
        <v>1552</v>
      </c>
      <c r="AS372">
        <v>759303</v>
      </c>
      <c r="AT372" t="s">
        <v>8529</v>
      </c>
      <c r="AU372">
        <v>10</v>
      </c>
      <c r="AV372">
        <v>19071</v>
      </c>
      <c r="AX372" t="b">
        <v>0</v>
      </c>
    </row>
    <row r="373" spans="1:50" x14ac:dyDescent="0.3">
      <c r="A373">
        <v>374</v>
      </c>
      <c r="B373" t="s">
        <v>8530</v>
      </c>
      <c r="C373" t="s">
        <v>8531</v>
      </c>
      <c r="D373">
        <v>5</v>
      </c>
      <c r="E373">
        <v>3</v>
      </c>
      <c r="F373">
        <v>20</v>
      </c>
      <c r="G373" s="1" t="s">
        <v>324</v>
      </c>
      <c r="H373" s="1" t="s">
        <v>328</v>
      </c>
      <c r="I373" s="1" t="s">
        <v>328</v>
      </c>
      <c r="J373" s="1" t="s">
        <v>328</v>
      </c>
      <c r="K373" s="1" t="s">
        <v>376</v>
      </c>
      <c r="L373" s="1" t="s">
        <v>397</v>
      </c>
      <c r="M373" s="1" t="s">
        <v>328</v>
      </c>
      <c r="N373" s="1" t="s">
        <v>328</v>
      </c>
      <c r="O373" s="1" t="s">
        <v>328</v>
      </c>
      <c r="P373" s="1" t="s">
        <v>328</v>
      </c>
      <c r="Q373" s="1" t="s">
        <v>328</v>
      </c>
      <c r="R373" s="1" t="s">
        <v>328</v>
      </c>
      <c r="S373" s="1" t="s">
        <v>328</v>
      </c>
      <c r="T373" s="1" t="s">
        <v>328</v>
      </c>
      <c r="U373" s="1">
        <v>0</v>
      </c>
      <c r="V373" s="1">
        <v>0</v>
      </c>
      <c r="W373" s="1">
        <v>0</v>
      </c>
      <c r="X373" s="1">
        <v>0</v>
      </c>
      <c r="Y373" s="1">
        <v>0</v>
      </c>
      <c r="Z373" s="1">
        <v>0</v>
      </c>
      <c r="AA373" s="1">
        <v>0</v>
      </c>
      <c r="AB373" s="1">
        <v>0</v>
      </c>
      <c r="AC373" s="1">
        <v>4</v>
      </c>
      <c r="AD373" s="1">
        <v>3</v>
      </c>
      <c r="AE373" s="1">
        <v>0</v>
      </c>
      <c r="AF373" s="1">
        <v>2</v>
      </c>
      <c r="AG373" s="208" t="s">
        <v>8540</v>
      </c>
      <c r="AH373" s="1">
        <v>3060</v>
      </c>
      <c r="AI373" t="s">
        <v>1843</v>
      </c>
      <c r="AJ373">
        <v>0</v>
      </c>
      <c r="AK373" s="1" t="s">
        <v>8532</v>
      </c>
      <c r="AL373" s="1" t="s">
        <v>8533</v>
      </c>
      <c r="AM373" s="1">
        <v>0.3</v>
      </c>
      <c r="AN373" s="1">
        <v>0.23</v>
      </c>
      <c r="AO373" s="1">
        <v>0.15</v>
      </c>
      <c r="AP373" s="1">
        <v>0.38</v>
      </c>
      <c r="AQ373" s="1">
        <v>3</v>
      </c>
      <c r="AR373" t="s">
        <v>7078</v>
      </c>
      <c r="AS373">
        <v>0</v>
      </c>
      <c r="AT373" t="s">
        <v>8534</v>
      </c>
      <c r="AU373">
        <v>10</v>
      </c>
      <c r="AV373">
        <v>20073</v>
      </c>
      <c r="AX373" t="b">
        <v>0</v>
      </c>
    </row>
    <row r="374" spans="1:50" x14ac:dyDescent="0.3">
      <c r="A374">
        <v>375</v>
      </c>
      <c r="B374" t="s">
        <v>8535</v>
      </c>
      <c r="C374" t="s">
        <v>8536</v>
      </c>
      <c r="D374">
        <v>5</v>
      </c>
      <c r="E374">
        <v>1</v>
      </c>
      <c r="F374">
        <v>18</v>
      </c>
      <c r="G374" s="1" t="s">
        <v>328</v>
      </c>
      <c r="H374" s="1" t="s">
        <v>389</v>
      </c>
      <c r="I374" s="1" t="s">
        <v>328</v>
      </c>
      <c r="J374" s="1" t="s">
        <v>328</v>
      </c>
      <c r="K374" s="1" t="s">
        <v>328</v>
      </c>
      <c r="L374" s="1" t="s">
        <v>328</v>
      </c>
      <c r="M374" s="1" t="s">
        <v>385</v>
      </c>
      <c r="N374" s="1" t="s">
        <v>328</v>
      </c>
      <c r="O374" s="1" t="s">
        <v>328</v>
      </c>
      <c r="P374" s="1" t="s">
        <v>328</v>
      </c>
      <c r="Q374" s="1" t="s">
        <v>328</v>
      </c>
      <c r="R374" s="1" t="s">
        <v>328</v>
      </c>
      <c r="S374" s="1" t="s">
        <v>328</v>
      </c>
      <c r="T374" s="1" t="s">
        <v>328</v>
      </c>
      <c r="U374" s="1">
        <v>0</v>
      </c>
      <c r="V374" s="1">
        <v>0</v>
      </c>
      <c r="W374" s="1">
        <v>0</v>
      </c>
      <c r="X374" s="1">
        <v>0</v>
      </c>
      <c r="Y374" s="1">
        <v>0</v>
      </c>
      <c r="Z374" s="1">
        <v>0</v>
      </c>
      <c r="AA374" s="1">
        <v>0</v>
      </c>
      <c r="AB374" s="1">
        <v>0</v>
      </c>
      <c r="AC374" s="1">
        <v>4</v>
      </c>
      <c r="AD374" s="1">
        <v>2</v>
      </c>
      <c r="AE374" s="1">
        <v>2</v>
      </c>
      <c r="AF374" s="1">
        <v>2</v>
      </c>
      <c r="AG374" s="208" t="s">
        <v>8541</v>
      </c>
      <c r="AH374" s="1">
        <v>3540</v>
      </c>
      <c r="AI374" t="s">
        <v>1843</v>
      </c>
      <c r="AJ374">
        <v>0</v>
      </c>
      <c r="AK374" s="1" t="s">
        <v>8537</v>
      </c>
      <c r="AL374" s="1" t="s">
        <v>8538</v>
      </c>
      <c r="AM374" s="1">
        <v>0.45</v>
      </c>
      <c r="AN374" s="1">
        <v>0.15</v>
      </c>
      <c r="AO374" s="1">
        <v>0.3</v>
      </c>
      <c r="AP374" s="1">
        <v>0.15</v>
      </c>
      <c r="AQ374" s="1">
        <v>3</v>
      </c>
      <c r="AR374" t="s">
        <v>1577</v>
      </c>
      <c r="AS374">
        <v>0</v>
      </c>
      <c r="AT374" t="s">
        <v>8539</v>
      </c>
      <c r="AU374">
        <v>10</v>
      </c>
      <c r="AV374">
        <v>18116</v>
      </c>
      <c r="AX374" t="b">
        <v>0</v>
      </c>
    </row>
    <row r="375" spans="1:50" x14ac:dyDescent="0.3">
      <c r="A375">
        <v>376</v>
      </c>
      <c r="B375" t="s">
        <v>8555</v>
      </c>
      <c r="C375" t="s">
        <v>8556</v>
      </c>
      <c r="D375">
        <v>5</v>
      </c>
      <c r="E375">
        <v>3</v>
      </c>
      <c r="F375">
        <v>20</v>
      </c>
      <c r="G375" s="1" t="s">
        <v>328</v>
      </c>
      <c r="H375" s="1" t="s">
        <v>328</v>
      </c>
      <c r="I375" s="1" t="s">
        <v>331</v>
      </c>
      <c r="J375" s="1" t="s">
        <v>328</v>
      </c>
      <c r="K375" s="1" t="s">
        <v>328</v>
      </c>
      <c r="L375" s="1" t="s">
        <v>328</v>
      </c>
      <c r="M375" s="1" t="s">
        <v>328</v>
      </c>
      <c r="N375" s="1" t="s">
        <v>328</v>
      </c>
      <c r="O375" s="1" t="s">
        <v>7183</v>
      </c>
      <c r="P375" s="1" t="s">
        <v>328</v>
      </c>
      <c r="Q375" s="1" t="s">
        <v>328</v>
      </c>
      <c r="R375" s="1" t="s">
        <v>328</v>
      </c>
      <c r="S375" s="1" t="s">
        <v>328</v>
      </c>
      <c r="T375" s="1" t="s">
        <v>328</v>
      </c>
      <c r="U375" s="1">
        <v>0</v>
      </c>
      <c r="V375" s="1">
        <v>0</v>
      </c>
      <c r="W375" s="1">
        <v>0</v>
      </c>
      <c r="X375" s="1">
        <v>0</v>
      </c>
      <c r="Y375" s="1">
        <v>0</v>
      </c>
      <c r="Z375" s="1">
        <v>0</v>
      </c>
      <c r="AA375" s="1">
        <v>0</v>
      </c>
      <c r="AB375" s="1">
        <v>0</v>
      </c>
      <c r="AC375" s="1">
        <v>2</v>
      </c>
      <c r="AD375" s="1">
        <v>2</v>
      </c>
      <c r="AE375" s="1">
        <v>3</v>
      </c>
      <c r="AF375" s="1">
        <v>3</v>
      </c>
      <c r="AG375" s="208" t="s">
        <v>217</v>
      </c>
      <c r="AH375" s="1">
        <v>3060</v>
      </c>
      <c r="AI375" t="s">
        <v>1843</v>
      </c>
      <c r="AJ375">
        <v>0</v>
      </c>
      <c r="AK375" s="1" t="s">
        <v>8557</v>
      </c>
      <c r="AL375" s="1" t="s">
        <v>8558</v>
      </c>
      <c r="AM375" s="1">
        <v>0.23</v>
      </c>
      <c r="AN375" s="1">
        <v>0.23</v>
      </c>
      <c r="AO375" s="1">
        <v>0.33</v>
      </c>
      <c r="AP375" s="1">
        <v>0.38</v>
      </c>
      <c r="AQ375" s="1">
        <v>3</v>
      </c>
      <c r="AR375" t="s">
        <v>1477</v>
      </c>
      <c r="AS375">
        <v>0</v>
      </c>
      <c r="AT375" t="s">
        <v>8559</v>
      </c>
      <c r="AU375">
        <v>10</v>
      </c>
      <c r="AV375">
        <v>20074</v>
      </c>
      <c r="AX375" t="b">
        <v>0</v>
      </c>
    </row>
    <row r="376" spans="1:50" x14ac:dyDescent="0.3">
      <c r="A376">
        <v>377</v>
      </c>
      <c r="B376" t="s">
        <v>8560</v>
      </c>
      <c r="C376" t="s">
        <v>8561</v>
      </c>
      <c r="D376">
        <v>5</v>
      </c>
      <c r="E376">
        <v>3</v>
      </c>
      <c r="F376">
        <v>20</v>
      </c>
      <c r="G376" s="1" t="s">
        <v>359</v>
      </c>
      <c r="H376" s="1" t="s">
        <v>328</v>
      </c>
      <c r="I376" s="1" t="s">
        <v>328</v>
      </c>
      <c r="J376" s="1" t="s">
        <v>328</v>
      </c>
      <c r="K376" s="1" t="s">
        <v>375</v>
      </c>
      <c r="L376" s="1" t="s">
        <v>902</v>
      </c>
      <c r="M376" s="1" t="s">
        <v>328</v>
      </c>
      <c r="N376" s="1" t="s">
        <v>328</v>
      </c>
      <c r="O376" s="1" t="s">
        <v>328</v>
      </c>
      <c r="P376" s="1" t="s">
        <v>328</v>
      </c>
      <c r="Q376" s="1" t="s">
        <v>328</v>
      </c>
      <c r="R376" s="1" t="s">
        <v>328</v>
      </c>
      <c r="S376" s="1" t="s">
        <v>328</v>
      </c>
      <c r="T376" s="1" t="s">
        <v>328</v>
      </c>
      <c r="U376" s="1">
        <v>0</v>
      </c>
      <c r="V376" s="1">
        <v>0</v>
      </c>
      <c r="W376" s="1">
        <v>0</v>
      </c>
      <c r="X376" s="1">
        <v>0</v>
      </c>
      <c r="Y376" s="1">
        <v>0</v>
      </c>
      <c r="Z376" s="1">
        <v>0</v>
      </c>
      <c r="AA376" s="1">
        <v>0</v>
      </c>
      <c r="AB376" s="1">
        <v>0</v>
      </c>
      <c r="AC376" s="1">
        <v>4</v>
      </c>
      <c r="AD376" s="1">
        <v>3</v>
      </c>
      <c r="AE376" s="1">
        <v>0</v>
      </c>
      <c r="AF376" s="1">
        <v>2</v>
      </c>
      <c r="AG376" s="208" t="s">
        <v>103</v>
      </c>
      <c r="AH376" s="1">
        <v>3060</v>
      </c>
      <c r="AI376" t="s">
        <v>1843</v>
      </c>
      <c r="AJ376">
        <v>0</v>
      </c>
      <c r="AK376" s="1" t="s">
        <v>4746</v>
      </c>
      <c r="AL376" s="1" t="s">
        <v>8562</v>
      </c>
      <c r="AM376" s="1">
        <v>0.3</v>
      </c>
      <c r="AN376" s="1">
        <v>0.23</v>
      </c>
      <c r="AO376" s="1">
        <v>0.15</v>
      </c>
      <c r="AP376" s="1">
        <v>0.38</v>
      </c>
      <c r="AQ376" s="1">
        <v>3</v>
      </c>
      <c r="AR376" t="s">
        <v>1583</v>
      </c>
      <c r="AS376">
        <v>0</v>
      </c>
      <c r="AT376" t="s">
        <v>1806</v>
      </c>
      <c r="AU376">
        <v>10</v>
      </c>
      <c r="AV376">
        <v>20075</v>
      </c>
      <c r="AX376" t="b">
        <v>0</v>
      </c>
    </row>
    <row r="377" spans="1:50" x14ac:dyDescent="0.3">
      <c r="A377">
        <v>378</v>
      </c>
      <c r="B377" t="s">
        <v>8563</v>
      </c>
      <c r="C377" t="s">
        <v>8564</v>
      </c>
      <c r="D377">
        <v>5</v>
      </c>
      <c r="E377">
        <v>2</v>
      </c>
      <c r="F377">
        <v>19</v>
      </c>
      <c r="G377" s="1" t="s">
        <v>402</v>
      </c>
      <c r="H377" s="1" t="s">
        <v>328</v>
      </c>
      <c r="I377" s="1" t="s">
        <v>328</v>
      </c>
      <c r="J377" s="1" t="s">
        <v>328</v>
      </c>
      <c r="K377" s="1" t="s">
        <v>328</v>
      </c>
      <c r="L377" s="1" t="s">
        <v>328</v>
      </c>
      <c r="M377" s="1" t="s">
        <v>328</v>
      </c>
      <c r="N377" s="1" t="s">
        <v>386</v>
      </c>
      <c r="O377" s="1" t="s">
        <v>328</v>
      </c>
      <c r="P377" s="1" t="s">
        <v>328</v>
      </c>
      <c r="Q377" s="1" t="s">
        <v>328</v>
      </c>
      <c r="R377" s="1" t="s">
        <v>328</v>
      </c>
      <c r="S377" s="1" t="s">
        <v>328</v>
      </c>
      <c r="T377" s="1" t="s">
        <v>328</v>
      </c>
      <c r="U377" s="1">
        <v>0</v>
      </c>
      <c r="V377" s="1">
        <v>0</v>
      </c>
      <c r="W377" s="1">
        <v>0</v>
      </c>
      <c r="X377" s="1">
        <v>0</v>
      </c>
      <c r="Y377" s="1">
        <v>0</v>
      </c>
      <c r="Z377" s="1">
        <v>0</v>
      </c>
      <c r="AA377" s="1">
        <v>0</v>
      </c>
      <c r="AB377" s="1">
        <v>0</v>
      </c>
      <c r="AC377" s="1">
        <v>4</v>
      </c>
      <c r="AD377" s="1">
        <v>4</v>
      </c>
      <c r="AE377" s="1">
        <v>0</v>
      </c>
      <c r="AF377" s="1">
        <v>2</v>
      </c>
      <c r="AG377" s="208" t="s">
        <v>1622</v>
      </c>
      <c r="AH377" s="1">
        <v>3600</v>
      </c>
      <c r="AI377" t="s">
        <v>1843</v>
      </c>
      <c r="AJ377">
        <v>0</v>
      </c>
      <c r="AK377" s="1" t="s">
        <v>8565</v>
      </c>
      <c r="AL377" s="1" t="s">
        <v>8566</v>
      </c>
      <c r="AM377" s="1">
        <v>0.48</v>
      </c>
      <c r="AN377" s="1">
        <v>0.48</v>
      </c>
      <c r="AO377" s="1">
        <v>0.08</v>
      </c>
      <c r="AP377" s="1">
        <v>0.25</v>
      </c>
      <c r="AQ377" s="1">
        <v>3</v>
      </c>
      <c r="AR377" t="s">
        <v>1473</v>
      </c>
      <c r="AS377">
        <v>0</v>
      </c>
      <c r="AT377" t="s">
        <v>1806</v>
      </c>
      <c r="AU377">
        <v>10</v>
      </c>
      <c r="AV377">
        <v>19072</v>
      </c>
      <c r="AX377" t="b">
        <v>0</v>
      </c>
    </row>
    <row r="378" spans="1:50" x14ac:dyDescent="0.3">
      <c r="A378">
        <v>379</v>
      </c>
      <c r="B378" t="s">
        <v>8567</v>
      </c>
      <c r="C378" t="s">
        <v>8568</v>
      </c>
      <c r="D378">
        <v>5</v>
      </c>
      <c r="E378">
        <v>3</v>
      </c>
      <c r="F378">
        <v>20</v>
      </c>
      <c r="G378" s="1" t="s">
        <v>408</v>
      </c>
      <c r="H378" s="1" t="s">
        <v>328</v>
      </c>
      <c r="I378" s="1" t="s">
        <v>8041</v>
      </c>
      <c r="J378" s="1" t="s">
        <v>328</v>
      </c>
      <c r="K378" s="1" t="s">
        <v>328</v>
      </c>
      <c r="L378" s="1" t="s">
        <v>328</v>
      </c>
      <c r="M378" s="1" t="s">
        <v>328</v>
      </c>
      <c r="N378" s="1" t="s">
        <v>328</v>
      </c>
      <c r="O378" s="1" t="s">
        <v>328</v>
      </c>
      <c r="P378" s="1" t="s">
        <v>328</v>
      </c>
      <c r="Q378" s="1" t="s">
        <v>328</v>
      </c>
      <c r="R378" s="1" t="s">
        <v>328</v>
      </c>
      <c r="S378" s="1" t="s">
        <v>328</v>
      </c>
      <c r="T378" s="1" t="s">
        <v>328</v>
      </c>
      <c r="U378" s="1">
        <v>0</v>
      </c>
      <c r="V378" s="1">
        <v>0</v>
      </c>
      <c r="W378" s="1">
        <v>0</v>
      </c>
      <c r="X378" s="1">
        <v>0</v>
      </c>
      <c r="Y378" s="1">
        <v>0</v>
      </c>
      <c r="Z378" s="1">
        <v>0</v>
      </c>
      <c r="AA378" s="1">
        <v>0</v>
      </c>
      <c r="AB378" s="1">
        <v>0</v>
      </c>
      <c r="AC378" s="1">
        <v>4</v>
      </c>
      <c r="AD378" s="1">
        <v>2</v>
      </c>
      <c r="AE378" s="1">
        <v>0</v>
      </c>
      <c r="AF378" s="1">
        <v>4</v>
      </c>
      <c r="AG378" s="208" t="s">
        <v>156</v>
      </c>
      <c r="AH378" s="1">
        <v>3120</v>
      </c>
      <c r="AI378" t="s">
        <v>1843</v>
      </c>
      <c r="AJ378">
        <v>0</v>
      </c>
      <c r="AK378" s="1" t="s">
        <v>8569</v>
      </c>
      <c r="AL378" s="1" t="s">
        <v>8570</v>
      </c>
      <c r="AM378" s="1">
        <v>0.3</v>
      </c>
      <c r="AN378" s="1">
        <v>0.25</v>
      </c>
      <c r="AO378" s="1">
        <v>0.12</v>
      </c>
      <c r="AP378" s="1">
        <v>0.38</v>
      </c>
      <c r="AQ378" s="1">
        <v>3</v>
      </c>
      <c r="AR378" t="s">
        <v>1757</v>
      </c>
      <c r="AS378">
        <v>0</v>
      </c>
      <c r="AT378" t="s">
        <v>1806</v>
      </c>
      <c r="AU378">
        <v>10</v>
      </c>
      <c r="AV378">
        <v>20076</v>
      </c>
      <c r="AX378" t="b">
        <v>0</v>
      </c>
    </row>
    <row r="379" spans="1:50" x14ac:dyDescent="0.3">
      <c r="A379">
        <v>380</v>
      </c>
      <c r="B379" t="s">
        <v>8605</v>
      </c>
      <c r="C379" t="s">
        <v>8606</v>
      </c>
      <c r="D379">
        <v>5</v>
      </c>
      <c r="E379">
        <v>3</v>
      </c>
      <c r="F379">
        <v>20</v>
      </c>
      <c r="G379" s="1" t="s">
        <v>389</v>
      </c>
      <c r="H379" s="1" t="s">
        <v>328</v>
      </c>
      <c r="I379" s="1" t="s">
        <v>328</v>
      </c>
      <c r="J379" s="1" t="s">
        <v>328</v>
      </c>
      <c r="K379" s="1" t="s">
        <v>328</v>
      </c>
      <c r="L379" s="1" t="s">
        <v>328</v>
      </c>
      <c r="M379" s="1" t="s">
        <v>899</v>
      </c>
      <c r="N379" s="1" t="s">
        <v>328</v>
      </c>
      <c r="O379" s="1" t="s">
        <v>328</v>
      </c>
      <c r="P379" s="1" t="s">
        <v>328</v>
      </c>
      <c r="Q379" s="1" t="s">
        <v>328</v>
      </c>
      <c r="R379" s="1" t="s">
        <v>328</v>
      </c>
      <c r="S379" s="1" t="s">
        <v>328</v>
      </c>
      <c r="T379" s="1" t="s">
        <v>328</v>
      </c>
      <c r="U379" s="1">
        <v>0</v>
      </c>
      <c r="V379" s="1">
        <v>0</v>
      </c>
      <c r="W379" s="1">
        <v>0</v>
      </c>
      <c r="X379" s="1">
        <v>0</v>
      </c>
      <c r="Y379" s="1">
        <v>0</v>
      </c>
      <c r="Z379" s="1">
        <v>0</v>
      </c>
      <c r="AA379" s="1">
        <v>0</v>
      </c>
      <c r="AB379" s="1">
        <v>0</v>
      </c>
      <c r="AC379" s="1">
        <v>4</v>
      </c>
      <c r="AD379" s="1">
        <v>2</v>
      </c>
      <c r="AE379" s="1">
        <v>0</v>
      </c>
      <c r="AF379" s="1">
        <v>4</v>
      </c>
      <c r="AG379" s="208" t="s">
        <v>8621</v>
      </c>
      <c r="AH379" s="1">
        <v>3120</v>
      </c>
      <c r="AI379" t="s">
        <v>1843</v>
      </c>
      <c r="AJ379">
        <v>0</v>
      </c>
      <c r="AK379" s="1" t="s">
        <v>8604</v>
      </c>
      <c r="AL379" s="1" t="s">
        <v>8607</v>
      </c>
      <c r="AM379" s="1">
        <v>0.3</v>
      </c>
      <c r="AN379" s="1">
        <v>0.25</v>
      </c>
      <c r="AO379" s="1">
        <v>0.12</v>
      </c>
      <c r="AP379" s="1">
        <v>0.38</v>
      </c>
      <c r="AQ379" s="1">
        <v>3</v>
      </c>
      <c r="AR379" t="s">
        <v>1475</v>
      </c>
      <c r="AS379">
        <v>0</v>
      </c>
      <c r="AT379" t="s">
        <v>1806</v>
      </c>
      <c r="AU379">
        <v>10</v>
      </c>
      <c r="AV379">
        <v>20062</v>
      </c>
      <c r="AX379" t="b">
        <v>0</v>
      </c>
    </row>
    <row r="380" spans="1:50" x14ac:dyDescent="0.3">
      <c r="A380">
        <v>381</v>
      </c>
      <c r="B380" t="s">
        <v>8608</v>
      </c>
      <c r="C380" t="s">
        <v>8609</v>
      </c>
      <c r="D380">
        <v>5</v>
      </c>
      <c r="E380">
        <v>3</v>
      </c>
      <c r="F380">
        <v>20</v>
      </c>
      <c r="G380" s="1" t="s">
        <v>328</v>
      </c>
      <c r="H380" s="1" t="s">
        <v>328</v>
      </c>
      <c r="I380" s="1" t="s">
        <v>363</v>
      </c>
      <c r="J380" s="1" t="s">
        <v>328</v>
      </c>
      <c r="K380" s="1" t="s">
        <v>376</v>
      </c>
      <c r="L380" s="1" t="s">
        <v>328</v>
      </c>
      <c r="M380" s="1" t="s">
        <v>328</v>
      </c>
      <c r="N380" s="1" t="s">
        <v>328</v>
      </c>
      <c r="O380" s="1" t="s">
        <v>328</v>
      </c>
      <c r="P380" s="1" t="s">
        <v>328</v>
      </c>
      <c r="Q380" s="1" t="s">
        <v>328</v>
      </c>
      <c r="R380" s="1" t="s">
        <v>328</v>
      </c>
      <c r="S380" s="1" t="s">
        <v>328</v>
      </c>
      <c r="T380" s="1" t="s">
        <v>328</v>
      </c>
      <c r="U380" s="1">
        <v>0</v>
      </c>
      <c r="V380" s="1">
        <v>0</v>
      </c>
      <c r="W380" s="1">
        <v>0</v>
      </c>
      <c r="X380" s="1">
        <v>0</v>
      </c>
      <c r="Y380" s="1">
        <v>0</v>
      </c>
      <c r="Z380" s="1">
        <v>0</v>
      </c>
      <c r="AA380" s="1">
        <v>0</v>
      </c>
      <c r="AB380" s="1">
        <v>0</v>
      </c>
      <c r="AC380" s="1">
        <v>4</v>
      </c>
      <c r="AD380" s="1">
        <v>2</v>
      </c>
      <c r="AE380" s="1">
        <v>0</v>
      </c>
      <c r="AF380" s="1">
        <v>4</v>
      </c>
      <c r="AG380" s="208" t="s">
        <v>8622</v>
      </c>
      <c r="AH380" s="1">
        <v>3120</v>
      </c>
      <c r="AI380" t="s">
        <v>1843</v>
      </c>
      <c r="AJ380">
        <v>0</v>
      </c>
      <c r="AK380" s="1" t="s">
        <v>8603</v>
      </c>
      <c r="AL380" s="1" t="s">
        <v>8610</v>
      </c>
      <c r="AM380" s="1">
        <v>0.3</v>
      </c>
      <c r="AN380" s="1">
        <v>0.25</v>
      </c>
      <c r="AO380" s="1">
        <v>0.12</v>
      </c>
      <c r="AP380" s="1">
        <v>0.38</v>
      </c>
      <c r="AQ380" s="1">
        <v>3</v>
      </c>
      <c r="AR380" t="s">
        <v>1478</v>
      </c>
      <c r="AS380">
        <v>0</v>
      </c>
      <c r="AT380" t="s">
        <v>1806</v>
      </c>
      <c r="AU380">
        <v>10</v>
      </c>
      <c r="AV380">
        <v>20079</v>
      </c>
      <c r="AX380" t="b">
        <v>0</v>
      </c>
    </row>
    <row r="381" spans="1:50" x14ac:dyDescent="0.3">
      <c r="A381">
        <v>382</v>
      </c>
      <c r="B381" t="s">
        <v>8611</v>
      </c>
      <c r="C381" t="s">
        <v>8612</v>
      </c>
      <c r="D381">
        <v>5</v>
      </c>
      <c r="E381">
        <v>2</v>
      </c>
      <c r="F381">
        <v>19</v>
      </c>
      <c r="G381" s="1" t="s">
        <v>328</v>
      </c>
      <c r="H381" s="1" t="s">
        <v>328</v>
      </c>
      <c r="I381" s="1" t="s">
        <v>328</v>
      </c>
      <c r="J381" s="1" t="s">
        <v>328</v>
      </c>
      <c r="K381" s="1" t="s">
        <v>328</v>
      </c>
      <c r="L381" s="1" t="s">
        <v>338</v>
      </c>
      <c r="M381" s="1" t="s">
        <v>328</v>
      </c>
      <c r="N381" s="1" t="s">
        <v>8613</v>
      </c>
      <c r="O381" s="1" t="s">
        <v>328</v>
      </c>
      <c r="P381" s="1" t="s">
        <v>328</v>
      </c>
      <c r="Q381" s="1" t="s">
        <v>328</v>
      </c>
      <c r="R381" s="1" t="s">
        <v>328</v>
      </c>
      <c r="S381" s="1" t="s">
        <v>328</v>
      </c>
      <c r="T381" s="1" t="s">
        <v>328</v>
      </c>
      <c r="U381" s="1">
        <v>0</v>
      </c>
      <c r="V381" s="1">
        <v>0</v>
      </c>
      <c r="W381" s="1">
        <v>0</v>
      </c>
      <c r="X381" s="1">
        <v>0</v>
      </c>
      <c r="Y381" s="1">
        <v>0</v>
      </c>
      <c r="Z381" s="1">
        <v>0</v>
      </c>
      <c r="AA381" s="1">
        <v>0</v>
      </c>
      <c r="AB381" s="1">
        <v>0</v>
      </c>
      <c r="AC381" s="1">
        <v>0</v>
      </c>
      <c r="AD381" s="1">
        <v>4</v>
      </c>
      <c r="AE381" s="1">
        <v>2</v>
      </c>
      <c r="AF381" s="1">
        <v>3</v>
      </c>
      <c r="AG381" s="208" t="s">
        <v>8590</v>
      </c>
      <c r="AH381" s="1">
        <v>3300</v>
      </c>
      <c r="AI381" t="s">
        <v>1843</v>
      </c>
      <c r="AJ381">
        <v>0</v>
      </c>
      <c r="AK381" s="1" t="s">
        <v>8614</v>
      </c>
      <c r="AL381" s="1" t="s">
        <v>8615</v>
      </c>
      <c r="AM381" s="1">
        <v>0.08</v>
      </c>
      <c r="AN381" s="1">
        <v>0.5</v>
      </c>
      <c r="AO381" s="1">
        <v>0.3</v>
      </c>
      <c r="AP381" s="1">
        <v>0.3</v>
      </c>
      <c r="AQ381" s="1">
        <v>3</v>
      </c>
      <c r="AR381" t="s">
        <v>8284</v>
      </c>
      <c r="AS381">
        <v>0</v>
      </c>
      <c r="AT381" t="s">
        <v>1806</v>
      </c>
      <c r="AU381">
        <v>10</v>
      </c>
      <c r="AV381">
        <v>19073</v>
      </c>
      <c r="AX381" t="b">
        <v>0</v>
      </c>
    </row>
    <row r="382" spans="1:50" x14ac:dyDescent="0.3">
      <c r="A382">
        <v>383</v>
      </c>
      <c r="B382" t="s">
        <v>8616</v>
      </c>
      <c r="C382" t="s">
        <v>8617</v>
      </c>
      <c r="D382">
        <v>5</v>
      </c>
      <c r="E382">
        <v>3</v>
      </c>
      <c r="F382">
        <v>20</v>
      </c>
      <c r="G382" s="1" t="s">
        <v>358</v>
      </c>
      <c r="H382" s="1" t="s">
        <v>335</v>
      </c>
      <c r="I382" s="1" t="s">
        <v>328</v>
      </c>
      <c r="J382" s="1" t="s">
        <v>328</v>
      </c>
      <c r="K382" s="1" t="s">
        <v>328</v>
      </c>
      <c r="L382" s="1" t="s">
        <v>389</v>
      </c>
      <c r="M382" s="1" t="s">
        <v>328</v>
      </c>
      <c r="N382" s="1" t="s">
        <v>328</v>
      </c>
      <c r="O382" s="1" t="s">
        <v>328</v>
      </c>
      <c r="P382" s="1" t="s">
        <v>328</v>
      </c>
      <c r="Q382" s="1" t="s">
        <v>328</v>
      </c>
      <c r="R382" s="1" t="s">
        <v>328</v>
      </c>
      <c r="S382" s="1" t="s">
        <v>328</v>
      </c>
      <c r="T382" s="1" t="s">
        <v>328</v>
      </c>
      <c r="U382" s="1">
        <v>0</v>
      </c>
      <c r="V382" s="1">
        <v>0</v>
      </c>
      <c r="W382" s="1">
        <v>0</v>
      </c>
      <c r="X382" s="1">
        <v>0</v>
      </c>
      <c r="Y382" s="1">
        <v>0</v>
      </c>
      <c r="Z382" s="1">
        <v>0</v>
      </c>
      <c r="AA382" s="1">
        <v>0</v>
      </c>
      <c r="AB382" s="1">
        <v>0</v>
      </c>
      <c r="AC382" s="1">
        <v>4</v>
      </c>
      <c r="AD382" s="1">
        <v>3</v>
      </c>
      <c r="AE382" s="1">
        <v>0</v>
      </c>
      <c r="AF382" s="1">
        <v>2</v>
      </c>
      <c r="AG382" s="208" t="s">
        <v>8596</v>
      </c>
      <c r="AH382" s="1">
        <v>3060</v>
      </c>
      <c r="AI382" t="s">
        <v>1843</v>
      </c>
      <c r="AJ382">
        <v>0</v>
      </c>
      <c r="AK382" s="1" t="s">
        <v>8618</v>
      </c>
      <c r="AL382" s="1" t="s">
        <v>8619</v>
      </c>
      <c r="AM382" s="1">
        <v>0.3</v>
      </c>
      <c r="AN382" s="1">
        <v>0.23</v>
      </c>
      <c r="AO382" s="1">
        <v>0.15</v>
      </c>
      <c r="AP382" s="1">
        <v>0.38</v>
      </c>
      <c r="AQ382" s="1">
        <v>3</v>
      </c>
      <c r="AR382" t="s">
        <v>8620</v>
      </c>
      <c r="AS382">
        <v>0</v>
      </c>
      <c r="AT382" t="s">
        <v>1806</v>
      </c>
      <c r="AU382">
        <v>10</v>
      </c>
      <c r="AV382">
        <v>20080</v>
      </c>
      <c r="AX382" t="b">
        <v>0</v>
      </c>
    </row>
    <row r="383" spans="1:50" x14ac:dyDescent="0.3">
      <c r="A383">
        <v>384</v>
      </c>
      <c r="B383" t="s">
        <v>8633</v>
      </c>
      <c r="C383" t="s">
        <v>8634</v>
      </c>
      <c r="D383">
        <v>5</v>
      </c>
      <c r="E383">
        <v>3</v>
      </c>
      <c r="F383">
        <v>20</v>
      </c>
      <c r="G383" s="1" t="s">
        <v>328</v>
      </c>
      <c r="H383" s="1" t="s">
        <v>408</v>
      </c>
      <c r="I383" s="1" t="s">
        <v>363</v>
      </c>
      <c r="J383" s="1" t="s">
        <v>328</v>
      </c>
      <c r="K383" s="1" t="s">
        <v>328</v>
      </c>
      <c r="L383" s="1" t="s">
        <v>328</v>
      </c>
      <c r="M383" s="1" t="s">
        <v>328</v>
      </c>
      <c r="N383" s="1" t="s">
        <v>328</v>
      </c>
      <c r="O383" s="1" t="s">
        <v>328</v>
      </c>
      <c r="P383" s="1" t="s">
        <v>328</v>
      </c>
      <c r="Q383" s="1" t="s">
        <v>328</v>
      </c>
      <c r="R383" s="1" t="s">
        <v>328</v>
      </c>
      <c r="S383" s="1" t="s">
        <v>328</v>
      </c>
      <c r="T383" s="1" t="s">
        <v>328</v>
      </c>
      <c r="U383" s="1">
        <v>0</v>
      </c>
      <c r="V383" s="1">
        <v>0</v>
      </c>
      <c r="W383" s="1">
        <v>0</v>
      </c>
      <c r="X383" s="1">
        <v>0</v>
      </c>
      <c r="Y383" s="1">
        <v>0</v>
      </c>
      <c r="Z383" s="1">
        <v>0</v>
      </c>
      <c r="AA383" s="1">
        <v>0</v>
      </c>
      <c r="AB383" s="1">
        <v>0</v>
      </c>
      <c r="AC383" s="1">
        <v>4</v>
      </c>
      <c r="AD383" s="1">
        <v>2</v>
      </c>
      <c r="AE383" s="1">
        <v>0</v>
      </c>
      <c r="AF383" s="1">
        <v>4</v>
      </c>
      <c r="AG383" s="208" t="s">
        <v>8644</v>
      </c>
      <c r="AH383" s="1">
        <v>3120</v>
      </c>
      <c r="AI383" t="s">
        <v>1843</v>
      </c>
      <c r="AJ383">
        <v>0</v>
      </c>
      <c r="AK383" s="1" t="s">
        <v>8635</v>
      </c>
      <c r="AL383" s="1" t="s">
        <v>8636</v>
      </c>
      <c r="AM383" s="1">
        <v>0.3</v>
      </c>
      <c r="AN383" s="1">
        <v>0.25</v>
      </c>
      <c r="AO383" s="1">
        <v>0.12</v>
      </c>
      <c r="AP383" s="1">
        <v>0.38</v>
      </c>
      <c r="AQ383" s="1">
        <v>3</v>
      </c>
      <c r="AR383" t="s">
        <v>1478</v>
      </c>
      <c r="AS383">
        <v>0</v>
      </c>
      <c r="AT383" t="s">
        <v>8637</v>
      </c>
      <c r="AU383">
        <v>10</v>
      </c>
      <c r="AV383">
        <v>20081</v>
      </c>
      <c r="AX383" t="b">
        <v>0</v>
      </c>
    </row>
    <row r="384" spans="1:50" x14ac:dyDescent="0.3">
      <c r="A384">
        <v>385</v>
      </c>
      <c r="B384" t="s">
        <v>8638</v>
      </c>
      <c r="C384" t="s">
        <v>8639</v>
      </c>
      <c r="D384">
        <v>5</v>
      </c>
      <c r="E384">
        <v>3</v>
      </c>
      <c r="F384">
        <v>20</v>
      </c>
      <c r="G384" s="1" t="s">
        <v>328</v>
      </c>
      <c r="H384" s="1" t="s">
        <v>328</v>
      </c>
      <c r="I384" s="1" t="s">
        <v>328</v>
      </c>
      <c r="J384" s="1" t="s">
        <v>328</v>
      </c>
      <c r="K384" s="1" t="s">
        <v>328</v>
      </c>
      <c r="L384" s="1" t="s">
        <v>338</v>
      </c>
      <c r="M384" s="1" t="s">
        <v>328</v>
      </c>
      <c r="N384" s="1" t="s">
        <v>328</v>
      </c>
      <c r="O384" s="1" t="s">
        <v>328</v>
      </c>
      <c r="P384" s="1" t="s">
        <v>328</v>
      </c>
      <c r="Q384" s="1" t="s">
        <v>328</v>
      </c>
      <c r="R384" s="1" t="s">
        <v>328</v>
      </c>
      <c r="S384" s="1" t="s">
        <v>328</v>
      </c>
      <c r="T384" s="1" t="s">
        <v>354</v>
      </c>
      <c r="U384" s="1">
        <v>0</v>
      </c>
      <c r="V384" s="1">
        <v>0</v>
      </c>
      <c r="W384" s="1">
        <v>0</v>
      </c>
      <c r="X384" s="1">
        <v>0</v>
      </c>
      <c r="Y384" s="1">
        <v>0</v>
      </c>
      <c r="Z384" s="1">
        <v>0</v>
      </c>
      <c r="AA384" s="1">
        <v>0</v>
      </c>
      <c r="AB384" s="1">
        <v>0</v>
      </c>
      <c r="AC384" s="1">
        <v>1</v>
      </c>
      <c r="AD384" s="1">
        <v>1</v>
      </c>
      <c r="AE384" s="1">
        <v>1</v>
      </c>
      <c r="AF384" s="1">
        <v>5</v>
      </c>
      <c r="AG384" s="208" t="s">
        <v>8645</v>
      </c>
      <c r="AH384" s="1">
        <v>3420</v>
      </c>
      <c r="AI384" t="s">
        <v>1843</v>
      </c>
      <c r="AJ384">
        <v>0</v>
      </c>
      <c r="AK384" s="1" t="s">
        <v>8640</v>
      </c>
      <c r="AL384" s="1" t="s">
        <v>8641</v>
      </c>
      <c r="AM384" s="1">
        <v>0.1</v>
      </c>
      <c r="AN384" s="1">
        <v>0.1</v>
      </c>
      <c r="AO384" s="1">
        <v>0.1</v>
      </c>
      <c r="AP384" s="1">
        <v>0.55000000000000004</v>
      </c>
      <c r="AQ384" s="1">
        <v>3</v>
      </c>
      <c r="AR384" t="s">
        <v>8642</v>
      </c>
      <c r="AS384">
        <v>0</v>
      </c>
      <c r="AT384" t="s">
        <v>8643</v>
      </c>
      <c r="AU384">
        <v>10</v>
      </c>
      <c r="AV384">
        <v>20082</v>
      </c>
      <c r="AX384" t="b">
        <v>0</v>
      </c>
    </row>
    <row r="385" spans="1:50" x14ac:dyDescent="0.3">
      <c r="A385">
        <v>386</v>
      </c>
      <c r="B385" t="s">
        <v>8669</v>
      </c>
      <c r="C385" t="s">
        <v>8670</v>
      </c>
      <c r="D385">
        <v>5</v>
      </c>
      <c r="E385">
        <v>1</v>
      </c>
      <c r="F385">
        <v>18</v>
      </c>
      <c r="G385" s="1" t="s">
        <v>328</v>
      </c>
      <c r="H385" s="1" t="s">
        <v>361</v>
      </c>
      <c r="I385" s="1" t="s">
        <v>328</v>
      </c>
      <c r="J385" s="1" t="s">
        <v>328</v>
      </c>
      <c r="K385" s="1" t="s">
        <v>328</v>
      </c>
      <c r="L385" s="1" t="s">
        <v>328</v>
      </c>
      <c r="M385" s="1" t="s">
        <v>1738</v>
      </c>
      <c r="N385" s="1" t="s">
        <v>328</v>
      </c>
      <c r="O385" s="1" t="s">
        <v>328</v>
      </c>
      <c r="P385" s="1" t="s">
        <v>328</v>
      </c>
      <c r="Q385" s="1" t="s">
        <v>328</v>
      </c>
      <c r="R385" s="1" t="s">
        <v>328</v>
      </c>
      <c r="S385" s="1" t="s">
        <v>328</v>
      </c>
      <c r="T385" s="1" t="s">
        <v>328</v>
      </c>
      <c r="U385" s="1">
        <v>0</v>
      </c>
      <c r="V385" s="1">
        <v>0</v>
      </c>
      <c r="W385" s="1">
        <v>0</v>
      </c>
      <c r="X385" s="1">
        <v>0</v>
      </c>
      <c r="Y385" s="1">
        <v>0</v>
      </c>
      <c r="Z385" s="1">
        <v>0</v>
      </c>
      <c r="AA385" s="1">
        <v>0</v>
      </c>
      <c r="AB385" s="1">
        <v>0</v>
      </c>
      <c r="AC385" s="1">
        <v>4</v>
      </c>
      <c r="AD385" s="1">
        <v>0</v>
      </c>
      <c r="AE385" s="1">
        <v>3</v>
      </c>
      <c r="AF385" s="1">
        <v>2</v>
      </c>
      <c r="AG385" s="208" t="s">
        <v>300</v>
      </c>
      <c r="AH385" s="1">
        <v>3600</v>
      </c>
      <c r="AI385" t="s">
        <v>1843</v>
      </c>
      <c r="AJ385">
        <v>0</v>
      </c>
      <c r="AK385" s="1" t="s">
        <v>8671</v>
      </c>
      <c r="AL385" s="1" t="s">
        <v>8672</v>
      </c>
      <c r="AM385" s="1">
        <v>0.45</v>
      </c>
      <c r="AN385" s="1">
        <v>0.15</v>
      </c>
      <c r="AO385" s="1">
        <v>0.3</v>
      </c>
      <c r="AP385" s="1">
        <v>0.15</v>
      </c>
      <c r="AQ385" s="1">
        <v>3</v>
      </c>
      <c r="AR385" t="s">
        <v>1514</v>
      </c>
      <c r="AS385">
        <v>0</v>
      </c>
      <c r="AT385" t="s">
        <v>8673</v>
      </c>
      <c r="AU385">
        <v>10</v>
      </c>
      <c r="AV385">
        <v>18118</v>
      </c>
      <c r="AX385" t="b">
        <v>0</v>
      </c>
    </row>
    <row r="386" spans="1:50" x14ac:dyDescent="0.3">
      <c r="A386">
        <v>387</v>
      </c>
      <c r="B386" t="s">
        <v>8674</v>
      </c>
      <c r="C386" t="s">
        <v>8675</v>
      </c>
      <c r="D386">
        <v>5</v>
      </c>
      <c r="E386">
        <v>3</v>
      </c>
      <c r="F386">
        <v>20</v>
      </c>
      <c r="G386" s="1" t="s">
        <v>342</v>
      </c>
      <c r="H386" s="1" t="s">
        <v>328</v>
      </c>
      <c r="I386" s="1" t="s">
        <v>438</v>
      </c>
      <c r="J386" s="1" t="s">
        <v>328</v>
      </c>
      <c r="K386" s="1" t="s">
        <v>328</v>
      </c>
      <c r="L386" s="1" t="s">
        <v>328</v>
      </c>
      <c r="M386" s="1" t="s">
        <v>328</v>
      </c>
      <c r="N386" s="1" t="s">
        <v>328</v>
      </c>
      <c r="O386" s="1" t="s">
        <v>328</v>
      </c>
      <c r="P386" s="1" t="s">
        <v>328</v>
      </c>
      <c r="Q386" s="1" t="s">
        <v>328</v>
      </c>
      <c r="R386" s="1" t="s">
        <v>328</v>
      </c>
      <c r="S386" s="1" t="s">
        <v>328</v>
      </c>
      <c r="T386" s="1" t="s">
        <v>328</v>
      </c>
      <c r="U386" s="1">
        <v>0</v>
      </c>
      <c r="V386" s="1">
        <v>0</v>
      </c>
      <c r="W386" s="1">
        <v>0</v>
      </c>
      <c r="X386" s="1">
        <v>0</v>
      </c>
      <c r="Y386" s="1">
        <v>0</v>
      </c>
      <c r="Z386" s="1">
        <v>0</v>
      </c>
      <c r="AA386" s="1">
        <v>0</v>
      </c>
      <c r="AB386" s="1">
        <v>0</v>
      </c>
      <c r="AC386" s="1">
        <v>4</v>
      </c>
      <c r="AD386" s="1">
        <v>2</v>
      </c>
      <c r="AE386" s="1">
        <v>0</v>
      </c>
      <c r="AF386" s="1">
        <v>4</v>
      </c>
      <c r="AG386" s="208" t="s">
        <v>8647</v>
      </c>
      <c r="AH386" s="1">
        <v>3600</v>
      </c>
      <c r="AI386" t="s">
        <v>1843</v>
      </c>
      <c r="AJ386">
        <v>0</v>
      </c>
      <c r="AK386" s="1" t="s">
        <v>8676</v>
      </c>
      <c r="AL386" s="1" t="s">
        <v>8677</v>
      </c>
      <c r="AM386" s="1">
        <v>0.3</v>
      </c>
      <c r="AN386" s="1">
        <v>0.23</v>
      </c>
      <c r="AO386" s="1">
        <v>0.15</v>
      </c>
      <c r="AP386" s="1">
        <v>0.38</v>
      </c>
      <c r="AQ386" s="1">
        <v>3</v>
      </c>
      <c r="AR386" t="s">
        <v>1757</v>
      </c>
      <c r="AS386">
        <v>0</v>
      </c>
      <c r="AT386" t="s">
        <v>1806</v>
      </c>
      <c r="AU386">
        <v>10</v>
      </c>
      <c r="AV386">
        <v>20077</v>
      </c>
      <c r="AX386" t="b">
        <v>0</v>
      </c>
    </row>
    <row r="387" spans="1:50" x14ac:dyDescent="0.3">
      <c r="A387">
        <v>388</v>
      </c>
      <c r="B387" t="s">
        <v>8678</v>
      </c>
      <c r="C387" t="s">
        <v>8679</v>
      </c>
      <c r="D387">
        <v>5</v>
      </c>
      <c r="E387">
        <v>3</v>
      </c>
      <c r="F387">
        <v>20</v>
      </c>
      <c r="G387" s="1" t="s">
        <v>324</v>
      </c>
      <c r="H387" s="1" t="s">
        <v>328</v>
      </c>
      <c r="I387" s="1" t="s">
        <v>328</v>
      </c>
      <c r="J387" s="1" t="s">
        <v>328</v>
      </c>
      <c r="K387" s="1" t="s">
        <v>376</v>
      </c>
      <c r="L387" s="1" t="s">
        <v>397</v>
      </c>
      <c r="M387" s="1" t="s">
        <v>328</v>
      </c>
      <c r="N387" s="1" t="s">
        <v>328</v>
      </c>
      <c r="O387" s="1" t="s">
        <v>328</v>
      </c>
      <c r="P387" s="1" t="s">
        <v>328</v>
      </c>
      <c r="Q387" s="1" t="s">
        <v>328</v>
      </c>
      <c r="R387" s="1" t="s">
        <v>328</v>
      </c>
      <c r="S387" s="1" t="s">
        <v>328</v>
      </c>
      <c r="T387" s="1" t="s">
        <v>328</v>
      </c>
      <c r="U387" s="1">
        <v>0</v>
      </c>
      <c r="V387" s="1">
        <v>0</v>
      </c>
      <c r="W387" s="1">
        <v>0</v>
      </c>
      <c r="X387" s="1">
        <v>0</v>
      </c>
      <c r="Y387" s="1">
        <v>0</v>
      </c>
      <c r="Z387" s="1">
        <v>0</v>
      </c>
      <c r="AA387" s="1">
        <v>0</v>
      </c>
      <c r="AB387" s="1">
        <v>0</v>
      </c>
      <c r="AC387" s="1">
        <v>4</v>
      </c>
      <c r="AD387" s="1">
        <v>3</v>
      </c>
      <c r="AE387" s="1">
        <v>0</v>
      </c>
      <c r="AF387" s="1">
        <v>2</v>
      </c>
      <c r="AG387" s="208" t="s">
        <v>8655</v>
      </c>
      <c r="AH387" s="1">
        <v>3060</v>
      </c>
      <c r="AI387" t="s">
        <v>1843</v>
      </c>
      <c r="AJ387">
        <v>0</v>
      </c>
      <c r="AK387" s="1" t="s">
        <v>8680</v>
      </c>
      <c r="AL387" s="1" t="s">
        <v>8681</v>
      </c>
      <c r="AM387" s="1">
        <v>0.3</v>
      </c>
      <c r="AN387" s="1">
        <v>0.23</v>
      </c>
      <c r="AO387" s="1">
        <v>0.15</v>
      </c>
      <c r="AP387" s="1">
        <v>0.38</v>
      </c>
      <c r="AQ387" s="1">
        <v>3</v>
      </c>
      <c r="AR387" t="s">
        <v>7078</v>
      </c>
      <c r="AS387">
        <v>0</v>
      </c>
      <c r="AT387" t="s">
        <v>1806</v>
      </c>
      <c r="AU387">
        <v>10</v>
      </c>
      <c r="AV387">
        <v>20078</v>
      </c>
      <c r="AX387" t="b">
        <v>0</v>
      </c>
    </row>
    <row r="388" spans="1:50" x14ac:dyDescent="0.3">
      <c r="A388">
        <v>389</v>
      </c>
      <c r="B388" t="s">
        <v>8682</v>
      </c>
      <c r="C388" t="s">
        <v>8683</v>
      </c>
      <c r="D388">
        <v>5</v>
      </c>
      <c r="E388">
        <v>1</v>
      </c>
      <c r="F388">
        <v>18</v>
      </c>
      <c r="G388" s="1" t="s">
        <v>335</v>
      </c>
      <c r="H388" s="1" t="s">
        <v>470</v>
      </c>
      <c r="I388" s="1" t="s">
        <v>328</v>
      </c>
      <c r="J388" s="1" t="s">
        <v>328</v>
      </c>
      <c r="K388" s="1" t="s">
        <v>328</v>
      </c>
      <c r="L388" s="1" t="s">
        <v>328</v>
      </c>
      <c r="M388" s="1" t="s">
        <v>397</v>
      </c>
      <c r="N388" s="1" t="s">
        <v>328</v>
      </c>
      <c r="O388" s="1" t="s">
        <v>328</v>
      </c>
      <c r="P388" s="1" t="s">
        <v>328</v>
      </c>
      <c r="Q388" s="1" t="s">
        <v>328</v>
      </c>
      <c r="R388" s="1" t="s">
        <v>328</v>
      </c>
      <c r="S388" s="1" t="s">
        <v>328</v>
      </c>
      <c r="T388" s="1" t="s">
        <v>328</v>
      </c>
      <c r="U388" s="1">
        <v>0</v>
      </c>
      <c r="V388" s="1">
        <v>0</v>
      </c>
      <c r="W388" s="1">
        <v>0</v>
      </c>
      <c r="X388" s="1">
        <v>0</v>
      </c>
      <c r="Y388" s="1">
        <v>0</v>
      </c>
      <c r="Z388" s="1">
        <v>0</v>
      </c>
      <c r="AA388" s="1">
        <v>0</v>
      </c>
      <c r="AB388" s="1">
        <v>0</v>
      </c>
      <c r="AC388" s="1">
        <v>4</v>
      </c>
      <c r="AD388" s="1">
        <v>0</v>
      </c>
      <c r="AE388" s="1">
        <v>3</v>
      </c>
      <c r="AF388" s="1">
        <v>2</v>
      </c>
      <c r="AG388" s="208" t="s">
        <v>8686</v>
      </c>
      <c r="AH388" s="1">
        <v>2700</v>
      </c>
      <c r="AI388" t="s">
        <v>1843</v>
      </c>
      <c r="AJ388">
        <v>0</v>
      </c>
      <c r="AK388" s="1" t="s">
        <v>8684</v>
      </c>
      <c r="AL388" s="1" t="s">
        <v>8685</v>
      </c>
      <c r="AM388" s="1">
        <v>0.45</v>
      </c>
      <c r="AN388" s="1">
        <v>0.15</v>
      </c>
      <c r="AO388" s="1">
        <v>0.3</v>
      </c>
      <c r="AP388" s="1">
        <v>0.15</v>
      </c>
      <c r="AQ388" s="1">
        <v>3</v>
      </c>
      <c r="AR388" t="s">
        <v>1561</v>
      </c>
      <c r="AS388">
        <v>0</v>
      </c>
      <c r="AT388" t="s">
        <v>1806</v>
      </c>
      <c r="AU388">
        <v>10</v>
      </c>
      <c r="AV388">
        <v>18117</v>
      </c>
      <c r="AX388" t="b">
        <v>0</v>
      </c>
    </row>
    <row r="389" spans="1:50" x14ac:dyDescent="0.3">
      <c r="A389">
        <v>390</v>
      </c>
      <c r="B389" t="s">
        <v>8687</v>
      </c>
      <c r="C389" t="s">
        <v>8688</v>
      </c>
      <c r="D389">
        <v>5</v>
      </c>
      <c r="E389">
        <v>3</v>
      </c>
      <c r="F389">
        <v>20</v>
      </c>
      <c r="G389" s="1" t="s">
        <v>389</v>
      </c>
      <c r="H389" s="1" t="s">
        <v>335</v>
      </c>
      <c r="I389" s="1" t="s">
        <v>402</v>
      </c>
      <c r="J389" s="1" t="s">
        <v>328</v>
      </c>
      <c r="K389" s="1" t="s">
        <v>328</v>
      </c>
      <c r="L389" s="1" t="s">
        <v>328</v>
      </c>
      <c r="M389" s="1" t="s">
        <v>328</v>
      </c>
      <c r="N389" s="1" t="s">
        <v>328</v>
      </c>
      <c r="O389" s="1" t="s">
        <v>328</v>
      </c>
      <c r="P389" s="1" t="s">
        <v>328</v>
      </c>
      <c r="Q389" s="1" t="s">
        <v>328</v>
      </c>
      <c r="R389" s="1" t="s">
        <v>328</v>
      </c>
      <c r="S389" s="1" t="s">
        <v>328</v>
      </c>
      <c r="T389" s="1" t="s">
        <v>328</v>
      </c>
      <c r="U389" s="1">
        <v>0</v>
      </c>
      <c r="V389" s="1">
        <v>0</v>
      </c>
      <c r="W389" s="1">
        <v>0</v>
      </c>
      <c r="X389" s="1">
        <v>0</v>
      </c>
      <c r="Y389" s="1">
        <v>0</v>
      </c>
      <c r="Z389" s="1">
        <v>0</v>
      </c>
      <c r="AA389" s="1">
        <v>0</v>
      </c>
      <c r="AB389" s="1">
        <v>0</v>
      </c>
      <c r="AC389" s="1">
        <v>4</v>
      </c>
      <c r="AD389" s="1">
        <v>2</v>
      </c>
      <c r="AE389" s="1">
        <v>0</v>
      </c>
      <c r="AF389" s="1">
        <v>4</v>
      </c>
      <c r="AG389" s="208" t="s">
        <v>8698</v>
      </c>
      <c r="AH389" s="1">
        <v>3600</v>
      </c>
      <c r="AI389" t="s">
        <v>1843</v>
      </c>
      <c r="AJ389">
        <v>0</v>
      </c>
      <c r="AK389" s="1" t="s">
        <v>8689</v>
      </c>
      <c r="AL389" s="1" t="s">
        <v>8690</v>
      </c>
      <c r="AM389" s="1">
        <v>0.3</v>
      </c>
      <c r="AN389" s="1">
        <v>0.25</v>
      </c>
      <c r="AO389" s="1">
        <v>0.12</v>
      </c>
      <c r="AP389" s="1">
        <v>0.38</v>
      </c>
      <c r="AQ389" s="1">
        <v>3</v>
      </c>
      <c r="AR389" t="s">
        <v>8691</v>
      </c>
      <c r="AS389">
        <v>0</v>
      </c>
      <c r="AT389" t="s">
        <v>8692</v>
      </c>
      <c r="AU389">
        <v>10</v>
      </c>
      <c r="AV389">
        <v>20079</v>
      </c>
      <c r="AX389" t="b">
        <v>0</v>
      </c>
    </row>
    <row r="390" spans="1:50" x14ac:dyDescent="0.3">
      <c r="A390">
        <v>391</v>
      </c>
      <c r="B390" t="s">
        <v>8693</v>
      </c>
      <c r="C390" t="s">
        <v>8694</v>
      </c>
      <c r="D390">
        <v>5</v>
      </c>
      <c r="E390">
        <v>2</v>
      </c>
      <c r="F390">
        <v>19</v>
      </c>
      <c r="G390" s="1" t="s">
        <v>328</v>
      </c>
      <c r="H390" s="1" t="s">
        <v>385</v>
      </c>
      <c r="I390" s="1" t="s">
        <v>328</v>
      </c>
      <c r="J390" s="1" t="s">
        <v>328</v>
      </c>
      <c r="K390" s="1" t="s">
        <v>328</v>
      </c>
      <c r="L390" s="1" t="s">
        <v>328</v>
      </c>
      <c r="M390" s="1" t="s">
        <v>328</v>
      </c>
      <c r="N390" s="1" t="s">
        <v>328</v>
      </c>
      <c r="O390" s="1" t="s">
        <v>328</v>
      </c>
      <c r="P390" s="1" t="s">
        <v>328</v>
      </c>
      <c r="Q390" s="1" t="s">
        <v>328</v>
      </c>
      <c r="R390" s="1" t="s">
        <v>328</v>
      </c>
      <c r="S390" s="1" t="s">
        <v>328</v>
      </c>
      <c r="T390" s="1" t="s">
        <v>328</v>
      </c>
      <c r="U390" s="1">
        <v>0</v>
      </c>
      <c r="V390" s="1">
        <v>150</v>
      </c>
      <c r="W390" s="1">
        <v>0</v>
      </c>
      <c r="X390" s="1">
        <v>0</v>
      </c>
      <c r="Y390" s="1">
        <v>0</v>
      </c>
      <c r="Z390" s="1">
        <v>0</v>
      </c>
      <c r="AA390" s="1">
        <v>0</v>
      </c>
      <c r="AB390" s="1">
        <v>0</v>
      </c>
      <c r="AC390" s="1">
        <v>4</v>
      </c>
      <c r="AD390" s="1">
        <v>4</v>
      </c>
      <c r="AE390" s="1">
        <v>0</v>
      </c>
      <c r="AF390" s="1">
        <v>2</v>
      </c>
      <c r="AG390" s="208" t="s">
        <v>8699</v>
      </c>
      <c r="AH390" s="1">
        <v>3600</v>
      </c>
      <c r="AI390" t="s">
        <v>1918</v>
      </c>
      <c r="AJ390">
        <v>0</v>
      </c>
      <c r="AK390" s="1" t="s">
        <v>8695</v>
      </c>
      <c r="AL390" s="1" t="s">
        <v>8696</v>
      </c>
      <c r="AM390" s="1">
        <v>0.48</v>
      </c>
      <c r="AN390" s="1">
        <v>0.48</v>
      </c>
      <c r="AO390" s="1">
        <v>0.08</v>
      </c>
      <c r="AP390" s="1">
        <v>0.25</v>
      </c>
      <c r="AQ390" s="1">
        <v>3</v>
      </c>
      <c r="AR390" t="s">
        <v>1493</v>
      </c>
      <c r="AS390">
        <v>0</v>
      </c>
      <c r="AT390" t="s">
        <v>8697</v>
      </c>
      <c r="AU390">
        <v>10</v>
      </c>
      <c r="AV390">
        <v>19074</v>
      </c>
      <c r="AX390" t="b">
        <v>0</v>
      </c>
    </row>
    <row r="391" spans="1:50" x14ac:dyDescent="0.3">
      <c r="A391">
        <v>392</v>
      </c>
      <c r="B391" t="s">
        <v>8700</v>
      </c>
      <c r="C391" t="s">
        <v>8701</v>
      </c>
      <c r="D391">
        <v>5</v>
      </c>
      <c r="E391">
        <v>2</v>
      </c>
      <c r="F391">
        <v>19</v>
      </c>
      <c r="G391" s="1" t="s">
        <v>385</v>
      </c>
      <c r="H391" s="1" t="s">
        <v>328</v>
      </c>
      <c r="I391" s="1" t="s">
        <v>328</v>
      </c>
      <c r="J391" s="1" t="s">
        <v>328</v>
      </c>
      <c r="K391" s="1" t="s">
        <v>328</v>
      </c>
      <c r="L391" s="1" t="s">
        <v>328</v>
      </c>
      <c r="M391" s="1" t="s">
        <v>328</v>
      </c>
      <c r="N391" s="1" t="s">
        <v>386</v>
      </c>
      <c r="O391" s="1" t="s">
        <v>328</v>
      </c>
      <c r="P391" s="1" t="s">
        <v>328</v>
      </c>
      <c r="Q391" s="1" t="s">
        <v>328</v>
      </c>
      <c r="R391" s="1" t="s">
        <v>328</v>
      </c>
      <c r="S391" s="1" t="s">
        <v>328</v>
      </c>
      <c r="T391" s="1" t="s">
        <v>328</v>
      </c>
      <c r="U391" s="1">
        <v>0</v>
      </c>
      <c r="V391" s="1">
        <v>0</v>
      </c>
      <c r="W391" s="1">
        <v>0</v>
      </c>
      <c r="X391" s="1">
        <v>0</v>
      </c>
      <c r="Y391" s="1">
        <v>0</v>
      </c>
      <c r="Z391" s="1">
        <v>0</v>
      </c>
      <c r="AA391" s="1">
        <v>0</v>
      </c>
      <c r="AB391" s="1">
        <v>0</v>
      </c>
      <c r="AC391" s="1">
        <v>4</v>
      </c>
      <c r="AD391" s="1">
        <v>4</v>
      </c>
      <c r="AE391" s="1">
        <v>0</v>
      </c>
      <c r="AF391" s="1">
        <v>2</v>
      </c>
      <c r="AG391" s="208" t="s">
        <v>144</v>
      </c>
      <c r="AH391" s="1">
        <v>3600</v>
      </c>
      <c r="AI391" t="s">
        <v>1843</v>
      </c>
      <c r="AJ391">
        <v>0</v>
      </c>
      <c r="AK391" s="1" t="s">
        <v>8702</v>
      </c>
      <c r="AL391" s="1" t="s">
        <v>8703</v>
      </c>
      <c r="AM391" s="1">
        <v>0.48</v>
      </c>
      <c r="AN391" s="1">
        <v>0.48</v>
      </c>
      <c r="AO391" s="1">
        <v>0.08</v>
      </c>
      <c r="AP391" s="1">
        <v>0.25</v>
      </c>
      <c r="AQ391" s="1">
        <v>3</v>
      </c>
      <c r="AR391" t="s">
        <v>1489</v>
      </c>
      <c r="AS391">
        <v>0</v>
      </c>
      <c r="AT391" t="s">
        <v>8704</v>
      </c>
      <c r="AU391">
        <v>10</v>
      </c>
      <c r="AV391">
        <v>19075</v>
      </c>
      <c r="AX391" t="b">
        <v>0</v>
      </c>
    </row>
    <row r="392" spans="1:50" x14ac:dyDescent="0.3">
      <c r="A392">
        <v>393</v>
      </c>
      <c r="B392" t="s">
        <v>8705</v>
      </c>
      <c r="C392" t="s">
        <v>8706</v>
      </c>
      <c r="D392">
        <v>5</v>
      </c>
      <c r="E392">
        <v>2</v>
      </c>
      <c r="F392">
        <v>19</v>
      </c>
      <c r="G392" s="1" t="s">
        <v>328</v>
      </c>
      <c r="H392" s="1" t="s">
        <v>328</v>
      </c>
      <c r="I392" s="1" t="s">
        <v>328</v>
      </c>
      <c r="J392" s="1" t="s">
        <v>328</v>
      </c>
      <c r="K392" s="1" t="s">
        <v>328</v>
      </c>
      <c r="L392" s="1" t="s">
        <v>335</v>
      </c>
      <c r="M392" s="1" t="s">
        <v>328</v>
      </c>
      <c r="N392" s="1" t="s">
        <v>7299</v>
      </c>
      <c r="O392" s="1" t="s">
        <v>328</v>
      </c>
      <c r="P392" s="1" t="s">
        <v>328</v>
      </c>
      <c r="Q392" s="1" t="s">
        <v>328</v>
      </c>
      <c r="R392" s="1" t="s">
        <v>328</v>
      </c>
      <c r="S392" s="1" t="s">
        <v>328</v>
      </c>
      <c r="T392" s="1" t="s">
        <v>328</v>
      </c>
      <c r="U392" s="1">
        <v>0</v>
      </c>
      <c r="V392" s="1">
        <v>0</v>
      </c>
      <c r="W392" s="1">
        <v>0</v>
      </c>
      <c r="X392" s="1">
        <v>0</v>
      </c>
      <c r="Y392" s="1">
        <v>0</v>
      </c>
      <c r="Z392" s="1">
        <v>0</v>
      </c>
      <c r="AA392" s="1">
        <v>0</v>
      </c>
      <c r="AB392" s="1">
        <v>0</v>
      </c>
      <c r="AC392" s="1">
        <v>0</v>
      </c>
      <c r="AD392" s="1">
        <v>4</v>
      </c>
      <c r="AE392" s="1">
        <v>2</v>
      </c>
      <c r="AF392" s="1">
        <v>3</v>
      </c>
      <c r="AG392" s="208" t="s">
        <v>8715</v>
      </c>
      <c r="AH392" s="1">
        <v>3300</v>
      </c>
      <c r="AI392" t="s">
        <v>1843</v>
      </c>
      <c r="AJ392">
        <v>0</v>
      </c>
      <c r="AK392" s="1" t="s">
        <v>8707</v>
      </c>
      <c r="AL392" s="1" t="s">
        <v>8708</v>
      </c>
      <c r="AM392" s="1">
        <v>0.08</v>
      </c>
      <c r="AN392" s="1">
        <v>0.5</v>
      </c>
      <c r="AO392" s="1">
        <v>0.3</v>
      </c>
      <c r="AP392" s="1">
        <v>0.3</v>
      </c>
      <c r="AQ392" s="1">
        <v>3</v>
      </c>
      <c r="AR392" t="s">
        <v>8284</v>
      </c>
      <c r="AS392">
        <v>0</v>
      </c>
      <c r="AT392" t="s">
        <v>8709</v>
      </c>
      <c r="AU392">
        <v>10</v>
      </c>
      <c r="AV392">
        <v>19076</v>
      </c>
      <c r="AX392" t="b">
        <v>0</v>
      </c>
    </row>
    <row r="393" spans="1:50" x14ac:dyDescent="0.3">
      <c r="A393">
        <v>394</v>
      </c>
      <c r="B393" t="s">
        <v>8710</v>
      </c>
      <c r="C393" t="s">
        <v>8711</v>
      </c>
      <c r="D393">
        <v>5</v>
      </c>
      <c r="E393">
        <v>3</v>
      </c>
      <c r="F393">
        <v>20</v>
      </c>
      <c r="G393" s="1" t="s">
        <v>328</v>
      </c>
      <c r="H393" s="1" t="s">
        <v>328</v>
      </c>
      <c r="I393" s="1" t="s">
        <v>328</v>
      </c>
      <c r="J393" s="1" t="s">
        <v>328</v>
      </c>
      <c r="K393" s="1" t="s">
        <v>328</v>
      </c>
      <c r="L393" s="1" t="s">
        <v>328</v>
      </c>
      <c r="M393" s="1" t="s">
        <v>402</v>
      </c>
      <c r="N393" s="1" t="s">
        <v>328</v>
      </c>
      <c r="O393" s="1" t="s">
        <v>324</v>
      </c>
      <c r="P393" s="1" t="s">
        <v>328</v>
      </c>
      <c r="Q393" s="1" t="s">
        <v>328</v>
      </c>
      <c r="R393" s="1" t="s">
        <v>328</v>
      </c>
      <c r="S393" s="1" t="s">
        <v>328</v>
      </c>
      <c r="T393" s="1" t="s">
        <v>328</v>
      </c>
      <c r="U393" s="1">
        <v>0</v>
      </c>
      <c r="V393" s="1">
        <v>0</v>
      </c>
      <c r="W393" s="1">
        <v>0</v>
      </c>
      <c r="X393" s="1">
        <v>0</v>
      </c>
      <c r="Y393" s="1">
        <v>0</v>
      </c>
      <c r="Z393" s="1">
        <v>0</v>
      </c>
      <c r="AA393" s="1">
        <v>0</v>
      </c>
      <c r="AB393" s="1">
        <v>0</v>
      </c>
      <c r="AC393" s="1">
        <v>2</v>
      </c>
      <c r="AD393" s="1">
        <v>2</v>
      </c>
      <c r="AE393" s="1">
        <v>3</v>
      </c>
      <c r="AF393" s="1">
        <v>3</v>
      </c>
      <c r="AG393" s="208" t="s">
        <v>8716</v>
      </c>
      <c r="AH393" s="1">
        <v>3060</v>
      </c>
      <c r="AI393" t="s">
        <v>1843</v>
      </c>
      <c r="AJ393">
        <v>0</v>
      </c>
      <c r="AK393" s="1" t="s">
        <v>486</v>
      </c>
      <c r="AL393" s="1" t="s">
        <v>8712</v>
      </c>
      <c r="AM393" s="1">
        <v>0.23</v>
      </c>
      <c r="AN393" s="1">
        <v>0.23</v>
      </c>
      <c r="AO393" s="1">
        <v>0.33</v>
      </c>
      <c r="AP393" s="1">
        <v>0.38</v>
      </c>
      <c r="AQ393" s="1">
        <v>3</v>
      </c>
      <c r="AR393" t="s">
        <v>8713</v>
      </c>
      <c r="AS393">
        <v>0</v>
      </c>
      <c r="AT393" t="s">
        <v>8714</v>
      </c>
      <c r="AU393">
        <v>10</v>
      </c>
      <c r="AV393">
        <v>20081</v>
      </c>
      <c r="AX393" t="b">
        <v>0</v>
      </c>
    </row>
    <row r="394" spans="1:50" x14ac:dyDescent="0.3">
      <c r="A394">
        <v>395</v>
      </c>
      <c r="B394" t="s">
        <v>8733</v>
      </c>
      <c r="C394" t="s">
        <v>8734</v>
      </c>
      <c r="D394">
        <v>5</v>
      </c>
      <c r="E394">
        <v>3</v>
      </c>
      <c r="F394">
        <v>20</v>
      </c>
      <c r="G394" s="1" t="s">
        <v>328</v>
      </c>
      <c r="H394" s="1" t="s">
        <v>331</v>
      </c>
      <c r="I394" s="1" t="s">
        <v>8321</v>
      </c>
      <c r="J394" s="1" t="s">
        <v>328</v>
      </c>
      <c r="K394" s="1" t="s">
        <v>328</v>
      </c>
      <c r="L394" s="1" t="s">
        <v>328</v>
      </c>
      <c r="M394" s="1" t="s">
        <v>328</v>
      </c>
      <c r="N394" s="1" t="s">
        <v>328</v>
      </c>
      <c r="O394" s="1" t="s">
        <v>328</v>
      </c>
      <c r="P394" s="1" t="s">
        <v>328</v>
      </c>
      <c r="Q394" s="1" t="s">
        <v>328</v>
      </c>
      <c r="R394" s="1" t="s">
        <v>328</v>
      </c>
      <c r="S394" s="1" t="s">
        <v>328</v>
      </c>
      <c r="T394" s="1" t="s">
        <v>328</v>
      </c>
      <c r="U394" s="1">
        <v>0</v>
      </c>
      <c r="V394" s="1">
        <v>0</v>
      </c>
      <c r="W394" s="1">
        <v>0</v>
      </c>
      <c r="X394" s="1">
        <v>0</v>
      </c>
      <c r="Y394" s="1">
        <v>0</v>
      </c>
      <c r="Z394" s="1">
        <v>0</v>
      </c>
      <c r="AA394" s="1">
        <v>0</v>
      </c>
      <c r="AB394" s="1">
        <v>0</v>
      </c>
      <c r="AC394" s="1">
        <v>4</v>
      </c>
      <c r="AD394" s="1">
        <v>2</v>
      </c>
      <c r="AE394" s="1">
        <v>0</v>
      </c>
      <c r="AF394" s="1">
        <v>4</v>
      </c>
      <c r="AG394" s="208" t="s">
        <v>1611</v>
      </c>
      <c r="AH394" s="1">
        <v>3120</v>
      </c>
      <c r="AI394" t="s">
        <v>1843</v>
      </c>
      <c r="AJ394">
        <v>0</v>
      </c>
      <c r="AK394" s="1" t="s">
        <v>4909</v>
      </c>
      <c r="AL394" s="1" t="s">
        <v>8735</v>
      </c>
      <c r="AM394" s="1">
        <v>0.3</v>
      </c>
      <c r="AN394" s="1">
        <v>0.25</v>
      </c>
      <c r="AO394" s="1">
        <v>0.12</v>
      </c>
      <c r="AP394" s="1">
        <v>0.38</v>
      </c>
      <c r="AQ394" s="1">
        <v>3</v>
      </c>
      <c r="AR394" t="s">
        <v>8324</v>
      </c>
      <c r="AS394">
        <v>0</v>
      </c>
      <c r="AT394" t="s">
        <v>1806</v>
      </c>
      <c r="AU394">
        <v>10</v>
      </c>
      <c r="AV394">
        <v>20082</v>
      </c>
      <c r="AX394" t="b">
        <v>0</v>
      </c>
    </row>
    <row r="395" spans="1:50" x14ac:dyDescent="0.3">
      <c r="A395">
        <v>396</v>
      </c>
      <c r="B395" t="s">
        <v>8736</v>
      </c>
      <c r="C395" t="s">
        <v>8737</v>
      </c>
      <c r="D395">
        <v>5</v>
      </c>
      <c r="E395">
        <v>3</v>
      </c>
      <c r="F395">
        <v>20</v>
      </c>
      <c r="G395" s="1" t="s">
        <v>328</v>
      </c>
      <c r="H395" s="1" t="s">
        <v>328</v>
      </c>
      <c r="I395" s="1" t="s">
        <v>8041</v>
      </c>
      <c r="J395" s="1" t="s">
        <v>328</v>
      </c>
      <c r="K395" s="1" t="s">
        <v>328</v>
      </c>
      <c r="L395" s="1" t="s">
        <v>8147</v>
      </c>
      <c r="M395" s="1" t="s">
        <v>328</v>
      </c>
      <c r="N395" s="1" t="s">
        <v>328</v>
      </c>
      <c r="O395" s="1" t="s">
        <v>328</v>
      </c>
      <c r="P395" s="1" t="s">
        <v>328</v>
      </c>
      <c r="Q395" s="1" t="s">
        <v>328</v>
      </c>
      <c r="R395" s="1" t="s">
        <v>328</v>
      </c>
      <c r="S395" s="1" t="s">
        <v>328</v>
      </c>
      <c r="T395" s="1" t="s">
        <v>328</v>
      </c>
      <c r="U395" s="1">
        <v>0</v>
      </c>
      <c r="V395" s="1">
        <v>0</v>
      </c>
      <c r="W395" s="1">
        <v>0</v>
      </c>
      <c r="X395" s="1">
        <v>0</v>
      </c>
      <c r="Y395" s="1">
        <v>0</v>
      </c>
      <c r="Z395" s="1">
        <v>0</v>
      </c>
      <c r="AA395" s="1">
        <v>0</v>
      </c>
      <c r="AB395" s="1">
        <v>0</v>
      </c>
      <c r="AC395" s="1">
        <v>4</v>
      </c>
      <c r="AD395" s="1">
        <v>2</v>
      </c>
      <c r="AE395" s="1">
        <v>0</v>
      </c>
      <c r="AF395" s="1">
        <v>4</v>
      </c>
      <c r="AG395" s="208" t="s">
        <v>8741</v>
      </c>
      <c r="AH395" s="1">
        <v>3120</v>
      </c>
      <c r="AI395" t="s">
        <v>1843</v>
      </c>
      <c r="AJ395">
        <v>0</v>
      </c>
      <c r="AK395" s="1" t="s">
        <v>8732</v>
      </c>
      <c r="AL395" s="1" t="s">
        <v>8738</v>
      </c>
      <c r="AM395" s="1">
        <v>0.3</v>
      </c>
      <c r="AN395" s="1">
        <v>0.25</v>
      </c>
      <c r="AO395" s="1">
        <v>0.12</v>
      </c>
      <c r="AP395" s="1">
        <v>0.38</v>
      </c>
      <c r="AQ395" s="1">
        <v>3</v>
      </c>
      <c r="AR395" t="s">
        <v>8739</v>
      </c>
      <c r="AS395">
        <v>0</v>
      </c>
      <c r="AT395" t="s">
        <v>8740</v>
      </c>
      <c r="AU395">
        <v>10</v>
      </c>
      <c r="AV395">
        <v>20080</v>
      </c>
      <c r="AX395" t="b">
        <v>0</v>
      </c>
    </row>
    <row r="396" spans="1:50" x14ac:dyDescent="0.3">
      <c r="A396">
        <v>397</v>
      </c>
      <c r="B396" t="s">
        <v>8861</v>
      </c>
      <c r="C396" t="s">
        <v>8862</v>
      </c>
      <c r="D396">
        <v>5</v>
      </c>
      <c r="E396">
        <v>1</v>
      </c>
      <c r="F396">
        <v>18</v>
      </c>
      <c r="G396" s="1" t="s">
        <v>328</v>
      </c>
      <c r="H396" s="1" t="s">
        <v>338</v>
      </c>
      <c r="I396" s="1" t="s">
        <v>328</v>
      </c>
      <c r="J396" s="1" t="s">
        <v>328</v>
      </c>
      <c r="K396" s="1" t="s">
        <v>328</v>
      </c>
      <c r="L396" s="1" t="s">
        <v>328</v>
      </c>
      <c r="M396" s="1" t="s">
        <v>328</v>
      </c>
      <c r="N396" s="1" t="s">
        <v>328</v>
      </c>
      <c r="O396" s="1" t="s">
        <v>328</v>
      </c>
      <c r="P396" s="1" t="s">
        <v>328</v>
      </c>
      <c r="Q396" s="1" t="s">
        <v>328</v>
      </c>
      <c r="R396" s="1" t="s">
        <v>328</v>
      </c>
      <c r="S396" s="1" t="s">
        <v>328</v>
      </c>
      <c r="T396" s="1" t="s">
        <v>334</v>
      </c>
      <c r="U396" s="1">
        <v>0</v>
      </c>
      <c r="V396" s="1">
        <v>0</v>
      </c>
      <c r="W396" s="1">
        <v>0</v>
      </c>
      <c r="X396" s="1">
        <v>0</v>
      </c>
      <c r="Y396" s="1">
        <v>0</v>
      </c>
      <c r="Z396" s="1">
        <v>0</v>
      </c>
      <c r="AA396" s="1">
        <v>0</v>
      </c>
      <c r="AB396" s="1">
        <v>0</v>
      </c>
      <c r="AC396" s="1">
        <v>1</v>
      </c>
      <c r="AD396" s="1">
        <v>4</v>
      </c>
      <c r="AE396" s="1">
        <v>1</v>
      </c>
      <c r="AF396" s="1">
        <v>1</v>
      </c>
      <c r="AG396" s="208" t="s">
        <v>1639</v>
      </c>
      <c r="AH396" s="1">
        <v>3360</v>
      </c>
      <c r="AI396" t="s">
        <v>1843</v>
      </c>
      <c r="AJ396">
        <v>0</v>
      </c>
      <c r="AK396" s="1" t="s">
        <v>8863</v>
      </c>
      <c r="AL396" s="1" t="s">
        <v>8864</v>
      </c>
      <c r="AM396" s="1">
        <v>0.55000000000000004</v>
      </c>
      <c r="AN396" s="1">
        <v>0.23</v>
      </c>
      <c r="AO396" s="1">
        <v>0.23</v>
      </c>
      <c r="AP396" s="1">
        <v>0.23</v>
      </c>
      <c r="AQ396" s="1">
        <v>3</v>
      </c>
      <c r="AR396" t="s">
        <v>8865</v>
      </c>
      <c r="AS396">
        <v>0</v>
      </c>
      <c r="AT396" t="s">
        <v>8866</v>
      </c>
      <c r="AU396">
        <v>10</v>
      </c>
      <c r="AV396">
        <v>18118</v>
      </c>
      <c r="AX396" t="b">
        <v>0</v>
      </c>
    </row>
    <row r="397" spans="1:50" x14ac:dyDescent="0.3">
      <c r="A397">
        <v>398</v>
      </c>
      <c r="B397" t="s">
        <v>8893</v>
      </c>
      <c r="C397" t="s">
        <v>8894</v>
      </c>
      <c r="D397">
        <v>5</v>
      </c>
      <c r="E397">
        <v>2</v>
      </c>
      <c r="F397">
        <v>19</v>
      </c>
      <c r="G397" s="1" t="s">
        <v>335</v>
      </c>
      <c r="H397" s="1" t="s">
        <v>328</v>
      </c>
      <c r="I397" s="1" t="s">
        <v>328</v>
      </c>
      <c r="J397" s="1" t="s">
        <v>328</v>
      </c>
      <c r="K397" s="1" t="s">
        <v>328</v>
      </c>
      <c r="L397" s="1" t="s">
        <v>328</v>
      </c>
      <c r="M397" s="1" t="s">
        <v>328</v>
      </c>
      <c r="N397" s="1" t="s">
        <v>8613</v>
      </c>
      <c r="O397" s="1" t="s">
        <v>328</v>
      </c>
      <c r="P397" s="1" t="s">
        <v>328</v>
      </c>
      <c r="Q397" s="1" t="s">
        <v>328</v>
      </c>
      <c r="R397" s="1" t="s">
        <v>328</v>
      </c>
      <c r="S397" s="1" t="s">
        <v>328</v>
      </c>
      <c r="T397" s="1" t="s">
        <v>328</v>
      </c>
      <c r="U397" s="1">
        <v>0</v>
      </c>
      <c r="V397" s="1">
        <v>0</v>
      </c>
      <c r="W397" s="1">
        <v>0</v>
      </c>
      <c r="X397" s="1">
        <v>0</v>
      </c>
      <c r="Y397" s="1">
        <v>0</v>
      </c>
      <c r="Z397" s="1">
        <v>0</v>
      </c>
      <c r="AA397" s="1">
        <v>0</v>
      </c>
      <c r="AB397" s="1">
        <v>0</v>
      </c>
      <c r="AC397" s="1">
        <v>0</v>
      </c>
      <c r="AD397" s="1">
        <v>4</v>
      </c>
      <c r="AE397" s="1">
        <v>2</v>
      </c>
      <c r="AF397" s="1">
        <v>3</v>
      </c>
      <c r="AG397" s="208" t="s">
        <v>8904</v>
      </c>
      <c r="AH397" s="1">
        <v>3300</v>
      </c>
      <c r="AI397" t="s">
        <v>1843</v>
      </c>
      <c r="AJ397">
        <v>0</v>
      </c>
      <c r="AK397" s="1" t="s">
        <v>8895</v>
      </c>
      <c r="AL397" s="1" t="s">
        <v>8896</v>
      </c>
      <c r="AM397" s="1">
        <v>0.08</v>
      </c>
      <c r="AN397" s="1">
        <v>0.5</v>
      </c>
      <c r="AO397" s="1">
        <v>0.3</v>
      </c>
      <c r="AP397" s="1">
        <v>0.3</v>
      </c>
      <c r="AQ397" s="1">
        <v>3</v>
      </c>
      <c r="AR397" t="s">
        <v>8150</v>
      </c>
      <c r="AS397">
        <v>0</v>
      </c>
      <c r="AT397" t="s">
        <v>8897</v>
      </c>
      <c r="AU397">
        <v>10</v>
      </c>
      <c r="AV397">
        <v>19077</v>
      </c>
      <c r="AX397" t="b">
        <v>0</v>
      </c>
    </row>
    <row r="398" spans="1:50" x14ac:dyDescent="0.3">
      <c r="A398">
        <v>399</v>
      </c>
      <c r="B398" t="s">
        <v>8898</v>
      </c>
      <c r="C398" t="s">
        <v>8899</v>
      </c>
      <c r="D398">
        <v>5</v>
      </c>
      <c r="E398">
        <v>2</v>
      </c>
      <c r="F398">
        <v>19</v>
      </c>
      <c r="G398" s="1" t="s">
        <v>470</v>
      </c>
      <c r="H398" s="1" t="s">
        <v>335</v>
      </c>
      <c r="I398" s="1" t="s">
        <v>328</v>
      </c>
      <c r="J398" s="1" t="s">
        <v>328</v>
      </c>
      <c r="K398" s="1" t="s">
        <v>328</v>
      </c>
      <c r="L398" s="1" t="s">
        <v>328</v>
      </c>
      <c r="M398" s="1" t="s">
        <v>328</v>
      </c>
      <c r="N398" s="1" t="s">
        <v>7299</v>
      </c>
      <c r="O398" s="1" t="s">
        <v>328</v>
      </c>
      <c r="P398" s="1" t="s">
        <v>328</v>
      </c>
      <c r="Q398" s="1" t="s">
        <v>328</v>
      </c>
      <c r="R398" s="1" t="s">
        <v>328</v>
      </c>
      <c r="S398" s="1" t="s">
        <v>328</v>
      </c>
      <c r="T398" s="1" t="s">
        <v>328</v>
      </c>
      <c r="U398" s="1">
        <v>0</v>
      </c>
      <c r="V398" s="1">
        <v>0</v>
      </c>
      <c r="W398" s="1">
        <v>0</v>
      </c>
      <c r="X398" s="1">
        <v>0</v>
      </c>
      <c r="Y398" s="1">
        <v>0</v>
      </c>
      <c r="Z398" s="1">
        <v>0</v>
      </c>
      <c r="AA398" s="1">
        <v>0</v>
      </c>
      <c r="AB398" s="1">
        <v>0</v>
      </c>
      <c r="AC398" s="1">
        <v>0</v>
      </c>
      <c r="AD398" s="1">
        <v>4</v>
      </c>
      <c r="AE398" s="1">
        <v>2</v>
      </c>
      <c r="AF398" s="1">
        <v>3</v>
      </c>
      <c r="AG398" s="208" t="s">
        <v>8903</v>
      </c>
      <c r="AH398" s="1">
        <v>3300</v>
      </c>
      <c r="AI398" t="s">
        <v>1843</v>
      </c>
      <c r="AJ398">
        <v>0</v>
      </c>
      <c r="AK398" s="1" t="s">
        <v>6865</v>
      </c>
      <c r="AL398" s="1" t="s">
        <v>8900</v>
      </c>
      <c r="AM398" s="1">
        <v>0.08</v>
      </c>
      <c r="AN398" s="1">
        <v>0.5</v>
      </c>
      <c r="AO398" s="1">
        <v>0.3</v>
      </c>
      <c r="AP398" s="1">
        <v>0.3</v>
      </c>
      <c r="AQ398" s="1">
        <v>3</v>
      </c>
      <c r="AR398" t="s">
        <v>8901</v>
      </c>
      <c r="AS398">
        <v>0</v>
      </c>
      <c r="AT398" t="s">
        <v>8902</v>
      </c>
      <c r="AU398">
        <v>10</v>
      </c>
      <c r="AV398">
        <v>19078</v>
      </c>
      <c r="AX398" t="b">
        <v>0</v>
      </c>
    </row>
    <row r="399" spans="1:50" x14ac:dyDescent="0.3">
      <c r="A399">
        <v>400</v>
      </c>
      <c r="B399" t="s">
        <v>8905</v>
      </c>
      <c r="C399" t="s">
        <v>8906</v>
      </c>
      <c r="D399">
        <v>5</v>
      </c>
      <c r="E399">
        <v>3</v>
      </c>
      <c r="F399">
        <v>20</v>
      </c>
      <c r="G399" s="1" t="s">
        <v>328</v>
      </c>
      <c r="H399" s="1" t="s">
        <v>328</v>
      </c>
      <c r="I399" s="1" t="s">
        <v>328</v>
      </c>
      <c r="J399" s="1" t="s">
        <v>328</v>
      </c>
      <c r="K399" s="1" t="s">
        <v>328</v>
      </c>
      <c r="L399" s="1" t="s">
        <v>328</v>
      </c>
      <c r="M399" s="1" t="s">
        <v>385</v>
      </c>
      <c r="N399" s="1" t="s">
        <v>328</v>
      </c>
      <c r="O399" s="1" t="s">
        <v>328</v>
      </c>
      <c r="P399" s="1" t="s">
        <v>328</v>
      </c>
      <c r="Q399" s="1" t="s">
        <v>328</v>
      </c>
      <c r="R399" s="1" t="s">
        <v>328</v>
      </c>
      <c r="S399" s="1" t="s">
        <v>328</v>
      </c>
      <c r="T399" s="1" t="s">
        <v>354</v>
      </c>
      <c r="U399" s="1">
        <v>0</v>
      </c>
      <c r="V399" s="1">
        <v>0</v>
      </c>
      <c r="W399" s="1">
        <v>0</v>
      </c>
      <c r="X399" s="1">
        <v>0</v>
      </c>
      <c r="Y399" s="1">
        <v>0</v>
      </c>
      <c r="Z399" s="1">
        <v>0</v>
      </c>
      <c r="AA399" s="1">
        <v>0</v>
      </c>
      <c r="AB399" s="1">
        <v>0</v>
      </c>
      <c r="AC399" s="1">
        <v>1</v>
      </c>
      <c r="AD399" s="1">
        <v>1</v>
      </c>
      <c r="AE399" s="1">
        <v>1</v>
      </c>
      <c r="AF399" s="1">
        <v>5</v>
      </c>
      <c r="AG399" s="208" t="s">
        <v>789</v>
      </c>
      <c r="AH399" s="1">
        <v>3420</v>
      </c>
      <c r="AI399" t="s">
        <v>1843</v>
      </c>
      <c r="AJ399">
        <v>0</v>
      </c>
      <c r="AK399" s="1" t="s">
        <v>8907</v>
      </c>
      <c r="AL399" s="1" t="s">
        <v>8908</v>
      </c>
      <c r="AM399" s="1">
        <v>0.1</v>
      </c>
      <c r="AN399" s="1">
        <v>0.1</v>
      </c>
      <c r="AO399" s="1">
        <v>0.1</v>
      </c>
      <c r="AP399" s="1">
        <v>0.55000000000000004</v>
      </c>
      <c r="AQ399" s="1">
        <v>3</v>
      </c>
      <c r="AR399" t="s">
        <v>1737</v>
      </c>
      <c r="AS399">
        <v>0</v>
      </c>
      <c r="AT399" t="s">
        <v>1806</v>
      </c>
      <c r="AU399">
        <v>10</v>
      </c>
      <c r="AV399">
        <v>20081</v>
      </c>
      <c r="AX399">
        <v>0</v>
      </c>
    </row>
    <row r="400" spans="1:50" x14ac:dyDescent="0.3">
      <c r="A400">
        <v>401</v>
      </c>
      <c r="B400" t="s">
        <v>8909</v>
      </c>
      <c r="C400" t="s">
        <v>8910</v>
      </c>
      <c r="D400">
        <v>5</v>
      </c>
      <c r="E400">
        <v>3</v>
      </c>
      <c r="F400">
        <v>20</v>
      </c>
      <c r="G400" s="1" t="s">
        <v>359</v>
      </c>
      <c r="H400" s="1" t="s">
        <v>328</v>
      </c>
      <c r="I400" s="1" t="s">
        <v>328</v>
      </c>
      <c r="J400" s="1" t="s">
        <v>328</v>
      </c>
      <c r="K400" s="1" t="s">
        <v>375</v>
      </c>
      <c r="L400" s="1" t="s">
        <v>902</v>
      </c>
      <c r="M400" s="1" t="s">
        <v>328</v>
      </c>
      <c r="N400" s="1" t="s">
        <v>328</v>
      </c>
      <c r="O400" s="1" t="s">
        <v>328</v>
      </c>
      <c r="P400" s="1" t="s">
        <v>328</v>
      </c>
      <c r="Q400" s="1" t="s">
        <v>328</v>
      </c>
      <c r="R400" s="1" t="s">
        <v>328</v>
      </c>
      <c r="S400" s="1" t="s">
        <v>328</v>
      </c>
      <c r="T400" s="1" t="s">
        <v>328</v>
      </c>
      <c r="U400" s="1">
        <v>0</v>
      </c>
      <c r="V400" s="1">
        <v>0</v>
      </c>
      <c r="W400" s="1">
        <v>0</v>
      </c>
      <c r="X400" s="1">
        <v>0</v>
      </c>
      <c r="Y400" s="1">
        <v>0</v>
      </c>
      <c r="Z400" s="1">
        <v>0</v>
      </c>
      <c r="AA400" s="1">
        <v>0</v>
      </c>
      <c r="AB400" s="1">
        <v>0</v>
      </c>
      <c r="AC400" s="1">
        <v>4</v>
      </c>
      <c r="AD400" s="1">
        <v>3</v>
      </c>
      <c r="AE400" s="1">
        <v>0</v>
      </c>
      <c r="AF400" s="1">
        <v>2</v>
      </c>
      <c r="AG400" s="208" t="s">
        <v>182</v>
      </c>
      <c r="AH400" s="1">
        <v>3060</v>
      </c>
      <c r="AI400" t="s">
        <v>1843</v>
      </c>
      <c r="AJ400">
        <v>0</v>
      </c>
      <c r="AK400" s="1" t="s">
        <v>5399</v>
      </c>
      <c r="AL400" s="1" t="s">
        <v>8911</v>
      </c>
      <c r="AM400" s="1">
        <v>0.3</v>
      </c>
      <c r="AN400" s="1">
        <v>0.23</v>
      </c>
      <c r="AO400" s="1">
        <v>0.15</v>
      </c>
      <c r="AP400" s="1">
        <v>0.38</v>
      </c>
      <c r="AQ400" s="1">
        <v>3</v>
      </c>
      <c r="AR400" t="s">
        <v>1583</v>
      </c>
      <c r="AS400">
        <v>0</v>
      </c>
      <c r="AT400" t="s">
        <v>1806</v>
      </c>
      <c r="AU400">
        <v>10</v>
      </c>
      <c r="AV400">
        <v>20082</v>
      </c>
      <c r="AX400">
        <v>0</v>
      </c>
    </row>
    <row r="401" spans="1:50" x14ac:dyDescent="0.3">
      <c r="A401">
        <v>402</v>
      </c>
      <c r="B401" t="s">
        <v>8912</v>
      </c>
      <c r="C401" t="s">
        <v>8913</v>
      </c>
      <c r="D401">
        <v>5</v>
      </c>
      <c r="E401">
        <v>2</v>
      </c>
      <c r="F401">
        <v>19</v>
      </c>
      <c r="G401" s="1" t="s">
        <v>328</v>
      </c>
      <c r="H401" s="1" t="s">
        <v>338</v>
      </c>
      <c r="I401" s="1" t="s">
        <v>328</v>
      </c>
      <c r="J401" s="1" t="s">
        <v>328</v>
      </c>
      <c r="K401" s="1" t="s">
        <v>328</v>
      </c>
      <c r="L401" s="1" t="s">
        <v>328</v>
      </c>
      <c r="M401" s="1" t="s">
        <v>328</v>
      </c>
      <c r="N401" s="1" t="s">
        <v>328</v>
      </c>
      <c r="O401" s="1" t="s">
        <v>328</v>
      </c>
      <c r="P401" s="1" t="s">
        <v>328</v>
      </c>
      <c r="Q401" s="1" t="s">
        <v>328</v>
      </c>
      <c r="R401" s="1" t="s">
        <v>328</v>
      </c>
      <c r="S401" s="1" t="s">
        <v>328</v>
      </c>
      <c r="T401" s="1" t="s">
        <v>328</v>
      </c>
      <c r="U401" s="1">
        <v>0</v>
      </c>
      <c r="V401" s="1">
        <v>150</v>
      </c>
      <c r="W401" s="1">
        <v>0</v>
      </c>
      <c r="X401" s="1">
        <v>0</v>
      </c>
      <c r="Y401" s="1">
        <v>0</v>
      </c>
      <c r="Z401" s="1">
        <v>0</v>
      </c>
      <c r="AA401" s="1">
        <v>0</v>
      </c>
      <c r="AB401" s="1">
        <v>0</v>
      </c>
      <c r="AC401" s="1">
        <v>4</v>
      </c>
      <c r="AD401" s="1">
        <v>4</v>
      </c>
      <c r="AE401" s="1">
        <v>0</v>
      </c>
      <c r="AF401" s="1">
        <v>2</v>
      </c>
      <c r="AG401" s="208" t="s">
        <v>1193</v>
      </c>
      <c r="AH401" s="1">
        <v>3600</v>
      </c>
      <c r="AI401" t="s">
        <v>1843</v>
      </c>
      <c r="AJ401">
        <v>0</v>
      </c>
      <c r="AK401" s="1" t="s">
        <v>8914</v>
      </c>
      <c r="AL401" s="1" t="s">
        <v>8915</v>
      </c>
      <c r="AM401" s="1">
        <v>0.48</v>
      </c>
      <c r="AN401" s="1">
        <v>0.48</v>
      </c>
      <c r="AO401" s="1">
        <v>0.08</v>
      </c>
      <c r="AP401" s="1">
        <v>0.25</v>
      </c>
      <c r="AQ401" s="1">
        <v>3</v>
      </c>
      <c r="AR401" t="s">
        <v>1470</v>
      </c>
      <c r="AS401">
        <v>0</v>
      </c>
      <c r="AT401" t="s">
        <v>2468</v>
      </c>
      <c r="AU401">
        <v>10</v>
      </c>
      <c r="AV401">
        <v>19079</v>
      </c>
      <c r="AX401">
        <v>0</v>
      </c>
    </row>
    <row r="402" spans="1:50" x14ac:dyDescent="0.3">
      <c r="A402">
        <v>403</v>
      </c>
      <c r="B402" t="s">
        <v>8916</v>
      </c>
      <c r="C402" t="s">
        <v>8917</v>
      </c>
      <c r="D402">
        <v>5</v>
      </c>
      <c r="E402">
        <v>2</v>
      </c>
      <c r="F402">
        <v>19</v>
      </c>
      <c r="G402" s="1" t="s">
        <v>385</v>
      </c>
      <c r="H402" s="1" t="s">
        <v>328</v>
      </c>
      <c r="I402" s="1" t="s">
        <v>328</v>
      </c>
      <c r="J402" s="1" t="s">
        <v>328</v>
      </c>
      <c r="K402" s="1" t="s">
        <v>7063</v>
      </c>
      <c r="L402" s="1" t="s">
        <v>328</v>
      </c>
      <c r="M402" s="1" t="s">
        <v>328</v>
      </c>
      <c r="N402" s="1" t="s">
        <v>328</v>
      </c>
      <c r="O402" s="1" t="s">
        <v>328</v>
      </c>
      <c r="P402" s="1" t="s">
        <v>328</v>
      </c>
      <c r="Q402" s="1" t="s">
        <v>328</v>
      </c>
      <c r="R402" s="1" t="s">
        <v>328</v>
      </c>
      <c r="S402" s="1" t="s">
        <v>328</v>
      </c>
      <c r="T402" s="1" t="s">
        <v>328</v>
      </c>
      <c r="U402" s="1">
        <v>0</v>
      </c>
      <c r="V402" s="1">
        <v>0</v>
      </c>
      <c r="W402" s="1">
        <v>0</v>
      </c>
      <c r="X402" s="1">
        <v>0</v>
      </c>
      <c r="Y402" s="1">
        <v>0</v>
      </c>
      <c r="Z402" s="1">
        <v>0</v>
      </c>
      <c r="AA402" s="1">
        <v>0</v>
      </c>
      <c r="AB402" s="1">
        <v>0</v>
      </c>
      <c r="AC402" s="1">
        <v>4</v>
      </c>
      <c r="AD402" s="1">
        <v>4</v>
      </c>
      <c r="AE402" s="1">
        <v>0</v>
      </c>
      <c r="AF402" s="1">
        <v>2</v>
      </c>
      <c r="AG402" s="208" t="s">
        <v>79</v>
      </c>
      <c r="AH402" s="1">
        <v>3180</v>
      </c>
      <c r="AI402" t="s">
        <v>1843</v>
      </c>
      <c r="AJ402">
        <v>0</v>
      </c>
      <c r="AK402" s="1" t="s">
        <v>4908</v>
      </c>
      <c r="AL402" s="1" t="s">
        <v>8918</v>
      </c>
      <c r="AM402" s="1">
        <v>0.48</v>
      </c>
      <c r="AN402" s="1">
        <v>0.48</v>
      </c>
      <c r="AO402" s="1">
        <v>0.08</v>
      </c>
      <c r="AP402" s="1">
        <v>0.25</v>
      </c>
      <c r="AQ402" s="1">
        <v>3</v>
      </c>
      <c r="AR402" t="s">
        <v>1473</v>
      </c>
      <c r="AS402">
        <v>0</v>
      </c>
      <c r="AT402" t="s">
        <v>8919</v>
      </c>
      <c r="AU402">
        <v>10</v>
      </c>
      <c r="AV402">
        <v>19080</v>
      </c>
      <c r="AX402">
        <v>0</v>
      </c>
    </row>
    <row r="403" spans="1:50" x14ac:dyDescent="0.3">
      <c r="A403">
        <v>404</v>
      </c>
      <c r="B403" t="s">
        <v>8934</v>
      </c>
      <c r="C403" t="s">
        <v>8935</v>
      </c>
      <c r="D403">
        <v>5</v>
      </c>
      <c r="E403">
        <v>3</v>
      </c>
      <c r="F403">
        <v>20</v>
      </c>
      <c r="G403" s="1" t="s">
        <v>328</v>
      </c>
      <c r="H403" s="1" t="s">
        <v>328</v>
      </c>
      <c r="I403" s="1" t="s">
        <v>413</v>
      </c>
      <c r="J403" s="1" t="s">
        <v>328</v>
      </c>
      <c r="K403" s="1" t="s">
        <v>376</v>
      </c>
      <c r="L403" s="1" t="s">
        <v>328</v>
      </c>
      <c r="M403" s="1" t="s">
        <v>328</v>
      </c>
      <c r="N403" s="1" t="s">
        <v>328</v>
      </c>
      <c r="O403" s="1" t="s">
        <v>335</v>
      </c>
      <c r="P403" s="1" t="s">
        <v>328</v>
      </c>
      <c r="Q403" s="1" t="s">
        <v>328</v>
      </c>
      <c r="R403" s="1" t="s">
        <v>328</v>
      </c>
      <c r="S403" s="1" t="s">
        <v>328</v>
      </c>
      <c r="T403" s="1" t="s">
        <v>328</v>
      </c>
      <c r="U403" s="1">
        <v>0</v>
      </c>
      <c r="V403" s="1">
        <v>0</v>
      </c>
      <c r="W403" s="1">
        <v>0</v>
      </c>
      <c r="X403" s="1">
        <v>0</v>
      </c>
      <c r="Y403" s="1">
        <v>0</v>
      </c>
      <c r="Z403" s="1">
        <v>0</v>
      </c>
      <c r="AA403" s="1">
        <v>0</v>
      </c>
      <c r="AB403" s="1">
        <v>0</v>
      </c>
      <c r="AC403" s="1">
        <v>4</v>
      </c>
      <c r="AD403" s="1">
        <v>2</v>
      </c>
      <c r="AE403" s="1">
        <v>0</v>
      </c>
      <c r="AF403" s="1">
        <v>4</v>
      </c>
      <c r="AG403" s="208" t="s">
        <v>8959</v>
      </c>
      <c r="AH403" s="1">
        <v>3120</v>
      </c>
      <c r="AI403" t="s">
        <v>1843</v>
      </c>
      <c r="AJ403">
        <v>0</v>
      </c>
      <c r="AK403" s="1" t="s">
        <v>8936</v>
      </c>
      <c r="AL403" s="1" t="s">
        <v>8937</v>
      </c>
      <c r="AM403" s="1">
        <v>0.3</v>
      </c>
      <c r="AN403" s="1">
        <v>0.25</v>
      </c>
      <c r="AO403" s="1">
        <v>0.12</v>
      </c>
      <c r="AP403" s="1">
        <v>0.38</v>
      </c>
      <c r="AQ403" s="1">
        <v>3</v>
      </c>
      <c r="AR403" t="s">
        <v>1757</v>
      </c>
      <c r="AS403">
        <v>0</v>
      </c>
      <c r="AT403" t="s">
        <v>8938</v>
      </c>
      <c r="AU403">
        <v>10</v>
      </c>
      <c r="AV403">
        <v>20083</v>
      </c>
      <c r="AX403">
        <v>0</v>
      </c>
    </row>
    <row r="404" spans="1:50" x14ac:dyDescent="0.3">
      <c r="A404">
        <v>405</v>
      </c>
      <c r="B404" t="s">
        <v>8939</v>
      </c>
      <c r="C404" t="s">
        <v>8940</v>
      </c>
      <c r="D404">
        <v>5</v>
      </c>
      <c r="E404">
        <v>3</v>
      </c>
      <c r="F404">
        <v>20</v>
      </c>
      <c r="G404" s="1" t="s">
        <v>335</v>
      </c>
      <c r="H404" s="1" t="s">
        <v>328</v>
      </c>
      <c r="I404" s="1" t="s">
        <v>328</v>
      </c>
      <c r="J404" s="1" t="s">
        <v>328</v>
      </c>
      <c r="K404" s="1" t="s">
        <v>328</v>
      </c>
      <c r="L404" s="1" t="s">
        <v>338</v>
      </c>
      <c r="M404" s="1" t="s">
        <v>328</v>
      </c>
      <c r="N404" s="1" t="s">
        <v>328</v>
      </c>
      <c r="O404" s="1" t="s">
        <v>328</v>
      </c>
      <c r="P404" s="1" t="s">
        <v>328</v>
      </c>
      <c r="Q404" s="1" t="s">
        <v>328</v>
      </c>
      <c r="R404" s="1" t="s">
        <v>328</v>
      </c>
      <c r="S404" s="1" t="s">
        <v>328</v>
      </c>
      <c r="T404" s="1" t="s">
        <v>328</v>
      </c>
      <c r="U404" s="1">
        <v>0</v>
      </c>
      <c r="V404" s="1">
        <v>150</v>
      </c>
      <c r="W404" s="1">
        <v>0</v>
      </c>
      <c r="X404" s="1">
        <v>0</v>
      </c>
      <c r="Y404" s="1">
        <v>0</v>
      </c>
      <c r="Z404" s="1">
        <v>0</v>
      </c>
      <c r="AA404" s="1">
        <v>0</v>
      </c>
      <c r="AB404" s="1">
        <v>0</v>
      </c>
      <c r="AC404" s="1">
        <v>4</v>
      </c>
      <c r="AD404" s="1">
        <v>0</v>
      </c>
      <c r="AE404" s="1">
        <v>5</v>
      </c>
      <c r="AF404" s="1">
        <v>0</v>
      </c>
      <c r="AG404" s="208" t="s">
        <v>1637</v>
      </c>
      <c r="AH404" s="1">
        <v>3360</v>
      </c>
      <c r="AI404" t="s">
        <v>1843</v>
      </c>
      <c r="AJ404">
        <v>0</v>
      </c>
      <c r="AK404" s="1" t="s">
        <v>8941</v>
      </c>
      <c r="AL404" s="1" t="s">
        <v>8942</v>
      </c>
      <c r="AM404" s="1">
        <v>0.55000000000000004</v>
      </c>
      <c r="AN404" s="1">
        <v>0.16</v>
      </c>
      <c r="AO404" s="1">
        <v>0.6</v>
      </c>
      <c r="AP404" s="1">
        <v>0.16</v>
      </c>
      <c r="AQ404" s="1">
        <v>3</v>
      </c>
      <c r="AR404" t="s">
        <v>8943</v>
      </c>
      <c r="AS404">
        <v>0</v>
      </c>
      <c r="AT404" t="s">
        <v>6818</v>
      </c>
      <c r="AU404">
        <v>10</v>
      </c>
      <c r="AV404">
        <v>20084</v>
      </c>
      <c r="AX404">
        <v>0</v>
      </c>
    </row>
    <row r="405" spans="1:50" x14ac:dyDescent="0.3">
      <c r="A405">
        <v>406</v>
      </c>
      <c r="B405" t="s">
        <v>8944</v>
      </c>
      <c r="C405" t="s">
        <v>8945</v>
      </c>
      <c r="D405">
        <v>5</v>
      </c>
      <c r="E405">
        <v>1</v>
      </c>
      <c r="F405">
        <v>18</v>
      </c>
      <c r="G405" s="1" t="s">
        <v>328</v>
      </c>
      <c r="H405" s="1" t="s">
        <v>328</v>
      </c>
      <c r="I405" s="1" t="s">
        <v>6792</v>
      </c>
      <c r="J405" s="1" t="s">
        <v>328</v>
      </c>
      <c r="K405" s="1" t="s">
        <v>328</v>
      </c>
      <c r="L405" s="1" t="s">
        <v>328</v>
      </c>
      <c r="M405" s="1" t="s">
        <v>328</v>
      </c>
      <c r="N405" s="1" t="s">
        <v>328</v>
      </c>
      <c r="O405" s="1" t="s">
        <v>328</v>
      </c>
      <c r="P405" s="1" t="s">
        <v>328</v>
      </c>
      <c r="Q405" s="1" t="s">
        <v>328</v>
      </c>
      <c r="R405" s="1" t="s">
        <v>328</v>
      </c>
      <c r="S405" s="1" t="s">
        <v>328</v>
      </c>
      <c r="T405" s="1" t="s">
        <v>328</v>
      </c>
      <c r="U405" s="1">
        <v>0</v>
      </c>
      <c r="V405" s="1">
        <v>300</v>
      </c>
      <c r="W405" s="1">
        <v>0</v>
      </c>
      <c r="X405" s="1">
        <v>0</v>
      </c>
      <c r="Y405" s="1">
        <v>0</v>
      </c>
      <c r="Z405" s="1">
        <v>0</v>
      </c>
      <c r="AA405" s="1">
        <v>0</v>
      </c>
      <c r="AB405" s="1">
        <v>0</v>
      </c>
      <c r="AC405" s="1">
        <v>3</v>
      </c>
      <c r="AD405" s="1">
        <v>1</v>
      </c>
      <c r="AE405" s="1">
        <v>4</v>
      </c>
      <c r="AF405" s="1">
        <v>2</v>
      </c>
      <c r="AG405" s="208" t="s">
        <v>8960</v>
      </c>
      <c r="AH405" s="1">
        <v>2820</v>
      </c>
      <c r="AI405" t="s">
        <v>1843</v>
      </c>
      <c r="AJ405">
        <v>0</v>
      </c>
      <c r="AK405" s="1" t="s">
        <v>8946</v>
      </c>
      <c r="AL405" s="1" t="s">
        <v>8947</v>
      </c>
      <c r="AM405" s="1">
        <v>0.45</v>
      </c>
      <c r="AN405" s="1">
        <v>0.15</v>
      </c>
      <c r="AO405" s="1">
        <v>0.3</v>
      </c>
      <c r="AP405" s="1">
        <v>0.15</v>
      </c>
      <c r="AQ405" s="1">
        <v>3</v>
      </c>
      <c r="AR405" t="s">
        <v>1757</v>
      </c>
      <c r="AS405">
        <v>0</v>
      </c>
      <c r="AT405" t="s">
        <v>8948</v>
      </c>
      <c r="AU405">
        <v>10</v>
      </c>
      <c r="AV405">
        <v>18119</v>
      </c>
      <c r="AX405">
        <v>0</v>
      </c>
    </row>
    <row r="406" spans="1:50" x14ac:dyDescent="0.3">
      <c r="A406">
        <v>407</v>
      </c>
      <c r="B406" t="s">
        <v>8949</v>
      </c>
      <c r="C406" t="s">
        <v>8950</v>
      </c>
      <c r="D406">
        <v>5</v>
      </c>
      <c r="E406">
        <v>3</v>
      </c>
      <c r="F406">
        <v>20</v>
      </c>
      <c r="G406" s="1" t="s">
        <v>328</v>
      </c>
      <c r="H406" s="1" t="s">
        <v>342</v>
      </c>
      <c r="I406" s="1" t="s">
        <v>8041</v>
      </c>
      <c r="J406" s="1" t="s">
        <v>328</v>
      </c>
      <c r="K406" s="1" t="s">
        <v>328</v>
      </c>
      <c r="L406" s="1" t="s">
        <v>328</v>
      </c>
      <c r="M406" s="1" t="s">
        <v>328</v>
      </c>
      <c r="N406" s="1" t="s">
        <v>328</v>
      </c>
      <c r="O406" s="1" t="s">
        <v>328</v>
      </c>
      <c r="P406" s="1" t="s">
        <v>328</v>
      </c>
      <c r="Q406" s="1" t="s">
        <v>328</v>
      </c>
      <c r="R406" s="1" t="s">
        <v>328</v>
      </c>
      <c r="S406" s="1" t="s">
        <v>328</v>
      </c>
      <c r="T406" s="1" t="s">
        <v>328</v>
      </c>
      <c r="U406" s="1">
        <v>0</v>
      </c>
      <c r="V406" s="1">
        <v>0</v>
      </c>
      <c r="W406" s="1">
        <v>0</v>
      </c>
      <c r="X406" s="1">
        <v>0</v>
      </c>
      <c r="Y406" s="1">
        <v>0</v>
      </c>
      <c r="Z406" s="1">
        <v>0</v>
      </c>
      <c r="AA406" s="1">
        <v>0</v>
      </c>
      <c r="AB406" s="1">
        <v>0</v>
      </c>
      <c r="AC406" s="1">
        <v>4</v>
      </c>
      <c r="AD406" s="1">
        <v>2</v>
      </c>
      <c r="AE406" s="1">
        <v>0</v>
      </c>
      <c r="AF406" s="1">
        <v>4</v>
      </c>
      <c r="AG406" s="208" t="s">
        <v>8961</v>
      </c>
      <c r="AH406" s="1">
        <v>3120</v>
      </c>
      <c r="AI406" t="s">
        <v>1843</v>
      </c>
      <c r="AJ406">
        <v>0</v>
      </c>
      <c r="AK406" s="1" t="s">
        <v>8951</v>
      </c>
      <c r="AL406" s="1" t="s">
        <v>8952</v>
      </c>
      <c r="AM406" s="1">
        <v>0.3</v>
      </c>
      <c r="AN406" s="1">
        <v>0.25</v>
      </c>
      <c r="AO406" s="1">
        <v>0.12</v>
      </c>
      <c r="AP406" s="1">
        <v>0.38</v>
      </c>
      <c r="AQ406" s="1">
        <v>3</v>
      </c>
      <c r="AR406" t="s">
        <v>1757</v>
      </c>
      <c r="AS406">
        <v>0</v>
      </c>
      <c r="AT406" t="s">
        <v>8953</v>
      </c>
      <c r="AU406">
        <v>10</v>
      </c>
      <c r="AV406">
        <v>20085</v>
      </c>
      <c r="AX406">
        <v>0</v>
      </c>
    </row>
    <row r="407" spans="1:50" x14ac:dyDescent="0.3">
      <c r="A407">
        <v>408</v>
      </c>
      <c r="B407" t="s">
        <v>8954</v>
      </c>
      <c r="C407" t="s">
        <v>8955</v>
      </c>
      <c r="D407">
        <v>5</v>
      </c>
      <c r="E407">
        <v>2</v>
      </c>
      <c r="F407">
        <v>19</v>
      </c>
      <c r="G407" s="1" t="s">
        <v>385</v>
      </c>
      <c r="H407" s="1" t="s">
        <v>328</v>
      </c>
      <c r="I407" s="1" t="s">
        <v>328</v>
      </c>
      <c r="J407" s="1" t="s">
        <v>328</v>
      </c>
      <c r="K407" s="1" t="s">
        <v>362</v>
      </c>
      <c r="L407" s="1" t="s">
        <v>328</v>
      </c>
      <c r="M407" s="1" t="s">
        <v>328</v>
      </c>
      <c r="N407" s="1" t="s">
        <v>363</v>
      </c>
      <c r="O407" s="1" t="s">
        <v>328</v>
      </c>
      <c r="P407" s="1" t="s">
        <v>328</v>
      </c>
      <c r="Q407" s="1" t="s">
        <v>328</v>
      </c>
      <c r="R407" s="1" t="s">
        <v>328</v>
      </c>
      <c r="S407" s="1" t="s">
        <v>328</v>
      </c>
      <c r="T407" s="1" t="s">
        <v>328</v>
      </c>
      <c r="U407" s="1">
        <v>0</v>
      </c>
      <c r="V407" s="1">
        <v>0</v>
      </c>
      <c r="W407" s="1">
        <v>0</v>
      </c>
      <c r="X407" s="1">
        <v>0</v>
      </c>
      <c r="Y407" s="1">
        <v>0</v>
      </c>
      <c r="Z407" s="1">
        <v>0</v>
      </c>
      <c r="AA407" s="1">
        <v>0</v>
      </c>
      <c r="AB407" s="1">
        <v>0</v>
      </c>
      <c r="AC407" s="1">
        <v>4</v>
      </c>
      <c r="AD407" s="1">
        <v>4</v>
      </c>
      <c r="AE407" s="1">
        <v>0</v>
      </c>
      <c r="AF407" s="1">
        <v>2</v>
      </c>
      <c r="AG407" s="208" t="s">
        <v>5492</v>
      </c>
      <c r="AH407" s="1">
        <v>3180</v>
      </c>
      <c r="AI407" t="s">
        <v>1843</v>
      </c>
      <c r="AJ407">
        <v>0</v>
      </c>
      <c r="AK407" s="1" t="s">
        <v>8920</v>
      </c>
      <c r="AL407" s="1" t="s">
        <v>8956</v>
      </c>
      <c r="AM407" s="1">
        <v>0.48</v>
      </c>
      <c r="AN407" s="1">
        <v>0.48</v>
      </c>
      <c r="AO407" s="1">
        <v>0.08</v>
      </c>
      <c r="AP407" s="1">
        <v>0.25</v>
      </c>
      <c r="AQ407" s="1">
        <v>3</v>
      </c>
      <c r="AR407" t="s">
        <v>8957</v>
      </c>
      <c r="AS407">
        <v>0</v>
      </c>
      <c r="AT407" t="s">
        <v>8958</v>
      </c>
      <c r="AU407">
        <v>10</v>
      </c>
      <c r="AV407">
        <v>19081</v>
      </c>
      <c r="AX407">
        <v>0</v>
      </c>
    </row>
    <row r="408" spans="1:50" x14ac:dyDescent="0.3">
      <c r="A408">
        <v>409</v>
      </c>
      <c r="B408" t="s">
        <v>8962</v>
      </c>
      <c r="C408" t="s">
        <v>8963</v>
      </c>
      <c r="D408">
        <v>5</v>
      </c>
      <c r="E408">
        <v>3</v>
      </c>
      <c r="F408">
        <v>20</v>
      </c>
      <c r="G408" s="1" t="s">
        <v>328</v>
      </c>
      <c r="H408" s="1" t="s">
        <v>328</v>
      </c>
      <c r="I408" s="1" t="s">
        <v>8964</v>
      </c>
      <c r="J408" s="1" t="s">
        <v>328</v>
      </c>
      <c r="K408" s="1" t="s">
        <v>6792</v>
      </c>
      <c r="L408" s="1" t="s">
        <v>328</v>
      </c>
      <c r="M408" s="1" t="s">
        <v>328</v>
      </c>
      <c r="N408" s="1" t="s">
        <v>328</v>
      </c>
      <c r="O408" s="1" t="s">
        <v>328</v>
      </c>
      <c r="P408" s="1" t="s">
        <v>328</v>
      </c>
      <c r="Q408" s="1" t="s">
        <v>328</v>
      </c>
      <c r="R408" s="1" t="s">
        <v>328</v>
      </c>
      <c r="S408" s="1" t="s">
        <v>328</v>
      </c>
      <c r="T408" s="1" t="s">
        <v>328</v>
      </c>
      <c r="U408" s="1">
        <v>150</v>
      </c>
      <c r="V408" s="1">
        <v>300</v>
      </c>
      <c r="W408" s="1">
        <v>0</v>
      </c>
      <c r="X408" s="1">
        <v>0</v>
      </c>
      <c r="Y408" s="1">
        <v>0</v>
      </c>
      <c r="Z408" s="1">
        <v>0</v>
      </c>
      <c r="AA408" s="1">
        <v>0</v>
      </c>
      <c r="AB408" s="1">
        <v>0</v>
      </c>
      <c r="AC408" s="1">
        <v>4</v>
      </c>
      <c r="AD408" s="1">
        <v>3</v>
      </c>
      <c r="AE408" s="1">
        <v>0</v>
      </c>
      <c r="AF408" s="1">
        <v>2</v>
      </c>
      <c r="AG408" s="208" t="s">
        <v>8974</v>
      </c>
      <c r="AH408" s="1">
        <v>3060</v>
      </c>
      <c r="AI408" t="s">
        <v>1843</v>
      </c>
      <c r="AJ408">
        <v>0</v>
      </c>
      <c r="AK408" s="1" t="s">
        <v>1721</v>
      </c>
      <c r="AL408" s="1" t="s">
        <v>8965</v>
      </c>
      <c r="AM408" s="1">
        <v>0.3</v>
      </c>
      <c r="AN408" s="1">
        <v>0.23</v>
      </c>
      <c r="AO408" s="1">
        <v>0.15</v>
      </c>
      <c r="AP408" s="1">
        <v>0.38</v>
      </c>
      <c r="AQ408" s="1">
        <v>3</v>
      </c>
      <c r="AR408" t="s">
        <v>8966</v>
      </c>
      <c r="AS408">
        <v>0</v>
      </c>
      <c r="AT408" t="s">
        <v>8967</v>
      </c>
      <c r="AU408">
        <v>10</v>
      </c>
      <c r="AV408">
        <v>20086</v>
      </c>
      <c r="AX408">
        <v>0</v>
      </c>
    </row>
    <row r="409" spans="1:50" x14ac:dyDescent="0.3">
      <c r="A409">
        <v>410</v>
      </c>
      <c r="B409" t="s">
        <v>8968</v>
      </c>
      <c r="C409" t="s">
        <v>8969</v>
      </c>
      <c r="D409">
        <v>5</v>
      </c>
      <c r="E409">
        <v>3</v>
      </c>
      <c r="F409">
        <v>20</v>
      </c>
      <c r="G409" s="1" t="s">
        <v>359</v>
      </c>
      <c r="H409" s="1" t="s">
        <v>328</v>
      </c>
      <c r="I409" s="1" t="s">
        <v>328</v>
      </c>
      <c r="J409" s="1" t="s">
        <v>328</v>
      </c>
      <c r="K409" s="1" t="s">
        <v>375</v>
      </c>
      <c r="L409" s="1" t="s">
        <v>902</v>
      </c>
      <c r="M409" s="1" t="s">
        <v>328</v>
      </c>
      <c r="N409" s="1" t="s">
        <v>328</v>
      </c>
      <c r="O409" s="1" t="s">
        <v>328</v>
      </c>
      <c r="P409" s="1" t="s">
        <v>328</v>
      </c>
      <c r="Q409" s="1" t="s">
        <v>328</v>
      </c>
      <c r="R409" s="1" t="s">
        <v>328</v>
      </c>
      <c r="S409" s="1" t="s">
        <v>328</v>
      </c>
      <c r="T409" s="1" t="s">
        <v>328</v>
      </c>
      <c r="U409" s="1">
        <v>0</v>
      </c>
      <c r="V409" s="1">
        <v>0</v>
      </c>
      <c r="W409" s="1">
        <v>0</v>
      </c>
      <c r="X409" s="1">
        <v>0</v>
      </c>
      <c r="Y409" s="1">
        <v>0</v>
      </c>
      <c r="Z409" s="1">
        <v>0</v>
      </c>
      <c r="AA409" s="1">
        <v>0</v>
      </c>
      <c r="AB409" s="1">
        <v>0</v>
      </c>
      <c r="AC409" s="1">
        <v>4</v>
      </c>
      <c r="AD409" s="1">
        <v>3</v>
      </c>
      <c r="AE409" s="1">
        <v>0</v>
      </c>
      <c r="AF409" s="1">
        <v>2</v>
      </c>
      <c r="AG409" s="208" t="s">
        <v>8973</v>
      </c>
      <c r="AH409" s="1">
        <v>3060</v>
      </c>
      <c r="AI409" t="s">
        <v>1843</v>
      </c>
      <c r="AJ409">
        <v>0</v>
      </c>
      <c r="AK409" s="1" t="s">
        <v>8970</v>
      </c>
      <c r="AL409" s="1" t="s">
        <v>8971</v>
      </c>
      <c r="AM409" s="1">
        <v>0.3</v>
      </c>
      <c r="AN409" s="1">
        <v>0.23</v>
      </c>
      <c r="AO409" s="1">
        <v>0.15</v>
      </c>
      <c r="AP409" s="1">
        <v>0.38</v>
      </c>
      <c r="AQ409" s="1">
        <v>3</v>
      </c>
      <c r="AR409" t="s">
        <v>1583</v>
      </c>
      <c r="AS409">
        <v>0</v>
      </c>
      <c r="AT409" t="s">
        <v>8972</v>
      </c>
      <c r="AU409">
        <v>10</v>
      </c>
      <c r="AV409">
        <v>20087</v>
      </c>
      <c r="AX409">
        <v>0</v>
      </c>
    </row>
    <row r="410" spans="1:50" x14ac:dyDescent="0.3">
      <c r="A410">
        <v>411</v>
      </c>
      <c r="B410" t="s">
        <v>8975</v>
      </c>
      <c r="C410" t="s">
        <v>8976</v>
      </c>
      <c r="D410">
        <v>5</v>
      </c>
      <c r="E410">
        <v>1</v>
      </c>
      <c r="F410">
        <v>18</v>
      </c>
      <c r="G410" s="1" t="s">
        <v>328</v>
      </c>
      <c r="H410" s="1" t="s">
        <v>328</v>
      </c>
      <c r="I410" s="1" t="s">
        <v>328</v>
      </c>
      <c r="J410" s="1" t="s">
        <v>328</v>
      </c>
      <c r="K410" s="1" t="s">
        <v>328</v>
      </c>
      <c r="L410" s="1" t="s">
        <v>328</v>
      </c>
      <c r="M410" s="1" t="s">
        <v>399</v>
      </c>
      <c r="N410" s="1" t="s">
        <v>328</v>
      </c>
      <c r="O410" s="1" t="s">
        <v>328</v>
      </c>
      <c r="P410" s="1" t="s">
        <v>328</v>
      </c>
      <c r="Q410" s="1" t="s">
        <v>328</v>
      </c>
      <c r="R410" s="1" t="s">
        <v>328</v>
      </c>
      <c r="S410" s="1" t="s">
        <v>368</v>
      </c>
      <c r="T410" s="1" t="s">
        <v>328</v>
      </c>
      <c r="U410" s="1">
        <v>0</v>
      </c>
      <c r="V410" s="1">
        <v>150</v>
      </c>
      <c r="W410" s="1">
        <v>0</v>
      </c>
      <c r="X410" s="1">
        <v>0</v>
      </c>
      <c r="Y410" s="1">
        <v>0</v>
      </c>
      <c r="Z410" s="1">
        <v>0</v>
      </c>
      <c r="AA410" s="1">
        <v>0</v>
      </c>
      <c r="AB410" s="1">
        <v>0</v>
      </c>
      <c r="AC410" s="1">
        <v>3</v>
      </c>
      <c r="AD410" s="1">
        <v>0</v>
      </c>
      <c r="AE410" s="1">
        <v>4</v>
      </c>
      <c r="AF410" s="1">
        <v>2</v>
      </c>
      <c r="AG410" s="208" t="s">
        <v>1624</v>
      </c>
      <c r="AH410" s="1">
        <v>2940</v>
      </c>
      <c r="AI410" t="s">
        <v>1843</v>
      </c>
      <c r="AJ410">
        <v>0</v>
      </c>
      <c r="AK410" s="1" t="s">
        <v>8977</v>
      </c>
      <c r="AL410" s="1" t="s">
        <v>8978</v>
      </c>
      <c r="AM410" s="1">
        <v>0.33</v>
      </c>
      <c r="AN410" s="1">
        <v>0.22</v>
      </c>
      <c r="AO410" s="1">
        <v>0.5</v>
      </c>
      <c r="AP410" s="1">
        <v>0.18</v>
      </c>
      <c r="AQ410" s="1">
        <v>3</v>
      </c>
      <c r="AR410" t="s">
        <v>1467</v>
      </c>
      <c r="AS410">
        <v>0</v>
      </c>
      <c r="AT410" t="s">
        <v>1806</v>
      </c>
      <c r="AU410">
        <v>10</v>
      </c>
      <c r="AV410">
        <v>18120</v>
      </c>
      <c r="AX410">
        <v>0</v>
      </c>
    </row>
    <row r="411" spans="1:50" x14ac:dyDescent="0.3">
      <c r="A411">
        <v>413</v>
      </c>
      <c r="B411" t="s">
        <v>8979</v>
      </c>
      <c r="C411" t="s">
        <v>8980</v>
      </c>
      <c r="D411">
        <v>5</v>
      </c>
      <c r="E411">
        <v>3</v>
      </c>
      <c r="F411">
        <v>20</v>
      </c>
      <c r="G411" s="1" t="s">
        <v>376</v>
      </c>
      <c r="H411" s="1" t="s">
        <v>328</v>
      </c>
      <c r="I411" s="1" t="s">
        <v>8981</v>
      </c>
      <c r="J411" s="1" t="s">
        <v>328</v>
      </c>
      <c r="K411" s="1" t="s">
        <v>328</v>
      </c>
      <c r="L411" s="1" t="s">
        <v>328</v>
      </c>
      <c r="M411" s="1" t="s">
        <v>328</v>
      </c>
      <c r="N411" s="1" t="s">
        <v>328</v>
      </c>
      <c r="O411" s="1" t="s">
        <v>328</v>
      </c>
      <c r="P411" s="1" t="s">
        <v>328</v>
      </c>
      <c r="Q411" s="1" t="s">
        <v>328</v>
      </c>
      <c r="R411" s="1" t="s">
        <v>328</v>
      </c>
      <c r="S411" s="1" t="s">
        <v>328</v>
      </c>
      <c r="T411" s="1" t="s">
        <v>328</v>
      </c>
      <c r="U411" s="1">
        <v>0</v>
      </c>
      <c r="V411" s="1">
        <v>0</v>
      </c>
      <c r="W411" s="1">
        <v>0</v>
      </c>
      <c r="X411" s="1">
        <v>0</v>
      </c>
      <c r="Y411" s="1">
        <v>0</v>
      </c>
      <c r="Z411" s="1">
        <v>0</v>
      </c>
      <c r="AA411" s="1">
        <v>0</v>
      </c>
      <c r="AB411" s="1">
        <v>0</v>
      </c>
      <c r="AC411" s="1">
        <v>4</v>
      </c>
      <c r="AD411" s="1">
        <v>2</v>
      </c>
      <c r="AE411" s="1">
        <v>0</v>
      </c>
      <c r="AF411" s="1">
        <v>4</v>
      </c>
      <c r="AG411" s="208" t="s">
        <v>792</v>
      </c>
      <c r="AH411" s="1">
        <v>3120</v>
      </c>
      <c r="AI411" t="s">
        <v>1843</v>
      </c>
      <c r="AJ411">
        <v>0</v>
      </c>
      <c r="AK411" s="1" t="s">
        <v>8982</v>
      </c>
      <c r="AL411" s="1" t="s">
        <v>8983</v>
      </c>
      <c r="AM411" s="1">
        <v>0.3</v>
      </c>
      <c r="AN411" s="1">
        <v>0.25</v>
      </c>
      <c r="AO411" s="1">
        <v>0.12</v>
      </c>
      <c r="AP411" s="1">
        <v>0.38</v>
      </c>
      <c r="AQ411" s="1">
        <v>3</v>
      </c>
      <c r="AR411" t="s">
        <v>1757</v>
      </c>
      <c r="AS411">
        <v>0</v>
      </c>
      <c r="AT411" t="s">
        <v>8984</v>
      </c>
      <c r="AU411">
        <v>10</v>
      </c>
      <c r="AV411">
        <v>20089</v>
      </c>
      <c r="AX411">
        <v>0</v>
      </c>
    </row>
    <row r="412" spans="1:50" x14ac:dyDescent="0.3">
      <c r="A412">
        <v>412</v>
      </c>
      <c r="B412" t="s">
        <v>8996</v>
      </c>
      <c r="C412" t="s">
        <v>8997</v>
      </c>
      <c r="D412">
        <v>5</v>
      </c>
      <c r="E412">
        <v>3</v>
      </c>
      <c r="F412">
        <v>20</v>
      </c>
      <c r="G412" s="1" t="s">
        <v>338</v>
      </c>
      <c r="H412" s="1" t="s">
        <v>328</v>
      </c>
      <c r="I412" s="1" t="s">
        <v>328</v>
      </c>
      <c r="J412" s="1" t="s">
        <v>328</v>
      </c>
      <c r="K412" s="1" t="s">
        <v>369</v>
      </c>
      <c r="L412" s="1" t="s">
        <v>399</v>
      </c>
      <c r="M412" s="1" t="s">
        <v>328</v>
      </c>
      <c r="N412" s="1" t="s">
        <v>328</v>
      </c>
      <c r="O412" s="1" t="s">
        <v>328</v>
      </c>
      <c r="P412" s="1" t="s">
        <v>328</v>
      </c>
      <c r="Q412" s="1" t="s">
        <v>328</v>
      </c>
      <c r="R412" s="1" t="s">
        <v>328</v>
      </c>
      <c r="S412" s="1" t="s">
        <v>328</v>
      </c>
      <c r="T412" s="1" t="s">
        <v>328</v>
      </c>
      <c r="U412" s="1">
        <v>0</v>
      </c>
      <c r="V412" s="1">
        <v>0</v>
      </c>
      <c r="W412" s="1">
        <v>0</v>
      </c>
      <c r="X412" s="1">
        <v>0</v>
      </c>
      <c r="Y412" s="1">
        <v>0</v>
      </c>
      <c r="Z412" s="1">
        <v>0</v>
      </c>
      <c r="AA412" s="1">
        <v>0</v>
      </c>
      <c r="AB412" s="1">
        <v>0</v>
      </c>
      <c r="AC412" s="1">
        <v>4</v>
      </c>
      <c r="AD412" s="1">
        <v>3</v>
      </c>
      <c r="AE412" s="1">
        <v>0</v>
      </c>
      <c r="AF412" s="1">
        <v>2</v>
      </c>
      <c r="AG412" s="208" t="s">
        <v>8989</v>
      </c>
      <c r="AH412" s="1">
        <v>3060</v>
      </c>
      <c r="AI412" t="s">
        <v>2406</v>
      </c>
      <c r="AJ412">
        <v>0</v>
      </c>
      <c r="AK412" s="1" t="s">
        <v>8998</v>
      </c>
      <c r="AL412" s="1" t="s">
        <v>8999</v>
      </c>
      <c r="AM412" s="1">
        <v>0.3</v>
      </c>
      <c r="AN412" s="1">
        <v>0.23</v>
      </c>
      <c r="AO412" s="1">
        <v>0.15</v>
      </c>
      <c r="AP412" s="1">
        <v>0.38</v>
      </c>
      <c r="AQ412" s="1">
        <v>3</v>
      </c>
      <c r="AR412" t="s">
        <v>9000</v>
      </c>
      <c r="AS412">
        <v>0</v>
      </c>
      <c r="AT412" t="s">
        <v>9001</v>
      </c>
      <c r="AU412">
        <v>10</v>
      </c>
      <c r="AV412">
        <v>20088</v>
      </c>
      <c r="AX412">
        <v>0</v>
      </c>
    </row>
    <row r="413" spans="1:50" x14ac:dyDescent="0.3">
      <c r="A413">
        <v>414</v>
      </c>
      <c r="B413" t="s">
        <v>9002</v>
      </c>
      <c r="C413" t="s">
        <v>9003</v>
      </c>
      <c r="D413">
        <v>5</v>
      </c>
      <c r="E413">
        <v>2</v>
      </c>
      <c r="F413">
        <v>19</v>
      </c>
      <c r="G413" s="1" t="s">
        <v>328</v>
      </c>
      <c r="H413" s="1" t="s">
        <v>328</v>
      </c>
      <c r="I413" s="1" t="s">
        <v>328</v>
      </c>
      <c r="J413" s="1" t="s">
        <v>328</v>
      </c>
      <c r="K413" s="1" t="s">
        <v>328</v>
      </c>
      <c r="L413" s="1" t="s">
        <v>389</v>
      </c>
      <c r="M413" s="1" t="s">
        <v>328</v>
      </c>
      <c r="N413" s="1" t="s">
        <v>1759</v>
      </c>
      <c r="O413" s="1" t="s">
        <v>328</v>
      </c>
      <c r="P413" s="1" t="s">
        <v>328</v>
      </c>
      <c r="Q413" s="1" t="s">
        <v>328</v>
      </c>
      <c r="R413" s="1" t="s">
        <v>328</v>
      </c>
      <c r="S413" s="1" t="s">
        <v>328</v>
      </c>
      <c r="T413" s="1" t="s">
        <v>328</v>
      </c>
      <c r="U413" s="1">
        <v>0</v>
      </c>
      <c r="V413" s="1">
        <v>0</v>
      </c>
      <c r="W413" s="1">
        <v>0</v>
      </c>
      <c r="X413" s="1">
        <v>0</v>
      </c>
      <c r="Y413" s="1">
        <v>0</v>
      </c>
      <c r="Z413" s="1">
        <v>0</v>
      </c>
      <c r="AA413" s="1">
        <v>0</v>
      </c>
      <c r="AB413" s="1">
        <v>0</v>
      </c>
      <c r="AC413" s="1">
        <v>0</v>
      </c>
      <c r="AD413" s="1">
        <v>4</v>
      </c>
      <c r="AE413" s="1">
        <v>2</v>
      </c>
      <c r="AF413" s="1">
        <v>3</v>
      </c>
      <c r="AG413" s="208" t="s">
        <v>9012</v>
      </c>
      <c r="AH413" s="1">
        <v>3300</v>
      </c>
      <c r="AI413" t="s">
        <v>1843</v>
      </c>
      <c r="AJ413">
        <v>0</v>
      </c>
      <c r="AK413" s="1" t="s">
        <v>883</v>
      </c>
      <c r="AL413" s="1" t="s">
        <v>9004</v>
      </c>
      <c r="AM413" s="1">
        <v>0.08</v>
      </c>
      <c r="AN413" s="1">
        <v>0.5</v>
      </c>
      <c r="AO413" s="1">
        <v>0.3</v>
      </c>
      <c r="AP413" s="1">
        <v>0.3</v>
      </c>
      <c r="AQ413" s="1">
        <v>3</v>
      </c>
      <c r="AR413" t="s">
        <v>9005</v>
      </c>
      <c r="AS413">
        <v>0</v>
      </c>
      <c r="AT413" t="s">
        <v>9006</v>
      </c>
      <c r="AU413">
        <v>10</v>
      </c>
      <c r="AV413">
        <v>19082</v>
      </c>
      <c r="AX413">
        <v>0</v>
      </c>
    </row>
    <row r="414" spans="1:50" x14ac:dyDescent="0.3">
      <c r="A414">
        <v>415</v>
      </c>
      <c r="B414" t="s">
        <v>9007</v>
      </c>
      <c r="C414" t="s">
        <v>9008</v>
      </c>
      <c r="D414">
        <v>5</v>
      </c>
      <c r="E414">
        <v>3</v>
      </c>
      <c r="F414">
        <v>20</v>
      </c>
      <c r="G414" s="1" t="s">
        <v>328</v>
      </c>
      <c r="H414" s="1" t="s">
        <v>328</v>
      </c>
      <c r="I414" s="1" t="s">
        <v>8100</v>
      </c>
      <c r="J414" s="1" t="s">
        <v>328</v>
      </c>
      <c r="K414" s="1" t="s">
        <v>328</v>
      </c>
      <c r="L414" s="1" t="s">
        <v>328</v>
      </c>
      <c r="M414" s="1" t="s">
        <v>328</v>
      </c>
      <c r="N414" s="1" t="s">
        <v>328</v>
      </c>
      <c r="O414" s="1" t="s">
        <v>328</v>
      </c>
      <c r="P414" s="1" t="s">
        <v>328</v>
      </c>
      <c r="Q414" s="1" t="s">
        <v>328</v>
      </c>
      <c r="R414" s="1" t="s">
        <v>328</v>
      </c>
      <c r="S414" s="1" t="s">
        <v>328</v>
      </c>
      <c r="T414" s="1" t="s">
        <v>328</v>
      </c>
      <c r="U414" s="1">
        <v>0</v>
      </c>
      <c r="V414" s="1">
        <v>0</v>
      </c>
      <c r="W414" s="1">
        <v>0</v>
      </c>
      <c r="X414" s="1">
        <v>0</v>
      </c>
      <c r="Y414" s="1">
        <v>0</v>
      </c>
      <c r="Z414" s="1">
        <v>0</v>
      </c>
      <c r="AA414" s="1">
        <v>0</v>
      </c>
      <c r="AB414" s="1">
        <v>0</v>
      </c>
      <c r="AC414" s="1">
        <v>4</v>
      </c>
      <c r="AD414" s="1">
        <v>2</v>
      </c>
      <c r="AE414" s="1">
        <v>0</v>
      </c>
      <c r="AF414" s="1">
        <v>4</v>
      </c>
      <c r="AG414" s="208" t="s">
        <v>9013</v>
      </c>
      <c r="AH414" s="1">
        <v>3120</v>
      </c>
      <c r="AI414" t="s">
        <v>1843</v>
      </c>
      <c r="AJ414">
        <v>0</v>
      </c>
      <c r="AK414" s="1" t="s">
        <v>9009</v>
      </c>
      <c r="AL414" s="1" t="s">
        <v>9010</v>
      </c>
      <c r="AM414" s="1">
        <v>0.3</v>
      </c>
      <c r="AN414" s="1">
        <v>0.25</v>
      </c>
      <c r="AO414" s="1">
        <v>0.12</v>
      </c>
      <c r="AP414" s="1">
        <v>0.38</v>
      </c>
      <c r="AQ414" s="1">
        <v>3</v>
      </c>
      <c r="AR414" t="s">
        <v>1757</v>
      </c>
      <c r="AS414">
        <v>0</v>
      </c>
      <c r="AT414" t="s">
        <v>9011</v>
      </c>
      <c r="AU414">
        <v>10</v>
      </c>
      <c r="AV414">
        <v>20090</v>
      </c>
      <c r="AX414">
        <v>0</v>
      </c>
    </row>
    <row r="415" spans="1:50" x14ac:dyDescent="0.3">
      <c r="A415">
        <v>416</v>
      </c>
      <c r="B415" t="s">
        <v>9023</v>
      </c>
      <c r="C415" t="s">
        <v>9024</v>
      </c>
      <c r="D415">
        <v>5</v>
      </c>
      <c r="E415">
        <v>3</v>
      </c>
      <c r="F415">
        <v>20</v>
      </c>
      <c r="G415" s="1" t="s">
        <v>328</v>
      </c>
      <c r="H415" s="1" t="s">
        <v>328</v>
      </c>
      <c r="I415" s="1" t="s">
        <v>328</v>
      </c>
      <c r="J415" s="1" t="s">
        <v>401</v>
      </c>
      <c r="K415" s="1" t="s">
        <v>328</v>
      </c>
      <c r="L415" s="1" t="s">
        <v>328</v>
      </c>
      <c r="M415" s="1" t="s">
        <v>328</v>
      </c>
      <c r="N415" s="1" t="s">
        <v>328</v>
      </c>
      <c r="O415" s="1" t="s">
        <v>9025</v>
      </c>
      <c r="P415" s="1" t="s">
        <v>328</v>
      </c>
      <c r="Q415" s="1" t="s">
        <v>328</v>
      </c>
      <c r="R415" s="1" t="s">
        <v>328</v>
      </c>
      <c r="S415" s="1" t="s">
        <v>328</v>
      </c>
      <c r="T415" s="1" t="s">
        <v>328</v>
      </c>
      <c r="U415" s="1">
        <v>0</v>
      </c>
      <c r="V415" s="1">
        <v>150</v>
      </c>
      <c r="W415" s="1">
        <v>0</v>
      </c>
      <c r="X415" s="1">
        <v>0</v>
      </c>
      <c r="Y415" s="1">
        <v>0</v>
      </c>
      <c r="Z415" s="1">
        <v>0</v>
      </c>
      <c r="AA415" s="1">
        <v>0</v>
      </c>
      <c r="AB415" s="1">
        <v>0</v>
      </c>
      <c r="AC415" s="1">
        <v>2</v>
      </c>
      <c r="AD415" s="1">
        <v>2</v>
      </c>
      <c r="AE415" s="1">
        <v>3</v>
      </c>
      <c r="AF415" s="1">
        <v>3</v>
      </c>
      <c r="AG415" s="208" t="s">
        <v>9017</v>
      </c>
      <c r="AH415" s="1">
        <v>3060</v>
      </c>
      <c r="AI415" t="s">
        <v>1843</v>
      </c>
      <c r="AJ415">
        <v>0</v>
      </c>
      <c r="AK415" s="1" t="s">
        <v>9026</v>
      </c>
      <c r="AL415" s="1" t="s">
        <v>9027</v>
      </c>
      <c r="AM415" s="1">
        <v>0.23</v>
      </c>
      <c r="AN415" s="1">
        <v>0.23</v>
      </c>
      <c r="AO415" s="1">
        <v>0.33</v>
      </c>
      <c r="AP415" s="1">
        <v>0.38</v>
      </c>
      <c r="AQ415" s="1">
        <v>3</v>
      </c>
      <c r="AR415" t="s">
        <v>9028</v>
      </c>
      <c r="AS415">
        <v>0</v>
      </c>
      <c r="AT415" t="s">
        <v>7186</v>
      </c>
      <c r="AU415">
        <v>10</v>
      </c>
      <c r="AV415">
        <v>20058</v>
      </c>
      <c r="AX415">
        <v>0</v>
      </c>
    </row>
    <row r="416" spans="1:50" x14ac:dyDescent="0.3">
      <c r="A416">
        <v>417</v>
      </c>
      <c r="B416" t="s">
        <v>9029</v>
      </c>
      <c r="C416" t="s">
        <v>9030</v>
      </c>
      <c r="D416">
        <v>5</v>
      </c>
      <c r="E416">
        <v>3</v>
      </c>
      <c r="F416">
        <v>20</v>
      </c>
      <c r="G416" s="1" t="s">
        <v>9031</v>
      </c>
      <c r="H416" s="1" t="s">
        <v>328</v>
      </c>
      <c r="I416" s="1" t="s">
        <v>8041</v>
      </c>
      <c r="J416" s="1" t="s">
        <v>328</v>
      </c>
      <c r="K416" s="1" t="s">
        <v>328</v>
      </c>
      <c r="L416" s="1" t="s">
        <v>328</v>
      </c>
      <c r="M416" s="1" t="s">
        <v>328</v>
      </c>
      <c r="N416" s="1" t="s">
        <v>328</v>
      </c>
      <c r="O416" s="1" t="s">
        <v>328</v>
      </c>
      <c r="P416" s="1" t="s">
        <v>328</v>
      </c>
      <c r="Q416" s="1" t="s">
        <v>328</v>
      </c>
      <c r="R416" s="1" t="s">
        <v>328</v>
      </c>
      <c r="S416" s="1" t="s">
        <v>328</v>
      </c>
      <c r="T416" s="1" t="s">
        <v>328</v>
      </c>
      <c r="U416" s="1">
        <v>0</v>
      </c>
      <c r="V416" s="1">
        <v>0</v>
      </c>
      <c r="W416" s="1">
        <v>0</v>
      </c>
      <c r="X416" s="1">
        <v>0</v>
      </c>
      <c r="Y416" s="1">
        <v>0</v>
      </c>
      <c r="Z416" s="1">
        <v>0</v>
      </c>
      <c r="AA416" s="1">
        <v>0</v>
      </c>
      <c r="AB416" s="1">
        <v>0</v>
      </c>
      <c r="AC416" s="1">
        <v>4</v>
      </c>
      <c r="AD416" s="1">
        <v>2</v>
      </c>
      <c r="AE416" s="1">
        <v>0</v>
      </c>
      <c r="AF416" s="1">
        <v>4</v>
      </c>
      <c r="AG416" s="208" t="s">
        <v>200</v>
      </c>
      <c r="AH416" s="1">
        <v>3120</v>
      </c>
      <c r="AI416" t="s">
        <v>1843</v>
      </c>
      <c r="AJ416">
        <v>0</v>
      </c>
      <c r="AK416" s="1" t="s">
        <v>5680</v>
      </c>
      <c r="AL416" s="1" t="s">
        <v>9032</v>
      </c>
      <c r="AM416" s="1">
        <v>0.3</v>
      </c>
      <c r="AN416" s="1">
        <v>0.25</v>
      </c>
      <c r="AO416" s="1">
        <v>0.12</v>
      </c>
      <c r="AP416" s="1">
        <v>0.38</v>
      </c>
      <c r="AQ416" s="1">
        <v>3</v>
      </c>
      <c r="AR416" t="s">
        <v>1757</v>
      </c>
      <c r="AS416">
        <v>0</v>
      </c>
      <c r="AT416" t="s">
        <v>1806</v>
      </c>
      <c r="AU416">
        <v>10</v>
      </c>
      <c r="AV416">
        <v>20051</v>
      </c>
      <c r="AX416">
        <v>0</v>
      </c>
    </row>
    <row r="417" spans="1:50" x14ac:dyDescent="0.3">
      <c r="A417">
        <v>418</v>
      </c>
      <c r="B417" t="s">
        <v>9042</v>
      </c>
      <c r="C417" t="s">
        <v>9043</v>
      </c>
      <c r="D417">
        <v>5</v>
      </c>
      <c r="E417">
        <v>3</v>
      </c>
      <c r="F417">
        <v>20</v>
      </c>
      <c r="G417" s="1" t="s">
        <v>338</v>
      </c>
      <c r="H417" s="1" t="s">
        <v>328</v>
      </c>
      <c r="I417" s="1" t="s">
        <v>335</v>
      </c>
      <c r="J417" s="1" t="s">
        <v>328</v>
      </c>
      <c r="K417" s="1" t="s">
        <v>328</v>
      </c>
      <c r="L417" s="1" t="s">
        <v>328</v>
      </c>
      <c r="M417" s="1" t="s">
        <v>328</v>
      </c>
      <c r="N417" s="1" t="s">
        <v>328</v>
      </c>
      <c r="O417" s="1" t="s">
        <v>328</v>
      </c>
      <c r="P417" s="1" t="s">
        <v>328</v>
      </c>
      <c r="Q417" s="1" t="s">
        <v>328</v>
      </c>
      <c r="R417" s="1" t="s">
        <v>328</v>
      </c>
      <c r="S417" s="1" t="s">
        <v>328</v>
      </c>
      <c r="T417" s="1" t="s">
        <v>328</v>
      </c>
      <c r="U417" s="1">
        <v>0</v>
      </c>
      <c r="V417" s="1">
        <v>0</v>
      </c>
      <c r="W417" s="1">
        <v>0</v>
      </c>
      <c r="X417" s="1">
        <v>0</v>
      </c>
      <c r="Y417" s="1">
        <v>0</v>
      </c>
      <c r="Z417" s="1">
        <v>0</v>
      </c>
      <c r="AA417" s="1">
        <v>0</v>
      </c>
      <c r="AB417" s="1">
        <v>0</v>
      </c>
      <c r="AC417" s="1">
        <v>4</v>
      </c>
      <c r="AD417" s="1">
        <v>2</v>
      </c>
      <c r="AE417" s="1">
        <v>0</v>
      </c>
      <c r="AF417" s="1">
        <v>4</v>
      </c>
      <c r="AG417" s="208" t="s">
        <v>157</v>
      </c>
      <c r="AH417" s="1">
        <v>3120</v>
      </c>
      <c r="AI417" t="s">
        <v>1843</v>
      </c>
      <c r="AJ417">
        <v>0</v>
      </c>
      <c r="AK417" s="1" t="s">
        <v>9044</v>
      </c>
      <c r="AL417" s="1" t="s">
        <v>9045</v>
      </c>
      <c r="AM417" s="1">
        <v>0.3</v>
      </c>
      <c r="AN417" s="1">
        <v>0.25</v>
      </c>
      <c r="AO417" s="1">
        <v>0.12</v>
      </c>
      <c r="AP417" s="1">
        <v>0.38</v>
      </c>
      <c r="AQ417" s="1">
        <v>3</v>
      </c>
      <c r="AR417" t="s">
        <v>9046</v>
      </c>
      <c r="AS417">
        <v>0</v>
      </c>
      <c r="AT417" t="s">
        <v>9047</v>
      </c>
      <c r="AU417">
        <v>10</v>
      </c>
      <c r="AV417">
        <v>20093</v>
      </c>
      <c r="AX417">
        <v>0</v>
      </c>
    </row>
    <row r="418" spans="1:50" x14ac:dyDescent="0.3">
      <c r="A418">
        <v>419</v>
      </c>
      <c r="B418" t="s">
        <v>9059</v>
      </c>
      <c r="C418" t="s">
        <v>9060</v>
      </c>
      <c r="D418">
        <v>5</v>
      </c>
      <c r="E418">
        <v>2</v>
      </c>
      <c r="F418">
        <v>19</v>
      </c>
      <c r="G418" s="1" t="s">
        <v>389</v>
      </c>
      <c r="H418" s="1" t="s">
        <v>328</v>
      </c>
      <c r="I418" s="1" t="s">
        <v>328</v>
      </c>
      <c r="J418" s="1" t="s">
        <v>328</v>
      </c>
      <c r="K418" s="1" t="s">
        <v>328</v>
      </c>
      <c r="L418" s="1" t="s">
        <v>328</v>
      </c>
      <c r="M418" s="1" t="s">
        <v>328</v>
      </c>
      <c r="N418" s="1" t="s">
        <v>328</v>
      </c>
      <c r="O418" s="1" t="s">
        <v>328</v>
      </c>
      <c r="P418" s="1" t="s">
        <v>328</v>
      </c>
      <c r="Q418" s="1" t="s">
        <v>328</v>
      </c>
      <c r="R418" s="1" t="s">
        <v>328</v>
      </c>
      <c r="S418" s="1" t="s">
        <v>328</v>
      </c>
      <c r="T418" s="1" t="s">
        <v>328</v>
      </c>
      <c r="U418" s="1">
        <v>0</v>
      </c>
      <c r="V418" s="1">
        <v>0</v>
      </c>
      <c r="W418" s="1">
        <v>0</v>
      </c>
      <c r="X418" s="1">
        <v>0</v>
      </c>
      <c r="Y418" s="1">
        <v>0</v>
      </c>
      <c r="Z418" s="1">
        <v>0</v>
      </c>
      <c r="AA418" s="1">
        <v>0</v>
      </c>
      <c r="AB418" s="1">
        <v>0</v>
      </c>
      <c r="AC418" s="1">
        <v>0</v>
      </c>
      <c r="AD418" s="1">
        <v>5</v>
      </c>
      <c r="AE418" s="1">
        <v>3</v>
      </c>
      <c r="AF418" s="1">
        <v>2</v>
      </c>
      <c r="AG418" s="208" t="s">
        <v>9070</v>
      </c>
      <c r="AH418" s="1">
        <v>3600</v>
      </c>
      <c r="AI418" t="s">
        <v>1843</v>
      </c>
      <c r="AJ418">
        <v>0</v>
      </c>
      <c r="AK418" s="1" t="s">
        <v>442</v>
      </c>
      <c r="AL418" s="1" t="s">
        <v>9061</v>
      </c>
      <c r="AM418" s="1">
        <v>0.15</v>
      </c>
      <c r="AN418" s="1">
        <v>0.6</v>
      </c>
      <c r="AO418" s="1">
        <v>0.38</v>
      </c>
      <c r="AP418" s="1">
        <v>0.23</v>
      </c>
      <c r="AQ418" s="1">
        <v>3</v>
      </c>
      <c r="AR418" t="s">
        <v>1475</v>
      </c>
      <c r="AS418">
        <v>0</v>
      </c>
      <c r="AT418" t="s">
        <v>9062</v>
      </c>
      <c r="AU418">
        <v>10</v>
      </c>
      <c r="AV418">
        <v>19083</v>
      </c>
      <c r="AX418">
        <v>0</v>
      </c>
    </row>
    <row r="419" spans="1:50" x14ac:dyDescent="0.3">
      <c r="A419">
        <v>420</v>
      </c>
      <c r="B419" t="s">
        <v>9063</v>
      </c>
      <c r="C419" t="s">
        <v>9064</v>
      </c>
      <c r="D419">
        <v>5</v>
      </c>
      <c r="E419">
        <v>3</v>
      </c>
      <c r="F419">
        <v>20</v>
      </c>
      <c r="G419" s="1" t="s">
        <v>328</v>
      </c>
      <c r="H419" s="1" t="s">
        <v>335</v>
      </c>
      <c r="I419" s="1" t="s">
        <v>328</v>
      </c>
      <c r="J419" s="1" t="s">
        <v>328</v>
      </c>
      <c r="K419" s="1" t="s">
        <v>328</v>
      </c>
      <c r="L419" s="1" t="s">
        <v>328</v>
      </c>
      <c r="M419" s="1" t="s">
        <v>328</v>
      </c>
      <c r="N419" s="1" t="s">
        <v>328</v>
      </c>
      <c r="O419" s="1" t="s">
        <v>9065</v>
      </c>
      <c r="P419" s="1" t="s">
        <v>328</v>
      </c>
      <c r="Q419" s="1" t="s">
        <v>328</v>
      </c>
      <c r="R419" s="1" t="s">
        <v>328</v>
      </c>
      <c r="S419" s="1" t="s">
        <v>328</v>
      </c>
      <c r="T419" s="1" t="s">
        <v>328</v>
      </c>
      <c r="U419" s="1">
        <v>0</v>
      </c>
      <c r="V419" s="1">
        <v>0</v>
      </c>
      <c r="W419" s="1">
        <v>0</v>
      </c>
      <c r="X419" s="1">
        <v>0</v>
      </c>
      <c r="Y419" s="1">
        <v>0</v>
      </c>
      <c r="Z419" s="1">
        <v>0</v>
      </c>
      <c r="AA419" s="1">
        <v>0</v>
      </c>
      <c r="AB419" s="1">
        <v>0</v>
      </c>
      <c r="AC419" s="1">
        <v>2</v>
      </c>
      <c r="AD419" s="1">
        <v>2</v>
      </c>
      <c r="AE419" s="1">
        <v>3</v>
      </c>
      <c r="AF419" s="1">
        <v>3</v>
      </c>
      <c r="AG419" s="208" t="s">
        <v>9071</v>
      </c>
      <c r="AH419" s="1">
        <v>3060</v>
      </c>
      <c r="AI419" t="s">
        <v>1843</v>
      </c>
      <c r="AJ419">
        <v>0</v>
      </c>
      <c r="AK419" s="1" t="s">
        <v>9066</v>
      </c>
      <c r="AL419" s="1" t="s">
        <v>9067</v>
      </c>
      <c r="AM419" s="1">
        <v>0.23</v>
      </c>
      <c r="AN419" s="1">
        <v>0.23</v>
      </c>
      <c r="AO419" s="1">
        <v>0.33</v>
      </c>
      <c r="AP419" s="1">
        <v>0.38</v>
      </c>
      <c r="AQ419" s="1">
        <v>3</v>
      </c>
      <c r="AR419" t="s">
        <v>9068</v>
      </c>
      <c r="AS419">
        <v>0</v>
      </c>
      <c r="AT419" t="s">
        <v>9069</v>
      </c>
      <c r="AU419">
        <v>10</v>
      </c>
      <c r="AV419">
        <v>20094</v>
      </c>
      <c r="AX419">
        <v>0</v>
      </c>
    </row>
    <row r="420" spans="1:50" x14ac:dyDescent="0.3">
      <c r="A420">
        <v>421</v>
      </c>
      <c r="B420" t="s">
        <v>9108</v>
      </c>
      <c r="C420" t="s">
        <v>9109</v>
      </c>
      <c r="D420">
        <v>5</v>
      </c>
      <c r="E420">
        <v>2</v>
      </c>
      <c r="F420">
        <v>19</v>
      </c>
      <c r="G420" s="1" t="s">
        <v>341</v>
      </c>
      <c r="H420" s="1" t="s">
        <v>335</v>
      </c>
      <c r="I420" s="1" t="s">
        <v>328</v>
      </c>
      <c r="J420" s="1" t="s">
        <v>328</v>
      </c>
      <c r="K420" s="1" t="s">
        <v>328</v>
      </c>
      <c r="L420" s="1" t="s">
        <v>328</v>
      </c>
      <c r="M420" s="1" t="s">
        <v>328</v>
      </c>
      <c r="N420" s="1" t="s">
        <v>328</v>
      </c>
      <c r="O420" s="1" t="s">
        <v>328</v>
      </c>
      <c r="P420" s="1" t="s">
        <v>328</v>
      </c>
      <c r="Q420" s="1" t="s">
        <v>328</v>
      </c>
      <c r="R420" s="1" t="s">
        <v>328</v>
      </c>
      <c r="S420" s="1" t="s">
        <v>328</v>
      </c>
      <c r="T420" s="1" t="s">
        <v>328</v>
      </c>
      <c r="U420" s="1">
        <v>0</v>
      </c>
      <c r="V420" s="1">
        <v>0</v>
      </c>
      <c r="W420" s="1">
        <v>0</v>
      </c>
      <c r="X420" s="1">
        <v>0</v>
      </c>
      <c r="Y420" s="1">
        <v>0</v>
      </c>
      <c r="Z420" s="1">
        <v>0</v>
      </c>
      <c r="AA420" s="1">
        <v>0</v>
      </c>
      <c r="AB420" s="1">
        <v>0</v>
      </c>
      <c r="AC420" s="1">
        <v>4</v>
      </c>
      <c r="AD420" s="1">
        <v>4</v>
      </c>
      <c r="AE420" s="1">
        <v>0</v>
      </c>
      <c r="AF420" s="1">
        <v>2</v>
      </c>
      <c r="AG420" s="208" t="s">
        <v>82</v>
      </c>
      <c r="AH420" s="1">
        <v>3180</v>
      </c>
      <c r="AI420" t="s">
        <v>1843</v>
      </c>
      <c r="AJ420">
        <v>0</v>
      </c>
      <c r="AK420" s="1" t="s">
        <v>4915</v>
      </c>
      <c r="AL420" s="1" t="s">
        <v>9110</v>
      </c>
      <c r="AM420" s="1">
        <v>0.48</v>
      </c>
      <c r="AN420" s="1">
        <v>0.48</v>
      </c>
      <c r="AO420" s="1">
        <v>0.08</v>
      </c>
      <c r="AP420" s="1">
        <v>0.25</v>
      </c>
      <c r="AQ420" s="1">
        <v>3</v>
      </c>
      <c r="AR420" t="s">
        <v>1567</v>
      </c>
      <c r="AS420">
        <v>0</v>
      </c>
      <c r="AT420" t="s">
        <v>9111</v>
      </c>
      <c r="AU420">
        <v>10</v>
      </c>
      <c r="AV420">
        <v>19084</v>
      </c>
      <c r="AX420">
        <v>0</v>
      </c>
    </row>
    <row r="421" spans="1:50" x14ac:dyDescent="0.3">
      <c r="A421">
        <v>422</v>
      </c>
      <c r="B421" t="s">
        <v>9122</v>
      </c>
      <c r="C421" t="s">
        <v>9123</v>
      </c>
      <c r="D421">
        <v>5</v>
      </c>
      <c r="E421">
        <v>3</v>
      </c>
      <c r="F421">
        <v>20</v>
      </c>
      <c r="G421" s="1" t="s">
        <v>337</v>
      </c>
      <c r="H421" s="1" t="s">
        <v>337</v>
      </c>
      <c r="I421" s="1" t="s">
        <v>328</v>
      </c>
      <c r="J421" s="1" t="s">
        <v>328</v>
      </c>
      <c r="K421" s="1" t="s">
        <v>328</v>
      </c>
      <c r="L421" s="1" t="s">
        <v>389</v>
      </c>
      <c r="M421" s="1" t="s">
        <v>328</v>
      </c>
      <c r="N421" s="1" t="s">
        <v>328</v>
      </c>
      <c r="O421" s="1" t="s">
        <v>328</v>
      </c>
      <c r="P421" s="1" t="s">
        <v>328</v>
      </c>
      <c r="Q421" s="1" t="s">
        <v>328</v>
      </c>
      <c r="R421" s="1" t="s">
        <v>328</v>
      </c>
      <c r="S421" s="1" t="s">
        <v>328</v>
      </c>
      <c r="T421" s="1" t="s">
        <v>328</v>
      </c>
      <c r="U421" s="1">
        <v>0</v>
      </c>
      <c r="V421" s="1">
        <v>0</v>
      </c>
      <c r="W421" s="1">
        <v>0</v>
      </c>
      <c r="X421" s="1">
        <v>0</v>
      </c>
      <c r="Y421" s="1">
        <v>0</v>
      </c>
      <c r="Z421" s="1">
        <v>0</v>
      </c>
      <c r="AA421" s="1">
        <v>0</v>
      </c>
      <c r="AB421" s="1">
        <v>0</v>
      </c>
      <c r="AC421" s="1">
        <v>4</v>
      </c>
      <c r="AD421" s="1">
        <v>3</v>
      </c>
      <c r="AE421" s="1">
        <v>0</v>
      </c>
      <c r="AF421" s="1">
        <v>2</v>
      </c>
      <c r="AG421" s="208" t="s">
        <v>9150</v>
      </c>
      <c r="AH421" s="1">
        <v>3060</v>
      </c>
      <c r="AI421" t="s">
        <v>1843</v>
      </c>
      <c r="AJ421">
        <v>0</v>
      </c>
      <c r="AK421" s="1" t="s">
        <v>481</v>
      </c>
      <c r="AL421" s="1" t="s">
        <v>9124</v>
      </c>
      <c r="AM421" s="1">
        <v>0.3</v>
      </c>
      <c r="AN421" s="1">
        <v>0.23</v>
      </c>
      <c r="AO421" s="1">
        <v>0.15</v>
      </c>
      <c r="AP421" s="1">
        <v>0.38</v>
      </c>
      <c r="AQ421" s="1">
        <v>3</v>
      </c>
      <c r="AR421" t="s">
        <v>9125</v>
      </c>
      <c r="AS421">
        <v>0</v>
      </c>
      <c r="AT421" t="s">
        <v>9126</v>
      </c>
      <c r="AU421">
        <v>10</v>
      </c>
      <c r="AV421">
        <v>20096</v>
      </c>
      <c r="AX421">
        <v>0</v>
      </c>
    </row>
    <row r="422" spans="1:50" x14ac:dyDescent="0.3">
      <c r="A422">
        <v>423</v>
      </c>
      <c r="B422" t="s">
        <v>9127</v>
      </c>
      <c r="C422" t="s">
        <v>9128</v>
      </c>
      <c r="D422">
        <v>5</v>
      </c>
      <c r="E422">
        <v>2</v>
      </c>
      <c r="F422">
        <v>19</v>
      </c>
      <c r="G422" s="1" t="s">
        <v>324</v>
      </c>
      <c r="H422" s="1" t="s">
        <v>328</v>
      </c>
      <c r="I422" s="1" t="s">
        <v>328</v>
      </c>
      <c r="J422" s="1" t="s">
        <v>328</v>
      </c>
      <c r="K422" s="1" t="s">
        <v>328</v>
      </c>
      <c r="L422" s="1" t="s">
        <v>328</v>
      </c>
      <c r="M422" s="1" t="s">
        <v>328</v>
      </c>
      <c r="N422" s="1" t="s">
        <v>328</v>
      </c>
      <c r="O422" s="1" t="s">
        <v>328</v>
      </c>
      <c r="P422" s="1" t="s">
        <v>328</v>
      </c>
      <c r="Q422" s="1" t="s">
        <v>328</v>
      </c>
      <c r="R422" s="1" t="s">
        <v>328</v>
      </c>
      <c r="S422" s="1" t="s">
        <v>328</v>
      </c>
      <c r="T422" s="1" t="s">
        <v>328</v>
      </c>
      <c r="U422" s="1">
        <v>0</v>
      </c>
      <c r="V422" s="1">
        <v>150</v>
      </c>
      <c r="W422" s="1">
        <v>0</v>
      </c>
      <c r="X422" s="1">
        <v>0</v>
      </c>
      <c r="Y422" s="1">
        <v>0</v>
      </c>
      <c r="Z422" s="1">
        <v>0</v>
      </c>
      <c r="AA422" s="1">
        <v>0</v>
      </c>
      <c r="AB422" s="1">
        <v>0</v>
      </c>
      <c r="AC422" s="1">
        <v>4</v>
      </c>
      <c r="AD422" s="1">
        <v>4</v>
      </c>
      <c r="AE422" s="1">
        <v>0</v>
      </c>
      <c r="AF422" s="1">
        <v>2</v>
      </c>
      <c r="AG422" s="208" t="s">
        <v>9151</v>
      </c>
      <c r="AH422" s="1">
        <v>3600</v>
      </c>
      <c r="AI422" t="s">
        <v>1843</v>
      </c>
      <c r="AJ422">
        <v>0</v>
      </c>
      <c r="AK422" s="1" t="s">
        <v>9129</v>
      </c>
      <c r="AL422" s="1" t="s">
        <v>9130</v>
      </c>
      <c r="AM422" s="1">
        <v>0.48</v>
      </c>
      <c r="AN422" s="1">
        <v>0.48</v>
      </c>
      <c r="AO422" s="1">
        <v>0.08</v>
      </c>
      <c r="AP422" s="1">
        <v>0.25</v>
      </c>
      <c r="AQ422" s="1">
        <v>3</v>
      </c>
      <c r="AR422" t="s">
        <v>1473</v>
      </c>
      <c r="AS422">
        <v>0</v>
      </c>
      <c r="AT422" t="s">
        <v>9131</v>
      </c>
      <c r="AU422">
        <v>10</v>
      </c>
      <c r="AV422">
        <v>19085</v>
      </c>
      <c r="AX422">
        <v>0</v>
      </c>
    </row>
    <row r="423" spans="1:50" x14ac:dyDescent="0.3">
      <c r="A423">
        <v>424</v>
      </c>
      <c r="B423" t="s">
        <v>9132</v>
      </c>
      <c r="C423" t="s">
        <v>9133</v>
      </c>
      <c r="D423">
        <v>5</v>
      </c>
      <c r="E423">
        <v>3</v>
      </c>
      <c r="F423">
        <v>20</v>
      </c>
      <c r="G423" s="1" t="s">
        <v>338</v>
      </c>
      <c r="H423" s="1" t="s">
        <v>328</v>
      </c>
      <c r="I423" s="1" t="s">
        <v>328</v>
      </c>
      <c r="J423" s="1" t="s">
        <v>328</v>
      </c>
      <c r="K423" s="1" t="s">
        <v>376</v>
      </c>
      <c r="L423" s="1" t="s">
        <v>488</v>
      </c>
      <c r="M423" s="1" t="s">
        <v>328</v>
      </c>
      <c r="N423" s="1" t="s">
        <v>328</v>
      </c>
      <c r="O423" s="1" t="s">
        <v>328</v>
      </c>
      <c r="P423" s="1" t="s">
        <v>328</v>
      </c>
      <c r="Q423" s="1" t="s">
        <v>328</v>
      </c>
      <c r="R423" s="1" t="s">
        <v>328</v>
      </c>
      <c r="S423" s="1" t="s">
        <v>328</v>
      </c>
      <c r="T423" s="1" t="s">
        <v>328</v>
      </c>
      <c r="U423" s="1">
        <v>0</v>
      </c>
      <c r="V423" s="1">
        <v>0</v>
      </c>
      <c r="W423" s="1">
        <v>0</v>
      </c>
      <c r="X423" s="1">
        <v>0</v>
      </c>
      <c r="Y423" s="1">
        <v>0</v>
      </c>
      <c r="Z423" s="1">
        <v>0</v>
      </c>
      <c r="AA423" s="1">
        <v>0</v>
      </c>
      <c r="AB423" s="1">
        <v>0</v>
      </c>
      <c r="AC423" s="1">
        <v>4</v>
      </c>
      <c r="AD423" s="1">
        <v>3</v>
      </c>
      <c r="AE423" s="1">
        <v>0</v>
      </c>
      <c r="AF423" s="1">
        <v>2</v>
      </c>
      <c r="AG423" s="208" t="s">
        <v>9152</v>
      </c>
      <c r="AH423" s="1">
        <v>3060</v>
      </c>
      <c r="AI423" t="s">
        <v>1843</v>
      </c>
      <c r="AJ423">
        <v>0</v>
      </c>
      <c r="AK423" s="1" t="s">
        <v>9134</v>
      </c>
      <c r="AL423" s="1" t="s">
        <v>9135</v>
      </c>
      <c r="AM423" s="1">
        <v>0.3</v>
      </c>
      <c r="AN423" s="1">
        <v>0.23</v>
      </c>
      <c r="AO423" s="1">
        <v>0.15</v>
      </c>
      <c r="AP423" s="1">
        <v>0.38</v>
      </c>
      <c r="AQ423" s="1">
        <v>3</v>
      </c>
      <c r="AR423" t="s">
        <v>9136</v>
      </c>
      <c r="AS423">
        <v>0</v>
      </c>
      <c r="AT423" t="s">
        <v>9137</v>
      </c>
      <c r="AU423">
        <v>10</v>
      </c>
      <c r="AV423">
        <v>20088</v>
      </c>
      <c r="AX423">
        <v>0</v>
      </c>
    </row>
    <row r="424" spans="1:50" x14ac:dyDescent="0.3">
      <c r="A424">
        <v>425</v>
      </c>
      <c r="B424" t="s">
        <v>9138</v>
      </c>
      <c r="C424" t="s">
        <v>9139</v>
      </c>
      <c r="D424">
        <v>5</v>
      </c>
      <c r="E424">
        <v>2</v>
      </c>
      <c r="F424">
        <v>19</v>
      </c>
      <c r="G424" s="1" t="s">
        <v>335</v>
      </c>
      <c r="H424" s="1" t="s">
        <v>328</v>
      </c>
      <c r="I424" s="1" t="s">
        <v>328</v>
      </c>
      <c r="J424" s="1" t="s">
        <v>328</v>
      </c>
      <c r="K424" s="1" t="s">
        <v>328</v>
      </c>
      <c r="L424" s="1" t="s">
        <v>328</v>
      </c>
      <c r="M424" s="1" t="s">
        <v>328</v>
      </c>
      <c r="N424" s="1" t="s">
        <v>1759</v>
      </c>
      <c r="O424" s="1" t="s">
        <v>328</v>
      </c>
      <c r="P424" s="1" t="s">
        <v>328</v>
      </c>
      <c r="Q424" s="1" t="s">
        <v>328</v>
      </c>
      <c r="R424" s="1" t="s">
        <v>328</v>
      </c>
      <c r="S424" s="1" t="s">
        <v>328</v>
      </c>
      <c r="T424" s="1" t="s">
        <v>328</v>
      </c>
      <c r="U424" s="1">
        <v>0</v>
      </c>
      <c r="V424" s="1">
        <v>0</v>
      </c>
      <c r="W424" s="1">
        <v>0</v>
      </c>
      <c r="X424" s="1">
        <v>0</v>
      </c>
      <c r="Y424" s="1">
        <v>0</v>
      </c>
      <c r="Z424" s="1">
        <v>0</v>
      </c>
      <c r="AA424" s="1">
        <v>0</v>
      </c>
      <c r="AB424" s="1">
        <v>0</v>
      </c>
      <c r="AC424" s="1">
        <v>0</v>
      </c>
      <c r="AD424" s="1">
        <v>4</v>
      </c>
      <c r="AE424" s="1">
        <v>2</v>
      </c>
      <c r="AF424" s="1">
        <v>3</v>
      </c>
      <c r="AG424" s="208" t="s">
        <v>1731</v>
      </c>
      <c r="AH424" s="1">
        <v>3300</v>
      </c>
      <c r="AI424" t="s">
        <v>1843</v>
      </c>
      <c r="AJ424">
        <v>0</v>
      </c>
      <c r="AK424" s="1" t="s">
        <v>9140</v>
      </c>
      <c r="AL424" s="1" t="s">
        <v>9141</v>
      </c>
      <c r="AM424" s="1">
        <v>0.08</v>
      </c>
      <c r="AN424" s="1">
        <v>0.5</v>
      </c>
      <c r="AO424" s="1">
        <v>0.3</v>
      </c>
      <c r="AP424" s="1">
        <v>0.3</v>
      </c>
      <c r="AQ424" s="1">
        <v>3</v>
      </c>
      <c r="AR424" t="s">
        <v>1761</v>
      </c>
      <c r="AS424">
        <v>0</v>
      </c>
      <c r="AT424" t="s">
        <v>1806</v>
      </c>
      <c r="AU424">
        <v>10</v>
      </c>
      <c r="AV424">
        <v>19086</v>
      </c>
      <c r="AX424">
        <v>0</v>
      </c>
    </row>
    <row r="425" spans="1:50" x14ac:dyDescent="0.3">
      <c r="A425">
        <v>426</v>
      </c>
      <c r="B425" t="s">
        <v>9179</v>
      </c>
      <c r="C425" t="s">
        <v>9180</v>
      </c>
      <c r="D425">
        <v>5</v>
      </c>
      <c r="E425">
        <v>1</v>
      </c>
      <c r="F425">
        <v>18</v>
      </c>
      <c r="G425" s="1" t="s">
        <v>328</v>
      </c>
      <c r="H425" s="1" t="s">
        <v>328</v>
      </c>
      <c r="I425" s="1" t="s">
        <v>328</v>
      </c>
      <c r="J425" s="1" t="s">
        <v>328</v>
      </c>
      <c r="K425" s="1" t="s">
        <v>328</v>
      </c>
      <c r="L425" s="1" t="s">
        <v>338</v>
      </c>
      <c r="M425" s="1" t="s">
        <v>327</v>
      </c>
      <c r="N425" s="1" t="s">
        <v>328</v>
      </c>
      <c r="O425" s="1" t="s">
        <v>328</v>
      </c>
      <c r="P425" s="1" t="s">
        <v>328</v>
      </c>
      <c r="Q425" s="1" t="s">
        <v>328</v>
      </c>
      <c r="R425" s="1" t="s">
        <v>328</v>
      </c>
      <c r="S425" s="1" t="s">
        <v>328</v>
      </c>
      <c r="T425" s="1" t="s">
        <v>328</v>
      </c>
      <c r="U425" s="1">
        <v>0</v>
      </c>
      <c r="V425" s="1">
        <v>0</v>
      </c>
      <c r="W425" s="1">
        <v>0</v>
      </c>
      <c r="X425" s="1">
        <v>0</v>
      </c>
      <c r="Y425" s="1">
        <v>0</v>
      </c>
      <c r="Z425" s="1">
        <v>0</v>
      </c>
      <c r="AA425" s="1">
        <v>0</v>
      </c>
      <c r="AB425" s="1">
        <v>0</v>
      </c>
      <c r="AC425" s="1">
        <v>4</v>
      </c>
      <c r="AD425" s="1">
        <v>0</v>
      </c>
      <c r="AE425" s="1">
        <v>3</v>
      </c>
      <c r="AF425" s="1">
        <v>2</v>
      </c>
      <c r="AG425" s="208" t="s">
        <v>243</v>
      </c>
      <c r="AH425" s="1">
        <v>2700</v>
      </c>
      <c r="AI425" t="s">
        <v>1843</v>
      </c>
      <c r="AJ425">
        <v>0</v>
      </c>
      <c r="AK425" s="1" t="s">
        <v>9181</v>
      </c>
      <c r="AL425" s="1" t="s">
        <v>9182</v>
      </c>
      <c r="AM425" s="1">
        <v>0.45</v>
      </c>
      <c r="AN425" s="1">
        <v>0.15</v>
      </c>
      <c r="AO425" s="1">
        <v>0.3</v>
      </c>
      <c r="AP425" s="1">
        <v>0.15</v>
      </c>
      <c r="AQ425" s="1">
        <v>3</v>
      </c>
      <c r="AR425" t="s">
        <v>9183</v>
      </c>
      <c r="AS425">
        <v>0</v>
      </c>
      <c r="AT425" t="s">
        <v>9184</v>
      </c>
      <c r="AU425">
        <v>10</v>
      </c>
      <c r="AV425">
        <v>18092</v>
      </c>
      <c r="AX425">
        <v>0</v>
      </c>
    </row>
    <row r="426" spans="1:50" x14ac:dyDescent="0.3">
      <c r="A426">
        <v>427</v>
      </c>
      <c r="B426" t="s">
        <v>9185</v>
      </c>
      <c r="C426" t="s">
        <v>9186</v>
      </c>
      <c r="D426">
        <v>5</v>
      </c>
      <c r="E426">
        <v>2</v>
      </c>
      <c r="F426">
        <v>19</v>
      </c>
      <c r="G426" s="1" t="s">
        <v>335</v>
      </c>
      <c r="H426" s="1" t="s">
        <v>328</v>
      </c>
      <c r="I426" s="1" t="s">
        <v>328</v>
      </c>
      <c r="J426" s="1" t="s">
        <v>328</v>
      </c>
      <c r="K426" s="1" t="s">
        <v>328</v>
      </c>
      <c r="L426" s="1" t="s">
        <v>328</v>
      </c>
      <c r="M426" s="1" t="s">
        <v>328</v>
      </c>
      <c r="N426" s="1" t="s">
        <v>8613</v>
      </c>
      <c r="O426" s="1" t="s">
        <v>328</v>
      </c>
      <c r="P426" s="1" t="s">
        <v>328</v>
      </c>
      <c r="Q426" s="1" t="s">
        <v>328</v>
      </c>
      <c r="R426" s="1" t="s">
        <v>328</v>
      </c>
      <c r="S426" s="1" t="s">
        <v>328</v>
      </c>
      <c r="T426" s="1" t="s">
        <v>328</v>
      </c>
      <c r="U426" s="1">
        <v>0</v>
      </c>
      <c r="V426" s="1">
        <v>0</v>
      </c>
      <c r="W426" s="1">
        <v>0</v>
      </c>
      <c r="X426" s="1">
        <v>0</v>
      </c>
      <c r="Y426" s="1">
        <v>0</v>
      </c>
      <c r="Z426" s="1">
        <v>0</v>
      </c>
      <c r="AA426" s="1">
        <v>0</v>
      </c>
      <c r="AB426" s="1">
        <v>0</v>
      </c>
      <c r="AC426" s="1">
        <v>0</v>
      </c>
      <c r="AD426" s="1">
        <v>4</v>
      </c>
      <c r="AE426" s="1">
        <v>2</v>
      </c>
      <c r="AF426" s="1">
        <v>3</v>
      </c>
      <c r="AG426" s="208" t="s">
        <v>9218</v>
      </c>
      <c r="AH426" s="1">
        <v>3300</v>
      </c>
      <c r="AI426" t="s">
        <v>1843</v>
      </c>
      <c r="AJ426">
        <v>0</v>
      </c>
      <c r="AK426" s="1" t="s">
        <v>5403</v>
      </c>
      <c r="AL426" s="1" t="s">
        <v>9187</v>
      </c>
      <c r="AM426" s="1">
        <v>0.08</v>
      </c>
      <c r="AN426" s="1">
        <v>0.5</v>
      </c>
      <c r="AO426" s="1">
        <v>0.3</v>
      </c>
      <c r="AP426" s="1">
        <v>0.3</v>
      </c>
      <c r="AQ426" s="1">
        <v>3</v>
      </c>
      <c r="AR426" t="s">
        <v>8150</v>
      </c>
      <c r="AS426">
        <v>0</v>
      </c>
      <c r="AT426" t="s">
        <v>9188</v>
      </c>
      <c r="AU426">
        <v>10</v>
      </c>
      <c r="AV426">
        <v>19087</v>
      </c>
      <c r="AX426">
        <v>0</v>
      </c>
    </row>
    <row r="427" spans="1:50" x14ac:dyDescent="0.3">
      <c r="A427">
        <v>428</v>
      </c>
      <c r="B427" t="s">
        <v>9189</v>
      </c>
      <c r="C427" t="s">
        <v>9190</v>
      </c>
      <c r="D427">
        <v>5</v>
      </c>
      <c r="E427">
        <v>1</v>
      </c>
      <c r="F427">
        <v>18</v>
      </c>
      <c r="G427" s="1" t="s">
        <v>331</v>
      </c>
      <c r="H427" s="1" t="s">
        <v>328</v>
      </c>
      <c r="I427" s="1" t="s">
        <v>338</v>
      </c>
      <c r="J427" s="1" t="s">
        <v>328</v>
      </c>
      <c r="K427" s="1" t="s">
        <v>328</v>
      </c>
      <c r="L427" s="1" t="s">
        <v>328</v>
      </c>
      <c r="M427" s="1" t="s">
        <v>328</v>
      </c>
      <c r="N427" s="1" t="s">
        <v>328</v>
      </c>
      <c r="O427" s="1" t="s">
        <v>328</v>
      </c>
      <c r="P427" s="1" t="s">
        <v>328</v>
      </c>
      <c r="Q427" s="1" t="s">
        <v>328</v>
      </c>
      <c r="R427" s="1" t="s">
        <v>328</v>
      </c>
      <c r="S427" s="1" t="s">
        <v>328</v>
      </c>
      <c r="T427" s="1" t="s">
        <v>328</v>
      </c>
      <c r="U427" s="1">
        <v>0</v>
      </c>
      <c r="V427" s="1">
        <v>0</v>
      </c>
      <c r="W427" s="1">
        <v>0</v>
      </c>
      <c r="X427" s="1">
        <v>0</v>
      </c>
      <c r="Y427" s="1">
        <v>0</v>
      </c>
      <c r="Z427" s="1">
        <v>0</v>
      </c>
      <c r="AA427" s="1">
        <v>0</v>
      </c>
      <c r="AB427" s="1">
        <v>0</v>
      </c>
      <c r="AC427" s="1">
        <v>4</v>
      </c>
      <c r="AD427" s="1">
        <v>2</v>
      </c>
      <c r="AE427" s="1">
        <v>2</v>
      </c>
      <c r="AF427" s="1">
        <v>2</v>
      </c>
      <c r="AG427" s="208" t="s">
        <v>9219</v>
      </c>
      <c r="AH427" s="1">
        <v>2820</v>
      </c>
      <c r="AI427" t="s">
        <v>1843</v>
      </c>
      <c r="AJ427">
        <v>0</v>
      </c>
      <c r="AK427" s="1" t="s">
        <v>9191</v>
      </c>
      <c r="AL427" s="1" t="s">
        <v>9192</v>
      </c>
      <c r="AM427" s="1">
        <v>0.55000000000000004</v>
      </c>
      <c r="AN427" s="1">
        <v>0.23</v>
      </c>
      <c r="AO427" s="1">
        <v>0.23</v>
      </c>
      <c r="AP427" s="1">
        <v>0.23</v>
      </c>
      <c r="AQ427" s="1">
        <v>3</v>
      </c>
      <c r="AR427" t="s">
        <v>1565</v>
      </c>
      <c r="AS427">
        <v>0</v>
      </c>
      <c r="AT427" t="s">
        <v>9193</v>
      </c>
      <c r="AU427">
        <v>10</v>
      </c>
      <c r="AV427">
        <v>18093</v>
      </c>
      <c r="AX427">
        <v>0</v>
      </c>
    </row>
    <row r="428" spans="1:50" x14ac:dyDescent="0.3">
      <c r="A428">
        <v>429</v>
      </c>
      <c r="B428" t="s">
        <v>9194</v>
      </c>
      <c r="C428" t="s">
        <v>9195</v>
      </c>
      <c r="D428">
        <v>5</v>
      </c>
      <c r="E428">
        <v>3</v>
      </c>
      <c r="F428">
        <v>20</v>
      </c>
      <c r="G428" s="1" t="s">
        <v>342</v>
      </c>
      <c r="H428" s="1" t="s">
        <v>328</v>
      </c>
      <c r="I428" s="1" t="s">
        <v>438</v>
      </c>
      <c r="J428" s="1" t="s">
        <v>328</v>
      </c>
      <c r="K428" s="1" t="s">
        <v>328</v>
      </c>
      <c r="L428" s="1" t="s">
        <v>328</v>
      </c>
      <c r="M428" s="1" t="s">
        <v>328</v>
      </c>
      <c r="N428" s="1" t="s">
        <v>328</v>
      </c>
      <c r="O428" s="1" t="s">
        <v>328</v>
      </c>
      <c r="P428" s="1" t="s">
        <v>328</v>
      </c>
      <c r="Q428" s="1" t="s">
        <v>328</v>
      </c>
      <c r="R428" s="1" t="s">
        <v>328</v>
      </c>
      <c r="S428" s="1" t="s">
        <v>328</v>
      </c>
      <c r="T428" s="1" t="s">
        <v>328</v>
      </c>
      <c r="U428" s="1">
        <v>0</v>
      </c>
      <c r="V428" s="1">
        <v>0</v>
      </c>
      <c r="W428" s="1">
        <v>0</v>
      </c>
      <c r="X428" s="1">
        <v>0</v>
      </c>
      <c r="Y428" s="1">
        <v>0</v>
      </c>
      <c r="Z428" s="1">
        <v>0</v>
      </c>
      <c r="AA428" s="1">
        <v>0</v>
      </c>
      <c r="AB428" s="1">
        <v>0</v>
      </c>
      <c r="AC428" s="1">
        <v>4</v>
      </c>
      <c r="AD428" s="1">
        <v>2</v>
      </c>
      <c r="AE428" s="1">
        <v>0</v>
      </c>
      <c r="AF428" s="1">
        <v>4</v>
      </c>
      <c r="AG428" s="208" t="s">
        <v>9157</v>
      </c>
      <c r="AH428" s="1">
        <v>3600</v>
      </c>
      <c r="AI428" t="s">
        <v>1843</v>
      </c>
      <c r="AJ428">
        <v>0</v>
      </c>
      <c r="AK428" s="1" t="s">
        <v>9196</v>
      </c>
      <c r="AL428" s="1" t="s">
        <v>9197</v>
      </c>
      <c r="AM428" s="1">
        <v>0.3</v>
      </c>
      <c r="AN428" s="1">
        <v>0.23</v>
      </c>
      <c r="AO428" s="1">
        <v>0.15</v>
      </c>
      <c r="AP428" s="1">
        <v>0.38</v>
      </c>
      <c r="AQ428" s="1">
        <v>3</v>
      </c>
      <c r="AR428" t="s">
        <v>1757</v>
      </c>
      <c r="AS428">
        <v>0</v>
      </c>
      <c r="AT428" t="s">
        <v>9198</v>
      </c>
      <c r="AU428">
        <v>10</v>
      </c>
      <c r="AV428">
        <v>20089</v>
      </c>
      <c r="AX428">
        <v>0</v>
      </c>
    </row>
    <row r="429" spans="1:50" x14ac:dyDescent="0.3">
      <c r="A429">
        <v>430</v>
      </c>
      <c r="B429" t="s">
        <v>9199</v>
      </c>
      <c r="C429" t="s">
        <v>9200</v>
      </c>
      <c r="D429">
        <v>5</v>
      </c>
      <c r="E429">
        <v>3</v>
      </c>
      <c r="F429">
        <v>20</v>
      </c>
      <c r="G429" s="1" t="s">
        <v>359</v>
      </c>
      <c r="H429" s="1" t="s">
        <v>328</v>
      </c>
      <c r="I429" s="1" t="s">
        <v>328</v>
      </c>
      <c r="J429" s="1" t="s">
        <v>328</v>
      </c>
      <c r="K429" s="1" t="s">
        <v>375</v>
      </c>
      <c r="L429" s="1" t="s">
        <v>902</v>
      </c>
      <c r="M429" s="1" t="s">
        <v>328</v>
      </c>
      <c r="N429" s="1" t="s">
        <v>328</v>
      </c>
      <c r="O429" s="1" t="s">
        <v>328</v>
      </c>
      <c r="P429" s="1" t="s">
        <v>328</v>
      </c>
      <c r="Q429" s="1" t="s">
        <v>328</v>
      </c>
      <c r="R429" s="1" t="s">
        <v>328</v>
      </c>
      <c r="S429" s="1" t="s">
        <v>328</v>
      </c>
      <c r="T429" s="1" t="s">
        <v>328</v>
      </c>
      <c r="U429" s="1">
        <v>0</v>
      </c>
      <c r="V429" s="1">
        <v>0</v>
      </c>
      <c r="W429" s="1">
        <v>0</v>
      </c>
      <c r="X429" s="1">
        <v>0</v>
      </c>
      <c r="Y429" s="1">
        <v>0</v>
      </c>
      <c r="Z429" s="1">
        <v>0</v>
      </c>
      <c r="AA429" s="1">
        <v>0</v>
      </c>
      <c r="AB429" s="1">
        <v>0</v>
      </c>
      <c r="AC429" s="1">
        <v>4</v>
      </c>
      <c r="AD429" s="1">
        <v>2</v>
      </c>
      <c r="AE429" s="1">
        <v>0</v>
      </c>
      <c r="AF429" s="1">
        <v>4</v>
      </c>
      <c r="AG429" s="208" t="s">
        <v>9167</v>
      </c>
      <c r="AH429" s="1">
        <v>3120</v>
      </c>
      <c r="AI429" t="s">
        <v>1843</v>
      </c>
      <c r="AJ429">
        <v>0</v>
      </c>
      <c r="AK429" s="1" t="s">
        <v>9201</v>
      </c>
      <c r="AL429" s="1" t="s">
        <v>9202</v>
      </c>
      <c r="AM429" s="1">
        <v>0.3</v>
      </c>
      <c r="AN429" s="1">
        <v>0.25</v>
      </c>
      <c r="AO429" s="1">
        <v>0.12</v>
      </c>
      <c r="AP429" s="1">
        <v>0.38</v>
      </c>
      <c r="AQ429" s="1">
        <v>3</v>
      </c>
      <c r="AR429" t="s">
        <v>1583</v>
      </c>
      <c r="AS429">
        <v>0</v>
      </c>
      <c r="AT429" t="s">
        <v>9203</v>
      </c>
      <c r="AU429">
        <v>10</v>
      </c>
      <c r="AV429">
        <v>20090</v>
      </c>
      <c r="AX429">
        <v>0</v>
      </c>
    </row>
    <row r="430" spans="1:50" x14ac:dyDescent="0.3">
      <c r="A430">
        <v>431</v>
      </c>
      <c r="B430" t="s">
        <v>9204</v>
      </c>
      <c r="C430" t="s">
        <v>9205</v>
      </c>
      <c r="D430">
        <v>5</v>
      </c>
      <c r="E430">
        <v>3</v>
      </c>
      <c r="F430">
        <v>20</v>
      </c>
      <c r="G430" s="1" t="s">
        <v>358</v>
      </c>
      <c r="H430" s="1" t="s">
        <v>335</v>
      </c>
      <c r="I430" s="1" t="s">
        <v>328</v>
      </c>
      <c r="J430" s="1" t="s">
        <v>328</v>
      </c>
      <c r="K430" s="1" t="s">
        <v>328</v>
      </c>
      <c r="L430" s="1" t="s">
        <v>389</v>
      </c>
      <c r="M430" s="1" t="s">
        <v>328</v>
      </c>
      <c r="N430" s="1" t="s">
        <v>328</v>
      </c>
      <c r="O430" s="1" t="s">
        <v>328</v>
      </c>
      <c r="P430" s="1" t="s">
        <v>328</v>
      </c>
      <c r="Q430" s="1" t="s">
        <v>328</v>
      </c>
      <c r="R430" s="1" t="s">
        <v>328</v>
      </c>
      <c r="S430" s="1" t="s">
        <v>328</v>
      </c>
      <c r="T430" s="1" t="s">
        <v>328</v>
      </c>
      <c r="U430" s="1">
        <v>0</v>
      </c>
      <c r="V430" s="1">
        <v>0</v>
      </c>
      <c r="W430" s="1">
        <v>0</v>
      </c>
      <c r="X430" s="1">
        <v>0</v>
      </c>
      <c r="Y430" s="1">
        <v>0</v>
      </c>
      <c r="Z430" s="1">
        <v>0</v>
      </c>
      <c r="AA430" s="1">
        <v>0</v>
      </c>
      <c r="AB430" s="1">
        <v>0</v>
      </c>
      <c r="AC430" s="1">
        <v>4</v>
      </c>
      <c r="AD430" s="1">
        <v>3</v>
      </c>
      <c r="AE430" s="1">
        <v>0</v>
      </c>
      <c r="AF430" s="1">
        <v>2</v>
      </c>
      <c r="AG430" s="208" t="s">
        <v>9174</v>
      </c>
      <c r="AH430" s="1">
        <v>3060</v>
      </c>
      <c r="AI430" t="s">
        <v>1843</v>
      </c>
      <c r="AJ430">
        <v>0</v>
      </c>
      <c r="AK430" s="1" t="s">
        <v>9206</v>
      </c>
      <c r="AL430" s="1" t="s">
        <v>9207</v>
      </c>
      <c r="AM430" s="1">
        <v>0.3</v>
      </c>
      <c r="AN430" s="1">
        <v>0.23</v>
      </c>
      <c r="AO430" s="1">
        <v>0.15</v>
      </c>
      <c r="AP430" s="1">
        <v>0.38</v>
      </c>
      <c r="AQ430" s="1">
        <v>3</v>
      </c>
      <c r="AR430" t="s">
        <v>8620</v>
      </c>
      <c r="AS430">
        <v>0</v>
      </c>
      <c r="AT430" t="s">
        <v>1806</v>
      </c>
      <c r="AU430">
        <v>10</v>
      </c>
      <c r="AV430">
        <v>20092</v>
      </c>
      <c r="AX430">
        <v>0</v>
      </c>
    </row>
    <row r="431" spans="1:50" x14ac:dyDescent="0.3">
      <c r="A431">
        <v>432</v>
      </c>
      <c r="B431" t="s">
        <v>9220</v>
      </c>
      <c r="C431" t="s">
        <v>9221</v>
      </c>
      <c r="D431">
        <v>5</v>
      </c>
      <c r="E431">
        <v>1</v>
      </c>
      <c r="F431">
        <v>18</v>
      </c>
      <c r="G431" s="1" t="s">
        <v>335</v>
      </c>
      <c r="H431" s="1" t="s">
        <v>328</v>
      </c>
      <c r="I431" s="1" t="s">
        <v>328</v>
      </c>
      <c r="J431" s="1" t="s">
        <v>328</v>
      </c>
      <c r="K431" s="1" t="s">
        <v>328</v>
      </c>
      <c r="L431" s="1" t="s">
        <v>328</v>
      </c>
      <c r="M431" s="1" t="s">
        <v>363</v>
      </c>
      <c r="N431" s="1" t="s">
        <v>328</v>
      </c>
      <c r="O431" s="1" t="s">
        <v>328</v>
      </c>
      <c r="P431" s="1" t="s">
        <v>328</v>
      </c>
      <c r="Q431" s="1" t="s">
        <v>328</v>
      </c>
      <c r="R431" s="1" t="s">
        <v>328</v>
      </c>
      <c r="S431" s="1" t="s">
        <v>328</v>
      </c>
      <c r="T431" s="1" t="s">
        <v>328</v>
      </c>
      <c r="U431" s="1">
        <v>0</v>
      </c>
      <c r="V431" s="1">
        <v>0</v>
      </c>
      <c r="W431" s="1">
        <v>0</v>
      </c>
      <c r="X431" s="1">
        <v>0</v>
      </c>
      <c r="Y431" s="1">
        <v>0</v>
      </c>
      <c r="Z431" s="1">
        <v>0</v>
      </c>
      <c r="AA431" s="1">
        <v>0</v>
      </c>
      <c r="AB431" s="1">
        <v>0</v>
      </c>
      <c r="AC431" s="1">
        <v>4</v>
      </c>
      <c r="AD431" s="1">
        <v>0</v>
      </c>
      <c r="AE431" s="1">
        <v>3</v>
      </c>
      <c r="AF431" s="1">
        <v>2</v>
      </c>
      <c r="AG431" s="208" t="s">
        <v>132</v>
      </c>
      <c r="AH431" s="1">
        <v>2700</v>
      </c>
      <c r="AI431" t="s">
        <v>1843</v>
      </c>
      <c r="AJ431">
        <v>0</v>
      </c>
      <c r="AK431" s="1" t="s">
        <v>9222</v>
      </c>
      <c r="AL431" s="1" t="s">
        <v>9223</v>
      </c>
      <c r="AM431" s="1">
        <v>0.45</v>
      </c>
      <c r="AN431" s="1">
        <v>0.15</v>
      </c>
      <c r="AO431" s="1">
        <v>0.3</v>
      </c>
      <c r="AP431" s="1">
        <v>0.15</v>
      </c>
      <c r="AQ431" s="1">
        <v>3</v>
      </c>
      <c r="AR431" t="s">
        <v>1521</v>
      </c>
      <c r="AS431">
        <v>0</v>
      </c>
      <c r="AT431" t="s">
        <v>9224</v>
      </c>
      <c r="AU431">
        <v>10</v>
      </c>
      <c r="AV431">
        <v>18092</v>
      </c>
      <c r="AX431">
        <v>0</v>
      </c>
    </row>
    <row r="432" spans="1:50" x14ac:dyDescent="0.3">
      <c r="A432">
        <v>433</v>
      </c>
      <c r="B432" t="s">
        <v>9232</v>
      </c>
      <c r="C432" t="s">
        <v>9233</v>
      </c>
      <c r="D432">
        <v>5</v>
      </c>
      <c r="E432">
        <v>1</v>
      </c>
      <c r="F432">
        <v>18</v>
      </c>
      <c r="G432" s="1" t="s">
        <v>335</v>
      </c>
      <c r="H432" s="1" t="s">
        <v>470</v>
      </c>
      <c r="I432" s="1" t="s">
        <v>328</v>
      </c>
      <c r="J432" s="1" t="s">
        <v>328</v>
      </c>
      <c r="K432" s="1" t="s">
        <v>328</v>
      </c>
      <c r="L432" s="1" t="s">
        <v>328</v>
      </c>
      <c r="M432" s="1" t="s">
        <v>397</v>
      </c>
      <c r="N432" s="1" t="s">
        <v>328</v>
      </c>
      <c r="O432" s="1" t="s">
        <v>328</v>
      </c>
      <c r="P432" s="1" t="s">
        <v>328</v>
      </c>
      <c r="Q432" s="1" t="s">
        <v>328</v>
      </c>
      <c r="R432" s="1" t="s">
        <v>328</v>
      </c>
      <c r="S432" s="1" t="s">
        <v>328</v>
      </c>
      <c r="T432" s="1" t="s">
        <v>328</v>
      </c>
      <c r="U432" s="1">
        <v>0</v>
      </c>
      <c r="V432" s="1">
        <v>0</v>
      </c>
      <c r="W432" s="1">
        <v>0</v>
      </c>
      <c r="X432" s="1">
        <v>0</v>
      </c>
      <c r="Y432" s="1">
        <v>0</v>
      </c>
      <c r="Z432" s="1">
        <v>0</v>
      </c>
      <c r="AA432" s="1">
        <v>0</v>
      </c>
      <c r="AB432" s="1">
        <v>0</v>
      </c>
      <c r="AC432" s="1">
        <v>4</v>
      </c>
      <c r="AD432" s="1">
        <v>0</v>
      </c>
      <c r="AE432" s="1">
        <v>3</v>
      </c>
      <c r="AF432" s="1">
        <v>2</v>
      </c>
      <c r="AG432" s="208" t="s">
        <v>9254</v>
      </c>
      <c r="AH432" s="1">
        <v>3600</v>
      </c>
      <c r="AI432" t="s">
        <v>1843</v>
      </c>
      <c r="AJ432">
        <v>0</v>
      </c>
      <c r="AK432" s="1" t="s">
        <v>5390</v>
      </c>
      <c r="AL432" s="1" t="s">
        <v>9234</v>
      </c>
      <c r="AM432" s="1">
        <v>0.45</v>
      </c>
      <c r="AN432" s="1">
        <v>0.15</v>
      </c>
      <c r="AO432" s="1">
        <v>0.3</v>
      </c>
      <c r="AP432" s="1">
        <v>0.15</v>
      </c>
      <c r="AQ432" s="1">
        <v>3</v>
      </c>
      <c r="AR432" t="s">
        <v>1561</v>
      </c>
      <c r="AS432">
        <v>0</v>
      </c>
      <c r="AT432" t="s">
        <v>9235</v>
      </c>
      <c r="AU432">
        <v>10</v>
      </c>
      <c r="AV432">
        <v>18094</v>
      </c>
      <c r="AX432">
        <v>0</v>
      </c>
    </row>
    <row r="433" spans="1:50" x14ac:dyDescent="0.3">
      <c r="A433">
        <v>434</v>
      </c>
      <c r="B433" t="s">
        <v>9236</v>
      </c>
      <c r="C433" t="s">
        <v>9237</v>
      </c>
      <c r="D433">
        <v>5</v>
      </c>
      <c r="E433">
        <v>3</v>
      </c>
      <c r="F433">
        <v>20</v>
      </c>
      <c r="G433" s="1" t="s">
        <v>335</v>
      </c>
      <c r="H433" s="1" t="s">
        <v>330</v>
      </c>
      <c r="I433" s="1" t="s">
        <v>328</v>
      </c>
      <c r="J433" s="1" t="s">
        <v>328</v>
      </c>
      <c r="K433" s="1" t="s">
        <v>328</v>
      </c>
      <c r="L433" s="1" t="s">
        <v>328</v>
      </c>
      <c r="M433" s="1" t="s">
        <v>328</v>
      </c>
      <c r="N433" s="1" t="s">
        <v>328</v>
      </c>
      <c r="O433" s="1" t="s">
        <v>358</v>
      </c>
      <c r="P433" s="1" t="s">
        <v>328</v>
      </c>
      <c r="Q433" s="1" t="s">
        <v>328</v>
      </c>
      <c r="R433" s="1" t="s">
        <v>328</v>
      </c>
      <c r="S433" s="1" t="s">
        <v>328</v>
      </c>
      <c r="T433" s="1" t="s">
        <v>328</v>
      </c>
      <c r="U433" s="1">
        <v>0</v>
      </c>
      <c r="V433" s="1">
        <v>0</v>
      </c>
      <c r="W433" s="1">
        <v>0</v>
      </c>
      <c r="X433" s="1">
        <v>0</v>
      </c>
      <c r="Y433" s="1">
        <v>0</v>
      </c>
      <c r="Z433" s="1">
        <v>0</v>
      </c>
      <c r="AA433" s="1">
        <v>0</v>
      </c>
      <c r="AB433" s="1">
        <v>0</v>
      </c>
      <c r="AC433" s="1">
        <v>2</v>
      </c>
      <c r="AD433" s="1">
        <v>2</v>
      </c>
      <c r="AE433" s="1">
        <v>3</v>
      </c>
      <c r="AF433" s="1">
        <v>3</v>
      </c>
      <c r="AG433" s="208" t="s">
        <v>9255</v>
      </c>
      <c r="AH433" s="1">
        <v>3060</v>
      </c>
      <c r="AI433" t="s">
        <v>1843</v>
      </c>
      <c r="AJ433">
        <v>0</v>
      </c>
      <c r="AK433" s="1" t="s">
        <v>888</v>
      </c>
      <c r="AL433" s="1" t="s">
        <v>9238</v>
      </c>
      <c r="AM433" s="1">
        <v>0.23</v>
      </c>
      <c r="AN433" s="1">
        <v>0.23</v>
      </c>
      <c r="AO433" s="1">
        <v>0.33</v>
      </c>
      <c r="AP433" s="1">
        <v>0.38</v>
      </c>
      <c r="AQ433" s="1">
        <v>3</v>
      </c>
      <c r="AR433" t="s">
        <v>7083</v>
      </c>
      <c r="AS433">
        <v>0</v>
      </c>
      <c r="AT433" t="s">
        <v>9239</v>
      </c>
      <c r="AU433">
        <v>10</v>
      </c>
      <c r="AV433">
        <v>20093</v>
      </c>
      <c r="AX433">
        <v>0</v>
      </c>
    </row>
    <row r="434" spans="1:50" x14ac:dyDescent="0.3">
      <c r="A434">
        <v>435</v>
      </c>
      <c r="B434" t="s">
        <v>9240</v>
      </c>
      <c r="C434" t="s">
        <v>9241</v>
      </c>
      <c r="D434">
        <v>5</v>
      </c>
      <c r="E434">
        <v>3</v>
      </c>
      <c r="F434">
        <v>20</v>
      </c>
      <c r="G434" s="1" t="s">
        <v>9031</v>
      </c>
      <c r="H434" s="1" t="s">
        <v>328</v>
      </c>
      <c r="I434" s="1" t="s">
        <v>8041</v>
      </c>
      <c r="J434" s="1" t="s">
        <v>328</v>
      </c>
      <c r="K434" s="1" t="s">
        <v>328</v>
      </c>
      <c r="L434" s="1" t="s">
        <v>328</v>
      </c>
      <c r="M434" s="1" t="s">
        <v>328</v>
      </c>
      <c r="N434" s="1" t="s">
        <v>328</v>
      </c>
      <c r="O434" s="1" t="s">
        <v>328</v>
      </c>
      <c r="P434" s="1" t="s">
        <v>328</v>
      </c>
      <c r="Q434" s="1" t="s">
        <v>328</v>
      </c>
      <c r="R434" s="1" t="s">
        <v>328</v>
      </c>
      <c r="S434" s="1" t="s">
        <v>328</v>
      </c>
      <c r="T434" s="1" t="s">
        <v>328</v>
      </c>
      <c r="U434" s="1">
        <v>0</v>
      </c>
      <c r="V434" s="1">
        <v>0</v>
      </c>
      <c r="W434" s="1">
        <v>0</v>
      </c>
      <c r="X434" s="1">
        <v>0</v>
      </c>
      <c r="Y434" s="1">
        <v>0</v>
      </c>
      <c r="Z434" s="1">
        <v>0</v>
      </c>
      <c r="AA434" s="1">
        <v>0</v>
      </c>
      <c r="AB434" s="1">
        <v>0</v>
      </c>
      <c r="AC434" s="1">
        <v>4</v>
      </c>
      <c r="AD434" s="1">
        <v>2</v>
      </c>
      <c r="AE434" s="1">
        <v>0</v>
      </c>
      <c r="AF434" s="1">
        <v>4</v>
      </c>
      <c r="AG434" s="208" t="s">
        <v>9226</v>
      </c>
      <c r="AH434" s="1">
        <v>3120</v>
      </c>
      <c r="AI434" t="s">
        <v>1843</v>
      </c>
      <c r="AJ434">
        <v>0</v>
      </c>
      <c r="AK434" s="1" t="s">
        <v>9242</v>
      </c>
      <c r="AL434" s="1" t="s">
        <v>9243</v>
      </c>
      <c r="AM434" s="1">
        <v>0.3</v>
      </c>
      <c r="AN434" s="1">
        <v>0.25</v>
      </c>
      <c r="AO434" s="1">
        <v>0.12</v>
      </c>
      <c r="AP434" s="1">
        <v>0.38</v>
      </c>
      <c r="AQ434" s="1">
        <v>3</v>
      </c>
      <c r="AR434" t="s">
        <v>1757</v>
      </c>
      <c r="AS434">
        <v>0</v>
      </c>
      <c r="AT434" t="s">
        <v>1806</v>
      </c>
      <c r="AU434">
        <v>10</v>
      </c>
      <c r="AV434">
        <v>20094</v>
      </c>
      <c r="AX434">
        <v>0</v>
      </c>
    </row>
    <row r="435" spans="1:50" x14ac:dyDescent="0.3">
      <c r="A435">
        <v>436</v>
      </c>
      <c r="B435" t="s">
        <v>9244</v>
      </c>
      <c r="C435" t="s">
        <v>9245</v>
      </c>
      <c r="D435">
        <v>5</v>
      </c>
      <c r="E435">
        <v>2</v>
      </c>
      <c r="F435">
        <v>19</v>
      </c>
      <c r="G435" s="1" t="s">
        <v>469</v>
      </c>
      <c r="H435" s="1" t="s">
        <v>328</v>
      </c>
      <c r="I435" s="1" t="s">
        <v>328</v>
      </c>
      <c r="J435" s="1" t="s">
        <v>328</v>
      </c>
      <c r="K435" s="1" t="s">
        <v>328</v>
      </c>
      <c r="L435" s="1" t="s">
        <v>328</v>
      </c>
      <c r="M435" s="1" t="s">
        <v>402</v>
      </c>
      <c r="N435" s="1" t="s">
        <v>328</v>
      </c>
      <c r="O435" s="1" t="s">
        <v>328</v>
      </c>
      <c r="P435" s="1" t="s">
        <v>328</v>
      </c>
      <c r="Q435" s="1" t="s">
        <v>328</v>
      </c>
      <c r="R435" s="1" t="s">
        <v>328</v>
      </c>
      <c r="S435" s="1" t="s">
        <v>328</v>
      </c>
      <c r="T435" s="1" t="s">
        <v>328</v>
      </c>
      <c r="U435" s="1">
        <v>0</v>
      </c>
      <c r="V435" s="1">
        <v>0</v>
      </c>
      <c r="W435" s="1">
        <v>0</v>
      </c>
      <c r="X435" s="1">
        <v>0</v>
      </c>
      <c r="Y435" s="1">
        <v>0</v>
      </c>
      <c r="Z435" s="1">
        <v>0</v>
      </c>
      <c r="AA435" s="1">
        <v>0</v>
      </c>
      <c r="AB435" s="1">
        <v>0</v>
      </c>
      <c r="AC435" s="1">
        <v>4</v>
      </c>
      <c r="AD435" s="1">
        <v>4</v>
      </c>
      <c r="AE435" s="1">
        <v>0</v>
      </c>
      <c r="AF435" s="1">
        <v>2</v>
      </c>
      <c r="AG435" s="208" t="s">
        <v>1686</v>
      </c>
      <c r="AH435" s="1">
        <v>3180</v>
      </c>
      <c r="AI435" t="s">
        <v>1843</v>
      </c>
      <c r="AJ435">
        <v>0</v>
      </c>
      <c r="AK435" s="1" t="s">
        <v>9246</v>
      </c>
      <c r="AL435" s="1" t="s">
        <v>9247</v>
      </c>
      <c r="AM435" s="1">
        <v>0.48</v>
      </c>
      <c r="AN435" s="1">
        <v>0.48</v>
      </c>
      <c r="AO435" s="1">
        <v>0.08</v>
      </c>
      <c r="AP435" s="1">
        <v>0.25</v>
      </c>
      <c r="AQ435" s="1">
        <v>3</v>
      </c>
      <c r="AR435" t="s">
        <v>9248</v>
      </c>
      <c r="AS435">
        <v>0</v>
      </c>
      <c r="AT435" t="s">
        <v>1806</v>
      </c>
      <c r="AU435">
        <v>10</v>
      </c>
      <c r="AV435">
        <v>19088</v>
      </c>
      <c r="AX435">
        <v>0</v>
      </c>
    </row>
    <row r="436" spans="1:50" x14ac:dyDescent="0.3">
      <c r="A436">
        <v>437</v>
      </c>
      <c r="B436" t="s">
        <v>9249</v>
      </c>
      <c r="C436" t="s">
        <v>9250</v>
      </c>
      <c r="D436">
        <v>5</v>
      </c>
      <c r="E436">
        <v>1</v>
      </c>
      <c r="F436">
        <v>18</v>
      </c>
      <c r="G436" s="1" t="s">
        <v>328</v>
      </c>
      <c r="H436" s="1" t="s">
        <v>328</v>
      </c>
      <c r="I436" s="1" t="s">
        <v>328</v>
      </c>
      <c r="J436" s="1" t="s">
        <v>328</v>
      </c>
      <c r="K436" s="1" t="s">
        <v>328</v>
      </c>
      <c r="L436" s="1" t="s">
        <v>328</v>
      </c>
      <c r="M436" s="1" t="s">
        <v>397</v>
      </c>
      <c r="N436" s="1" t="s">
        <v>328</v>
      </c>
      <c r="O436" s="1" t="s">
        <v>328</v>
      </c>
      <c r="P436" s="1" t="s">
        <v>328</v>
      </c>
      <c r="Q436" s="1" t="s">
        <v>328</v>
      </c>
      <c r="R436" s="1" t="s">
        <v>328</v>
      </c>
      <c r="S436" s="1" t="s">
        <v>328</v>
      </c>
      <c r="T436" s="1" t="s">
        <v>328</v>
      </c>
      <c r="U436" s="1">
        <v>0</v>
      </c>
      <c r="V436" s="1">
        <v>0</v>
      </c>
      <c r="W436" s="1">
        <v>0</v>
      </c>
      <c r="X436" s="1">
        <v>0</v>
      </c>
      <c r="Y436" s="1">
        <v>0</v>
      </c>
      <c r="Z436" s="1">
        <v>0</v>
      </c>
      <c r="AA436" s="1">
        <v>0</v>
      </c>
      <c r="AB436" s="1">
        <v>0</v>
      </c>
      <c r="AC436" s="1">
        <v>4</v>
      </c>
      <c r="AD436" s="1">
        <v>0</v>
      </c>
      <c r="AE436" s="1">
        <v>3</v>
      </c>
      <c r="AF436" s="1">
        <v>2</v>
      </c>
      <c r="AG436" s="208" t="s">
        <v>804</v>
      </c>
      <c r="AH436" s="1">
        <v>2700</v>
      </c>
      <c r="AI436" t="s">
        <v>1843</v>
      </c>
      <c r="AJ436">
        <v>0</v>
      </c>
      <c r="AK436" s="1" t="s">
        <v>9251</v>
      </c>
      <c r="AL436" s="1" t="s">
        <v>9252</v>
      </c>
      <c r="AM436" s="1">
        <v>0.45</v>
      </c>
      <c r="AN436" s="1">
        <v>0.15</v>
      </c>
      <c r="AO436" s="1">
        <v>0.3</v>
      </c>
      <c r="AP436" s="1">
        <v>0.15</v>
      </c>
      <c r="AQ436" s="1">
        <v>3</v>
      </c>
      <c r="AR436" t="s">
        <v>1467</v>
      </c>
      <c r="AS436">
        <v>0</v>
      </c>
      <c r="AT436" t="s">
        <v>9253</v>
      </c>
      <c r="AU436">
        <v>10</v>
      </c>
      <c r="AV436">
        <v>18092</v>
      </c>
      <c r="AX436">
        <v>0</v>
      </c>
    </row>
    <row r="437" spans="1:50" x14ac:dyDescent="0.3">
      <c r="A437">
        <v>438</v>
      </c>
      <c r="B437" t="s">
        <v>9260</v>
      </c>
      <c r="C437" t="s">
        <v>9261</v>
      </c>
      <c r="D437">
        <v>5</v>
      </c>
      <c r="E437">
        <v>1</v>
      </c>
      <c r="F437">
        <v>18</v>
      </c>
      <c r="G437" s="1" t="s">
        <v>335</v>
      </c>
      <c r="H437" s="1" t="s">
        <v>328</v>
      </c>
      <c r="I437" s="1" t="s">
        <v>328</v>
      </c>
      <c r="J437" s="1" t="s">
        <v>328</v>
      </c>
      <c r="K437" s="1" t="s">
        <v>7063</v>
      </c>
      <c r="L437" s="1" t="s">
        <v>328</v>
      </c>
      <c r="M437" s="1" t="s">
        <v>397</v>
      </c>
      <c r="N437" s="1" t="s">
        <v>328</v>
      </c>
      <c r="O437" s="1" t="s">
        <v>328</v>
      </c>
      <c r="P437" s="1" t="s">
        <v>328</v>
      </c>
      <c r="Q437" s="1" t="s">
        <v>328</v>
      </c>
      <c r="R437" s="1" t="s">
        <v>328</v>
      </c>
      <c r="S437" s="1" t="s">
        <v>328</v>
      </c>
      <c r="T437" s="1" t="s">
        <v>328</v>
      </c>
      <c r="U437" s="1">
        <v>0</v>
      </c>
      <c r="V437" s="1">
        <v>0</v>
      </c>
      <c r="W437" s="1">
        <v>0</v>
      </c>
      <c r="X437" s="1">
        <v>0</v>
      </c>
      <c r="Y437" s="1">
        <v>0</v>
      </c>
      <c r="Z437" s="1">
        <v>0</v>
      </c>
      <c r="AA437" s="1">
        <v>0</v>
      </c>
      <c r="AB437" s="1">
        <v>0</v>
      </c>
      <c r="AC437" s="1">
        <v>4</v>
      </c>
      <c r="AD437" s="1">
        <v>0</v>
      </c>
      <c r="AE437" s="1">
        <v>3</v>
      </c>
      <c r="AF437" s="1">
        <v>2</v>
      </c>
      <c r="AG437" s="208" t="s">
        <v>818</v>
      </c>
      <c r="AH437" s="1">
        <v>3600</v>
      </c>
      <c r="AI437" t="s">
        <v>1843</v>
      </c>
      <c r="AJ437">
        <v>0</v>
      </c>
      <c r="AK437" s="1" t="s">
        <v>9262</v>
      </c>
      <c r="AL437" s="1" t="s">
        <v>9263</v>
      </c>
      <c r="AM437" s="1">
        <v>0.45</v>
      </c>
      <c r="AN437" s="1">
        <v>0.15</v>
      </c>
      <c r="AO437" s="1">
        <v>0.3</v>
      </c>
      <c r="AP437" s="1">
        <v>0.15</v>
      </c>
      <c r="AQ437" s="1">
        <v>3</v>
      </c>
      <c r="AR437" t="s">
        <v>1521</v>
      </c>
      <c r="AS437">
        <v>0</v>
      </c>
      <c r="AT437" t="s">
        <v>9264</v>
      </c>
      <c r="AU437">
        <v>10</v>
      </c>
      <c r="AV437">
        <v>18095</v>
      </c>
      <c r="AX437">
        <v>0</v>
      </c>
    </row>
    <row r="438" spans="1:50" x14ac:dyDescent="0.3">
      <c r="A438">
        <v>439</v>
      </c>
      <c r="B438" t="s">
        <v>9265</v>
      </c>
      <c r="C438" t="s">
        <v>9266</v>
      </c>
      <c r="D438">
        <v>5</v>
      </c>
      <c r="E438">
        <v>1</v>
      </c>
      <c r="F438">
        <v>18</v>
      </c>
      <c r="G438" s="1" t="s">
        <v>328</v>
      </c>
      <c r="H438" s="1" t="s">
        <v>328</v>
      </c>
      <c r="I438" s="1" t="s">
        <v>341</v>
      </c>
      <c r="J438" s="1" t="s">
        <v>328</v>
      </c>
      <c r="K438" s="1" t="s">
        <v>328</v>
      </c>
      <c r="L438" s="1" t="s">
        <v>328</v>
      </c>
      <c r="M438" s="1" t="s">
        <v>413</v>
      </c>
      <c r="N438" s="1" t="s">
        <v>328</v>
      </c>
      <c r="O438" s="1" t="s">
        <v>328</v>
      </c>
      <c r="P438" s="1" t="s">
        <v>328</v>
      </c>
      <c r="Q438" s="1" t="s">
        <v>328</v>
      </c>
      <c r="R438" s="1" t="s">
        <v>328</v>
      </c>
      <c r="S438" s="1" t="s">
        <v>328</v>
      </c>
      <c r="T438" s="1" t="s">
        <v>328</v>
      </c>
      <c r="U438" s="1">
        <v>0</v>
      </c>
      <c r="V438" s="1">
        <v>0</v>
      </c>
      <c r="W438" s="1">
        <v>0</v>
      </c>
      <c r="X438" s="1">
        <v>0</v>
      </c>
      <c r="Y438" s="1">
        <v>0</v>
      </c>
      <c r="Z438" s="1">
        <v>0</v>
      </c>
      <c r="AA438" s="1">
        <v>0</v>
      </c>
      <c r="AB438" s="1">
        <v>0</v>
      </c>
      <c r="AC438" s="1">
        <v>4</v>
      </c>
      <c r="AD438" s="1">
        <v>2</v>
      </c>
      <c r="AE438" s="1">
        <v>2</v>
      </c>
      <c r="AF438" s="1">
        <v>2</v>
      </c>
      <c r="AG438" s="208" t="s">
        <v>9279</v>
      </c>
      <c r="AH438" s="1">
        <v>2820</v>
      </c>
      <c r="AI438" t="s">
        <v>1843</v>
      </c>
      <c r="AJ438">
        <v>0</v>
      </c>
      <c r="AK438" s="1" t="s">
        <v>903</v>
      </c>
      <c r="AL438" s="1" t="s">
        <v>9267</v>
      </c>
      <c r="AM438" s="1">
        <v>0.55000000000000004</v>
      </c>
      <c r="AN438" s="1">
        <v>0.23</v>
      </c>
      <c r="AO438" s="1">
        <v>0.23</v>
      </c>
      <c r="AP438" s="1">
        <v>0.23</v>
      </c>
      <c r="AQ438" s="1">
        <v>3</v>
      </c>
      <c r="AR438" t="s">
        <v>9268</v>
      </c>
      <c r="AS438">
        <v>0</v>
      </c>
      <c r="AT438" t="s">
        <v>9269</v>
      </c>
      <c r="AU438">
        <v>10</v>
      </c>
      <c r="AV438">
        <v>18096</v>
      </c>
      <c r="AX438">
        <v>0</v>
      </c>
    </row>
    <row r="439" spans="1:50" x14ac:dyDescent="0.3">
      <c r="A439">
        <v>440</v>
      </c>
      <c r="B439" t="s">
        <v>9270</v>
      </c>
      <c r="C439" t="s">
        <v>9271</v>
      </c>
      <c r="D439">
        <v>5</v>
      </c>
      <c r="E439">
        <v>3</v>
      </c>
      <c r="F439">
        <v>20</v>
      </c>
      <c r="G439" s="1" t="s">
        <v>328</v>
      </c>
      <c r="H439" s="1" t="s">
        <v>328</v>
      </c>
      <c r="I439" s="1" t="s">
        <v>8100</v>
      </c>
      <c r="J439" s="1" t="s">
        <v>328</v>
      </c>
      <c r="K439" s="1" t="s">
        <v>328</v>
      </c>
      <c r="L439" s="1" t="s">
        <v>328</v>
      </c>
      <c r="M439" s="1" t="s">
        <v>328</v>
      </c>
      <c r="N439" s="1" t="s">
        <v>328</v>
      </c>
      <c r="O439" s="1" t="s">
        <v>328</v>
      </c>
      <c r="P439" s="1" t="s">
        <v>328</v>
      </c>
      <c r="Q439" s="1" t="s">
        <v>328</v>
      </c>
      <c r="R439" s="1" t="s">
        <v>328</v>
      </c>
      <c r="S439" s="1" t="s">
        <v>328</v>
      </c>
      <c r="T439" s="1" t="s">
        <v>328</v>
      </c>
      <c r="U439" s="1">
        <v>0</v>
      </c>
      <c r="V439" s="1">
        <v>0</v>
      </c>
      <c r="W439" s="1">
        <v>0</v>
      </c>
      <c r="X439" s="1">
        <v>0</v>
      </c>
      <c r="Y439" s="1">
        <v>0</v>
      </c>
      <c r="Z439" s="1">
        <v>0</v>
      </c>
      <c r="AA439" s="1">
        <v>0</v>
      </c>
      <c r="AB439" s="1">
        <v>0</v>
      </c>
      <c r="AC439" s="1">
        <v>4</v>
      </c>
      <c r="AD439" s="1">
        <v>2</v>
      </c>
      <c r="AE439" s="1">
        <v>0</v>
      </c>
      <c r="AF439" s="1">
        <v>4</v>
      </c>
      <c r="AG439" s="208" t="s">
        <v>9280</v>
      </c>
      <c r="AH439" s="1">
        <v>3120</v>
      </c>
      <c r="AI439" t="s">
        <v>1843</v>
      </c>
      <c r="AJ439">
        <v>0</v>
      </c>
      <c r="AK439" s="1" t="s">
        <v>9272</v>
      </c>
      <c r="AL439" s="1" t="s">
        <v>9273</v>
      </c>
      <c r="AM439" s="1">
        <v>0.3</v>
      </c>
      <c r="AN439" s="1">
        <v>0.25</v>
      </c>
      <c r="AO439" s="1">
        <v>0.12</v>
      </c>
      <c r="AP439" s="1">
        <v>0.38</v>
      </c>
      <c r="AQ439" s="1">
        <v>3</v>
      </c>
      <c r="AR439" t="s">
        <v>1757</v>
      </c>
      <c r="AS439">
        <v>0</v>
      </c>
      <c r="AT439" t="s">
        <v>9274</v>
      </c>
      <c r="AU439">
        <v>10</v>
      </c>
      <c r="AV439">
        <v>20095</v>
      </c>
      <c r="AX439">
        <v>0</v>
      </c>
    </row>
    <row r="440" spans="1:50" x14ac:dyDescent="0.3">
      <c r="A440">
        <v>441</v>
      </c>
      <c r="B440" t="s">
        <v>9275</v>
      </c>
      <c r="C440" t="s">
        <v>9276</v>
      </c>
      <c r="D440">
        <v>5</v>
      </c>
      <c r="E440">
        <v>2</v>
      </c>
      <c r="F440">
        <v>19</v>
      </c>
      <c r="G440" s="1" t="s">
        <v>389</v>
      </c>
      <c r="H440" s="1" t="s">
        <v>328</v>
      </c>
      <c r="I440" s="1" t="s">
        <v>328</v>
      </c>
      <c r="J440" s="1" t="s">
        <v>328</v>
      </c>
      <c r="K440" s="1" t="s">
        <v>328</v>
      </c>
      <c r="L440" s="1" t="s">
        <v>328</v>
      </c>
      <c r="M440" s="1" t="s">
        <v>328</v>
      </c>
      <c r="N440" s="1" t="s">
        <v>328</v>
      </c>
      <c r="O440" s="1" t="s">
        <v>328</v>
      </c>
      <c r="P440" s="1" t="s">
        <v>328</v>
      </c>
      <c r="Q440" s="1" t="s">
        <v>328</v>
      </c>
      <c r="R440" s="1" t="s">
        <v>328</v>
      </c>
      <c r="S440" s="1" t="s">
        <v>328</v>
      </c>
      <c r="T440" s="1" t="s">
        <v>328</v>
      </c>
      <c r="U440" s="1">
        <v>0</v>
      </c>
      <c r="V440" s="1">
        <v>0</v>
      </c>
      <c r="W440" s="1">
        <v>0</v>
      </c>
      <c r="X440" s="1">
        <v>0</v>
      </c>
      <c r="Y440" s="1">
        <v>0</v>
      </c>
      <c r="Z440" s="1">
        <v>0</v>
      </c>
      <c r="AA440" s="1">
        <v>0</v>
      </c>
      <c r="AB440" s="1">
        <v>0</v>
      </c>
      <c r="AC440" s="1">
        <v>0</v>
      </c>
      <c r="AD440" s="1">
        <v>5</v>
      </c>
      <c r="AE440" s="1">
        <v>3</v>
      </c>
      <c r="AF440" s="1">
        <v>2</v>
      </c>
      <c r="AG440" s="208" t="s">
        <v>1666</v>
      </c>
      <c r="AH440" s="1">
        <v>3600</v>
      </c>
      <c r="AI440" t="s">
        <v>1843</v>
      </c>
      <c r="AJ440">
        <v>0</v>
      </c>
      <c r="AK440" s="1" t="s">
        <v>5391</v>
      </c>
      <c r="AL440" s="1" t="s">
        <v>9277</v>
      </c>
      <c r="AM440" s="1">
        <v>0.15</v>
      </c>
      <c r="AN440" s="1">
        <v>0.6</v>
      </c>
      <c r="AO440" s="1">
        <v>0.38</v>
      </c>
      <c r="AP440" s="1">
        <v>0.23</v>
      </c>
      <c r="AQ440" s="1">
        <v>3</v>
      </c>
      <c r="AR440" t="s">
        <v>1475</v>
      </c>
      <c r="AS440">
        <v>0</v>
      </c>
      <c r="AT440" t="s">
        <v>9278</v>
      </c>
      <c r="AU440">
        <v>10</v>
      </c>
      <c r="AV440">
        <v>19089</v>
      </c>
      <c r="AX440">
        <v>0</v>
      </c>
    </row>
    <row r="441" spans="1:50" x14ac:dyDescent="0.3">
      <c r="A441">
        <v>442</v>
      </c>
      <c r="B441" t="s">
        <v>9281</v>
      </c>
      <c r="C441" t="s">
        <v>9282</v>
      </c>
      <c r="D441">
        <v>5</v>
      </c>
      <c r="E441">
        <v>3</v>
      </c>
      <c r="F441">
        <v>20</v>
      </c>
      <c r="G441" s="1" t="s">
        <v>324</v>
      </c>
      <c r="H441" s="1" t="s">
        <v>328</v>
      </c>
      <c r="I441" s="1" t="s">
        <v>328</v>
      </c>
      <c r="J441" s="1" t="s">
        <v>328</v>
      </c>
      <c r="K441" s="1" t="s">
        <v>376</v>
      </c>
      <c r="L441" s="1" t="s">
        <v>397</v>
      </c>
      <c r="M441" s="1" t="s">
        <v>328</v>
      </c>
      <c r="N441" s="1" t="s">
        <v>328</v>
      </c>
      <c r="O441" s="1" t="s">
        <v>328</v>
      </c>
      <c r="P441" s="1" t="s">
        <v>328</v>
      </c>
      <c r="Q441" s="1" t="s">
        <v>328</v>
      </c>
      <c r="R441" s="1" t="s">
        <v>328</v>
      </c>
      <c r="S441" s="1" t="s">
        <v>328</v>
      </c>
      <c r="T441" s="1" t="s">
        <v>328</v>
      </c>
      <c r="U441" s="1">
        <v>0</v>
      </c>
      <c r="V441" s="1">
        <v>0</v>
      </c>
      <c r="W441" s="1">
        <v>0</v>
      </c>
      <c r="X441" s="1">
        <v>0</v>
      </c>
      <c r="Y441" s="1">
        <v>0</v>
      </c>
      <c r="Z441" s="1">
        <v>0</v>
      </c>
      <c r="AA441" s="1">
        <v>0</v>
      </c>
      <c r="AB441" s="1">
        <v>0</v>
      </c>
      <c r="AC441" s="1">
        <v>4</v>
      </c>
      <c r="AD441" s="1">
        <v>3</v>
      </c>
      <c r="AE441" s="1">
        <v>0</v>
      </c>
      <c r="AF441" s="1">
        <v>2</v>
      </c>
      <c r="AG441" s="208" t="s">
        <v>9296</v>
      </c>
      <c r="AH441" s="1">
        <v>3060</v>
      </c>
      <c r="AI441" t="s">
        <v>1843</v>
      </c>
      <c r="AJ441">
        <v>0</v>
      </c>
      <c r="AK441" s="1" t="s">
        <v>487</v>
      </c>
      <c r="AL441" s="1" t="s">
        <v>9283</v>
      </c>
      <c r="AM441" s="1">
        <v>0.3</v>
      </c>
      <c r="AN441" s="1">
        <v>0.23</v>
      </c>
      <c r="AO441" s="1">
        <v>0.15</v>
      </c>
      <c r="AP441" s="1">
        <v>0.38</v>
      </c>
      <c r="AQ441" s="1">
        <v>3</v>
      </c>
      <c r="AR441" t="s">
        <v>7078</v>
      </c>
      <c r="AS441">
        <v>0</v>
      </c>
      <c r="AT441" t="s">
        <v>9284</v>
      </c>
      <c r="AU441">
        <v>10</v>
      </c>
      <c r="AV441">
        <v>20096</v>
      </c>
      <c r="AX441">
        <v>0</v>
      </c>
    </row>
    <row r="442" spans="1:50" x14ac:dyDescent="0.3">
      <c r="A442">
        <v>443</v>
      </c>
      <c r="B442" t="s">
        <v>9285</v>
      </c>
      <c r="C442" t="s">
        <v>9286</v>
      </c>
      <c r="D442">
        <v>5</v>
      </c>
      <c r="E442">
        <v>3</v>
      </c>
      <c r="F442">
        <v>20</v>
      </c>
      <c r="G442" s="1" t="s">
        <v>328</v>
      </c>
      <c r="H442" s="1" t="s">
        <v>328</v>
      </c>
      <c r="I442" s="1" t="s">
        <v>328</v>
      </c>
      <c r="J442" s="1" t="s">
        <v>328</v>
      </c>
      <c r="K442" s="1" t="s">
        <v>470</v>
      </c>
      <c r="L442" s="1" t="s">
        <v>343</v>
      </c>
      <c r="M442" s="1" t="s">
        <v>328</v>
      </c>
      <c r="N442" s="1" t="s">
        <v>328</v>
      </c>
      <c r="O442" s="1" t="s">
        <v>328</v>
      </c>
      <c r="P442" s="1" t="s">
        <v>328</v>
      </c>
      <c r="Q442" s="1" t="s">
        <v>328</v>
      </c>
      <c r="R442" s="1" t="s">
        <v>328</v>
      </c>
      <c r="S442" s="1" t="s">
        <v>328</v>
      </c>
      <c r="T442" s="1" t="s">
        <v>328</v>
      </c>
      <c r="U442" s="1">
        <v>0</v>
      </c>
      <c r="V442" s="1">
        <v>0</v>
      </c>
      <c r="W442" s="1">
        <v>0</v>
      </c>
      <c r="X442" s="1">
        <v>0</v>
      </c>
      <c r="Y442" s="1">
        <v>0</v>
      </c>
      <c r="Z442" s="1">
        <v>0</v>
      </c>
      <c r="AA442" s="1">
        <v>0</v>
      </c>
      <c r="AB442" s="1">
        <v>0</v>
      </c>
      <c r="AC442" s="1">
        <v>4</v>
      </c>
      <c r="AD442" s="1">
        <v>0</v>
      </c>
      <c r="AE442" s="1">
        <v>5</v>
      </c>
      <c r="AF442" s="1">
        <v>0</v>
      </c>
      <c r="AG442" s="208" t="s">
        <v>9297</v>
      </c>
      <c r="AH442" s="1">
        <v>3360</v>
      </c>
      <c r="AI442" t="s">
        <v>1843</v>
      </c>
      <c r="AJ442">
        <v>0</v>
      </c>
      <c r="AK442" s="1" t="s">
        <v>9287</v>
      </c>
      <c r="AL442" s="1" t="s">
        <v>9288</v>
      </c>
      <c r="AM442" s="1">
        <v>0.55000000000000004</v>
      </c>
      <c r="AN442" s="1">
        <v>0.16</v>
      </c>
      <c r="AO442" s="1">
        <v>0.6</v>
      </c>
      <c r="AP442" s="1">
        <v>0.16</v>
      </c>
      <c r="AQ442" s="1">
        <v>3</v>
      </c>
      <c r="AR442" t="s">
        <v>9289</v>
      </c>
      <c r="AS442">
        <v>0</v>
      </c>
      <c r="AT442" t="s">
        <v>9290</v>
      </c>
      <c r="AU442">
        <v>10</v>
      </c>
      <c r="AV442">
        <v>20097</v>
      </c>
      <c r="AX442">
        <v>0</v>
      </c>
    </row>
    <row r="443" spans="1:50" x14ac:dyDescent="0.3">
      <c r="A443">
        <v>444</v>
      </c>
      <c r="B443" t="s">
        <v>9291</v>
      </c>
      <c r="C443" t="s">
        <v>9292</v>
      </c>
      <c r="D443">
        <v>5</v>
      </c>
      <c r="E443">
        <v>2</v>
      </c>
      <c r="F443">
        <v>19</v>
      </c>
      <c r="G443" s="1" t="s">
        <v>328</v>
      </c>
      <c r="H443" s="1" t="s">
        <v>328</v>
      </c>
      <c r="I443" s="1" t="s">
        <v>328</v>
      </c>
      <c r="J443" s="1" t="s">
        <v>328</v>
      </c>
      <c r="K443" s="1" t="s">
        <v>328</v>
      </c>
      <c r="L443" s="1" t="s">
        <v>335</v>
      </c>
      <c r="M443" s="1" t="s">
        <v>328</v>
      </c>
      <c r="N443" s="1" t="s">
        <v>7299</v>
      </c>
      <c r="O443" s="1" t="s">
        <v>328</v>
      </c>
      <c r="P443" s="1" t="s">
        <v>328</v>
      </c>
      <c r="Q443" s="1" t="s">
        <v>328</v>
      </c>
      <c r="R443" s="1" t="s">
        <v>328</v>
      </c>
      <c r="S443" s="1" t="s">
        <v>328</v>
      </c>
      <c r="T443" s="1" t="s">
        <v>328</v>
      </c>
      <c r="U443" s="1">
        <v>0</v>
      </c>
      <c r="V443" s="1">
        <v>0</v>
      </c>
      <c r="W443" s="1">
        <v>0</v>
      </c>
      <c r="X443" s="1">
        <v>0</v>
      </c>
      <c r="Y443" s="1">
        <v>0</v>
      </c>
      <c r="Z443" s="1">
        <v>0</v>
      </c>
      <c r="AA443" s="1">
        <v>0</v>
      </c>
      <c r="AB443" s="1">
        <v>0</v>
      </c>
      <c r="AC443" s="1">
        <v>0</v>
      </c>
      <c r="AD443" s="1">
        <v>4</v>
      </c>
      <c r="AE443" s="1">
        <v>2</v>
      </c>
      <c r="AF443" s="1">
        <v>3</v>
      </c>
      <c r="AG443" s="208" t="s">
        <v>128</v>
      </c>
      <c r="AH443" s="1">
        <v>3300</v>
      </c>
      <c r="AI443" t="s">
        <v>1843</v>
      </c>
      <c r="AJ443">
        <v>0</v>
      </c>
      <c r="AK443" s="1" t="s">
        <v>9293</v>
      </c>
      <c r="AL443" s="1" t="s">
        <v>9294</v>
      </c>
      <c r="AM443" s="1">
        <v>0.08</v>
      </c>
      <c r="AN443" s="1">
        <v>0.5</v>
      </c>
      <c r="AO443" s="1">
        <v>0.3</v>
      </c>
      <c r="AP443" s="1">
        <v>0.3</v>
      </c>
      <c r="AQ443" s="1">
        <v>3</v>
      </c>
      <c r="AR443" t="s">
        <v>8284</v>
      </c>
      <c r="AS443">
        <v>0</v>
      </c>
      <c r="AT443" t="s">
        <v>9295</v>
      </c>
      <c r="AU443">
        <v>10</v>
      </c>
      <c r="AV443">
        <v>19090</v>
      </c>
      <c r="AX443">
        <v>0</v>
      </c>
    </row>
  </sheetData>
  <autoFilter ref="A1:AW1" xr:uid="{BA0C6CAA-67FA-488C-A0ED-FA9FBD889C76}">
    <sortState xmlns:xlrd2="http://schemas.microsoft.com/office/spreadsheetml/2017/richdata2" ref="A2:AW265">
      <sortCondition ref="A1"/>
    </sortState>
  </autoFilter>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1EFC3-3D07-4D5A-B775-6B830F1C45E4}">
  <sheetPr codeName="Sheet8">
    <tabColor theme="4" tint="0.79998168889431442"/>
  </sheetPr>
  <dimension ref="A1:BH642"/>
  <sheetViews>
    <sheetView workbookViewId="0">
      <pane ySplit="1" topLeftCell="A627" activePane="bottomLeft" state="frozen"/>
      <selection pane="bottomLeft"/>
    </sheetView>
  </sheetViews>
  <sheetFormatPr defaultRowHeight="14.4" x14ac:dyDescent="0.3"/>
  <cols>
    <col min="1" max="1" width="7.33203125" bestFit="1" customWidth="1"/>
    <col min="2" max="2" width="13.109375" bestFit="1" customWidth="1"/>
    <col min="3" max="3" width="19.33203125" style="208" bestFit="1" customWidth="1"/>
    <col min="4" max="4" width="18" customWidth="1"/>
    <col min="5" max="5" width="14.109375" bestFit="1" customWidth="1"/>
    <col min="6" max="6" width="13.33203125" bestFit="1" customWidth="1"/>
    <col min="7" max="7" width="13.109375" bestFit="1" customWidth="1"/>
    <col min="8" max="8" width="17.44140625" bestFit="1" customWidth="1"/>
    <col min="9" max="9" width="13.6640625" bestFit="1" customWidth="1"/>
    <col min="10" max="10" width="9.5546875" bestFit="1" customWidth="1"/>
    <col min="11" max="11" width="9.44140625" bestFit="1" customWidth="1"/>
    <col min="12" max="12" width="21.5546875" bestFit="1" customWidth="1"/>
    <col min="13" max="13" width="15.33203125" bestFit="1" customWidth="1"/>
    <col min="14" max="14" width="13.33203125" bestFit="1" customWidth="1"/>
    <col min="15" max="15" width="27.88671875" bestFit="1" customWidth="1"/>
    <col min="16" max="16" width="25.6640625" bestFit="1" customWidth="1"/>
    <col min="17" max="17" width="13.44140625" bestFit="1" customWidth="1"/>
    <col min="18" max="18" width="16.109375" bestFit="1" customWidth="1"/>
    <col min="19" max="20" width="14.109375" bestFit="1" customWidth="1"/>
    <col min="21" max="21" width="13.6640625" bestFit="1" customWidth="1"/>
    <col min="22" max="22" width="14.5546875" bestFit="1" customWidth="1"/>
    <col min="23" max="23" width="14.33203125" bestFit="1" customWidth="1"/>
    <col min="24" max="24" width="16.109375" bestFit="1" customWidth="1"/>
    <col min="25" max="25" width="13.109375" bestFit="1" customWidth="1"/>
    <col min="26" max="26" width="16.33203125" bestFit="1" customWidth="1"/>
    <col min="27" max="27" width="16" bestFit="1" customWidth="1"/>
    <col min="28" max="28" width="19.109375" bestFit="1" customWidth="1"/>
    <col min="29" max="29" width="8.44140625" bestFit="1" customWidth="1"/>
    <col min="30" max="30" width="11.6640625" bestFit="1" customWidth="1"/>
    <col min="31" max="31" width="13.5546875" bestFit="1" customWidth="1"/>
    <col min="32" max="32" width="15.6640625" bestFit="1" customWidth="1"/>
    <col min="33" max="34" width="10.109375" bestFit="1" customWidth="1"/>
    <col min="35" max="35" width="18.33203125" bestFit="1" customWidth="1"/>
    <col min="36" max="36" width="95.33203125" bestFit="1" customWidth="1"/>
    <col min="37" max="37" width="61.33203125" bestFit="1" customWidth="1"/>
    <col min="38" max="38" width="22.33203125" bestFit="1" customWidth="1"/>
    <col min="39" max="39" width="19.33203125" bestFit="1" customWidth="1"/>
    <col min="40" max="40" width="19.5546875" bestFit="1" customWidth="1"/>
    <col min="41" max="41" width="21.88671875" bestFit="1" customWidth="1"/>
    <col min="42" max="42" width="15.44140625" bestFit="1" customWidth="1"/>
    <col min="43" max="45" width="16.6640625" bestFit="1" customWidth="1"/>
    <col min="46" max="46" width="14.44140625" bestFit="1" customWidth="1"/>
    <col min="47" max="47" width="4.88671875" bestFit="1" customWidth="1"/>
    <col min="48" max="48" width="14.6640625" bestFit="1" customWidth="1"/>
    <col min="49" max="49" width="14.33203125" bestFit="1" customWidth="1"/>
    <col min="50" max="50" width="12.5546875" bestFit="1" customWidth="1"/>
    <col min="51" max="51" width="14.44140625" bestFit="1" customWidth="1"/>
    <col min="52" max="52" width="10.44140625" bestFit="1" customWidth="1"/>
    <col min="53" max="53" width="23.44140625" bestFit="1" customWidth="1"/>
    <col min="54" max="54" width="13.88671875" bestFit="1" customWidth="1"/>
    <col min="55" max="55" width="16" bestFit="1" customWidth="1"/>
    <col min="56" max="56" width="8.88671875" bestFit="1" customWidth="1"/>
  </cols>
  <sheetData>
    <row r="1" spans="1:60" x14ac:dyDescent="0.3">
      <c r="A1" s="38" t="s">
        <v>25</v>
      </c>
      <c r="B1" s="38" t="s">
        <v>1777</v>
      </c>
      <c r="C1" s="206" t="s">
        <v>6759</v>
      </c>
      <c r="D1" s="38" t="s">
        <v>321</v>
      </c>
      <c r="E1" s="38" t="s">
        <v>2605</v>
      </c>
      <c r="F1" s="38" t="s">
        <v>2606</v>
      </c>
      <c r="G1" s="38" t="s">
        <v>2607</v>
      </c>
      <c r="H1" s="38" t="s">
        <v>2608</v>
      </c>
      <c r="I1" s="38" t="s">
        <v>965</v>
      </c>
      <c r="J1" s="38" t="s">
        <v>61</v>
      </c>
      <c r="K1" s="38" t="s">
        <v>220</v>
      </c>
      <c r="L1" s="38" t="s">
        <v>322</v>
      </c>
      <c r="M1" s="38" t="s">
        <v>2609</v>
      </c>
      <c r="N1" s="38" t="s">
        <v>2610</v>
      </c>
      <c r="O1" s="38" t="s">
        <v>2611</v>
      </c>
      <c r="P1" s="38" t="s">
        <v>2612</v>
      </c>
      <c r="Q1" s="38" t="s">
        <v>2613</v>
      </c>
      <c r="R1" s="38" t="s">
        <v>2614</v>
      </c>
      <c r="S1" s="38" t="s">
        <v>2615</v>
      </c>
      <c r="T1" s="38" t="s">
        <v>2616</v>
      </c>
      <c r="U1" s="38" t="s">
        <v>1106</v>
      </c>
      <c r="V1" s="38" t="s">
        <v>1107</v>
      </c>
      <c r="W1" s="38" t="s">
        <v>1108</v>
      </c>
      <c r="X1" s="38" t="s">
        <v>2617</v>
      </c>
      <c r="Y1" s="38" t="s">
        <v>1109</v>
      </c>
      <c r="Z1" s="38" t="s">
        <v>1110</v>
      </c>
      <c r="AA1" s="38" t="s">
        <v>1111</v>
      </c>
      <c r="AB1" s="38" t="s">
        <v>221</v>
      </c>
      <c r="AC1" s="38" t="s">
        <v>2618</v>
      </c>
      <c r="AD1" s="38" t="s">
        <v>2619</v>
      </c>
      <c r="AE1" s="38" t="s">
        <v>1112</v>
      </c>
      <c r="AF1" s="38" t="s">
        <v>2620</v>
      </c>
      <c r="AG1" s="38" t="s">
        <v>41</v>
      </c>
      <c r="AH1" s="38" t="s">
        <v>42</v>
      </c>
      <c r="AI1" s="38" t="s">
        <v>1113</v>
      </c>
      <c r="AJ1" s="38" t="s">
        <v>629</v>
      </c>
      <c r="AK1" s="38" t="s">
        <v>1114</v>
      </c>
      <c r="AL1" s="38" t="s">
        <v>2621</v>
      </c>
      <c r="AM1" s="38" t="s">
        <v>2622</v>
      </c>
      <c r="AN1" s="38" t="s">
        <v>2623</v>
      </c>
      <c r="AO1" s="38" t="s">
        <v>2624</v>
      </c>
      <c r="AP1" s="38" t="s">
        <v>2625</v>
      </c>
      <c r="AQ1" s="38" t="s">
        <v>1115</v>
      </c>
      <c r="AR1" s="38" t="s">
        <v>1116</v>
      </c>
      <c r="AS1" s="38" t="s">
        <v>1117</v>
      </c>
      <c r="AT1" t="s">
        <v>2626</v>
      </c>
      <c r="AU1" t="s">
        <v>2627</v>
      </c>
      <c r="AV1" t="s">
        <v>582</v>
      </c>
      <c r="AW1" t="s">
        <v>2628</v>
      </c>
      <c r="AX1" t="s">
        <v>2629</v>
      </c>
      <c r="AY1" t="s">
        <v>2630</v>
      </c>
      <c r="AZ1" t="s">
        <v>2631</v>
      </c>
      <c r="BA1" t="s">
        <v>2632</v>
      </c>
      <c r="BB1" t="s">
        <v>2633</v>
      </c>
      <c r="BC1" t="s">
        <v>2634</v>
      </c>
      <c r="BD1" t="s">
        <v>2635</v>
      </c>
      <c r="BE1" t="s">
        <v>6619</v>
      </c>
      <c r="BF1" t="s">
        <v>6620</v>
      </c>
    </row>
    <row r="2" spans="1:60" x14ac:dyDescent="0.3">
      <c r="A2" s="1">
        <v>1</v>
      </c>
      <c r="B2" s="1" t="s">
        <v>2636</v>
      </c>
      <c r="C2" s="207" t="s">
        <v>19</v>
      </c>
      <c r="D2" s="1" t="s">
        <v>2637</v>
      </c>
      <c r="E2" s="1"/>
      <c r="F2" s="1"/>
      <c r="G2" s="1" t="s">
        <v>2638</v>
      </c>
      <c r="H2" s="1" t="s">
        <v>2639</v>
      </c>
      <c r="I2" s="1" t="s">
        <v>2640</v>
      </c>
      <c r="J2" s="1">
        <v>1</v>
      </c>
      <c r="K2" s="1">
        <v>4</v>
      </c>
      <c r="L2" s="1">
        <v>3000</v>
      </c>
      <c r="M2" s="1">
        <v>10</v>
      </c>
      <c r="N2" s="1">
        <v>10</v>
      </c>
      <c r="O2" s="1">
        <v>5</v>
      </c>
      <c r="P2" s="1">
        <v>5</v>
      </c>
      <c r="Q2" s="1">
        <v>2</v>
      </c>
      <c r="R2" s="1">
        <v>2</v>
      </c>
      <c r="S2" s="1">
        <v>2</v>
      </c>
      <c r="T2" s="1">
        <v>0</v>
      </c>
      <c r="U2" s="1">
        <v>120</v>
      </c>
      <c r="V2" s="1">
        <v>125</v>
      </c>
      <c r="W2" s="1">
        <v>85</v>
      </c>
      <c r="X2" s="1">
        <v>100</v>
      </c>
      <c r="Y2" s="1">
        <v>90</v>
      </c>
      <c r="Z2" s="1">
        <v>95</v>
      </c>
      <c r="AA2" s="1">
        <v>0</v>
      </c>
      <c r="AB2" s="1">
        <v>15</v>
      </c>
      <c r="AC2" s="1">
        <v>20</v>
      </c>
      <c r="AD2" s="1">
        <v>0</v>
      </c>
      <c r="AE2" s="1">
        <v>130</v>
      </c>
      <c r="AF2" s="1">
        <v>95</v>
      </c>
      <c r="AG2" s="1">
        <v>100503</v>
      </c>
      <c r="AH2" s="1">
        <v>0</v>
      </c>
      <c r="AI2" s="1">
        <v>300115</v>
      </c>
      <c r="AJ2" s="1" t="s">
        <v>328</v>
      </c>
      <c r="AK2" s="1" t="s">
        <v>328</v>
      </c>
      <c r="AL2" s="1">
        <v>13</v>
      </c>
      <c r="AM2" s="1" t="s">
        <v>1806</v>
      </c>
      <c r="AN2" s="1" t="s">
        <v>4740</v>
      </c>
      <c r="AO2" s="1" t="s">
        <v>4741</v>
      </c>
      <c r="AP2" s="1">
        <v>0</v>
      </c>
      <c r="AQ2" s="1" t="s">
        <v>4742</v>
      </c>
      <c r="AR2" s="1" t="s">
        <v>1119</v>
      </c>
      <c r="AS2" s="1" t="s">
        <v>1120</v>
      </c>
      <c r="AT2" s="1" t="s">
        <v>328</v>
      </c>
      <c r="AU2" s="1">
        <v>1</v>
      </c>
      <c r="AV2" s="1">
        <v>0</v>
      </c>
      <c r="AW2" s="1" t="s">
        <v>4492</v>
      </c>
      <c r="AX2" s="1" t="s">
        <v>470</v>
      </c>
      <c r="AY2" s="1">
        <v>4</v>
      </c>
      <c r="AZ2" s="1">
        <v>0</v>
      </c>
      <c r="BA2" s="1" t="s">
        <v>4743</v>
      </c>
      <c r="BB2" s="1" t="s">
        <v>370</v>
      </c>
      <c r="BC2" s="1" t="s">
        <v>4720</v>
      </c>
      <c r="BD2" s="1">
        <v>10302</v>
      </c>
      <c r="BE2" s="1"/>
      <c r="BH2">
        <f>COUNTIF(Dropdowns!$I:$AF,C2)</f>
        <v>0</v>
      </c>
    </row>
    <row r="3" spans="1:60" x14ac:dyDescent="0.3">
      <c r="A3" s="1">
        <v>2</v>
      </c>
      <c r="B3" s="1" t="s">
        <v>2641</v>
      </c>
      <c r="C3" s="207" t="s">
        <v>62</v>
      </c>
      <c r="D3" s="1" t="s">
        <v>62</v>
      </c>
      <c r="E3" s="1"/>
      <c r="F3" s="1"/>
      <c r="G3" s="1" t="s">
        <v>2642</v>
      </c>
      <c r="H3" s="1" t="s">
        <v>2643</v>
      </c>
      <c r="I3" s="1" t="s">
        <v>2644</v>
      </c>
      <c r="J3" s="1">
        <v>1</v>
      </c>
      <c r="K3" s="1">
        <v>2</v>
      </c>
      <c r="L3" s="1">
        <v>1200</v>
      </c>
      <c r="M3" s="1">
        <v>10</v>
      </c>
      <c r="N3" s="1">
        <v>10</v>
      </c>
      <c r="O3" s="1">
        <v>5</v>
      </c>
      <c r="P3" s="1">
        <v>5</v>
      </c>
      <c r="Q3" s="1">
        <v>2</v>
      </c>
      <c r="R3" s="1">
        <v>2</v>
      </c>
      <c r="S3" s="1">
        <v>2</v>
      </c>
      <c r="T3" s="1">
        <v>0</v>
      </c>
      <c r="U3" s="1">
        <v>110</v>
      </c>
      <c r="V3" s="1">
        <v>95</v>
      </c>
      <c r="W3" s="1">
        <v>105</v>
      </c>
      <c r="X3" s="1">
        <v>100</v>
      </c>
      <c r="Y3" s="1">
        <v>100</v>
      </c>
      <c r="Z3" s="1">
        <v>100</v>
      </c>
      <c r="AA3" s="1">
        <v>0</v>
      </c>
      <c r="AB3" s="1">
        <v>15</v>
      </c>
      <c r="AC3" s="1">
        <v>20</v>
      </c>
      <c r="AD3" s="1">
        <v>0</v>
      </c>
      <c r="AE3" s="1">
        <v>120</v>
      </c>
      <c r="AF3" s="1">
        <v>105</v>
      </c>
      <c r="AG3" s="1">
        <v>102401</v>
      </c>
      <c r="AH3" s="1">
        <v>0</v>
      </c>
      <c r="AI3" s="1">
        <v>300101</v>
      </c>
      <c r="AJ3" s="1" t="s">
        <v>1121</v>
      </c>
      <c r="AK3" s="1" t="s">
        <v>328</v>
      </c>
      <c r="AL3" s="1">
        <v>13</v>
      </c>
      <c r="AM3" s="1" t="s">
        <v>1806</v>
      </c>
      <c r="AN3" s="1" t="s">
        <v>4740</v>
      </c>
      <c r="AO3" s="1" t="s">
        <v>4744</v>
      </c>
      <c r="AP3" s="1">
        <v>0</v>
      </c>
      <c r="AQ3" s="1" t="s">
        <v>1118</v>
      </c>
      <c r="AR3" s="1" t="s">
        <v>1743</v>
      </c>
      <c r="AS3" s="1" t="s">
        <v>1120</v>
      </c>
      <c r="AT3" s="1" t="s">
        <v>328</v>
      </c>
      <c r="AU3" s="1">
        <v>2</v>
      </c>
      <c r="AV3" s="1">
        <v>0</v>
      </c>
      <c r="AW3" s="1" t="s">
        <v>4492</v>
      </c>
      <c r="AX3" s="1" t="s">
        <v>470</v>
      </c>
      <c r="AY3" s="1">
        <v>2</v>
      </c>
      <c r="AZ3" s="1">
        <v>0</v>
      </c>
      <c r="BA3" s="1" t="s">
        <v>4745</v>
      </c>
      <c r="BB3" s="1" t="s">
        <v>4746</v>
      </c>
      <c r="BC3" s="1" t="s">
        <v>4720</v>
      </c>
      <c r="BD3" s="1">
        <v>10202</v>
      </c>
      <c r="BE3" s="1"/>
      <c r="BH3">
        <f>COUNTIF(Dropdowns!$I:$AF,C3)</f>
        <v>0</v>
      </c>
    </row>
    <row r="4" spans="1:60" x14ac:dyDescent="0.3">
      <c r="A4" s="1">
        <v>3</v>
      </c>
      <c r="B4" s="1" t="s">
        <v>2645</v>
      </c>
      <c r="C4" s="207" t="s">
        <v>63</v>
      </c>
      <c r="D4" s="1" t="s">
        <v>63</v>
      </c>
      <c r="E4" s="1"/>
      <c r="F4" s="1"/>
      <c r="G4" s="1" t="s">
        <v>2646</v>
      </c>
      <c r="H4" s="1" t="s">
        <v>2647</v>
      </c>
      <c r="I4" s="1" t="s">
        <v>2648</v>
      </c>
      <c r="J4" s="1">
        <v>1</v>
      </c>
      <c r="K4" s="1">
        <v>3</v>
      </c>
      <c r="L4" s="1">
        <v>2400</v>
      </c>
      <c r="M4" s="1">
        <v>10</v>
      </c>
      <c r="N4" s="1">
        <v>10</v>
      </c>
      <c r="O4" s="1">
        <v>5</v>
      </c>
      <c r="P4" s="1">
        <v>5</v>
      </c>
      <c r="Q4" s="1">
        <v>2</v>
      </c>
      <c r="R4" s="1">
        <v>2</v>
      </c>
      <c r="S4" s="1">
        <v>2</v>
      </c>
      <c r="T4" s="1">
        <v>0</v>
      </c>
      <c r="U4" s="1">
        <v>115</v>
      </c>
      <c r="V4" s="1">
        <v>110</v>
      </c>
      <c r="W4" s="1">
        <v>115</v>
      </c>
      <c r="X4" s="1">
        <v>100</v>
      </c>
      <c r="Y4" s="1">
        <v>120</v>
      </c>
      <c r="Z4" s="1">
        <v>95</v>
      </c>
      <c r="AA4" s="1">
        <v>0</v>
      </c>
      <c r="AB4" s="1">
        <v>15</v>
      </c>
      <c r="AC4" s="1">
        <v>20</v>
      </c>
      <c r="AD4" s="1">
        <v>0</v>
      </c>
      <c r="AE4" s="1">
        <v>110</v>
      </c>
      <c r="AF4" s="1">
        <v>105</v>
      </c>
      <c r="AG4" s="1">
        <v>102202</v>
      </c>
      <c r="AH4" s="1">
        <v>0</v>
      </c>
      <c r="AI4" s="1">
        <v>300101</v>
      </c>
      <c r="AJ4" s="1" t="s">
        <v>1121</v>
      </c>
      <c r="AK4" s="1" t="s">
        <v>328</v>
      </c>
      <c r="AL4" s="1">
        <v>13</v>
      </c>
      <c r="AM4" s="1" t="s">
        <v>1806</v>
      </c>
      <c r="AN4" s="1" t="s">
        <v>4747</v>
      </c>
      <c r="AO4" s="1" t="s">
        <v>4748</v>
      </c>
      <c r="AP4" s="1">
        <v>0</v>
      </c>
      <c r="AQ4" s="1" t="s">
        <v>4742</v>
      </c>
      <c r="AR4" s="1" t="s">
        <v>1119</v>
      </c>
      <c r="AS4" s="1" t="s">
        <v>1120</v>
      </c>
      <c r="AT4" s="1" t="s">
        <v>328</v>
      </c>
      <c r="AU4" s="1">
        <v>3</v>
      </c>
      <c r="AV4" s="1">
        <v>0</v>
      </c>
      <c r="AW4" s="1" t="s">
        <v>4492</v>
      </c>
      <c r="AX4" s="1" t="s">
        <v>470</v>
      </c>
      <c r="AY4" s="1">
        <v>3</v>
      </c>
      <c r="AZ4" s="1">
        <v>0</v>
      </c>
      <c r="BA4" s="1" t="s">
        <v>328</v>
      </c>
      <c r="BB4" s="1" t="s">
        <v>4749</v>
      </c>
      <c r="BC4" s="1" t="s">
        <v>4720</v>
      </c>
      <c r="BD4" s="1">
        <v>10202</v>
      </c>
      <c r="BE4" s="1"/>
      <c r="BH4">
        <f>COUNTIF(Dropdowns!$I:$AF,C4)</f>
        <v>0</v>
      </c>
    </row>
    <row r="5" spans="1:60" x14ac:dyDescent="0.3">
      <c r="A5" s="1">
        <v>4</v>
      </c>
      <c r="B5" s="1" t="s">
        <v>2649</v>
      </c>
      <c r="C5" s="207" t="s">
        <v>64</v>
      </c>
      <c r="D5" s="1" t="s">
        <v>64</v>
      </c>
      <c r="E5" s="1"/>
      <c r="F5" s="1"/>
      <c r="G5" s="1" t="s">
        <v>2650</v>
      </c>
      <c r="H5" s="1" t="s">
        <v>2651</v>
      </c>
      <c r="I5" s="1" t="s">
        <v>2652</v>
      </c>
      <c r="J5" s="1">
        <v>1</v>
      </c>
      <c r="K5" s="1">
        <v>5</v>
      </c>
      <c r="L5" s="1">
        <v>3180</v>
      </c>
      <c r="M5" s="1">
        <v>10</v>
      </c>
      <c r="N5" s="1">
        <v>10</v>
      </c>
      <c r="O5" s="1">
        <v>5</v>
      </c>
      <c r="P5" s="1">
        <v>5</v>
      </c>
      <c r="Q5" s="1">
        <v>2</v>
      </c>
      <c r="R5" s="1">
        <v>2</v>
      </c>
      <c r="S5" s="1">
        <v>2</v>
      </c>
      <c r="T5" s="1">
        <v>0</v>
      </c>
      <c r="U5" s="1">
        <v>105</v>
      </c>
      <c r="V5" s="1">
        <v>128</v>
      </c>
      <c r="W5" s="1">
        <v>85</v>
      </c>
      <c r="X5" s="1">
        <v>100</v>
      </c>
      <c r="Y5" s="1">
        <v>140</v>
      </c>
      <c r="Z5" s="1">
        <v>95</v>
      </c>
      <c r="AA5" s="1">
        <v>0</v>
      </c>
      <c r="AB5" s="1">
        <v>15</v>
      </c>
      <c r="AC5" s="1">
        <v>40</v>
      </c>
      <c r="AD5" s="1">
        <v>0</v>
      </c>
      <c r="AE5" s="1">
        <v>142</v>
      </c>
      <c r="AF5" s="1">
        <v>100</v>
      </c>
      <c r="AG5" s="1">
        <v>120007</v>
      </c>
      <c r="AH5" s="1">
        <v>0</v>
      </c>
      <c r="AI5" s="1">
        <v>120009</v>
      </c>
      <c r="AJ5" s="1" t="s">
        <v>1122</v>
      </c>
      <c r="AK5" s="1" t="s">
        <v>1123</v>
      </c>
      <c r="AL5" s="1">
        <v>13</v>
      </c>
      <c r="AM5" s="1" t="s">
        <v>1806</v>
      </c>
      <c r="AN5" s="1" t="s">
        <v>4750</v>
      </c>
      <c r="AO5" s="1" t="s">
        <v>4751</v>
      </c>
      <c r="AP5" s="1">
        <v>0</v>
      </c>
      <c r="AQ5" s="1" t="s">
        <v>1118</v>
      </c>
      <c r="AR5" s="1" t="s">
        <v>1119</v>
      </c>
      <c r="AS5" s="1" t="s">
        <v>1120</v>
      </c>
      <c r="AT5" s="1" t="s">
        <v>328</v>
      </c>
      <c r="AU5" s="1">
        <v>4</v>
      </c>
      <c r="AV5" s="1">
        <v>0</v>
      </c>
      <c r="AW5" s="1" t="s">
        <v>4752</v>
      </c>
      <c r="AX5" s="1" t="s">
        <v>4753</v>
      </c>
      <c r="AY5" s="1">
        <v>5</v>
      </c>
      <c r="AZ5" s="1">
        <v>0</v>
      </c>
      <c r="BA5" s="1" t="s">
        <v>328</v>
      </c>
      <c r="BB5" s="1" t="s">
        <v>328</v>
      </c>
      <c r="BC5" s="1" t="s">
        <v>4720</v>
      </c>
      <c r="BD5" s="1">
        <v>10202</v>
      </c>
      <c r="BE5" s="1"/>
      <c r="BH5">
        <f>COUNTIF(Dropdowns!$I:$AF,C5)</f>
        <v>0</v>
      </c>
    </row>
    <row r="6" spans="1:60" x14ac:dyDescent="0.3">
      <c r="A6" s="1">
        <v>5</v>
      </c>
      <c r="B6" s="1" t="s">
        <v>2653</v>
      </c>
      <c r="C6" s="207" t="s">
        <v>65</v>
      </c>
      <c r="D6" s="1" t="s">
        <v>65</v>
      </c>
      <c r="E6" s="1"/>
      <c r="F6" s="1"/>
      <c r="G6" s="1" t="s">
        <v>2654</v>
      </c>
      <c r="H6" s="1" t="s">
        <v>2655</v>
      </c>
      <c r="I6" s="1" t="s">
        <v>2656</v>
      </c>
      <c r="J6" s="1">
        <v>1</v>
      </c>
      <c r="K6" s="1">
        <v>2</v>
      </c>
      <c r="L6" s="1">
        <v>1200</v>
      </c>
      <c r="M6" s="1">
        <v>10</v>
      </c>
      <c r="N6" s="1">
        <v>10</v>
      </c>
      <c r="O6" s="1">
        <v>5</v>
      </c>
      <c r="P6" s="1">
        <v>5</v>
      </c>
      <c r="Q6" s="1">
        <v>2</v>
      </c>
      <c r="R6" s="1">
        <v>2</v>
      </c>
      <c r="S6" s="1">
        <v>2</v>
      </c>
      <c r="T6" s="1">
        <v>0</v>
      </c>
      <c r="U6" s="1">
        <v>105</v>
      </c>
      <c r="V6" s="1">
        <v>110</v>
      </c>
      <c r="W6" s="1">
        <v>80</v>
      </c>
      <c r="X6" s="1">
        <v>100</v>
      </c>
      <c r="Y6" s="1">
        <v>85</v>
      </c>
      <c r="Z6" s="1">
        <v>115</v>
      </c>
      <c r="AA6" s="1">
        <v>0</v>
      </c>
      <c r="AB6" s="1">
        <v>15</v>
      </c>
      <c r="AC6" s="1">
        <v>20</v>
      </c>
      <c r="AD6" s="1">
        <v>0</v>
      </c>
      <c r="AE6" s="1">
        <v>130</v>
      </c>
      <c r="AF6" s="1">
        <v>80</v>
      </c>
      <c r="AG6" s="1">
        <v>101309</v>
      </c>
      <c r="AH6" s="1">
        <v>0</v>
      </c>
      <c r="AI6" s="1">
        <v>300115</v>
      </c>
      <c r="AJ6" s="1" t="s">
        <v>1124</v>
      </c>
      <c r="AK6" s="1" t="s">
        <v>328</v>
      </c>
      <c r="AL6" s="1">
        <v>13</v>
      </c>
      <c r="AM6" s="1" t="s">
        <v>1806</v>
      </c>
      <c r="AN6" s="1" t="s">
        <v>4754</v>
      </c>
      <c r="AO6" s="1" t="s">
        <v>4755</v>
      </c>
      <c r="AP6" s="1">
        <v>0</v>
      </c>
      <c r="AQ6" s="1" t="s">
        <v>4742</v>
      </c>
      <c r="AR6" s="1" t="s">
        <v>1119</v>
      </c>
      <c r="AS6" s="1" t="s">
        <v>1120</v>
      </c>
      <c r="AT6" s="1" t="s">
        <v>328</v>
      </c>
      <c r="AU6" s="1">
        <v>5</v>
      </c>
      <c r="AV6" s="1">
        <v>0</v>
      </c>
      <c r="AW6" s="1" t="s">
        <v>4492</v>
      </c>
      <c r="AX6" s="1" t="s">
        <v>470</v>
      </c>
      <c r="AY6" s="1">
        <v>2</v>
      </c>
      <c r="AZ6" s="1">
        <v>0</v>
      </c>
      <c r="BA6" s="1" t="s">
        <v>4745</v>
      </c>
      <c r="BB6" s="1" t="s">
        <v>4756</v>
      </c>
      <c r="BC6" s="1" t="s">
        <v>4757</v>
      </c>
      <c r="BD6" s="1">
        <v>10302</v>
      </c>
      <c r="BE6" s="1"/>
      <c r="BH6">
        <f>COUNTIF(Dropdowns!$I:$AF,C6)</f>
        <v>0</v>
      </c>
    </row>
    <row r="7" spans="1:60" x14ac:dyDescent="0.3">
      <c r="A7" s="1">
        <v>6</v>
      </c>
      <c r="B7" s="1" t="s">
        <v>2657</v>
      </c>
      <c r="C7" s="207" t="s">
        <v>66</v>
      </c>
      <c r="D7" s="1" t="s">
        <v>2658</v>
      </c>
      <c r="E7" s="1"/>
      <c r="F7" s="1"/>
      <c r="G7" s="1" t="s">
        <v>2659</v>
      </c>
      <c r="H7" s="1" t="s">
        <v>2660</v>
      </c>
      <c r="I7" s="1" t="s">
        <v>2661</v>
      </c>
      <c r="J7" s="1">
        <v>1</v>
      </c>
      <c r="K7" s="1">
        <v>3</v>
      </c>
      <c r="L7" s="1">
        <v>2700</v>
      </c>
      <c r="M7" s="1">
        <v>10</v>
      </c>
      <c r="N7" s="1">
        <v>10</v>
      </c>
      <c r="O7" s="1">
        <v>5</v>
      </c>
      <c r="P7" s="1">
        <v>5</v>
      </c>
      <c r="Q7" s="1">
        <v>2</v>
      </c>
      <c r="R7" s="1">
        <v>2</v>
      </c>
      <c r="S7" s="1">
        <v>2</v>
      </c>
      <c r="T7" s="1">
        <v>0</v>
      </c>
      <c r="U7" s="1">
        <v>130</v>
      </c>
      <c r="V7" s="1">
        <v>120</v>
      </c>
      <c r="W7" s="1">
        <v>100</v>
      </c>
      <c r="X7" s="1">
        <v>100</v>
      </c>
      <c r="Y7" s="1">
        <v>105</v>
      </c>
      <c r="Z7" s="1">
        <v>100</v>
      </c>
      <c r="AA7" s="1">
        <v>0</v>
      </c>
      <c r="AB7" s="1">
        <v>15</v>
      </c>
      <c r="AC7" s="1">
        <v>20</v>
      </c>
      <c r="AD7" s="1">
        <v>0</v>
      </c>
      <c r="AE7" s="1">
        <v>105</v>
      </c>
      <c r="AF7" s="1">
        <v>120</v>
      </c>
      <c r="AG7" s="1">
        <v>100602</v>
      </c>
      <c r="AH7" s="1">
        <v>0</v>
      </c>
      <c r="AI7" s="1">
        <v>300101</v>
      </c>
      <c r="AJ7" s="1" t="s">
        <v>4758</v>
      </c>
      <c r="AK7" s="1" t="s">
        <v>328</v>
      </c>
      <c r="AL7" s="1">
        <v>13</v>
      </c>
      <c r="AM7" s="1" t="s">
        <v>1806</v>
      </c>
      <c r="AN7" s="1" t="s">
        <v>4747</v>
      </c>
      <c r="AO7" s="1" t="s">
        <v>4744</v>
      </c>
      <c r="AP7" s="1">
        <v>0</v>
      </c>
      <c r="AQ7" s="1" t="s">
        <v>1118</v>
      </c>
      <c r="AR7" s="1" t="s">
        <v>1119</v>
      </c>
      <c r="AS7" s="1" t="s">
        <v>1120</v>
      </c>
      <c r="AT7" s="1" t="s">
        <v>328</v>
      </c>
      <c r="AU7" s="1">
        <v>6</v>
      </c>
      <c r="AV7" s="1">
        <v>0</v>
      </c>
      <c r="AW7" s="1" t="s">
        <v>4492</v>
      </c>
      <c r="AX7" s="1" t="s">
        <v>470</v>
      </c>
      <c r="AY7" s="1">
        <v>3</v>
      </c>
      <c r="AZ7" s="1">
        <v>0</v>
      </c>
      <c r="BA7" s="1" t="s">
        <v>328</v>
      </c>
      <c r="BB7" s="1" t="s">
        <v>4759</v>
      </c>
      <c r="BC7" s="1" t="s">
        <v>4757</v>
      </c>
      <c r="BD7" s="1">
        <v>10302</v>
      </c>
      <c r="BE7" s="1"/>
      <c r="BH7">
        <f>COUNTIF(Dropdowns!$I:$AF,C7)</f>
        <v>0</v>
      </c>
    </row>
    <row r="8" spans="1:60" x14ac:dyDescent="0.3">
      <c r="A8" s="1">
        <v>7</v>
      </c>
      <c r="B8" s="1" t="s">
        <v>2662</v>
      </c>
      <c r="C8" s="207" t="s">
        <v>67</v>
      </c>
      <c r="D8" s="1" t="s">
        <v>2663</v>
      </c>
      <c r="E8" s="1"/>
      <c r="F8" s="1"/>
      <c r="G8" s="1" t="s">
        <v>2664</v>
      </c>
      <c r="H8" s="1" t="s">
        <v>2665</v>
      </c>
      <c r="I8" s="1" t="s">
        <v>2666</v>
      </c>
      <c r="J8" s="1">
        <v>1</v>
      </c>
      <c r="K8" s="1">
        <v>4</v>
      </c>
      <c r="L8" s="1">
        <v>3300</v>
      </c>
      <c r="M8" s="1">
        <v>10</v>
      </c>
      <c r="N8" s="1">
        <v>10</v>
      </c>
      <c r="O8" s="1">
        <v>5</v>
      </c>
      <c r="P8" s="1">
        <v>5</v>
      </c>
      <c r="Q8" s="1">
        <v>2</v>
      </c>
      <c r="R8" s="1">
        <v>2</v>
      </c>
      <c r="S8" s="1">
        <v>2</v>
      </c>
      <c r="T8" s="1">
        <v>0</v>
      </c>
      <c r="U8" s="1">
        <v>125</v>
      </c>
      <c r="V8" s="1">
        <v>105</v>
      </c>
      <c r="W8" s="1">
        <v>125</v>
      </c>
      <c r="X8" s="1">
        <v>100</v>
      </c>
      <c r="Y8" s="1">
        <v>95</v>
      </c>
      <c r="Z8" s="1">
        <v>95</v>
      </c>
      <c r="AA8" s="1">
        <v>0</v>
      </c>
      <c r="AB8" s="1">
        <v>15</v>
      </c>
      <c r="AC8" s="1">
        <v>20</v>
      </c>
      <c r="AD8" s="1">
        <v>0</v>
      </c>
      <c r="AE8" s="1">
        <v>110</v>
      </c>
      <c r="AF8" s="1">
        <v>100</v>
      </c>
      <c r="AG8" s="1">
        <v>100805</v>
      </c>
      <c r="AH8" s="1">
        <v>0</v>
      </c>
      <c r="AI8" s="1">
        <v>900271</v>
      </c>
      <c r="AJ8" s="1" t="s">
        <v>328</v>
      </c>
      <c r="AK8" s="1" t="s">
        <v>328</v>
      </c>
      <c r="AL8" s="1">
        <v>13</v>
      </c>
      <c r="AM8" s="1" t="s">
        <v>1806</v>
      </c>
      <c r="AN8" s="1" t="s">
        <v>4747</v>
      </c>
      <c r="AO8" s="1" t="s">
        <v>4760</v>
      </c>
      <c r="AP8" s="1">
        <v>0</v>
      </c>
      <c r="AQ8" s="1" t="s">
        <v>4742</v>
      </c>
      <c r="AR8" s="1" t="s">
        <v>1119</v>
      </c>
      <c r="AS8" s="1" t="s">
        <v>4761</v>
      </c>
      <c r="AT8" s="1" t="s">
        <v>328</v>
      </c>
      <c r="AU8" s="1">
        <v>7</v>
      </c>
      <c r="AV8" s="1">
        <v>0</v>
      </c>
      <c r="AW8" s="1" t="s">
        <v>4492</v>
      </c>
      <c r="AX8" s="1" t="s">
        <v>4762</v>
      </c>
      <c r="AY8" s="1">
        <v>4</v>
      </c>
      <c r="AZ8" s="1">
        <v>0</v>
      </c>
      <c r="BA8" s="1" t="s">
        <v>4743</v>
      </c>
      <c r="BB8" s="1" t="s">
        <v>484</v>
      </c>
      <c r="BC8" s="1" t="s">
        <v>4757</v>
      </c>
      <c r="BD8" s="1">
        <v>10303</v>
      </c>
      <c r="BE8" s="1"/>
      <c r="BH8">
        <f>COUNTIF(Dropdowns!$I:$AF,C8)</f>
        <v>0</v>
      </c>
    </row>
    <row r="9" spans="1:60" x14ac:dyDescent="0.3">
      <c r="A9" s="1">
        <v>8</v>
      </c>
      <c r="B9" s="1" t="s">
        <v>2667</v>
      </c>
      <c r="C9" s="207" t="s">
        <v>68</v>
      </c>
      <c r="D9" s="1" t="s">
        <v>2668</v>
      </c>
      <c r="E9" s="1"/>
      <c r="F9" s="1"/>
      <c r="G9" s="1" t="s">
        <v>2669</v>
      </c>
      <c r="H9" s="1" t="s">
        <v>2670</v>
      </c>
      <c r="I9" s="1" t="s">
        <v>2671</v>
      </c>
      <c r="J9" s="1">
        <v>1</v>
      </c>
      <c r="K9" s="1">
        <v>3</v>
      </c>
      <c r="L9" s="1">
        <v>2400</v>
      </c>
      <c r="M9" s="1">
        <v>10</v>
      </c>
      <c r="N9" s="1">
        <v>10</v>
      </c>
      <c r="O9" s="1">
        <v>5</v>
      </c>
      <c r="P9" s="1">
        <v>5</v>
      </c>
      <c r="Q9" s="1">
        <v>2</v>
      </c>
      <c r="R9" s="1">
        <v>2</v>
      </c>
      <c r="S9" s="1">
        <v>2</v>
      </c>
      <c r="T9" s="1">
        <v>0</v>
      </c>
      <c r="U9" s="1">
        <v>95</v>
      </c>
      <c r="V9" s="1">
        <v>90</v>
      </c>
      <c r="W9" s="1">
        <v>110</v>
      </c>
      <c r="X9" s="1">
        <v>100</v>
      </c>
      <c r="Y9" s="1">
        <v>115</v>
      </c>
      <c r="Z9" s="1">
        <v>120</v>
      </c>
      <c r="AA9" s="1">
        <v>0</v>
      </c>
      <c r="AB9" s="1">
        <v>15</v>
      </c>
      <c r="AC9" s="1">
        <v>20</v>
      </c>
      <c r="AD9" s="1">
        <v>0</v>
      </c>
      <c r="AE9" s="1">
        <v>130</v>
      </c>
      <c r="AF9" s="1">
        <v>100</v>
      </c>
      <c r="AG9" s="1">
        <v>101502</v>
      </c>
      <c r="AH9" s="1">
        <v>0</v>
      </c>
      <c r="AI9" s="1">
        <v>300101</v>
      </c>
      <c r="AJ9" s="1" t="s">
        <v>1125</v>
      </c>
      <c r="AK9" s="1" t="s">
        <v>1126</v>
      </c>
      <c r="AL9" s="1">
        <v>13</v>
      </c>
      <c r="AM9" s="1" t="s">
        <v>1806</v>
      </c>
      <c r="AN9" s="1" t="s">
        <v>4763</v>
      </c>
      <c r="AO9" s="1" t="s">
        <v>4764</v>
      </c>
      <c r="AP9" s="1">
        <v>0</v>
      </c>
      <c r="AQ9" s="1" t="s">
        <v>4742</v>
      </c>
      <c r="AR9" s="1" t="s">
        <v>1743</v>
      </c>
      <c r="AS9" s="1" t="s">
        <v>1120</v>
      </c>
      <c r="AT9" s="1" t="s">
        <v>328</v>
      </c>
      <c r="AU9" s="1">
        <v>8</v>
      </c>
      <c r="AV9" s="1">
        <v>0</v>
      </c>
      <c r="AW9" s="1" t="s">
        <v>4492</v>
      </c>
      <c r="AX9" s="1" t="s">
        <v>470</v>
      </c>
      <c r="AY9" s="1">
        <v>3</v>
      </c>
      <c r="AZ9" s="1">
        <v>0</v>
      </c>
      <c r="BA9" s="1" t="s">
        <v>4765</v>
      </c>
      <c r="BB9" s="1" t="s">
        <v>4766</v>
      </c>
      <c r="BC9" s="1" t="s">
        <v>4757</v>
      </c>
      <c r="BD9" s="1">
        <v>10704</v>
      </c>
      <c r="BE9" s="1"/>
      <c r="BH9">
        <f>COUNTIF(Dropdowns!$I:$AF,C9)</f>
        <v>0</v>
      </c>
    </row>
    <row r="10" spans="1:60" x14ac:dyDescent="0.3">
      <c r="A10" s="1">
        <v>9</v>
      </c>
      <c r="B10" s="1" t="s">
        <v>2672</v>
      </c>
      <c r="C10" s="207" t="s">
        <v>69</v>
      </c>
      <c r="D10" s="1" t="s">
        <v>69</v>
      </c>
      <c r="E10" s="1"/>
      <c r="F10" s="1"/>
      <c r="G10" s="1" t="s">
        <v>2673</v>
      </c>
      <c r="H10" s="1" t="s">
        <v>2674</v>
      </c>
      <c r="I10" s="1" t="s">
        <v>2675</v>
      </c>
      <c r="J10" s="1">
        <v>1</v>
      </c>
      <c r="K10" s="1">
        <v>2</v>
      </c>
      <c r="L10" s="1">
        <v>1200</v>
      </c>
      <c r="M10" s="1">
        <v>10</v>
      </c>
      <c r="N10" s="1">
        <v>10</v>
      </c>
      <c r="O10" s="1">
        <v>5</v>
      </c>
      <c r="P10" s="1">
        <v>5</v>
      </c>
      <c r="Q10" s="1">
        <v>2</v>
      </c>
      <c r="R10" s="1">
        <v>2</v>
      </c>
      <c r="S10" s="1">
        <v>2</v>
      </c>
      <c r="T10" s="1">
        <v>0</v>
      </c>
      <c r="U10" s="1">
        <v>100</v>
      </c>
      <c r="V10" s="1">
        <v>100</v>
      </c>
      <c r="W10" s="1">
        <v>105</v>
      </c>
      <c r="X10" s="1">
        <v>100</v>
      </c>
      <c r="Y10" s="1">
        <v>95</v>
      </c>
      <c r="Z10" s="1">
        <v>105</v>
      </c>
      <c r="AA10" s="1">
        <v>0</v>
      </c>
      <c r="AB10" s="1">
        <v>15</v>
      </c>
      <c r="AC10" s="1">
        <v>20</v>
      </c>
      <c r="AD10" s="1">
        <v>0</v>
      </c>
      <c r="AE10" s="1">
        <v>125</v>
      </c>
      <c r="AF10" s="1">
        <v>105</v>
      </c>
      <c r="AG10" s="1">
        <v>102501</v>
      </c>
      <c r="AH10" s="1">
        <v>0</v>
      </c>
      <c r="AI10" s="1">
        <v>300101</v>
      </c>
      <c r="AJ10" s="1" t="s">
        <v>1127</v>
      </c>
      <c r="AK10" s="1" t="s">
        <v>328</v>
      </c>
      <c r="AL10" s="1">
        <v>13</v>
      </c>
      <c r="AM10" s="1" t="s">
        <v>1806</v>
      </c>
      <c r="AN10" s="1" t="s">
        <v>4747</v>
      </c>
      <c r="AO10" s="1" t="s">
        <v>4767</v>
      </c>
      <c r="AP10" s="1">
        <v>0</v>
      </c>
      <c r="AQ10" s="1" t="s">
        <v>1118</v>
      </c>
      <c r="AR10" s="1" t="s">
        <v>1119</v>
      </c>
      <c r="AS10" s="1" t="s">
        <v>1120</v>
      </c>
      <c r="AT10" s="1" t="s">
        <v>328</v>
      </c>
      <c r="AU10" s="1">
        <v>9</v>
      </c>
      <c r="AV10" s="1">
        <v>0</v>
      </c>
      <c r="AW10" s="1" t="s">
        <v>4492</v>
      </c>
      <c r="AX10" s="1" t="s">
        <v>470</v>
      </c>
      <c r="AY10" s="1">
        <v>2</v>
      </c>
      <c r="AZ10" s="1">
        <v>0</v>
      </c>
      <c r="BA10" s="1" t="s">
        <v>328</v>
      </c>
      <c r="BB10" s="1" t="s">
        <v>4768</v>
      </c>
      <c r="BC10" s="1" t="s">
        <v>4769</v>
      </c>
      <c r="BD10" s="1">
        <v>10803</v>
      </c>
      <c r="BE10" s="1"/>
      <c r="BH10">
        <f>COUNTIF(Dropdowns!$I:$AF,C10)</f>
        <v>0</v>
      </c>
    </row>
    <row r="11" spans="1:60" x14ac:dyDescent="0.3">
      <c r="A11" s="1">
        <v>10</v>
      </c>
      <c r="B11" s="1" t="s">
        <v>2676</v>
      </c>
      <c r="C11" s="207" t="s">
        <v>70</v>
      </c>
      <c r="D11" s="1" t="s">
        <v>70</v>
      </c>
      <c r="E11" s="1"/>
      <c r="F11" s="1"/>
      <c r="G11" s="1" t="s">
        <v>2677</v>
      </c>
      <c r="H11" s="1" t="s">
        <v>2678</v>
      </c>
      <c r="I11" s="1" t="s">
        <v>2679</v>
      </c>
      <c r="J11" s="1">
        <v>1</v>
      </c>
      <c r="K11" s="1">
        <v>2</v>
      </c>
      <c r="L11" s="1">
        <v>1320</v>
      </c>
      <c r="M11" s="1">
        <v>10</v>
      </c>
      <c r="N11" s="1">
        <v>10</v>
      </c>
      <c r="O11" s="1">
        <v>5</v>
      </c>
      <c r="P11" s="1">
        <v>5</v>
      </c>
      <c r="Q11" s="1">
        <v>2</v>
      </c>
      <c r="R11" s="1">
        <v>2</v>
      </c>
      <c r="S11" s="1">
        <v>2</v>
      </c>
      <c r="T11" s="1">
        <v>0</v>
      </c>
      <c r="U11" s="1">
        <v>85</v>
      </c>
      <c r="V11" s="1">
        <v>85</v>
      </c>
      <c r="W11" s="1">
        <v>115</v>
      </c>
      <c r="X11" s="1">
        <v>100</v>
      </c>
      <c r="Y11" s="1">
        <v>115</v>
      </c>
      <c r="Z11" s="1">
        <v>130</v>
      </c>
      <c r="AA11" s="1">
        <v>0</v>
      </c>
      <c r="AB11" s="1">
        <v>15</v>
      </c>
      <c r="AC11" s="1">
        <v>20</v>
      </c>
      <c r="AD11" s="1">
        <v>0</v>
      </c>
      <c r="AE11" s="1">
        <v>125</v>
      </c>
      <c r="AF11" s="1">
        <v>95</v>
      </c>
      <c r="AG11" s="1">
        <v>105001</v>
      </c>
      <c r="AH11" s="1">
        <v>0</v>
      </c>
      <c r="AI11" s="1">
        <v>300101</v>
      </c>
      <c r="AJ11" s="1" t="s">
        <v>4770</v>
      </c>
      <c r="AK11" s="1" t="s">
        <v>328</v>
      </c>
      <c r="AL11" s="1">
        <v>13</v>
      </c>
      <c r="AM11" s="1" t="s">
        <v>1806</v>
      </c>
      <c r="AN11" s="1" t="s">
        <v>4763</v>
      </c>
      <c r="AO11" s="1" t="s">
        <v>4771</v>
      </c>
      <c r="AP11" s="1">
        <v>0</v>
      </c>
      <c r="AQ11" s="1" t="s">
        <v>4742</v>
      </c>
      <c r="AR11" s="1" t="s">
        <v>1119</v>
      </c>
      <c r="AS11" s="1" t="s">
        <v>1120</v>
      </c>
      <c r="AT11" s="1" t="s">
        <v>328</v>
      </c>
      <c r="AU11" s="1">
        <v>10</v>
      </c>
      <c r="AV11" s="1">
        <v>0</v>
      </c>
      <c r="AW11" s="1" t="s">
        <v>4492</v>
      </c>
      <c r="AX11" s="1" t="s">
        <v>470</v>
      </c>
      <c r="AY11" s="1">
        <v>2</v>
      </c>
      <c r="AZ11" s="1">
        <v>0</v>
      </c>
      <c r="BA11" s="1" t="s">
        <v>328</v>
      </c>
      <c r="BB11" s="1" t="s">
        <v>4772</v>
      </c>
      <c r="BC11" s="1" t="s">
        <v>4769</v>
      </c>
      <c r="BD11" s="1">
        <v>10303</v>
      </c>
      <c r="BE11" s="1"/>
      <c r="BH11">
        <f>COUNTIF(Dropdowns!$I:$AF,C11)</f>
        <v>0</v>
      </c>
    </row>
    <row r="12" spans="1:60" x14ac:dyDescent="0.3">
      <c r="A12" s="1">
        <v>11</v>
      </c>
      <c r="B12" s="1" t="s">
        <v>2680</v>
      </c>
      <c r="C12" s="207" t="s">
        <v>71</v>
      </c>
      <c r="D12" s="1" t="s">
        <v>71</v>
      </c>
      <c r="E12" s="1"/>
      <c r="F12" s="1"/>
      <c r="G12" s="1" t="s">
        <v>2681</v>
      </c>
      <c r="H12" s="1" t="s">
        <v>2682</v>
      </c>
      <c r="I12" s="1" t="s">
        <v>2683</v>
      </c>
      <c r="J12" s="1">
        <v>1</v>
      </c>
      <c r="K12" s="1">
        <v>3</v>
      </c>
      <c r="L12" s="1">
        <v>1800</v>
      </c>
      <c r="M12" s="1">
        <v>10</v>
      </c>
      <c r="N12" s="1">
        <v>10</v>
      </c>
      <c r="O12" s="1">
        <v>5</v>
      </c>
      <c r="P12" s="1">
        <v>5</v>
      </c>
      <c r="Q12" s="1">
        <v>2</v>
      </c>
      <c r="R12" s="1">
        <v>2</v>
      </c>
      <c r="S12" s="1">
        <v>2</v>
      </c>
      <c r="T12" s="1">
        <v>0</v>
      </c>
      <c r="U12" s="1">
        <v>105</v>
      </c>
      <c r="V12" s="1">
        <v>105</v>
      </c>
      <c r="W12" s="1">
        <v>100</v>
      </c>
      <c r="X12" s="1">
        <v>100</v>
      </c>
      <c r="Y12" s="1">
        <v>85</v>
      </c>
      <c r="Z12" s="1">
        <v>100</v>
      </c>
      <c r="AA12" s="1">
        <v>0</v>
      </c>
      <c r="AB12" s="1">
        <v>15</v>
      </c>
      <c r="AC12" s="1">
        <v>20</v>
      </c>
      <c r="AD12" s="1">
        <v>0</v>
      </c>
      <c r="AE12" s="1">
        <v>130</v>
      </c>
      <c r="AF12" s="1">
        <v>100</v>
      </c>
      <c r="AG12" s="1">
        <v>100610</v>
      </c>
      <c r="AH12" s="1">
        <v>0</v>
      </c>
      <c r="AI12" s="1">
        <v>300101</v>
      </c>
      <c r="AJ12" s="1" t="s">
        <v>1125</v>
      </c>
      <c r="AK12" s="1" t="s">
        <v>328</v>
      </c>
      <c r="AL12" s="1">
        <v>13</v>
      </c>
      <c r="AM12" s="1" t="s">
        <v>1806</v>
      </c>
      <c r="AN12" s="1" t="s">
        <v>4773</v>
      </c>
      <c r="AO12" s="1" t="s">
        <v>4774</v>
      </c>
      <c r="AP12" s="1">
        <v>0</v>
      </c>
      <c r="AQ12" s="1" t="s">
        <v>1118</v>
      </c>
      <c r="AR12" s="1" t="s">
        <v>1119</v>
      </c>
      <c r="AS12" s="1" t="s">
        <v>1120</v>
      </c>
      <c r="AT12" s="1" t="s">
        <v>328</v>
      </c>
      <c r="AU12" s="1">
        <v>11</v>
      </c>
      <c r="AV12" s="1">
        <v>0</v>
      </c>
      <c r="AW12" s="1" t="s">
        <v>4492</v>
      </c>
      <c r="AX12" s="1" t="s">
        <v>470</v>
      </c>
      <c r="AY12" s="1">
        <v>3</v>
      </c>
      <c r="AZ12" s="1">
        <v>0</v>
      </c>
      <c r="BA12" s="1" t="s">
        <v>328</v>
      </c>
      <c r="BB12" s="1" t="s">
        <v>4775</v>
      </c>
      <c r="BC12" s="1" t="s">
        <v>4769</v>
      </c>
      <c r="BD12" s="1">
        <v>10303</v>
      </c>
      <c r="BE12" s="1"/>
      <c r="BH12">
        <f>COUNTIF(Dropdowns!$I:$AF,C12)</f>
        <v>0</v>
      </c>
    </row>
    <row r="13" spans="1:60" x14ac:dyDescent="0.3">
      <c r="A13" s="1">
        <v>12</v>
      </c>
      <c r="B13" s="1" t="s">
        <v>2684</v>
      </c>
      <c r="C13" s="207" t="s">
        <v>72</v>
      </c>
      <c r="D13" s="1" t="s">
        <v>72</v>
      </c>
      <c r="E13" s="1"/>
      <c r="F13" s="1"/>
      <c r="G13" s="1" t="s">
        <v>2685</v>
      </c>
      <c r="H13" s="1" t="s">
        <v>2686</v>
      </c>
      <c r="I13" s="1" t="s">
        <v>2687</v>
      </c>
      <c r="J13" s="1">
        <v>1</v>
      </c>
      <c r="K13" s="1">
        <v>3</v>
      </c>
      <c r="L13" s="1">
        <v>1800</v>
      </c>
      <c r="M13" s="1">
        <v>10</v>
      </c>
      <c r="N13" s="1">
        <v>10</v>
      </c>
      <c r="O13" s="1">
        <v>5</v>
      </c>
      <c r="P13" s="1">
        <v>5</v>
      </c>
      <c r="Q13" s="1">
        <v>2</v>
      </c>
      <c r="R13" s="1">
        <v>2</v>
      </c>
      <c r="S13" s="1">
        <v>2</v>
      </c>
      <c r="T13" s="1">
        <v>0</v>
      </c>
      <c r="U13" s="1">
        <v>125</v>
      </c>
      <c r="V13" s="1">
        <v>115</v>
      </c>
      <c r="W13" s="1">
        <v>120</v>
      </c>
      <c r="X13" s="1">
        <v>100</v>
      </c>
      <c r="Y13" s="1">
        <v>95</v>
      </c>
      <c r="Z13" s="1">
        <v>95</v>
      </c>
      <c r="AA13" s="1">
        <v>0</v>
      </c>
      <c r="AB13" s="1">
        <v>15</v>
      </c>
      <c r="AC13" s="1">
        <v>20</v>
      </c>
      <c r="AD13" s="1">
        <v>0</v>
      </c>
      <c r="AE13" s="1">
        <v>100</v>
      </c>
      <c r="AF13" s="1">
        <v>135</v>
      </c>
      <c r="AG13" s="1">
        <v>102502</v>
      </c>
      <c r="AH13" s="1">
        <v>0</v>
      </c>
      <c r="AI13" s="1">
        <v>300101</v>
      </c>
      <c r="AJ13" s="1" t="s">
        <v>1125</v>
      </c>
      <c r="AK13" s="1" t="s">
        <v>328</v>
      </c>
      <c r="AL13" s="1">
        <v>13</v>
      </c>
      <c r="AM13" s="1" t="s">
        <v>1806</v>
      </c>
      <c r="AN13" s="1" t="s">
        <v>4776</v>
      </c>
      <c r="AO13" s="1" t="s">
        <v>4777</v>
      </c>
      <c r="AP13" s="1">
        <v>0</v>
      </c>
      <c r="AQ13" s="1" t="s">
        <v>4742</v>
      </c>
      <c r="AR13" s="1" t="s">
        <v>1119</v>
      </c>
      <c r="AS13" s="1" t="s">
        <v>1120</v>
      </c>
      <c r="AT13" s="1" t="s">
        <v>328</v>
      </c>
      <c r="AU13" s="1">
        <v>12</v>
      </c>
      <c r="AV13" s="1">
        <v>0</v>
      </c>
      <c r="AW13" s="1" t="s">
        <v>4492</v>
      </c>
      <c r="AX13" s="1" t="s">
        <v>470</v>
      </c>
      <c r="AY13" s="1">
        <v>3</v>
      </c>
      <c r="AZ13" s="1">
        <v>0</v>
      </c>
      <c r="BA13" s="1" t="s">
        <v>4765</v>
      </c>
      <c r="BB13" s="1" t="s">
        <v>4778</v>
      </c>
      <c r="BC13" s="1" t="s">
        <v>4769</v>
      </c>
      <c r="BD13" s="1">
        <v>10302</v>
      </c>
      <c r="BE13" s="1"/>
      <c r="BH13">
        <f>COUNTIF(Dropdowns!$I:$AF,C13)</f>
        <v>0</v>
      </c>
    </row>
    <row r="14" spans="1:60" x14ac:dyDescent="0.3">
      <c r="A14" s="1">
        <v>13</v>
      </c>
      <c r="B14" s="1" t="s">
        <v>2688</v>
      </c>
      <c r="C14" s="207" t="s">
        <v>73</v>
      </c>
      <c r="D14" s="1" t="s">
        <v>2689</v>
      </c>
      <c r="E14" s="1"/>
      <c r="F14" s="1"/>
      <c r="G14" s="1" t="s">
        <v>2690</v>
      </c>
      <c r="H14" s="1" t="s">
        <v>2691</v>
      </c>
      <c r="I14" s="1" t="s">
        <v>2692</v>
      </c>
      <c r="J14" s="1">
        <v>1</v>
      </c>
      <c r="K14" s="1">
        <v>3</v>
      </c>
      <c r="L14" s="1">
        <v>2100</v>
      </c>
      <c r="M14" s="1">
        <v>10</v>
      </c>
      <c r="N14" s="1">
        <v>10</v>
      </c>
      <c r="O14" s="1">
        <v>5</v>
      </c>
      <c r="P14" s="1">
        <v>5</v>
      </c>
      <c r="Q14" s="1">
        <v>2</v>
      </c>
      <c r="R14" s="1">
        <v>2</v>
      </c>
      <c r="S14" s="1">
        <v>2</v>
      </c>
      <c r="T14" s="1">
        <v>0</v>
      </c>
      <c r="U14" s="1">
        <v>95</v>
      </c>
      <c r="V14" s="1">
        <v>115</v>
      </c>
      <c r="W14" s="1">
        <v>115</v>
      </c>
      <c r="X14" s="1">
        <v>100</v>
      </c>
      <c r="Y14" s="1">
        <v>100</v>
      </c>
      <c r="Z14" s="1">
        <v>115</v>
      </c>
      <c r="AA14" s="1">
        <v>0</v>
      </c>
      <c r="AB14" s="1">
        <v>15</v>
      </c>
      <c r="AC14" s="1">
        <v>20</v>
      </c>
      <c r="AD14" s="1">
        <v>0</v>
      </c>
      <c r="AE14" s="1">
        <v>110</v>
      </c>
      <c r="AF14" s="1">
        <v>100</v>
      </c>
      <c r="AG14" s="1">
        <v>102002</v>
      </c>
      <c r="AH14" s="1">
        <v>0</v>
      </c>
      <c r="AI14" s="1">
        <v>300101</v>
      </c>
      <c r="AJ14" s="1" t="s">
        <v>4779</v>
      </c>
      <c r="AK14" s="1" t="s">
        <v>328</v>
      </c>
      <c r="AL14" s="1">
        <v>13</v>
      </c>
      <c r="AM14" s="1" t="s">
        <v>1806</v>
      </c>
      <c r="AN14" s="1" t="s">
        <v>4780</v>
      </c>
      <c r="AO14" s="1" t="s">
        <v>4781</v>
      </c>
      <c r="AP14" s="1">
        <v>0</v>
      </c>
      <c r="AQ14" s="1" t="s">
        <v>1118</v>
      </c>
      <c r="AR14" s="1" t="s">
        <v>1119</v>
      </c>
      <c r="AS14" s="1" t="s">
        <v>1120</v>
      </c>
      <c r="AT14" s="1" t="s">
        <v>328</v>
      </c>
      <c r="AU14" s="1">
        <v>13</v>
      </c>
      <c r="AV14" s="1">
        <v>0</v>
      </c>
      <c r="AW14" s="1" t="s">
        <v>4492</v>
      </c>
      <c r="AX14" s="1" t="s">
        <v>470</v>
      </c>
      <c r="AY14" s="1">
        <v>3</v>
      </c>
      <c r="AZ14" s="1">
        <v>0</v>
      </c>
      <c r="BA14" s="1" t="s">
        <v>328</v>
      </c>
      <c r="BB14" s="1" t="s">
        <v>4782</v>
      </c>
      <c r="BC14" s="1" t="s">
        <v>4783</v>
      </c>
      <c r="BD14" s="1">
        <v>10704</v>
      </c>
      <c r="BE14" s="1"/>
      <c r="BH14">
        <f>COUNTIF(Dropdowns!$I:$AF,C14)</f>
        <v>0</v>
      </c>
    </row>
    <row r="15" spans="1:60" x14ac:dyDescent="0.3">
      <c r="A15" s="1">
        <v>14</v>
      </c>
      <c r="B15" s="1" t="s">
        <v>2693</v>
      </c>
      <c r="C15" s="207" t="s">
        <v>74</v>
      </c>
      <c r="D15" s="1" t="s">
        <v>2694</v>
      </c>
      <c r="E15" s="1"/>
      <c r="F15" s="1"/>
      <c r="G15" s="1" t="s">
        <v>2695</v>
      </c>
      <c r="H15" s="1" t="s">
        <v>2696</v>
      </c>
      <c r="I15" s="1" t="s">
        <v>2697</v>
      </c>
      <c r="J15" s="1">
        <v>1</v>
      </c>
      <c r="K15" s="1">
        <v>3</v>
      </c>
      <c r="L15" s="1">
        <v>2400</v>
      </c>
      <c r="M15" s="1">
        <v>10</v>
      </c>
      <c r="N15" s="1">
        <v>10</v>
      </c>
      <c r="O15" s="1">
        <v>5</v>
      </c>
      <c r="P15" s="1">
        <v>5</v>
      </c>
      <c r="Q15" s="1">
        <v>2</v>
      </c>
      <c r="R15" s="1">
        <v>2</v>
      </c>
      <c r="S15" s="1">
        <v>2</v>
      </c>
      <c r="T15" s="1">
        <v>0</v>
      </c>
      <c r="U15" s="1">
        <v>120</v>
      </c>
      <c r="V15" s="1">
        <v>120</v>
      </c>
      <c r="W15" s="1">
        <v>95</v>
      </c>
      <c r="X15" s="1">
        <v>100</v>
      </c>
      <c r="Y15" s="1">
        <v>90</v>
      </c>
      <c r="Z15" s="1">
        <v>90</v>
      </c>
      <c r="AA15" s="1">
        <v>0</v>
      </c>
      <c r="AB15" s="1">
        <v>15</v>
      </c>
      <c r="AC15" s="1">
        <v>20</v>
      </c>
      <c r="AD15" s="1">
        <v>0</v>
      </c>
      <c r="AE15" s="1">
        <v>120</v>
      </c>
      <c r="AF15" s="1">
        <v>90</v>
      </c>
      <c r="AG15" s="1">
        <v>100802</v>
      </c>
      <c r="AH15" s="1">
        <v>0</v>
      </c>
      <c r="AI15" s="1">
        <v>300115</v>
      </c>
      <c r="AJ15" s="1" t="s">
        <v>1125</v>
      </c>
      <c r="AK15" s="1" t="s">
        <v>328</v>
      </c>
      <c r="AL15" s="1">
        <v>13</v>
      </c>
      <c r="AM15" s="1" t="s">
        <v>1806</v>
      </c>
      <c r="AN15" s="1" t="s">
        <v>4784</v>
      </c>
      <c r="AO15" s="1" t="s">
        <v>4785</v>
      </c>
      <c r="AP15" s="1">
        <v>0</v>
      </c>
      <c r="AQ15" s="1" t="s">
        <v>1118</v>
      </c>
      <c r="AR15" s="1" t="s">
        <v>1743</v>
      </c>
      <c r="AS15" s="1" t="s">
        <v>1120</v>
      </c>
      <c r="AT15" s="1" t="s">
        <v>328</v>
      </c>
      <c r="AU15" s="1">
        <v>14</v>
      </c>
      <c r="AV15" s="1">
        <v>0</v>
      </c>
      <c r="AW15" s="1" t="s">
        <v>4492</v>
      </c>
      <c r="AX15" s="1" t="s">
        <v>470</v>
      </c>
      <c r="AY15" s="1">
        <v>3</v>
      </c>
      <c r="AZ15" s="1">
        <v>0</v>
      </c>
      <c r="BA15" s="1" t="s">
        <v>328</v>
      </c>
      <c r="BB15" s="1" t="s">
        <v>4786</v>
      </c>
      <c r="BC15" s="1" t="s">
        <v>328</v>
      </c>
      <c r="BD15" s="1">
        <v>10303</v>
      </c>
      <c r="BE15" s="1"/>
      <c r="BH15">
        <f>COUNTIF(Dropdowns!$I:$AF,C15)</f>
        <v>0</v>
      </c>
    </row>
    <row r="16" spans="1:60" x14ac:dyDescent="0.3">
      <c r="A16" s="1">
        <v>15</v>
      </c>
      <c r="B16" s="1" t="s">
        <v>2698</v>
      </c>
      <c r="C16" s="207" t="s">
        <v>75</v>
      </c>
      <c r="D16" s="1" t="s">
        <v>2699</v>
      </c>
      <c r="E16" s="1"/>
      <c r="F16" s="1"/>
      <c r="G16" s="1" t="s">
        <v>2700</v>
      </c>
      <c r="H16" s="1" t="s">
        <v>2701</v>
      </c>
      <c r="I16" s="1" t="s">
        <v>2702</v>
      </c>
      <c r="J16" s="1">
        <v>1</v>
      </c>
      <c r="K16" s="1">
        <v>3</v>
      </c>
      <c r="L16" s="1">
        <v>2700</v>
      </c>
      <c r="M16" s="1">
        <v>10</v>
      </c>
      <c r="N16" s="1">
        <v>10</v>
      </c>
      <c r="O16" s="1">
        <v>5</v>
      </c>
      <c r="P16" s="1">
        <v>5</v>
      </c>
      <c r="Q16" s="1">
        <v>2</v>
      </c>
      <c r="R16" s="1">
        <v>2</v>
      </c>
      <c r="S16" s="1">
        <v>2</v>
      </c>
      <c r="T16" s="1">
        <v>0</v>
      </c>
      <c r="U16" s="1">
        <v>95</v>
      </c>
      <c r="V16" s="1">
        <v>110</v>
      </c>
      <c r="W16" s="1">
        <v>115</v>
      </c>
      <c r="X16" s="1">
        <v>100</v>
      </c>
      <c r="Y16" s="1">
        <v>125</v>
      </c>
      <c r="Z16" s="1">
        <v>125</v>
      </c>
      <c r="AA16" s="1">
        <v>0</v>
      </c>
      <c r="AB16" s="1">
        <v>15</v>
      </c>
      <c r="AC16" s="1">
        <v>20</v>
      </c>
      <c r="AD16" s="1">
        <v>0</v>
      </c>
      <c r="AE16" s="1">
        <v>110</v>
      </c>
      <c r="AF16" s="1">
        <v>100</v>
      </c>
      <c r="AG16" s="1">
        <v>101302</v>
      </c>
      <c r="AH16" s="1">
        <v>0</v>
      </c>
      <c r="AI16" s="1">
        <v>300101</v>
      </c>
      <c r="AJ16" s="1" t="s">
        <v>1125</v>
      </c>
      <c r="AK16" s="1" t="s">
        <v>328</v>
      </c>
      <c r="AL16" s="1">
        <v>13</v>
      </c>
      <c r="AM16" s="1" t="s">
        <v>1806</v>
      </c>
      <c r="AN16" s="1" t="s">
        <v>4787</v>
      </c>
      <c r="AO16" s="1" t="s">
        <v>4777</v>
      </c>
      <c r="AP16" s="1">
        <v>0</v>
      </c>
      <c r="AQ16" s="1" t="s">
        <v>4742</v>
      </c>
      <c r="AR16" s="1" t="s">
        <v>1119</v>
      </c>
      <c r="AS16" s="1" t="s">
        <v>1120</v>
      </c>
      <c r="AT16" s="1" t="s">
        <v>328</v>
      </c>
      <c r="AU16" s="1">
        <v>15</v>
      </c>
      <c r="AV16" s="1">
        <v>0</v>
      </c>
      <c r="AW16" s="1" t="s">
        <v>4492</v>
      </c>
      <c r="AX16" s="1" t="s">
        <v>4788</v>
      </c>
      <c r="AY16" s="1">
        <v>3</v>
      </c>
      <c r="AZ16" s="1">
        <v>0</v>
      </c>
      <c r="BA16" s="1" t="s">
        <v>328</v>
      </c>
      <c r="BB16" s="1" t="s">
        <v>4789</v>
      </c>
      <c r="BC16" s="1" t="s">
        <v>328</v>
      </c>
      <c r="BD16" s="1">
        <v>10802</v>
      </c>
      <c r="BE16" s="1"/>
      <c r="BH16">
        <f>COUNTIF(Dropdowns!$I:$AF,C16)</f>
        <v>0</v>
      </c>
    </row>
    <row r="17" spans="1:60" x14ac:dyDescent="0.3">
      <c r="A17" s="1">
        <v>16</v>
      </c>
      <c r="B17" s="1" t="s">
        <v>2703</v>
      </c>
      <c r="C17" s="207" t="s">
        <v>76</v>
      </c>
      <c r="D17" s="1" t="s">
        <v>2704</v>
      </c>
      <c r="E17" s="1"/>
      <c r="F17" s="1"/>
      <c r="G17" s="1" t="s">
        <v>2705</v>
      </c>
      <c r="H17" s="1" t="s">
        <v>2706</v>
      </c>
      <c r="I17" s="1" t="s">
        <v>2707</v>
      </c>
      <c r="J17" s="1">
        <v>2</v>
      </c>
      <c r="K17" s="1">
        <v>5</v>
      </c>
      <c r="L17" s="1">
        <v>9000</v>
      </c>
      <c r="M17" s="1">
        <v>25</v>
      </c>
      <c r="N17" s="1">
        <v>20</v>
      </c>
      <c r="O17" s="1">
        <v>15</v>
      </c>
      <c r="P17" s="1">
        <v>10</v>
      </c>
      <c r="Q17" s="1">
        <v>5</v>
      </c>
      <c r="R17" s="1">
        <v>5</v>
      </c>
      <c r="S17" s="1">
        <v>2</v>
      </c>
      <c r="T17" s="1">
        <v>0</v>
      </c>
      <c r="U17" s="1">
        <v>135</v>
      </c>
      <c r="V17" s="1">
        <v>120</v>
      </c>
      <c r="W17" s="1">
        <v>105</v>
      </c>
      <c r="X17" s="1">
        <v>100</v>
      </c>
      <c r="Y17" s="1">
        <v>100</v>
      </c>
      <c r="Z17" s="1">
        <v>90</v>
      </c>
      <c r="AA17" s="1">
        <v>0</v>
      </c>
      <c r="AB17" s="1">
        <v>15</v>
      </c>
      <c r="AC17" s="1">
        <v>5</v>
      </c>
      <c r="AD17" s="1">
        <v>0</v>
      </c>
      <c r="AE17" s="1">
        <v>110</v>
      </c>
      <c r="AF17" s="1">
        <v>85</v>
      </c>
      <c r="AG17" s="1">
        <v>116203</v>
      </c>
      <c r="AH17" s="1">
        <v>0</v>
      </c>
      <c r="AI17" s="1">
        <v>300102</v>
      </c>
      <c r="AJ17" s="1" t="s">
        <v>1128</v>
      </c>
      <c r="AK17" s="1" t="s">
        <v>328</v>
      </c>
      <c r="AL17" s="1">
        <v>13</v>
      </c>
      <c r="AM17" s="1" t="s">
        <v>4790</v>
      </c>
      <c r="AN17" s="1" t="s">
        <v>388</v>
      </c>
      <c r="AO17" s="1" t="s">
        <v>4791</v>
      </c>
      <c r="AP17" s="1">
        <v>0</v>
      </c>
      <c r="AQ17" s="1" t="s">
        <v>1744</v>
      </c>
      <c r="AR17" s="1" t="s">
        <v>1119</v>
      </c>
      <c r="AS17" s="1" t="s">
        <v>1130</v>
      </c>
      <c r="AT17" s="1" t="s">
        <v>328</v>
      </c>
      <c r="AU17" s="1">
        <v>16</v>
      </c>
      <c r="AV17" s="1">
        <v>0</v>
      </c>
      <c r="AW17" s="1" t="s">
        <v>4492</v>
      </c>
      <c r="AX17" s="1" t="s">
        <v>331</v>
      </c>
      <c r="AY17" s="1">
        <v>5</v>
      </c>
      <c r="AZ17" s="1">
        <v>0</v>
      </c>
      <c r="BA17" s="1" t="s">
        <v>328</v>
      </c>
      <c r="BB17" s="1" t="s">
        <v>4792</v>
      </c>
      <c r="BC17" s="1" t="s">
        <v>4720</v>
      </c>
      <c r="BD17" s="1">
        <v>102</v>
      </c>
      <c r="BE17" s="1"/>
      <c r="BH17">
        <f>COUNTIF(Dropdowns!$I:$AF,C17)</f>
        <v>1</v>
      </c>
    </row>
    <row r="18" spans="1:60" x14ac:dyDescent="0.3">
      <c r="A18" s="1">
        <v>17</v>
      </c>
      <c r="B18" s="1" t="s">
        <v>2708</v>
      </c>
      <c r="C18" s="207" t="s">
        <v>77</v>
      </c>
      <c r="D18" s="1" t="s">
        <v>77</v>
      </c>
      <c r="E18" s="1"/>
      <c r="F18" s="1"/>
      <c r="G18" s="1" t="s">
        <v>2709</v>
      </c>
      <c r="H18" s="1" t="s">
        <v>2710</v>
      </c>
      <c r="I18" s="1" t="s">
        <v>2711</v>
      </c>
      <c r="J18" s="1">
        <v>2</v>
      </c>
      <c r="K18" s="1">
        <v>2</v>
      </c>
      <c r="L18" s="1">
        <v>5400</v>
      </c>
      <c r="M18" s="1">
        <v>25</v>
      </c>
      <c r="N18" s="1">
        <v>20</v>
      </c>
      <c r="O18" s="1">
        <v>15</v>
      </c>
      <c r="P18" s="1">
        <v>10</v>
      </c>
      <c r="Q18" s="1">
        <v>5</v>
      </c>
      <c r="R18" s="1">
        <v>5</v>
      </c>
      <c r="S18" s="1">
        <v>2</v>
      </c>
      <c r="T18" s="1">
        <v>0</v>
      </c>
      <c r="U18" s="1">
        <v>105</v>
      </c>
      <c r="V18" s="1">
        <v>110</v>
      </c>
      <c r="W18" s="1">
        <v>85</v>
      </c>
      <c r="X18" s="1">
        <v>100</v>
      </c>
      <c r="Y18" s="1">
        <v>105</v>
      </c>
      <c r="Z18" s="1">
        <v>105</v>
      </c>
      <c r="AA18" s="1">
        <v>0</v>
      </c>
      <c r="AB18" s="1">
        <v>15</v>
      </c>
      <c r="AC18" s="1">
        <v>5</v>
      </c>
      <c r="AD18" s="1">
        <v>0</v>
      </c>
      <c r="AE18" s="1">
        <v>115</v>
      </c>
      <c r="AF18" s="1">
        <v>105</v>
      </c>
      <c r="AG18" s="1">
        <v>102101</v>
      </c>
      <c r="AH18" s="1">
        <v>0</v>
      </c>
      <c r="AI18" s="1">
        <v>300102</v>
      </c>
      <c r="AJ18" s="1" t="s">
        <v>1121</v>
      </c>
      <c r="AK18" s="1" t="s">
        <v>328</v>
      </c>
      <c r="AL18" s="1">
        <v>13</v>
      </c>
      <c r="AM18" s="1" t="s">
        <v>4790</v>
      </c>
      <c r="AN18" s="1" t="s">
        <v>4793</v>
      </c>
      <c r="AO18" s="1" t="s">
        <v>4794</v>
      </c>
      <c r="AP18" s="1">
        <v>0</v>
      </c>
      <c r="AQ18" s="1" t="s">
        <v>1129</v>
      </c>
      <c r="AR18" s="1" t="s">
        <v>1119</v>
      </c>
      <c r="AS18" s="1" t="s">
        <v>1745</v>
      </c>
      <c r="AT18" s="1" t="s">
        <v>328</v>
      </c>
      <c r="AU18" s="1">
        <v>17</v>
      </c>
      <c r="AV18" s="1">
        <v>0</v>
      </c>
      <c r="AW18" s="1" t="s">
        <v>4492</v>
      </c>
      <c r="AX18" s="1" t="s">
        <v>470</v>
      </c>
      <c r="AY18" s="1">
        <v>2</v>
      </c>
      <c r="AZ18" s="1">
        <v>0</v>
      </c>
      <c r="BA18" s="1" t="s">
        <v>328</v>
      </c>
      <c r="BB18" s="1" t="s">
        <v>325</v>
      </c>
      <c r="BC18" s="1" t="s">
        <v>4720</v>
      </c>
      <c r="BD18" s="1">
        <v>10303</v>
      </c>
      <c r="BE18" s="1"/>
      <c r="BH18">
        <f>COUNTIF(Dropdowns!$I:$AF,C18)</f>
        <v>0</v>
      </c>
    </row>
    <row r="19" spans="1:60" x14ac:dyDescent="0.3">
      <c r="A19" s="1">
        <v>18</v>
      </c>
      <c r="B19" s="1" t="s">
        <v>2712</v>
      </c>
      <c r="C19" s="207" t="s">
        <v>78</v>
      </c>
      <c r="D19" s="1" t="s">
        <v>2713</v>
      </c>
      <c r="E19" s="1"/>
      <c r="F19" s="1"/>
      <c r="G19" s="1" t="s">
        <v>2714</v>
      </c>
      <c r="H19" s="1" t="s">
        <v>2715</v>
      </c>
      <c r="I19" s="1" t="s">
        <v>2716</v>
      </c>
      <c r="J19" s="1">
        <v>2</v>
      </c>
      <c r="K19" s="1">
        <v>3</v>
      </c>
      <c r="L19" s="1">
        <v>7200</v>
      </c>
      <c r="M19" s="1">
        <v>25</v>
      </c>
      <c r="N19" s="1">
        <v>20</v>
      </c>
      <c r="O19" s="1">
        <v>15</v>
      </c>
      <c r="P19" s="1">
        <v>10</v>
      </c>
      <c r="Q19" s="1">
        <v>5</v>
      </c>
      <c r="R19" s="1">
        <v>5</v>
      </c>
      <c r="S19" s="1">
        <v>2</v>
      </c>
      <c r="T19" s="1">
        <v>0</v>
      </c>
      <c r="U19" s="1">
        <v>100</v>
      </c>
      <c r="V19" s="1">
        <v>105</v>
      </c>
      <c r="W19" s="1">
        <v>115</v>
      </c>
      <c r="X19" s="1">
        <v>100</v>
      </c>
      <c r="Y19" s="1">
        <v>90</v>
      </c>
      <c r="Z19" s="1">
        <v>110</v>
      </c>
      <c r="AA19" s="1">
        <v>0</v>
      </c>
      <c r="AB19" s="1">
        <v>15</v>
      </c>
      <c r="AC19" s="1">
        <v>5</v>
      </c>
      <c r="AD19" s="1">
        <v>0</v>
      </c>
      <c r="AE19" s="1">
        <v>110</v>
      </c>
      <c r="AF19" s="1">
        <v>80</v>
      </c>
      <c r="AG19" s="1">
        <v>102402</v>
      </c>
      <c r="AH19" s="1">
        <v>0</v>
      </c>
      <c r="AI19" s="1">
        <v>300102</v>
      </c>
      <c r="AJ19" s="1" t="s">
        <v>1121</v>
      </c>
      <c r="AK19" s="1" t="s">
        <v>328</v>
      </c>
      <c r="AL19" s="1">
        <v>13</v>
      </c>
      <c r="AM19" s="1" t="s">
        <v>4790</v>
      </c>
      <c r="AN19" s="1" t="s">
        <v>4795</v>
      </c>
      <c r="AO19" s="1" t="s">
        <v>4796</v>
      </c>
      <c r="AP19" s="1">
        <v>0</v>
      </c>
      <c r="AQ19" s="1" t="s">
        <v>1129</v>
      </c>
      <c r="AR19" s="1" t="s">
        <v>1119</v>
      </c>
      <c r="AS19" s="1" t="s">
        <v>1745</v>
      </c>
      <c r="AT19" s="1" t="s">
        <v>328</v>
      </c>
      <c r="AU19" s="1">
        <v>18</v>
      </c>
      <c r="AV19" s="1">
        <v>0</v>
      </c>
      <c r="AW19" s="1" t="s">
        <v>4492</v>
      </c>
      <c r="AX19" s="1" t="s">
        <v>4797</v>
      </c>
      <c r="AY19" s="1">
        <v>3</v>
      </c>
      <c r="AZ19" s="1">
        <v>0</v>
      </c>
      <c r="BA19" s="1" t="s">
        <v>328</v>
      </c>
      <c r="BB19" s="1" t="s">
        <v>4798</v>
      </c>
      <c r="BC19" s="1" t="s">
        <v>4720</v>
      </c>
      <c r="BD19" s="1">
        <v>10202</v>
      </c>
      <c r="BE19" s="1"/>
      <c r="BH19">
        <f>COUNTIF(Dropdowns!$I:$AF,C19)</f>
        <v>1</v>
      </c>
    </row>
    <row r="20" spans="1:60" x14ac:dyDescent="0.3">
      <c r="A20" s="1">
        <v>19</v>
      </c>
      <c r="B20" s="1" t="s">
        <v>2717</v>
      </c>
      <c r="C20" s="207" t="s">
        <v>1609</v>
      </c>
      <c r="D20" s="1" t="s">
        <v>1609</v>
      </c>
      <c r="E20" s="1"/>
      <c r="F20" s="1"/>
      <c r="G20" s="1" t="s">
        <v>2718</v>
      </c>
      <c r="H20" s="1" t="s">
        <v>2719</v>
      </c>
      <c r="I20" s="1" t="s">
        <v>2720</v>
      </c>
      <c r="J20" s="1">
        <v>2</v>
      </c>
      <c r="K20" s="1">
        <v>3</v>
      </c>
      <c r="L20" s="1">
        <v>7800</v>
      </c>
      <c r="M20" s="1">
        <v>25</v>
      </c>
      <c r="N20" s="1">
        <v>20</v>
      </c>
      <c r="O20" s="1">
        <v>15</v>
      </c>
      <c r="P20" s="1">
        <v>10</v>
      </c>
      <c r="Q20" s="1">
        <v>5</v>
      </c>
      <c r="R20" s="1">
        <v>5</v>
      </c>
      <c r="S20" s="1">
        <v>2</v>
      </c>
      <c r="T20" s="1">
        <v>0</v>
      </c>
      <c r="U20" s="1">
        <v>80</v>
      </c>
      <c r="V20" s="1">
        <v>95</v>
      </c>
      <c r="W20" s="1">
        <v>115</v>
      </c>
      <c r="X20" s="1">
        <v>100</v>
      </c>
      <c r="Y20" s="1">
        <v>105</v>
      </c>
      <c r="Z20" s="1">
        <v>140</v>
      </c>
      <c r="AA20" s="1">
        <v>0</v>
      </c>
      <c r="AB20" s="1">
        <v>15</v>
      </c>
      <c r="AC20" s="1">
        <v>5</v>
      </c>
      <c r="AD20" s="1">
        <v>0</v>
      </c>
      <c r="AE20" s="1">
        <v>115</v>
      </c>
      <c r="AF20" s="1">
        <v>100</v>
      </c>
      <c r="AG20" s="1">
        <v>100202</v>
      </c>
      <c r="AH20" s="1">
        <v>0</v>
      </c>
      <c r="AI20" s="1">
        <v>300102</v>
      </c>
      <c r="AJ20" s="1" t="s">
        <v>1125</v>
      </c>
      <c r="AK20" s="1" t="s">
        <v>328</v>
      </c>
      <c r="AL20" s="1">
        <v>13</v>
      </c>
      <c r="AM20" s="1" t="s">
        <v>4790</v>
      </c>
      <c r="AN20" s="1" t="s">
        <v>388</v>
      </c>
      <c r="AO20" s="1" t="s">
        <v>4799</v>
      </c>
      <c r="AP20" s="1">
        <v>0</v>
      </c>
      <c r="AQ20" s="1" t="s">
        <v>1129</v>
      </c>
      <c r="AR20" s="1" t="s">
        <v>1119</v>
      </c>
      <c r="AS20" s="1" t="s">
        <v>1130</v>
      </c>
      <c r="AT20" s="1" t="s">
        <v>328</v>
      </c>
      <c r="AU20" s="1">
        <v>19</v>
      </c>
      <c r="AV20" s="1">
        <v>0</v>
      </c>
      <c r="AW20" s="1" t="s">
        <v>4492</v>
      </c>
      <c r="AX20" s="1" t="s">
        <v>4800</v>
      </c>
      <c r="AY20" s="1">
        <v>3</v>
      </c>
      <c r="AZ20" s="1">
        <v>0</v>
      </c>
      <c r="BA20" s="1" t="s">
        <v>328</v>
      </c>
      <c r="BB20" s="1" t="s">
        <v>4801</v>
      </c>
      <c r="BC20" s="1" t="s">
        <v>4720</v>
      </c>
      <c r="BD20" s="1">
        <v>10402</v>
      </c>
      <c r="BE20" s="1"/>
      <c r="BH20">
        <f>COUNTIF(Dropdowns!$I:$AF,C20)</f>
        <v>1</v>
      </c>
    </row>
    <row r="21" spans="1:60" x14ac:dyDescent="0.3">
      <c r="A21" s="1">
        <v>20</v>
      </c>
      <c r="B21" s="1" t="s">
        <v>2721</v>
      </c>
      <c r="C21" s="207" t="s">
        <v>79</v>
      </c>
      <c r="D21" s="1" t="s">
        <v>79</v>
      </c>
      <c r="E21" s="1"/>
      <c r="F21" s="1"/>
      <c r="G21" s="1" t="s">
        <v>2722</v>
      </c>
      <c r="H21" s="1" t="s">
        <v>2723</v>
      </c>
      <c r="I21" s="1" t="s">
        <v>2724</v>
      </c>
      <c r="J21" s="1">
        <v>2</v>
      </c>
      <c r="K21" s="1">
        <v>5</v>
      </c>
      <c r="L21" s="1">
        <v>9300</v>
      </c>
      <c r="M21" s="1">
        <v>25</v>
      </c>
      <c r="N21" s="1">
        <v>20</v>
      </c>
      <c r="O21" s="1">
        <v>15</v>
      </c>
      <c r="P21" s="1">
        <v>10</v>
      </c>
      <c r="Q21" s="1">
        <v>5</v>
      </c>
      <c r="R21" s="1">
        <v>5</v>
      </c>
      <c r="S21" s="1">
        <v>2</v>
      </c>
      <c r="T21" s="1">
        <v>0</v>
      </c>
      <c r="U21" s="1">
        <v>105</v>
      </c>
      <c r="V21" s="1">
        <v>115</v>
      </c>
      <c r="W21" s="1">
        <v>130</v>
      </c>
      <c r="X21" s="1">
        <v>100</v>
      </c>
      <c r="Y21" s="1">
        <v>90</v>
      </c>
      <c r="Z21" s="1">
        <v>120</v>
      </c>
      <c r="AA21" s="1">
        <v>0</v>
      </c>
      <c r="AB21" s="1">
        <v>15</v>
      </c>
      <c r="AC21" s="1">
        <v>5</v>
      </c>
      <c r="AD21" s="1">
        <v>0</v>
      </c>
      <c r="AE21" s="1">
        <v>105</v>
      </c>
      <c r="AF21" s="1">
        <v>100</v>
      </c>
      <c r="AG21" s="1">
        <v>102304</v>
      </c>
      <c r="AH21" s="1">
        <v>0</v>
      </c>
      <c r="AI21" s="1">
        <v>300102</v>
      </c>
      <c r="AJ21" s="1" t="s">
        <v>1131</v>
      </c>
      <c r="AK21" s="1" t="s">
        <v>328</v>
      </c>
      <c r="AL21" s="1">
        <v>13</v>
      </c>
      <c r="AM21" s="1" t="s">
        <v>4790</v>
      </c>
      <c r="AN21" s="1" t="s">
        <v>4793</v>
      </c>
      <c r="AO21" s="1" t="s">
        <v>4802</v>
      </c>
      <c r="AP21" s="1">
        <v>0</v>
      </c>
      <c r="AQ21" s="1" t="s">
        <v>1129</v>
      </c>
      <c r="AR21" s="1" t="s">
        <v>1119</v>
      </c>
      <c r="AS21" s="1" t="s">
        <v>1130</v>
      </c>
      <c r="AT21" s="1" t="s">
        <v>328</v>
      </c>
      <c r="AU21" s="1">
        <v>20</v>
      </c>
      <c r="AV21" s="1">
        <v>0</v>
      </c>
      <c r="AW21" s="1" t="s">
        <v>4492</v>
      </c>
      <c r="AX21" s="1" t="s">
        <v>4797</v>
      </c>
      <c r="AY21" s="1">
        <v>5</v>
      </c>
      <c r="AZ21" s="1">
        <v>0</v>
      </c>
      <c r="BA21" s="1" t="s">
        <v>328</v>
      </c>
      <c r="BB21" s="1" t="s">
        <v>4803</v>
      </c>
      <c r="BC21" s="1" t="s">
        <v>4720</v>
      </c>
      <c r="BD21" s="1">
        <v>10202</v>
      </c>
      <c r="BE21" s="1"/>
      <c r="BH21">
        <f>COUNTIF(Dropdowns!$I:$AF,C21)</f>
        <v>1</v>
      </c>
    </row>
    <row r="22" spans="1:60" x14ac:dyDescent="0.3">
      <c r="A22" s="1">
        <v>21</v>
      </c>
      <c r="B22" s="1" t="s">
        <v>2725</v>
      </c>
      <c r="C22" s="207" t="s">
        <v>904</v>
      </c>
      <c r="D22" s="1" t="s">
        <v>2726</v>
      </c>
      <c r="E22" s="1"/>
      <c r="F22" s="1"/>
      <c r="G22" s="1" t="s">
        <v>2727</v>
      </c>
      <c r="H22" s="1" t="s">
        <v>2728</v>
      </c>
      <c r="I22" s="1" t="s">
        <v>2729</v>
      </c>
      <c r="J22" s="1">
        <v>2</v>
      </c>
      <c r="K22" s="1">
        <v>2</v>
      </c>
      <c r="L22" s="1">
        <v>6600</v>
      </c>
      <c r="M22" s="1">
        <v>25</v>
      </c>
      <c r="N22" s="1">
        <v>20</v>
      </c>
      <c r="O22" s="1">
        <v>15</v>
      </c>
      <c r="P22" s="1">
        <v>10</v>
      </c>
      <c r="Q22" s="1">
        <v>5</v>
      </c>
      <c r="R22" s="1">
        <v>5</v>
      </c>
      <c r="S22" s="1">
        <v>2</v>
      </c>
      <c r="T22" s="1">
        <v>0</v>
      </c>
      <c r="U22" s="1">
        <v>110</v>
      </c>
      <c r="V22" s="1">
        <v>100</v>
      </c>
      <c r="W22" s="1">
        <v>120</v>
      </c>
      <c r="X22" s="1">
        <v>100</v>
      </c>
      <c r="Y22" s="1">
        <v>85</v>
      </c>
      <c r="Z22" s="1">
        <v>95</v>
      </c>
      <c r="AA22" s="1">
        <v>0</v>
      </c>
      <c r="AB22" s="1">
        <v>15</v>
      </c>
      <c r="AC22" s="1">
        <v>5</v>
      </c>
      <c r="AD22" s="1">
        <v>0</v>
      </c>
      <c r="AE22" s="1">
        <v>105</v>
      </c>
      <c r="AF22" s="1">
        <v>135</v>
      </c>
      <c r="AG22" s="1">
        <v>102101</v>
      </c>
      <c r="AH22" s="1">
        <v>0</v>
      </c>
      <c r="AI22" s="1">
        <v>300102</v>
      </c>
      <c r="AJ22" s="1" t="s">
        <v>1121</v>
      </c>
      <c r="AK22" s="1" t="s">
        <v>328</v>
      </c>
      <c r="AL22" s="1">
        <v>13</v>
      </c>
      <c r="AM22" s="1" t="s">
        <v>4790</v>
      </c>
      <c r="AN22" s="1" t="s">
        <v>464</v>
      </c>
      <c r="AO22" s="1" t="s">
        <v>4804</v>
      </c>
      <c r="AP22" s="1">
        <v>0</v>
      </c>
      <c r="AQ22" s="1" t="s">
        <v>1129</v>
      </c>
      <c r="AR22" s="1" t="s">
        <v>1119</v>
      </c>
      <c r="AS22" s="1" t="s">
        <v>1745</v>
      </c>
      <c r="AT22" s="1" t="s">
        <v>328</v>
      </c>
      <c r="AU22" s="1">
        <v>21</v>
      </c>
      <c r="AV22" s="1">
        <v>0</v>
      </c>
      <c r="AW22" s="1" t="s">
        <v>4492</v>
      </c>
      <c r="AX22" s="1" t="s">
        <v>470</v>
      </c>
      <c r="AY22" s="1">
        <v>2</v>
      </c>
      <c r="AZ22" s="1">
        <v>0</v>
      </c>
      <c r="BA22" s="1" t="s">
        <v>328</v>
      </c>
      <c r="BB22" s="1" t="s">
        <v>4805</v>
      </c>
      <c r="BC22" s="1" t="s">
        <v>4757</v>
      </c>
      <c r="BD22" s="1">
        <v>10303</v>
      </c>
      <c r="BE22" s="1"/>
      <c r="BH22">
        <f>COUNTIF(Dropdowns!$I:$AF,C22)</f>
        <v>0</v>
      </c>
    </row>
    <row r="23" spans="1:60" x14ac:dyDescent="0.3">
      <c r="A23" s="1">
        <v>22</v>
      </c>
      <c r="B23" s="1" t="s">
        <v>2730</v>
      </c>
      <c r="C23" s="207" t="s">
        <v>1610</v>
      </c>
      <c r="D23" s="1" t="s">
        <v>1610</v>
      </c>
      <c r="E23" s="1"/>
      <c r="F23" s="1"/>
      <c r="G23" s="1" t="s">
        <v>2731</v>
      </c>
      <c r="H23" s="1" t="s">
        <v>2732</v>
      </c>
      <c r="I23" s="1" t="s">
        <v>2733</v>
      </c>
      <c r="J23" s="1">
        <v>2</v>
      </c>
      <c r="K23" s="1">
        <v>3</v>
      </c>
      <c r="L23" s="1">
        <v>7800</v>
      </c>
      <c r="M23" s="1">
        <v>25</v>
      </c>
      <c r="N23" s="1">
        <v>20</v>
      </c>
      <c r="O23" s="1">
        <v>15</v>
      </c>
      <c r="P23" s="1">
        <v>10</v>
      </c>
      <c r="Q23" s="1">
        <v>5</v>
      </c>
      <c r="R23" s="1">
        <v>5</v>
      </c>
      <c r="S23" s="1">
        <v>2</v>
      </c>
      <c r="T23" s="1">
        <v>0</v>
      </c>
      <c r="U23" s="1">
        <v>100</v>
      </c>
      <c r="V23" s="1">
        <v>130</v>
      </c>
      <c r="W23" s="1">
        <v>95</v>
      </c>
      <c r="X23" s="1">
        <v>100</v>
      </c>
      <c r="Y23" s="1">
        <v>110</v>
      </c>
      <c r="Z23" s="1">
        <v>110</v>
      </c>
      <c r="AA23" s="1">
        <v>0</v>
      </c>
      <c r="AB23" s="1">
        <v>15</v>
      </c>
      <c r="AC23" s="1">
        <v>5</v>
      </c>
      <c r="AD23" s="1">
        <v>0</v>
      </c>
      <c r="AE23" s="1">
        <v>105</v>
      </c>
      <c r="AF23" s="1">
        <v>100</v>
      </c>
      <c r="AG23" s="1">
        <v>102102</v>
      </c>
      <c r="AH23" s="1">
        <v>0</v>
      </c>
      <c r="AI23" s="1">
        <v>300102</v>
      </c>
      <c r="AJ23" s="1" t="s">
        <v>1121</v>
      </c>
      <c r="AK23" s="1" t="s">
        <v>328</v>
      </c>
      <c r="AL23" s="1">
        <v>13</v>
      </c>
      <c r="AM23" s="1" t="s">
        <v>4790</v>
      </c>
      <c r="AN23" s="1" t="s">
        <v>4795</v>
      </c>
      <c r="AO23" s="1" t="s">
        <v>4796</v>
      </c>
      <c r="AP23" s="1">
        <v>0</v>
      </c>
      <c r="AQ23" s="1" t="s">
        <v>1129</v>
      </c>
      <c r="AR23" s="1" t="s">
        <v>1119</v>
      </c>
      <c r="AS23" s="1" t="s">
        <v>1130</v>
      </c>
      <c r="AT23" s="1" t="s">
        <v>328</v>
      </c>
      <c r="AU23" s="1">
        <v>22</v>
      </c>
      <c r="AV23" s="1">
        <v>0</v>
      </c>
      <c r="AW23" s="1" t="s">
        <v>4492</v>
      </c>
      <c r="AX23" s="1" t="s">
        <v>4797</v>
      </c>
      <c r="AY23" s="1">
        <v>3</v>
      </c>
      <c r="AZ23" s="1">
        <v>0</v>
      </c>
      <c r="BA23" s="1" t="s">
        <v>328</v>
      </c>
      <c r="BB23" s="1" t="s">
        <v>4806</v>
      </c>
      <c r="BC23" s="1" t="s">
        <v>4757</v>
      </c>
      <c r="BD23" s="1">
        <v>10302</v>
      </c>
      <c r="BE23" s="1"/>
      <c r="BH23">
        <f>COUNTIF(Dropdowns!$I:$AF,C23)</f>
        <v>1</v>
      </c>
    </row>
    <row r="24" spans="1:60" x14ac:dyDescent="0.3">
      <c r="A24" s="1">
        <v>23</v>
      </c>
      <c r="B24" s="1" t="s">
        <v>2734</v>
      </c>
      <c r="C24" s="207" t="s">
        <v>1611</v>
      </c>
      <c r="D24" s="1" t="s">
        <v>1611</v>
      </c>
      <c r="E24" s="1"/>
      <c r="F24" s="1"/>
      <c r="G24" s="1" t="s">
        <v>2735</v>
      </c>
      <c r="H24" s="1" t="s">
        <v>2736</v>
      </c>
      <c r="I24" s="1" t="s">
        <v>2737</v>
      </c>
      <c r="J24" s="1">
        <v>2</v>
      </c>
      <c r="K24" s="1">
        <v>4</v>
      </c>
      <c r="L24" s="1">
        <v>8400</v>
      </c>
      <c r="M24" s="1">
        <v>25</v>
      </c>
      <c r="N24" s="1">
        <v>20</v>
      </c>
      <c r="O24" s="1">
        <v>15</v>
      </c>
      <c r="P24" s="1">
        <v>10</v>
      </c>
      <c r="Q24" s="1">
        <v>5</v>
      </c>
      <c r="R24" s="1">
        <v>5</v>
      </c>
      <c r="S24" s="1">
        <v>2</v>
      </c>
      <c r="T24" s="1">
        <v>0</v>
      </c>
      <c r="U24" s="1">
        <v>90</v>
      </c>
      <c r="V24" s="1">
        <v>90</v>
      </c>
      <c r="W24" s="1">
        <v>120</v>
      </c>
      <c r="X24" s="1">
        <v>100</v>
      </c>
      <c r="Y24" s="1">
        <v>100</v>
      </c>
      <c r="Z24" s="1">
        <v>130</v>
      </c>
      <c r="AA24" s="1">
        <v>0</v>
      </c>
      <c r="AB24" s="1">
        <v>15</v>
      </c>
      <c r="AC24" s="1">
        <v>5</v>
      </c>
      <c r="AD24" s="1">
        <v>0</v>
      </c>
      <c r="AE24" s="1">
        <v>120</v>
      </c>
      <c r="AF24" s="1">
        <v>100</v>
      </c>
      <c r="AG24" s="1">
        <v>100207</v>
      </c>
      <c r="AH24" s="1">
        <v>0</v>
      </c>
      <c r="AI24" s="1">
        <v>300102</v>
      </c>
      <c r="AJ24" s="1" t="s">
        <v>1132</v>
      </c>
      <c r="AK24" s="1" t="s">
        <v>328</v>
      </c>
      <c r="AL24" s="1">
        <v>13</v>
      </c>
      <c r="AM24" s="1" t="s">
        <v>4790</v>
      </c>
      <c r="AN24" s="1" t="s">
        <v>388</v>
      </c>
      <c r="AO24" s="1" t="s">
        <v>4807</v>
      </c>
      <c r="AP24" s="1">
        <v>0</v>
      </c>
      <c r="AQ24" s="1" t="s">
        <v>1129</v>
      </c>
      <c r="AR24" s="1" t="s">
        <v>1119</v>
      </c>
      <c r="AS24" s="1" t="s">
        <v>1130</v>
      </c>
      <c r="AT24" s="1" t="s">
        <v>328</v>
      </c>
      <c r="AU24" s="1">
        <v>23</v>
      </c>
      <c r="AV24" s="1">
        <v>0</v>
      </c>
      <c r="AW24" s="1" t="s">
        <v>4808</v>
      </c>
      <c r="AX24" s="1" t="s">
        <v>331</v>
      </c>
      <c r="AY24" s="1">
        <v>4</v>
      </c>
      <c r="AZ24" s="1">
        <v>0</v>
      </c>
      <c r="BA24" s="1" t="s">
        <v>328</v>
      </c>
      <c r="BB24" s="1" t="s">
        <v>475</v>
      </c>
      <c r="BC24" s="1" t="s">
        <v>4757</v>
      </c>
      <c r="BD24" s="1">
        <v>10303</v>
      </c>
      <c r="BE24" s="1"/>
      <c r="BH24">
        <f>COUNTIF(Dropdowns!$I:$AF,C24)</f>
        <v>1</v>
      </c>
    </row>
    <row r="25" spans="1:60" x14ac:dyDescent="0.3">
      <c r="A25" s="1">
        <v>24</v>
      </c>
      <c r="B25" s="1" t="s">
        <v>2738</v>
      </c>
      <c r="C25" s="207" t="s">
        <v>1133</v>
      </c>
      <c r="D25" s="1" t="s">
        <v>1133</v>
      </c>
      <c r="E25" s="1"/>
      <c r="F25" s="1"/>
      <c r="G25" s="1" t="s">
        <v>2739</v>
      </c>
      <c r="H25" s="1" t="s">
        <v>2740</v>
      </c>
      <c r="I25" s="1" t="s">
        <v>2741</v>
      </c>
      <c r="J25" s="1">
        <v>2</v>
      </c>
      <c r="K25" s="1">
        <v>2</v>
      </c>
      <c r="L25" s="1">
        <v>4200</v>
      </c>
      <c r="M25" s="1">
        <v>25</v>
      </c>
      <c r="N25" s="1">
        <v>20</v>
      </c>
      <c r="O25" s="1">
        <v>15</v>
      </c>
      <c r="P25" s="1">
        <v>10</v>
      </c>
      <c r="Q25" s="1">
        <v>5</v>
      </c>
      <c r="R25" s="1">
        <v>5</v>
      </c>
      <c r="S25" s="1">
        <v>2</v>
      </c>
      <c r="T25" s="1">
        <v>0</v>
      </c>
      <c r="U25" s="1">
        <v>90</v>
      </c>
      <c r="V25" s="1">
        <v>120</v>
      </c>
      <c r="W25" s="1">
        <v>105</v>
      </c>
      <c r="X25" s="1">
        <v>100</v>
      </c>
      <c r="Y25" s="1">
        <v>100</v>
      </c>
      <c r="Z25" s="1">
        <v>130</v>
      </c>
      <c r="AA25" s="1">
        <v>0</v>
      </c>
      <c r="AB25" s="1">
        <v>15</v>
      </c>
      <c r="AC25" s="1">
        <v>5</v>
      </c>
      <c r="AD25" s="1">
        <v>0</v>
      </c>
      <c r="AE25" s="1">
        <v>100</v>
      </c>
      <c r="AF25" s="1">
        <v>100</v>
      </c>
      <c r="AG25" s="1">
        <v>102101</v>
      </c>
      <c r="AH25" s="1">
        <v>0</v>
      </c>
      <c r="AI25" s="1">
        <v>300102</v>
      </c>
      <c r="AJ25" s="1" t="s">
        <v>1121</v>
      </c>
      <c r="AK25" s="1" t="s">
        <v>328</v>
      </c>
      <c r="AL25" s="1">
        <v>13</v>
      </c>
      <c r="AM25" s="1" t="s">
        <v>4790</v>
      </c>
      <c r="AN25" s="1" t="s">
        <v>388</v>
      </c>
      <c r="AO25" s="1" t="s">
        <v>4809</v>
      </c>
      <c r="AP25" s="1">
        <v>0</v>
      </c>
      <c r="AQ25" s="1" t="s">
        <v>1129</v>
      </c>
      <c r="AR25" s="1" t="s">
        <v>1119</v>
      </c>
      <c r="AS25" s="1" t="s">
        <v>1745</v>
      </c>
      <c r="AT25" s="1" t="s">
        <v>328</v>
      </c>
      <c r="AU25" s="1">
        <v>24</v>
      </c>
      <c r="AV25" s="1">
        <v>0</v>
      </c>
      <c r="AW25" s="1" t="s">
        <v>4492</v>
      </c>
      <c r="AX25" s="1" t="s">
        <v>470</v>
      </c>
      <c r="AY25" s="1">
        <v>2</v>
      </c>
      <c r="AZ25" s="1">
        <v>0</v>
      </c>
      <c r="BA25" s="1" t="s">
        <v>328</v>
      </c>
      <c r="BB25" s="1" t="s">
        <v>4810</v>
      </c>
      <c r="BC25" s="1" t="s">
        <v>4757</v>
      </c>
      <c r="BD25" s="1">
        <v>10303</v>
      </c>
      <c r="BE25" s="1"/>
      <c r="BH25">
        <f>COUNTIF(Dropdowns!$I:$AF,C25)</f>
        <v>0</v>
      </c>
    </row>
    <row r="26" spans="1:60" x14ac:dyDescent="0.3">
      <c r="A26" s="1">
        <v>25</v>
      </c>
      <c r="B26" s="1" t="s">
        <v>2742</v>
      </c>
      <c r="C26" s="207" t="s">
        <v>80</v>
      </c>
      <c r="D26" s="1" t="s">
        <v>80</v>
      </c>
      <c r="E26" s="1"/>
      <c r="F26" s="1"/>
      <c r="G26" s="1" t="s">
        <v>2743</v>
      </c>
      <c r="H26" s="1" t="s">
        <v>2744</v>
      </c>
      <c r="I26" s="1" t="s">
        <v>2745</v>
      </c>
      <c r="J26" s="1">
        <v>2</v>
      </c>
      <c r="K26" s="1">
        <v>2</v>
      </c>
      <c r="L26" s="1">
        <v>5400</v>
      </c>
      <c r="M26" s="1">
        <v>25</v>
      </c>
      <c r="N26" s="1">
        <v>20</v>
      </c>
      <c r="O26" s="1">
        <v>15</v>
      </c>
      <c r="P26" s="1">
        <v>10</v>
      </c>
      <c r="Q26" s="1">
        <v>5</v>
      </c>
      <c r="R26" s="1">
        <v>5</v>
      </c>
      <c r="S26" s="1">
        <v>2</v>
      </c>
      <c r="T26" s="1">
        <v>0</v>
      </c>
      <c r="U26" s="1">
        <v>105</v>
      </c>
      <c r="V26" s="1">
        <v>105</v>
      </c>
      <c r="W26" s="1">
        <v>95</v>
      </c>
      <c r="X26" s="1">
        <v>100</v>
      </c>
      <c r="Y26" s="1">
        <v>100</v>
      </c>
      <c r="Z26" s="1">
        <v>90</v>
      </c>
      <c r="AA26" s="1">
        <v>0</v>
      </c>
      <c r="AB26" s="1">
        <v>15</v>
      </c>
      <c r="AC26" s="1">
        <v>5</v>
      </c>
      <c r="AD26" s="1">
        <v>0</v>
      </c>
      <c r="AE26" s="1">
        <v>115</v>
      </c>
      <c r="AF26" s="1">
        <v>120</v>
      </c>
      <c r="AG26" s="1">
        <v>102301</v>
      </c>
      <c r="AH26" s="1">
        <v>0</v>
      </c>
      <c r="AI26" s="1">
        <v>300102</v>
      </c>
      <c r="AJ26" s="1" t="s">
        <v>1121</v>
      </c>
      <c r="AK26" s="1" t="s">
        <v>328</v>
      </c>
      <c r="AL26" s="1">
        <v>13</v>
      </c>
      <c r="AM26" s="1" t="s">
        <v>4790</v>
      </c>
      <c r="AN26" s="1" t="s">
        <v>388</v>
      </c>
      <c r="AO26" s="1" t="s">
        <v>4781</v>
      </c>
      <c r="AP26" s="1">
        <v>0</v>
      </c>
      <c r="AQ26" s="1" t="s">
        <v>1129</v>
      </c>
      <c r="AR26" s="1" t="s">
        <v>1119</v>
      </c>
      <c r="AS26" s="1" t="s">
        <v>1130</v>
      </c>
      <c r="AT26" s="1" t="s">
        <v>328</v>
      </c>
      <c r="AU26" s="1">
        <v>25</v>
      </c>
      <c r="AV26" s="1">
        <v>0</v>
      </c>
      <c r="AW26" s="1" t="s">
        <v>4492</v>
      </c>
      <c r="AX26" s="1" t="s">
        <v>470</v>
      </c>
      <c r="AY26" s="1">
        <v>2</v>
      </c>
      <c r="AZ26" s="1">
        <v>0</v>
      </c>
      <c r="BA26" s="1" t="s">
        <v>328</v>
      </c>
      <c r="BB26" s="1" t="s">
        <v>4811</v>
      </c>
      <c r="BC26" s="1" t="s">
        <v>4769</v>
      </c>
      <c r="BD26" s="1">
        <v>10302</v>
      </c>
      <c r="BE26" s="1"/>
      <c r="BH26">
        <f>COUNTIF(Dropdowns!$I:$AF,C26)</f>
        <v>0</v>
      </c>
    </row>
    <row r="27" spans="1:60" x14ac:dyDescent="0.3">
      <c r="A27" s="1">
        <v>26</v>
      </c>
      <c r="B27" s="1" t="s">
        <v>2746</v>
      </c>
      <c r="C27" s="207" t="s">
        <v>729</v>
      </c>
      <c r="D27" s="1" t="s">
        <v>729</v>
      </c>
      <c r="E27" s="1"/>
      <c r="F27" s="1"/>
      <c r="G27" s="1" t="s">
        <v>2747</v>
      </c>
      <c r="H27" s="1" t="s">
        <v>2748</v>
      </c>
      <c r="I27" s="1" t="s">
        <v>2749</v>
      </c>
      <c r="J27" s="1">
        <v>2</v>
      </c>
      <c r="K27" s="1">
        <v>4</v>
      </c>
      <c r="L27" s="1">
        <v>8400</v>
      </c>
      <c r="M27" s="1">
        <v>25</v>
      </c>
      <c r="N27" s="1">
        <v>20</v>
      </c>
      <c r="O27" s="1">
        <v>15</v>
      </c>
      <c r="P27" s="1">
        <v>10</v>
      </c>
      <c r="Q27" s="1">
        <v>5</v>
      </c>
      <c r="R27" s="1">
        <v>5</v>
      </c>
      <c r="S27" s="1">
        <v>2</v>
      </c>
      <c r="T27" s="1">
        <v>0</v>
      </c>
      <c r="U27" s="1">
        <v>95</v>
      </c>
      <c r="V27" s="1">
        <v>115</v>
      </c>
      <c r="W27" s="1">
        <v>115</v>
      </c>
      <c r="X27" s="1">
        <v>100</v>
      </c>
      <c r="Y27" s="1">
        <v>115</v>
      </c>
      <c r="Z27" s="1">
        <v>115</v>
      </c>
      <c r="AA27" s="1">
        <v>0</v>
      </c>
      <c r="AB27" s="1">
        <v>15</v>
      </c>
      <c r="AC27" s="1">
        <v>5</v>
      </c>
      <c r="AD27" s="1">
        <v>0</v>
      </c>
      <c r="AE27" s="1">
        <v>105</v>
      </c>
      <c r="AF27" s="1">
        <v>120</v>
      </c>
      <c r="AG27" s="1">
        <v>103105</v>
      </c>
      <c r="AH27" s="1">
        <v>0</v>
      </c>
      <c r="AI27" s="1">
        <v>300102</v>
      </c>
      <c r="AJ27" s="1" t="s">
        <v>1134</v>
      </c>
      <c r="AK27" s="1" t="s">
        <v>328</v>
      </c>
      <c r="AL27" s="1">
        <v>13</v>
      </c>
      <c r="AM27" s="1" t="s">
        <v>4790</v>
      </c>
      <c r="AN27" s="1" t="s">
        <v>388</v>
      </c>
      <c r="AO27" s="1" t="s">
        <v>4812</v>
      </c>
      <c r="AP27" s="1">
        <v>0</v>
      </c>
      <c r="AQ27" s="1" t="s">
        <v>1744</v>
      </c>
      <c r="AR27" s="1" t="s">
        <v>1119</v>
      </c>
      <c r="AS27" s="1" t="s">
        <v>1745</v>
      </c>
      <c r="AT27" s="1" t="s">
        <v>328</v>
      </c>
      <c r="AU27" s="1">
        <v>26</v>
      </c>
      <c r="AV27" s="1">
        <v>0</v>
      </c>
      <c r="AW27" s="1" t="s">
        <v>4492</v>
      </c>
      <c r="AX27" s="1" t="s">
        <v>4797</v>
      </c>
      <c r="AY27" s="1">
        <v>4</v>
      </c>
      <c r="AZ27" s="1">
        <v>0</v>
      </c>
      <c r="BA27" s="1" t="s">
        <v>4743</v>
      </c>
      <c r="BB27" s="1" t="s">
        <v>4813</v>
      </c>
      <c r="BC27" s="1" t="s">
        <v>4769</v>
      </c>
      <c r="BD27" s="1">
        <v>10203</v>
      </c>
      <c r="BE27" s="1"/>
      <c r="BH27">
        <f>COUNTIF(Dropdowns!$I:$AF,C27)</f>
        <v>1</v>
      </c>
    </row>
    <row r="28" spans="1:60" x14ac:dyDescent="0.3">
      <c r="A28" s="1">
        <v>27</v>
      </c>
      <c r="B28" s="1" t="s">
        <v>2750</v>
      </c>
      <c r="C28" s="207" t="s">
        <v>81</v>
      </c>
      <c r="D28" s="1" t="s">
        <v>2751</v>
      </c>
      <c r="E28" s="1"/>
      <c r="F28" s="1"/>
      <c r="G28" s="1" t="s">
        <v>2752</v>
      </c>
      <c r="H28" s="1" t="s">
        <v>2753</v>
      </c>
      <c r="I28" s="1" t="s">
        <v>2754</v>
      </c>
      <c r="J28" s="1">
        <v>2</v>
      </c>
      <c r="K28" s="1">
        <v>3</v>
      </c>
      <c r="L28" s="1">
        <v>7200</v>
      </c>
      <c r="M28" s="1">
        <v>25</v>
      </c>
      <c r="N28" s="1">
        <v>20</v>
      </c>
      <c r="O28" s="1">
        <v>15</v>
      </c>
      <c r="P28" s="1">
        <v>10</v>
      </c>
      <c r="Q28" s="1">
        <v>5</v>
      </c>
      <c r="R28" s="1">
        <v>5</v>
      </c>
      <c r="S28" s="1">
        <v>2</v>
      </c>
      <c r="T28" s="1">
        <v>0</v>
      </c>
      <c r="U28" s="1">
        <v>90</v>
      </c>
      <c r="V28" s="1">
        <v>85</v>
      </c>
      <c r="W28" s="1">
        <v>120</v>
      </c>
      <c r="X28" s="1">
        <v>100</v>
      </c>
      <c r="Y28" s="1">
        <v>100</v>
      </c>
      <c r="Z28" s="1">
        <v>130</v>
      </c>
      <c r="AA28" s="1">
        <v>0</v>
      </c>
      <c r="AB28" s="1">
        <v>15</v>
      </c>
      <c r="AC28" s="1">
        <v>5</v>
      </c>
      <c r="AD28" s="1">
        <v>0</v>
      </c>
      <c r="AE28" s="1">
        <v>115</v>
      </c>
      <c r="AF28" s="1">
        <v>95</v>
      </c>
      <c r="AG28" s="1">
        <v>102302</v>
      </c>
      <c r="AH28" s="1">
        <v>0</v>
      </c>
      <c r="AI28" s="1">
        <v>300102</v>
      </c>
      <c r="AJ28" s="1" t="s">
        <v>4814</v>
      </c>
      <c r="AK28" s="1" t="s">
        <v>328</v>
      </c>
      <c r="AL28" s="1">
        <v>13</v>
      </c>
      <c r="AM28" s="1" t="s">
        <v>4790</v>
      </c>
      <c r="AN28" s="1" t="s">
        <v>4793</v>
      </c>
      <c r="AO28" s="1" t="s">
        <v>4815</v>
      </c>
      <c r="AP28" s="1">
        <v>0</v>
      </c>
      <c r="AQ28" s="1" t="s">
        <v>1129</v>
      </c>
      <c r="AR28" s="1" t="s">
        <v>1743</v>
      </c>
      <c r="AS28" s="1" t="s">
        <v>1130</v>
      </c>
      <c r="AT28" s="1" t="s">
        <v>328</v>
      </c>
      <c r="AU28" s="1">
        <v>27</v>
      </c>
      <c r="AV28" s="1">
        <v>0</v>
      </c>
      <c r="AW28" s="1" t="s">
        <v>4492</v>
      </c>
      <c r="AX28" s="1" t="s">
        <v>4797</v>
      </c>
      <c r="AY28" s="1">
        <v>3</v>
      </c>
      <c r="AZ28" s="1">
        <v>0</v>
      </c>
      <c r="BA28" s="1" t="s">
        <v>328</v>
      </c>
      <c r="BB28" s="1" t="s">
        <v>4816</v>
      </c>
      <c r="BC28" s="1" t="s">
        <v>328</v>
      </c>
      <c r="BD28" s="1">
        <v>10302</v>
      </c>
      <c r="BE28" s="1"/>
      <c r="BH28">
        <f>COUNTIF(Dropdowns!$I:$AF,C28)</f>
        <v>1</v>
      </c>
    </row>
    <row r="29" spans="1:60" x14ac:dyDescent="0.3">
      <c r="A29" s="1">
        <v>28</v>
      </c>
      <c r="B29" s="1" t="s">
        <v>2755</v>
      </c>
      <c r="C29" s="207" t="s">
        <v>82</v>
      </c>
      <c r="D29" s="1" t="s">
        <v>82</v>
      </c>
      <c r="E29" s="1"/>
      <c r="F29" s="1"/>
      <c r="G29" s="1" t="s">
        <v>2756</v>
      </c>
      <c r="H29" s="1" t="s">
        <v>2757</v>
      </c>
      <c r="I29" s="1" t="s">
        <v>2758</v>
      </c>
      <c r="J29" s="1">
        <v>2</v>
      </c>
      <c r="K29" s="1">
        <v>5</v>
      </c>
      <c r="L29" s="1">
        <v>8280</v>
      </c>
      <c r="M29" s="1">
        <v>25</v>
      </c>
      <c r="N29" s="1">
        <v>20</v>
      </c>
      <c r="O29" s="1">
        <v>15</v>
      </c>
      <c r="P29" s="1">
        <v>10</v>
      </c>
      <c r="Q29" s="1">
        <v>5</v>
      </c>
      <c r="R29" s="1">
        <v>5</v>
      </c>
      <c r="S29" s="1">
        <v>2</v>
      </c>
      <c r="T29" s="1">
        <v>0</v>
      </c>
      <c r="U29" s="1">
        <v>112</v>
      </c>
      <c r="V29" s="1">
        <v>120</v>
      </c>
      <c r="W29" s="1">
        <v>120</v>
      </c>
      <c r="X29" s="1">
        <v>100</v>
      </c>
      <c r="Y29" s="1">
        <v>122</v>
      </c>
      <c r="Z29" s="1">
        <v>122</v>
      </c>
      <c r="AA29" s="1">
        <v>0</v>
      </c>
      <c r="AB29" s="1">
        <v>15</v>
      </c>
      <c r="AC29" s="1">
        <v>5</v>
      </c>
      <c r="AD29" s="1">
        <v>0</v>
      </c>
      <c r="AE29" s="1">
        <v>100</v>
      </c>
      <c r="AF29" s="1">
        <v>100</v>
      </c>
      <c r="AG29" s="1">
        <v>108401</v>
      </c>
      <c r="AH29" s="1">
        <v>0</v>
      </c>
      <c r="AI29" s="1">
        <v>108402</v>
      </c>
      <c r="AJ29" s="1" t="s">
        <v>1135</v>
      </c>
      <c r="AK29" s="1" t="s">
        <v>328</v>
      </c>
      <c r="AL29" s="1">
        <v>13</v>
      </c>
      <c r="AM29" s="1" t="s">
        <v>4790</v>
      </c>
      <c r="AN29" s="1" t="s">
        <v>4795</v>
      </c>
      <c r="AO29" s="1" t="s">
        <v>4817</v>
      </c>
      <c r="AP29" s="1">
        <v>0</v>
      </c>
      <c r="AQ29" s="1" t="s">
        <v>1129</v>
      </c>
      <c r="AR29" s="1" t="s">
        <v>1119</v>
      </c>
      <c r="AS29" s="1" t="s">
        <v>1130</v>
      </c>
      <c r="AT29" s="1" t="s">
        <v>328</v>
      </c>
      <c r="AU29" s="1">
        <v>28</v>
      </c>
      <c r="AV29" s="1">
        <v>0</v>
      </c>
      <c r="AW29" s="1" t="s">
        <v>4818</v>
      </c>
      <c r="AX29" s="1" t="s">
        <v>4819</v>
      </c>
      <c r="AY29" s="1">
        <v>5</v>
      </c>
      <c r="AZ29" s="1">
        <v>0</v>
      </c>
      <c r="BA29" s="1" t="s">
        <v>328</v>
      </c>
      <c r="BB29" s="1" t="s">
        <v>4820</v>
      </c>
      <c r="BC29" s="1" t="s">
        <v>4769</v>
      </c>
      <c r="BD29" s="1">
        <v>10202</v>
      </c>
      <c r="BE29" s="1"/>
      <c r="BH29">
        <f>COUNTIF(Dropdowns!$I:$AF,C29)</f>
        <v>1</v>
      </c>
    </row>
    <row r="30" spans="1:60" x14ac:dyDescent="0.3">
      <c r="A30" s="1">
        <v>29</v>
      </c>
      <c r="B30" s="1" t="s">
        <v>2759</v>
      </c>
      <c r="C30" s="207" t="s">
        <v>827</v>
      </c>
      <c r="D30" s="1" t="s">
        <v>2760</v>
      </c>
      <c r="E30" s="1"/>
      <c r="F30" s="1"/>
      <c r="G30" s="1" t="s">
        <v>2761</v>
      </c>
      <c r="H30" s="1" t="s">
        <v>2762</v>
      </c>
      <c r="I30" s="1" t="s">
        <v>2763</v>
      </c>
      <c r="J30" s="1">
        <v>2</v>
      </c>
      <c r="K30" s="1">
        <v>3</v>
      </c>
      <c r="L30" s="1">
        <v>6000</v>
      </c>
      <c r="M30" s="1">
        <v>25</v>
      </c>
      <c r="N30" s="1">
        <v>20</v>
      </c>
      <c r="O30" s="1">
        <v>15</v>
      </c>
      <c r="P30" s="1">
        <v>10</v>
      </c>
      <c r="Q30" s="1">
        <v>5</v>
      </c>
      <c r="R30" s="1">
        <v>5</v>
      </c>
      <c r="S30" s="1">
        <v>2</v>
      </c>
      <c r="T30" s="1">
        <v>0</v>
      </c>
      <c r="U30" s="1">
        <v>105</v>
      </c>
      <c r="V30" s="1">
        <v>90</v>
      </c>
      <c r="W30" s="1">
        <v>95</v>
      </c>
      <c r="X30" s="1">
        <v>100</v>
      </c>
      <c r="Y30" s="1">
        <v>115</v>
      </c>
      <c r="Z30" s="1">
        <v>110</v>
      </c>
      <c r="AA30" s="1">
        <v>0</v>
      </c>
      <c r="AB30" s="1">
        <v>15</v>
      </c>
      <c r="AC30" s="1">
        <v>5</v>
      </c>
      <c r="AD30" s="1">
        <v>0</v>
      </c>
      <c r="AE30" s="1">
        <v>125</v>
      </c>
      <c r="AF30" s="1">
        <v>110</v>
      </c>
      <c r="AG30" s="1">
        <v>102102</v>
      </c>
      <c r="AH30" s="1">
        <v>0</v>
      </c>
      <c r="AI30" s="1">
        <v>300102</v>
      </c>
      <c r="AJ30" s="1" t="s">
        <v>1136</v>
      </c>
      <c r="AK30" s="1" t="s">
        <v>328</v>
      </c>
      <c r="AL30" s="1">
        <v>13</v>
      </c>
      <c r="AM30" s="1" t="s">
        <v>4790</v>
      </c>
      <c r="AN30" s="1" t="s">
        <v>4795</v>
      </c>
      <c r="AO30" s="1" t="s">
        <v>4821</v>
      </c>
      <c r="AP30" s="1">
        <v>0</v>
      </c>
      <c r="AQ30" s="1" t="s">
        <v>1129</v>
      </c>
      <c r="AR30" s="1" t="s">
        <v>1119</v>
      </c>
      <c r="AS30" s="1" t="s">
        <v>1745</v>
      </c>
      <c r="AT30" s="1" t="s">
        <v>328</v>
      </c>
      <c r="AU30" s="1">
        <v>29</v>
      </c>
      <c r="AV30" s="1">
        <v>0</v>
      </c>
      <c r="AW30" s="1" t="s">
        <v>4492</v>
      </c>
      <c r="AX30" s="1" t="s">
        <v>4797</v>
      </c>
      <c r="AY30" s="1">
        <v>3</v>
      </c>
      <c r="AZ30" s="1">
        <v>0</v>
      </c>
      <c r="BA30" s="1" t="s">
        <v>4765</v>
      </c>
      <c r="BB30" s="1" t="s">
        <v>4822</v>
      </c>
      <c r="BC30" s="1" t="s">
        <v>328</v>
      </c>
      <c r="BD30" s="1">
        <v>10704</v>
      </c>
      <c r="BE30" s="1"/>
      <c r="BH30">
        <f>COUNTIF(Dropdowns!$I:$AF,C30)</f>
        <v>1</v>
      </c>
    </row>
    <row r="31" spans="1:60" x14ac:dyDescent="0.3">
      <c r="A31" s="1">
        <v>31</v>
      </c>
      <c r="B31" s="1" t="s">
        <v>2764</v>
      </c>
      <c r="C31" s="207" t="s">
        <v>83</v>
      </c>
      <c r="D31" s="1" t="s">
        <v>2765</v>
      </c>
      <c r="E31" s="1"/>
      <c r="F31" s="1"/>
      <c r="G31" s="1" t="s">
        <v>2766</v>
      </c>
      <c r="H31" s="1" t="s">
        <v>2767</v>
      </c>
      <c r="I31" s="1" t="s">
        <v>2768</v>
      </c>
      <c r="J31" s="1">
        <v>2</v>
      </c>
      <c r="K31" s="1">
        <v>2</v>
      </c>
      <c r="L31" s="1">
        <v>5400</v>
      </c>
      <c r="M31" s="1">
        <v>25</v>
      </c>
      <c r="N31" s="1">
        <v>20</v>
      </c>
      <c r="O31" s="1">
        <v>15</v>
      </c>
      <c r="P31" s="1">
        <v>10</v>
      </c>
      <c r="Q31" s="1">
        <v>5</v>
      </c>
      <c r="R31" s="1">
        <v>5</v>
      </c>
      <c r="S31" s="1">
        <v>2</v>
      </c>
      <c r="T31" s="1">
        <v>0</v>
      </c>
      <c r="U31" s="1">
        <v>115</v>
      </c>
      <c r="V31" s="1">
        <v>125</v>
      </c>
      <c r="W31" s="1">
        <v>95</v>
      </c>
      <c r="X31" s="1">
        <v>100</v>
      </c>
      <c r="Y31" s="1">
        <v>95</v>
      </c>
      <c r="Z31" s="1">
        <v>85</v>
      </c>
      <c r="AA31" s="1">
        <v>0</v>
      </c>
      <c r="AB31" s="1">
        <v>15</v>
      </c>
      <c r="AC31" s="1">
        <v>5</v>
      </c>
      <c r="AD31" s="1">
        <v>0</v>
      </c>
      <c r="AE31" s="1">
        <v>110</v>
      </c>
      <c r="AF31" s="1">
        <v>130</v>
      </c>
      <c r="AG31" s="1">
        <v>102201</v>
      </c>
      <c r="AH31" s="1">
        <v>0</v>
      </c>
      <c r="AI31" s="1">
        <v>300102</v>
      </c>
      <c r="AJ31" s="1" t="s">
        <v>1121</v>
      </c>
      <c r="AK31" s="1" t="s">
        <v>1137</v>
      </c>
      <c r="AL31" s="1">
        <v>13</v>
      </c>
      <c r="AM31" s="1" t="s">
        <v>4790</v>
      </c>
      <c r="AN31" s="1" t="s">
        <v>388</v>
      </c>
      <c r="AO31" s="1" t="s">
        <v>4823</v>
      </c>
      <c r="AP31" s="1">
        <v>0</v>
      </c>
      <c r="AQ31" s="1" t="s">
        <v>1129</v>
      </c>
      <c r="AR31" s="1" t="s">
        <v>1119</v>
      </c>
      <c r="AS31" s="1" t="s">
        <v>1745</v>
      </c>
      <c r="AT31" s="1" t="s">
        <v>328</v>
      </c>
      <c r="AU31" s="1">
        <v>31</v>
      </c>
      <c r="AV31" s="1">
        <v>0</v>
      </c>
      <c r="AW31" s="1" t="s">
        <v>4492</v>
      </c>
      <c r="AX31" s="1" t="s">
        <v>470</v>
      </c>
      <c r="AY31" s="1">
        <v>2</v>
      </c>
      <c r="AZ31" s="1">
        <v>0</v>
      </c>
      <c r="BA31" s="1" t="s">
        <v>4745</v>
      </c>
      <c r="BB31" s="1" t="s">
        <v>328</v>
      </c>
      <c r="BC31" s="1" t="s">
        <v>4739</v>
      </c>
      <c r="BD31" s="1">
        <v>10302</v>
      </c>
      <c r="BE31" s="1"/>
      <c r="BH31">
        <f>COUNTIF(Dropdowns!$I:$AF,C31)</f>
        <v>0</v>
      </c>
    </row>
    <row r="32" spans="1:60" x14ac:dyDescent="0.3">
      <c r="A32" s="1">
        <v>32</v>
      </c>
      <c r="B32" s="1" t="s">
        <v>2769</v>
      </c>
      <c r="C32" s="207" t="s">
        <v>84</v>
      </c>
      <c r="D32" s="1" t="s">
        <v>2770</v>
      </c>
      <c r="E32" s="1"/>
      <c r="F32" s="1"/>
      <c r="G32" s="1" t="s">
        <v>2771</v>
      </c>
      <c r="H32" s="1" t="s">
        <v>2772</v>
      </c>
      <c r="I32" s="1" t="s">
        <v>2773</v>
      </c>
      <c r="J32" s="1">
        <v>2</v>
      </c>
      <c r="K32" s="1">
        <v>3</v>
      </c>
      <c r="L32" s="1">
        <v>6000</v>
      </c>
      <c r="M32" s="1">
        <v>25</v>
      </c>
      <c r="N32" s="1">
        <v>20</v>
      </c>
      <c r="O32" s="1">
        <v>15</v>
      </c>
      <c r="P32" s="1">
        <v>10</v>
      </c>
      <c r="Q32" s="1">
        <v>5</v>
      </c>
      <c r="R32" s="1">
        <v>5</v>
      </c>
      <c r="S32" s="1">
        <v>2</v>
      </c>
      <c r="T32" s="1">
        <v>0</v>
      </c>
      <c r="U32" s="1">
        <v>90</v>
      </c>
      <c r="V32" s="1">
        <v>90</v>
      </c>
      <c r="W32" s="1">
        <v>130</v>
      </c>
      <c r="X32" s="1">
        <v>100</v>
      </c>
      <c r="Y32" s="1">
        <v>85</v>
      </c>
      <c r="Z32" s="1">
        <v>125</v>
      </c>
      <c r="AA32" s="1">
        <v>0</v>
      </c>
      <c r="AB32" s="1">
        <v>15</v>
      </c>
      <c r="AC32" s="1">
        <v>5</v>
      </c>
      <c r="AD32" s="1">
        <v>0</v>
      </c>
      <c r="AE32" s="1">
        <v>115</v>
      </c>
      <c r="AF32" s="1">
        <v>110</v>
      </c>
      <c r="AG32" s="1">
        <v>802708</v>
      </c>
      <c r="AH32" s="1">
        <v>0</v>
      </c>
      <c r="AI32" s="1">
        <v>300102</v>
      </c>
      <c r="AJ32" s="1" t="s">
        <v>1121</v>
      </c>
      <c r="AK32" s="1" t="s">
        <v>1138</v>
      </c>
      <c r="AL32" s="1">
        <v>13</v>
      </c>
      <c r="AM32" s="1" t="s">
        <v>4790</v>
      </c>
      <c r="AN32" s="1" t="s">
        <v>464</v>
      </c>
      <c r="AO32" s="1" t="s">
        <v>4824</v>
      </c>
      <c r="AP32" s="1">
        <v>0</v>
      </c>
      <c r="AQ32" s="1" t="s">
        <v>1129</v>
      </c>
      <c r="AR32" s="1" t="s">
        <v>1119</v>
      </c>
      <c r="AS32" s="1" t="s">
        <v>1745</v>
      </c>
      <c r="AT32" s="1" t="s">
        <v>328</v>
      </c>
      <c r="AU32" s="1">
        <v>32</v>
      </c>
      <c r="AV32" s="1">
        <v>0</v>
      </c>
      <c r="AW32" s="1" t="s">
        <v>4492</v>
      </c>
      <c r="AX32" s="1" t="s">
        <v>4797</v>
      </c>
      <c r="AY32" s="1">
        <v>3</v>
      </c>
      <c r="AZ32" s="1">
        <v>0</v>
      </c>
      <c r="BA32" s="1" t="s">
        <v>4765</v>
      </c>
      <c r="BB32" s="1" t="s">
        <v>370</v>
      </c>
      <c r="BC32" s="1" t="s">
        <v>328</v>
      </c>
      <c r="BD32" s="1">
        <v>10202</v>
      </c>
      <c r="BE32" s="1"/>
      <c r="BH32">
        <f>COUNTIF(Dropdowns!$I:$AF,C32)</f>
        <v>1</v>
      </c>
    </row>
    <row r="33" spans="1:60" x14ac:dyDescent="0.3">
      <c r="A33" s="1">
        <v>33</v>
      </c>
      <c r="B33" s="1" t="s">
        <v>2774</v>
      </c>
      <c r="C33" s="207" t="s">
        <v>85</v>
      </c>
      <c r="D33" s="1" t="s">
        <v>85</v>
      </c>
      <c r="E33" s="1"/>
      <c r="F33" s="1"/>
      <c r="G33" s="1" t="s">
        <v>2775</v>
      </c>
      <c r="H33" s="1" t="s">
        <v>2776</v>
      </c>
      <c r="I33" s="1" t="s">
        <v>2777</v>
      </c>
      <c r="J33" s="1">
        <v>2</v>
      </c>
      <c r="K33" s="1">
        <v>2</v>
      </c>
      <c r="L33" s="1">
        <v>4800</v>
      </c>
      <c r="M33" s="1">
        <v>25</v>
      </c>
      <c r="N33" s="1">
        <v>20</v>
      </c>
      <c r="O33" s="1">
        <v>15</v>
      </c>
      <c r="P33" s="1">
        <v>10</v>
      </c>
      <c r="Q33" s="1">
        <v>5</v>
      </c>
      <c r="R33" s="1">
        <v>5</v>
      </c>
      <c r="S33" s="1">
        <v>2</v>
      </c>
      <c r="T33" s="1">
        <v>0</v>
      </c>
      <c r="U33" s="1">
        <v>105</v>
      </c>
      <c r="V33" s="1">
        <v>115</v>
      </c>
      <c r="W33" s="1">
        <v>95</v>
      </c>
      <c r="X33" s="1">
        <v>100</v>
      </c>
      <c r="Y33" s="1">
        <v>100</v>
      </c>
      <c r="Z33" s="1">
        <v>105</v>
      </c>
      <c r="AA33" s="1">
        <v>0</v>
      </c>
      <c r="AB33" s="1">
        <v>15</v>
      </c>
      <c r="AC33" s="1">
        <v>5</v>
      </c>
      <c r="AD33" s="1">
        <v>0</v>
      </c>
      <c r="AE33" s="1">
        <v>105</v>
      </c>
      <c r="AF33" s="1">
        <v>100</v>
      </c>
      <c r="AG33" s="1">
        <v>102401</v>
      </c>
      <c r="AH33" s="1">
        <v>0</v>
      </c>
      <c r="AI33" s="1">
        <v>300102</v>
      </c>
      <c r="AJ33" s="1" t="s">
        <v>1121</v>
      </c>
      <c r="AK33" s="1" t="s">
        <v>328</v>
      </c>
      <c r="AL33" s="1">
        <v>13</v>
      </c>
      <c r="AM33" s="1" t="s">
        <v>4790</v>
      </c>
      <c r="AN33" s="1" t="s">
        <v>388</v>
      </c>
      <c r="AO33" s="1" t="s">
        <v>4785</v>
      </c>
      <c r="AP33" s="1">
        <v>0</v>
      </c>
      <c r="AQ33" s="1" t="s">
        <v>1129</v>
      </c>
      <c r="AR33" s="1" t="s">
        <v>1119</v>
      </c>
      <c r="AS33" s="1" t="s">
        <v>1130</v>
      </c>
      <c r="AT33" s="1" t="s">
        <v>328</v>
      </c>
      <c r="AU33" s="1">
        <v>33</v>
      </c>
      <c r="AV33" s="1">
        <v>0</v>
      </c>
      <c r="AW33" s="1" t="s">
        <v>4492</v>
      </c>
      <c r="AX33" s="1" t="s">
        <v>470</v>
      </c>
      <c r="AY33" s="1">
        <v>2</v>
      </c>
      <c r="AZ33" s="1">
        <v>0</v>
      </c>
      <c r="BA33" s="1" t="s">
        <v>328</v>
      </c>
      <c r="BB33" s="1" t="s">
        <v>4825</v>
      </c>
      <c r="BC33" s="1" t="s">
        <v>328</v>
      </c>
      <c r="BD33" s="1">
        <v>10802</v>
      </c>
      <c r="BE33" s="1"/>
      <c r="BH33">
        <f>COUNTIF(Dropdowns!$I:$AF,C33)</f>
        <v>0</v>
      </c>
    </row>
    <row r="34" spans="1:60" x14ac:dyDescent="0.3">
      <c r="A34" s="1">
        <v>34</v>
      </c>
      <c r="B34" s="1" t="s">
        <v>2778</v>
      </c>
      <c r="C34" s="207" t="s">
        <v>86</v>
      </c>
      <c r="D34" s="1" t="s">
        <v>2779</v>
      </c>
      <c r="E34" s="1"/>
      <c r="F34" s="1"/>
      <c r="G34" s="1" t="s">
        <v>2780</v>
      </c>
      <c r="H34" s="1" t="s">
        <v>2781</v>
      </c>
      <c r="I34" s="1" t="s">
        <v>2782</v>
      </c>
      <c r="J34" s="1">
        <v>3</v>
      </c>
      <c r="K34" s="1">
        <v>3</v>
      </c>
      <c r="L34" s="1">
        <v>14400</v>
      </c>
      <c r="M34" s="1">
        <v>15</v>
      </c>
      <c r="N34" s="1">
        <v>30</v>
      </c>
      <c r="O34" s="1">
        <v>10</v>
      </c>
      <c r="P34" s="1">
        <v>15</v>
      </c>
      <c r="Q34" s="1">
        <v>5</v>
      </c>
      <c r="R34" s="1">
        <v>2</v>
      </c>
      <c r="S34" s="1">
        <v>5</v>
      </c>
      <c r="T34" s="1">
        <v>0</v>
      </c>
      <c r="U34" s="1">
        <v>100</v>
      </c>
      <c r="V34" s="1">
        <v>120</v>
      </c>
      <c r="W34" s="1">
        <v>115</v>
      </c>
      <c r="X34" s="1">
        <v>100</v>
      </c>
      <c r="Y34" s="1">
        <v>105</v>
      </c>
      <c r="Z34" s="1">
        <v>95</v>
      </c>
      <c r="AA34" s="1">
        <v>0</v>
      </c>
      <c r="AB34" s="1">
        <v>15</v>
      </c>
      <c r="AC34" s="1">
        <v>40</v>
      </c>
      <c r="AD34" s="1">
        <v>0</v>
      </c>
      <c r="AE34" s="1">
        <v>105</v>
      </c>
      <c r="AF34" s="1">
        <v>90</v>
      </c>
      <c r="AG34" s="1">
        <v>103004</v>
      </c>
      <c r="AH34" s="1">
        <v>0</v>
      </c>
      <c r="AI34" s="1">
        <v>300112</v>
      </c>
      <c r="AJ34" s="1" t="s">
        <v>1139</v>
      </c>
      <c r="AK34" s="1" t="s">
        <v>328</v>
      </c>
      <c r="AL34" s="1">
        <v>13</v>
      </c>
      <c r="AM34" s="1" t="s">
        <v>4762</v>
      </c>
      <c r="AN34" s="1" t="s">
        <v>475</v>
      </c>
      <c r="AO34" s="1" t="s">
        <v>4826</v>
      </c>
      <c r="AP34" s="1">
        <v>0</v>
      </c>
      <c r="AQ34" s="1" t="s">
        <v>1140</v>
      </c>
      <c r="AR34" s="1" t="s">
        <v>1141</v>
      </c>
      <c r="AS34" s="1" t="s">
        <v>1142</v>
      </c>
      <c r="AT34" s="1" t="s">
        <v>328</v>
      </c>
      <c r="AU34" s="1">
        <v>34</v>
      </c>
      <c r="AV34" s="1">
        <v>0</v>
      </c>
      <c r="AW34" s="1" t="s">
        <v>4492</v>
      </c>
      <c r="AX34" s="1" t="s">
        <v>4797</v>
      </c>
      <c r="AY34" s="1">
        <v>3</v>
      </c>
      <c r="AZ34" s="1">
        <v>0</v>
      </c>
      <c r="BA34" s="1" t="s">
        <v>328</v>
      </c>
      <c r="BB34" s="1" t="s">
        <v>4827</v>
      </c>
      <c r="BC34" s="1" t="s">
        <v>4720</v>
      </c>
      <c r="BD34" s="1">
        <v>10303</v>
      </c>
      <c r="BE34" s="1"/>
      <c r="BH34">
        <f>COUNTIF(Dropdowns!$I:$AF,C34)</f>
        <v>1</v>
      </c>
    </row>
    <row r="35" spans="1:60" x14ac:dyDescent="0.3">
      <c r="A35" s="1">
        <v>35</v>
      </c>
      <c r="B35" s="1" t="s">
        <v>2783</v>
      </c>
      <c r="C35" s="207" t="s">
        <v>788</v>
      </c>
      <c r="D35" s="1" t="s">
        <v>788</v>
      </c>
      <c r="E35" s="1"/>
      <c r="F35" s="1"/>
      <c r="G35" s="1" t="s">
        <v>2784</v>
      </c>
      <c r="H35" s="1" t="s">
        <v>2785</v>
      </c>
      <c r="I35" s="1" t="s">
        <v>2786</v>
      </c>
      <c r="J35" s="1">
        <v>3</v>
      </c>
      <c r="K35" s="1">
        <v>3</v>
      </c>
      <c r="L35" s="1">
        <v>13200</v>
      </c>
      <c r="M35" s="1">
        <v>15</v>
      </c>
      <c r="N35" s="1">
        <v>30</v>
      </c>
      <c r="O35" s="1">
        <v>10</v>
      </c>
      <c r="P35" s="1">
        <v>15</v>
      </c>
      <c r="Q35" s="1">
        <v>5</v>
      </c>
      <c r="R35" s="1">
        <v>2</v>
      </c>
      <c r="S35" s="1">
        <v>5</v>
      </c>
      <c r="T35" s="1">
        <v>0</v>
      </c>
      <c r="U35" s="1">
        <v>95</v>
      </c>
      <c r="V35" s="1">
        <v>90</v>
      </c>
      <c r="W35" s="1">
        <v>115</v>
      </c>
      <c r="X35" s="1">
        <v>100</v>
      </c>
      <c r="Y35" s="1">
        <v>120</v>
      </c>
      <c r="Z35" s="1">
        <v>130</v>
      </c>
      <c r="AA35" s="1">
        <v>0</v>
      </c>
      <c r="AB35" s="1">
        <v>15</v>
      </c>
      <c r="AC35" s="1">
        <v>40</v>
      </c>
      <c r="AD35" s="1">
        <v>0</v>
      </c>
      <c r="AE35" s="1">
        <v>115</v>
      </c>
      <c r="AF35" s="1">
        <v>100</v>
      </c>
      <c r="AG35" s="1">
        <v>100417</v>
      </c>
      <c r="AH35" s="1">
        <v>0</v>
      </c>
      <c r="AI35" s="1">
        <v>300104</v>
      </c>
      <c r="AJ35" s="1" t="s">
        <v>1125</v>
      </c>
      <c r="AK35" s="1" t="s">
        <v>328</v>
      </c>
      <c r="AL35" s="1">
        <v>13</v>
      </c>
      <c r="AM35" s="1" t="s">
        <v>4762</v>
      </c>
      <c r="AN35" s="1" t="s">
        <v>464</v>
      </c>
      <c r="AO35" s="1" t="s">
        <v>4826</v>
      </c>
      <c r="AP35" s="1">
        <v>0</v>
      </c>
      <c r="AQ35" s="1" t="s">
        <v>1140</v>
      </c>
      <c r="AR35" s="1" t="s">
        <v>1141</v>
      </c>
      <c r="AS35" s="1" t="s">
        <v>1142</v>
      </c>
      <c r="AT35" s="1" t="s">
        <v>328</v>
      </c>
      <c r="AU35" s="1">
        <v>35</v>
      </c>
      <c r="AV35" s="1">
        <v>0</v>
      </c>
      <c r="AW35" s="1" t="s">
        <v>4828</v>
      </c>
      <c r="AX35" s="1" t="s">
        <v>4829</v>
      </c>
      <c r="AY35" s="1">
        <v>3</v>
      </c>
      <c r="AZ35" s="1">
        <v>0</v>
      </c>
      <c r="BA35" s="1" t="s">
        <v>328</v>
      </c>
      <c r="BB35" s="1" t="s">
        <v>4830</v>
      </c>
      <c r="BC35" s="1" t="s">
        <v>4720</v>
      </c>
      <c r="BD35" s="1">
        <v>10303</v>
      </c>
      <c r="BE35" s="1"/>
      <c r="BH35">
        <f>COUNTIF(Dropdowns!$I:$AF,C35)</f>
        <v>1</v>
      </c>
    </row>
    <row r="36" spans="1:60" x14ac:dyDescent="0.3">
      <c r="A36" s="1">
        <v>36</v>
      </c>
      <c r="B36" s="1" t="s">
        <v>2787</v>
      </c>
      <c r="C36" s="207" t="s">
        <v>87</v>
      </c>
      <c r="D36" s="1" t="s">
        <v>2788</v>
      </c>
      <c r="E36" s="1"/>
      <c r="F36" s="1"/>
      <c r="G36" s="1" t="s">
        <v>2789</v>
      </c>
      <c r="H36" s="1" t="s">
        <v>2790</v>
      </c>
      <c r="I36" s="1" t="s">
        <v>2791</v>
      </c>
      <c r="J36" s="1">
        <v>3</v>
      </c>
      <c r="K36" s="1">
        <v>4</v>
      </c>
      <c r="L36" s="1">
        <v>15900</v>
      </c>
      <c r="M36" s="1">
        <v>15</v>
      </c>
      <c r="N36" s="1">
        <v>30</v>
      </c>
      <c r="O36" s="1">
        <v>10</v>
      </c>
      <c r="P36" s="1">
        <v>15</v>
      </c>
      <c r="Q36" s="1">
        <v>5</v>
      </c>
      <c r="R36" s="1">
        <v>2</v>
      </c>
      <c r="S36" s="1">
        <v>5</v>
      </c>
      <c r="T36" s="1">
        <v>0</v>
      </c>
      <c r="U36" s="1">
        <v>95</v>
      </c>
      <c r="V36" s="1">
        <v>115</v>
      </c>
      <c r="W36" s="1">
        <v>90</v>
      </c>
      <c r="X36" s="1">
        <v>100</v>
      </c>
      <c r="Y36" s="1">
        <v>105</v>
      </c>
      <c r="Z36" s="1">
        <v>115</v>
      </c>
      <c r="AA36" s="1">
        <v>0</v>
      </c>
      <c r="AB36" s="1">
        <v>15</v>
      </c>
      <c r="AC36" s="1">
        <v>40</v>
      </c>
      <c r="AD36" s="1">
        <v>0</v>
      </c>
      <c r="AE36" s="1">
        <v>125</v>
      </c>
      <c r="AF36" s="1">
        <v>105</v>
      </c>
      <c r="AG36" s="1">
        <v>102805</v>
      </c>
      <c r="AH36" s="1">
        <v>0</v>
      </c>
      <c r="AI36" s="1">
        <v>300104</v>
      </c>
      <c r="AJ36" s="1" t="s">
        <v>1143</v>
      </c>
      <c r="AK36" s="1" t="s">
        <v>328</v>
      </c>
      <c r="AL36" s="1">
        <v>13</v>
      </c>
      <c r="AM36" s="1" t="s">
        <v>4762</v>
      </c>
      <c r="AN36" s="1" t="s">
        <v>4831</v>
      </c>
      <c r="AO36" s="1" t="s">
        <v>4832</v>
      </c>
      <c r="AP36" s="1">
        <v>0</v>
      </c>
      <c r="AQ36" s="1" t="s">
        <v>1746</v>
      </c>
      <c r="AR36" s="1" t="s">
        <v>1141</v>
      </c>
      <c r="AS36" s="1" t="s">
        <v>1142</v>
      </c>
      <c r="AT36" s="1" t="s">
        <v>328</v>
      </c>
      <c r="AU36" s="1">
        <v>36</v>
      </c>
      <c r="AV36" s="1">
        <v>0</v>
      </c>
      <c r="AW36" s="1" t="s">
        <v>4492</v>
      </c>
      <c r="AX36" s="1" t="s">
        <v>4797</v>
      </c>
      <c r="AY36" s="1">
        <v>4</v>
      </c>
      <c r="AZ36" s="1">
        <v>0</v>
      </c>
      <c r="BA36" s="1" t="s">
        <v>328</v>
      </c>
      <c r="BB36" s="1" t="s">
        <v>4833</v>
      </c>
      <c r="BC36" s="1" t="s">
        <v>4720</v>
      </c>
      <c r="BD36" s="1">
        <v>107</v>
      </c>
      <c r="BE36" s="1"/>
      <c r="BH36">
        <f>COUNTIF(Dropdowns!$I:$AF,C36)</f>
        <v>1</v>
      </c>
    </row>
    <row r="37" spans="1:60" x14ac:dyDescent="0.3">
      <c r="A37" s="1">
        <v>37</v>
      </c>
      <c r="B37" s="1" t="s">
        <v>2792</v>
      </c>
      <c r="C37" s="207" t="s">
        <v>88</v>
      </c>
      <c r="D37" s="1" t="s">
        <v>88</v>
      </c>
      <c r="E37" s="1"/>
      <c r="F37" s="1"/>
      <c r="G37" s="1" t="s">
        <v>2793</v>
      </c>
      <c r="H37" s="1" t="s">
        <v>2794</v>
      </c>
      <c r="I37" s="1" t="s">
        <v>2795</v>
      </c>
      <c r="J37" s="1">
        <v>3</v>
      </c>
      <c r="K37" s="1">
        <v>3</v>
      </c>
      <c r="L37" s="1">
        <v>13200</v>
      </c>
      <c r="M37" s="1">
        <v>15</v>
      </c>
      <c r="N37" s="1">
        <v>30</v>
      </c>
      <c r="O37" s="1">
        <v>10</v>
      </c>
      <c r="P37" s="1">
        <v>15</v>
      </c>
      <c r="Q37" s="1">
        <v>5</v>
      </c>
      <c r="R37" s="1">
        <v>2</v>
      </c>
      <c r="S37" s="1">
        <v>5</v>
      </c>
      <c r="T37" s="1">
        <v>0</v>
      </c>
      <c r="U37" s="1">
        <v>95</v>
      </c>
      <c r="V37" s="1">
        <v>105</v>
      </c>
      <c r="W37" s="1">
        <v>130</v>
      </c>
      <c r="X37" s="1">
        <v>100</v>
      </c>
      <c r="Y37" s="1">
        <v>115</v>
      </c>
      <c r="Z37" s="1">
        <v>85</v>
      </c>
      <c r="AA37" s="1">
        <v>0</v>
      </c>
      <c r="AB37" s="1">
        <v>15</v>
      </c>
      <c r="AC37" s="1">
        <v>40</v>
      </c>
      <c r="AD37" s="1">
        <v>0</v>
      </c>
      <c r="AE37" s="1">
        <v>110</v>
      </c>
      <c r="AF37" s="1">
        <v>90</v>
      </c>
      <c r="AG37" s="1">
        <v>100102</v>
      </c>
      <c r="AH37" s="1">
        <v>0</v>
      </c>
      <c r="AI37" s="1">
        <v>300104</v>
      </c>
      <c r="AJ37" s="1" t="s">
        <v>1125</v>
      </c>
      <c r="AK37" s="1" t="s">
        <v>328</v>
      </c>
      <c r="AL37" s="1">
        <v>13</v>
      </c>
      <c r="AM37" s="1" t="s">
        <v>4762</v>
      </c>
      <c r="AN37" s="1" t="s">
        <v>4834</v>
      </c>
      <c r="AO37" s="1" t="s">
        <v>4826</v>
      </c>
      <c r="AP37" s="1">
        <v>0</v>
      </c>
      <c r="AQ37" s="1" t="s">
        <v>1140</v>
      </c>
      <c r="AR37" s="1" t="s">
        <v>4835</v>
      </c>
      <c r="AS37" s="1" t="s">
        <v>1142</v>
      </c>
      <c r="AT37" s="1" t="s">
        <v>328</v>
      </c>
      <c r="AU37" s="1">
        <v>37</v>
      </c>
      <c r="AV37" s="1">
        <v>0</v>
      </c>
      <c r="AW37" s="1" t="s">
        <v>4492</v>
      </c>
      <c r="AX37" s="1" t="s">
        <v>4797</v>
      </c>
      <c r="AY37" s="1">
        <v>3</v>
      </c>
      <c r="AZ37" s="1">
        <v>0</v>
      </c>
      <c r="BA37" s="1" t="s">
        <v>4765</v>
      </c>
      <c r="BB37" s="1" t="s">
        <v>4836</v>
      </c>
      <c r="BC37" s="1" t="s">
        <v>4720</v>
      </c>
      <c r="BD37" s="1">
        <v>10202</v>
      </c>
      <c r="BE37" s="1"/>
      <c r="BH37">
        <f>COUNTIF(Dropdowns!$I:$AF,C37)</f>
        <v>1</v>
      </c>
    </row>
    <row r="38" spans="1:60" x14ac:dyDescent="0.3">
      <c r="A38" s="1">
        <v>38</v>
      </c>
      <c r="B38" s="1" t="s">
        <v>2796</v>
      </c>
      <c r="C38" s="207" t="s">
        <v>89</v>
      </c>
      <c r="D38" s="1" t="s">
        <v>89</v>
      </c>
      <c r="E38" s="1"/>
      <c r="F38" s="1"/>
      <c r="G38" s="1" t="s">
        <v>2797</v>
      </c>
      <c r="H38" s="1" t="s">
        <v>2798</v>
      </c>
      <c r="I38" s="1" t="s">
        <v>2799</v>
      </c>
      <c r="J38" s="1">
        <v>3</v>
      </c>
      <c r="K38" s="1">
        <v>3</v>
      </c>
      <c r="L38" s="1">
        <v>13800</v>
      </c>
      <c r="M38" s="1">
        <v>15</v>
      </c>
      <c r="N38" s="1">
        <v>30</v>
      </c>
      <c r="O38" s="1">
        <v>10</v>
      </c>
      <c r="P38" s="1">
        <v>15</v>
      </c>
      <c r="Q38" s="1">
        <v>5</v>
      </c>
      <c r="R38" s="1">
        <v>2</v>
      </c>
      <c r="S38" s="1">
        <v>5</v>
      </c>
      <c r="T38" s="1">
        <v>0</v>
      </c>
      <c r="U38" s="1">
        <v>105</v>
      </c>
      <c r="V38" s="1">
        <v>115</v>
      </c>
      <c r="W38" s="1">
        <v>105</v>
      </c>
      <c r="X38" s="1">
        <v>100</v>
      </c>
      <c r="Y38" s="1">
        <v>120</v>
      </c>
      <c r="Z38" s="1">
        <v>85</v>
      </c>
      <c r="AA38" s="1">
        <v>0</v>
      </c>
      <c r="AB38" s="1">
        <v>15</v>
      </c>
      <c r="AC38" s="1">
        <v>40</v>
      </c>
      <c r="AD38" s="1">
        <v>0</v>
      </c>
      <c r="AE38" s="1">
        <v>110</v>
      </c>
      <c r="AF38" s="1">
        <v>100</v>
      </c>
      <c r="AG38" s="1">
        <v>102603</v>
      </c>
      <c r="AH38" s="1">
        <v>0</v>
      </c>
      <c r="AI38" s="1">
        <v>300104</v>
      </c>
      <c r="AJ38" s="1" t="s">
        <v>1144</v>
      </c>
      <c r="AK38" s="1" t="s">
        <v>328</v>
      </c>
      <c r="AL38" s="1">
        <v>13</v>
      </c>
      <c r="AM38" s="1" t="s">
        <v>4762</v>
      </c>
      <c r="AN38" s="1" t="s">
        <v>464</v>
      </c>
      <c r="AO38" s="1" t="s">
        <v>4826</v>
      </c>
      <c r="AP38" s="1">
        <v>0</v>
      </c>
      <c r="AQ38" s="1" t="s">
        <v>1140</v>
      </c>
      <c r="AR38" s="1" t="s">
        <v>4835</v>
      </c>
      <c r="AS38" s="1" t="s">
        <v>1142</v>
      </c>
      <c r="AT38" s="1" t="s">
        <v>328</v>
      </c>
      <c r="AU38" s="1">
        <v>38</v>
      </c>
      <c r="AV38" s="1">
        <v>0</v>
      </c>
      <c r="AW38" s="1" t="s">
        <v>4492</v>
      </c>
      <c r="AX38" s="1" t="s">
        <v>4837</v>
      </c>
      <c r="AY38" s="1">
        <v>3</v>
      </c>
      <c r="AZ38" s="1">
        <v>0</v>
      </c>
      <c r="BA38" s="1" t="s">
        <v>328</v>
      </c>
      <c r="BB38" s="1" t="s">
        <v>4838</v>
      </c>
      <c r="BC38" s="1" t="s">
        <v>4720</v>
      </c>
      <c r="BD38" s="1">
        <v>10202</v>
      </c>
      <c r="BE38" s="1"/>
      <c r="BH38">
        <f>COUNTIF(Dropdowns!$I:$AF,C38)</f>
        <v>1</v>
      </c>
    </row>
    <row r="39" spans="1:60" x14ac:dyDescent="0.3">
      <c r="A39" s="1">
        <v>39</v>
      </c>
      <c r="B39" s="1" t="s">
        <v>2800</v>
      </c>
      <c r="C39" s="207" t="s">
        <v>728</v>
      </c>
      <c r="D39" s="1" t="s">
        <v>2801</v>
      </c>
      <c r="E39" s="1"/>
      <c r="F39" s="1"/>
      <c r="G39" s="1" t="s">
        <v>2802</v>
      </c>
      <c r="H39" s="1" t="s">
        <v>2803</v>
      </c>
      <c r="I39" s="1" t="s">
        <v>2804</v>
      </c>
      <c r="J39" s="1">
        <v>3</v>
      </c>
      <c r="K39" s="1">
        <v>4</v>
      </c>
      <c r="L39" s="1">
        <v>15000</v>
      </c>
      <c r="M39" s="1">
        <v>15</v>
      </c>
      <c r="N39" s="1">
        <v>30</v>
      </c>
      <c r="O39" s="1">
        <v>10</v>
      </c>
      <c r="P39" s="1">
        <v>15</v>
      </c>
      <c r="Q39" s="1">
        <v>5</v>
      </c>
      <c r="R39" s="1">
        <v>2</v>
      </c>
      <c r="S39" s="1">
        <v>5</v>
      </c>
      <c r="T39" s="1">
        <v>0</v>
      </c>
      <c r="U39" s="1">
        <v>100</v>
      </c>
      <c r="V39" s="1">
        <v>115</v>
      </c>
      <c r="W39" s="1">
        <v>85</v>
      </c>
      <c r="X39" s="1">
        <v>100</v>
      </c>
      <c r="Y39" s="1">
        <v>120</v>
      </c>
      <c r="Z39" s="1">
        <v>105</v>
      </c>
      <c r="AA39" s="1">
        <v>0</v>
      </c>
      <c r="AB39" s="1">
        <v>15</v>
      </c>
      <c r="AC39" s="1">
        <v>40</v>
      </c>
      <c r="AD39" s="1">
        <v>0</v>
      </c>
      <c r="AE39" s="1">
        <v>130</v>
      </c>
      <c r="AF39" s="1">
        <v>100</v>
      </c>
      <c r="AG39" s="1">
        <v>102815</v>
      </c>
      <c r="AH39" s="1">
        <v>0</v>
      </c>
      <c r="AI39" s="1">
        <v>300104</v>
      </c>
      <c r="AJ39" s="1" t="s">
        <v>1145</v>
      </c>
      <c r="AK39" s="1" t="s">
        <v>328</v>
      </c>
      <c r="AL39" s="1">
        <v>13</v>
      </c>
      <c r="AM39" s="1" t="s">
        <v>4762</v>
      </c>
      <c r="AN39" s="1" t="s">
        <v>4810</v>
      </c>
      <c r="AO39" s="1" t="s">
        <v>4832</v>
      </c>
      <c r="AP39" s="1">
        <v>0</v>
      </c>
      <c r="AQ39" s="1" t="s">
        <v>1140</v>
      </c>
      <c r="AR39" s="1" t="s">
        <v>4835</v>
      </c>
      <c r="AS39" s="1" t="s">
        <v>4839</v>
      </c>
      <c r="AT39" s="1" t="s">
        <v>328</v>
      </c>
      <c r="AU39" s="1">
        <v>39</v>
      </c>
      <c r="AV39" s="1">
        <v>0</v>
      </c>
      <c r="AW39" s="1" t="s">
        <v>4492</v>
      </c>
      <c r="AX39" s="1" t="s">
        <v>4797</v>
      </c>
      <c r="AY39" s="1">
        <v>4</v>
      </c>
      <c r="AZ39" s="1">
        <v>0</v>
      </c>
      <c r="BA39" s="1" t="s">
        <v>4743</v>
      </c>
      <c r="BB39" s="1" t="s">
        <v>4840</v>
      </c>
      <c r="BC39" s="1" t="s">
        <v>4757</v>
      </c>
      <c r="BD39" s="1">
        <v>10302</v>
      </c>
      <c r="BE39" s="1"/>
      <c r="BH39">
        <f>COUNTIF(Dropdowns!$I:$AF,C39)</f>
        <v>1</v>
      </c>
    </row>
    <row r="40" spans="1:60" x14ac:dyDescent="0.3">
      <c r="A40" s="1">
        <v>40</v>
      </c>
      <c r="B40" s="1" t="s">
        <v>2805</v>
      </c>
      <c r="C40" s="207" t="s">
        <v>1612</v>
      </c>
      <c r="D40" s="1" t="s">
        <v>1612</v>
      </c>
      <c r="E40" s="1"/>
      <c r="F40" s="1"/>
      <c r="G40" s="1" t="s">
        <v>2806</v>
      </c>
      <c r="H40" s="1" t="s">
        <v>2807</v>
      </c>
      <c r="I40" s="1" t="s">
        <v>2808</v>
      </c>
      <c r="J40" s="1">
        <v>3</v>
      </c>
      <c r="K40" s="1">
        <v>2</v>
      </c>
      <c r="L40" s="1">
        <v>12600</v>
      </c>
      <c r="M40" s="1">
        <v>15</v>
      </c>
      <c r="N40" s="1">
        <v>30</v>
      </c>
      <c r="O40" s="1">
        <v>10</v>
      </c>
      <c r="P40" s="1">
        <v>15</v>
      </c>
      <c r="Q40" s="1">
        <v>5</v>
      </c>
      <c r="R40" s="1">
        <v>2</v>
      </c>
      <c r="S40" s="1">
        <v>5</v>
      </c>
      <c r="T40" s="1">
        <v>0</v>
      </c>
      <c r="U40" s="1">
        <v>95</v>
      </c>
      <c r="V40" s="1">
        <v>110</v>
      </c>
      <c r="W40" s="1">
        <v>105</v>
      </c>
      <c r="X40" s="1">
        <v>100</v>
      </c>
      <c r="Y40" s="1">
        <v>100</v>
      </c>
      <c r="Z40" s="1">
        <v>115</v>
      </c>
      <c r="AA40" s="1">
        <v>0</v>
      </c>
      <c r="AB40" s="1">
        <v>15</v>
      </c>
      <c r="AC40" s="1">
        <v>40</v>
      </c>
      <c r="AD40" s="1">
        <v>0</v>
      </c>
      <c r="AE40" s="1">
        <v>105</v>
      </c>
      <c r="AF40" s="1">
        <v>80</v>
      </c>
      <c r="AG40" s="1">
        <v>102604</v>
      </c>
      <c r="AH40" s="1">
        <v>0</v>
      </c>
      <c r="AI40" s="1">
        <v>300104</v>
      </c>
      <c r="AJ40" s="1" t="s">
        <v>1144</v>
      </c>
      <c r="AK40" s="1" t="s">
        <v>328</v>
      </c>
      <c r="AL40" s="1">
        <v>13</v>
      </c>
      <c r="AM40" s="1" t="s">
        <v>4762</v>
      </c>
      <c r="AN40" s="1" t="s">
        <v>475</v>
      </c>
      <c r="AO40" s="1" t="s">
        <v>338</v>
      </c>
      <c r="AP40" s="1">
        <v>0</v>
      </c>
      <c r="AQ40" s="1" t="s">
        <v>1140</v>
      </c>
      <c r="AR40" s="1" t="s">
        <v>1141</v>
      </c>
      <c r="AS40" s="1" t="s">
        <v>1142</v>
      </c>
      <c r="AT40" s="1" t="s">
        <v>328</v>
      </c>
      <c r="AU40" s="1">
        <v>40</v>
      </c>
      <c r="AV40" s="1">
        <v>0</v>
      </c>
      <c r="AW40" s="1" t="s">
        <v>4492</v>
      </c>
      <c r="AX40" s="1" t="s">
        <v>470</v>
      </c>
      <c r="AY40" s="1">
        <v>2</v>
      </c>
      <c r="AZ40" s="1">
        <v>0</v>
      </c>
      <c r="BA40" s="1" t="s">
        <v>328</v>
      </c>
      <c r="BB40" s="1" t="s">
        <v>371</v>
      </c>
      <c r="BC40" s="1" t="s">
        <v>4757</v>
      </c>
      <c r="BD40" s="1">
        <v>10303</v>
      </c>
      <c r="BE40" s="1"/>
      <c r="BH40">
        <f>COUNTIF(Dropdowns!$I:$AF,C40)</f>
        <v>1</v>
      </c>
    </row>
    <row r="41" spans="1:60" x14ac:dyDescent="0.3">
      <c r="A41" s="1">
        <v>41</v>
      </c>
      <c r="B41" s="1" t="s">
        <v>2809</v>
      </c>
      <c r="C41" s="207" t="s">
        <v>90</v>
      </c>
      <c r="D41" s="1" t="s">
        <v>90</v>
      </c>
      <c r="E41" s="1"/>
      <c r="F41" s="1"/>
      <c r="G41" s="1" t="s">
        <v>2810</v>
      </c>
      <c r="H41" s="1" t="s">
        <v>2811</v>
      </c>
      <c r="I41" s="1" t="s">
        <v>2812</v>
      </c>
      <c r="J41" s="1">
        <v>3</v>
      </c>
      <c r="K41" s="1">
        <v>2</v>
      </c>
      <c r="L41" s="1">
        <v>12600</v>
      </c>
      <c r="M41" s="1">
        <v>15</v>
      </c>
      <c r="N41" s="1">
        <v>30</v>
      </c>
      <c r="O41" s="1">
        <v>10</v>
      </c>
      <c r="P41" s="1">
        <v>15</v>
      </c>
      <c r="Q41" s="1">
        <v>5</v>
      </c>
      <c r="R41" s="1">
        <v>2</v>
      </c>
      <c r="S41" s="1">
        <v>5</v>
      </c>
      <c r="T41" s="1">
        <v>0</v>
      </c>
      <c r="U41" s="1">
        <v>105</v>
      </c>
      <c r="V41" s="1">
        <v>100</v>
      </c>
      <c r="W41" s="1">
        <v>105</v>
      </c>
      <c r="X41" s="1">
        <v>100</v>
      </c>
      <c r="Y41" s="1">
        <v>100</v>
      </c>
      <c r="Z41" s="1">
        <v>115</v>
      </c>
      <c r="AA41" s="1">
        <v>0</v>
      </c>
      <c r="AB41" s="1">
        <v>15</v>
      </c>
      <c r="AC41" s="1">
        <v>40</v>
      </c>
      <c r="AD41" s="1">
        <v>0</v>
      </c>
      <c r="AE41" s="1">
        <v>105</v>
      </c>
      <c r="AF41" s="1">
        <v>110</v>
      </c>
      <c r="AG41" s="1">
        <v>100401</v>
      </c>
      <c r="AH41" s="1">
        <v>0</v>
      </c>
      <c r="AI41" s="1">
        <v>300104</v>
      </c>
      <c r="AJ41" s="1" t="s">
        <v>1125</v>
      </c>
      <c r="AK41" s="1" t="s">
        <v>328</v>
      </c>
      <c r="AL41" s="1">
        <v>13</v>
      </c>
      <c r="AM41" s="1" t="s">
        <v>4762</v>
      </c>
      <c r="AN41" s="1" t="s">
        <v>464</v>
      </c>
      <c r="AO41" s="1" t="s">
        <v>338</v>
      </c>
      <c r="AP41" s="1">
        <v>0</v>
      </c>
      <c r="AQ41" s="1" t="s">
        <v>1140</v>
      </c>
      <c r="AR41" s="1" t="s">
        <v>1141</v>
      </c>
      <c r="AS41" s="1" t="s">
        <v>1142</v>
      </c>
      <c r="AT41" s="1" t="s">
        <v>328</v>
      </c>
      <c r="AU41" s="1">
        <v>41</v>
      </c>
      <c r="AV41" s="1">
        <v>0</v>
      </c>
      <c r="AW41" s="1" t="s">
        <v>4492</v>
      </c>
      <c r="AX41" s="1" t="s">
        <v>470</v>
      </c>
      <c r="AY41" s="1">
        <v>2</v>
      </c>
      <c r="AZ41" s="1">
        <v>0</v>
      </c>
      <c r="BA41" s="1" t="s">
        <v>328</v>
      </c>
      <c r="BB41" s="1" t="s">
        <v>4841</v>
      </c>
      <c r="BC41" s="1" t="s">
        <v>4757</v>
      </c>
      <c r="BD41" s="1">
        <v>10302</v>
      </c>
      <c r="BE41" s="1"/>
      <c r="BH41">
        <f>COUNTIF(Dropdowns!$I:$AF,C41)</f>
        <v>1</v>
      </c>
    </row>
    <row r="42" spans="1:60" x14ac:dyDescent="0.3">
      <c r="A42" s="1">
        <v>42</v>
      </c>
      <c r="B42" s="1" t="s">
        <v>2813</v>
      </c>
      <c r="C42" s="207" t="s">
        <v>91</v>
      </c>
      <c r="D42" s="1" t="s">
        <v>91</v>
      </c>
      <c r="E42" s="1"/>
      <c r="F42" s="1"/>
      <c r="G42" s="1" t="s">
        <v>2814</v>
      </c>
      <c r="H42" s="1" t="s">
        <v>2815</v>
      </c>
      <c r="I42" s="1" t="s">
        <v>2816</v>
      </c>
      <c r="J42" s="1">
        <v>3</v>
      </c>
      <c r="K42" s="1">
        <v>4</v>
      </c>
      <c r="L42" s="1">
        <v>16200</v>
      </c>
      <c r="M42" s="1">
        <v>15</v>
      </c>
      <c r="N42" s="1">
        <v>30</v>
      </c>
      <c r="O42" s="1">
        <v>10</v>
      </c>
      <c r="P42" s="1">
        <v>15</v>
      </c>
      <c r="Q42" s="1">
        <v>5</v>
      </c>
      <c r="R42" s="1">
        <v>2</v>
      </c>
      <c r="S42" s="1">
        <v>5</v>
      </c>
      <c r="T42" s="1">
        <v>0</v>
      </c>
      <c r="U42" s="1">
        <v>105</v>
      </c>
      <c r="V42" s="1">
        <v>140</v>
      </c>
      <c r="W42" s="1">
        <v>80</v>
      </c>
      <c r="X42" s="1">
        <v>100</v>
      </c>
      <c r="Y42" s="1">
        <v>105</v>
      </c>
      <c r="Z42" s="1">
        <v>80</v>
      </c>
      <c r="AA42" s="1">
        <v>0</v>
      </c>
      <c r="AB42" s="1">
        <v>15</v>
      </c>
      <c r="AC42" s="1">
        <v>40</v>
      </c>
      <c r="AD42" s="1">
        <v>0</v>
      </c>
      <c r="AE42" s="1">
        <v>130</v>
      </c>
      <c r="AF42" s="1">
        <v>160</v>
      </c>
      <c r="AG42" s="1">
        <v>102705</v>
      </c>
      <c r="AH42" s="1">
        <v>0</v>
      </c>
      <c r="AI42" s="1">
        <v>300104</v>
      </c>
      <c r="AJ42" s="1" t="s">
        <v>1146</v>
      </c>
      <c r="AK42" s="1" t="s">
        <v>328</v>
      </c>
      <c r="AL42" s="1">
        <v>13</v>
      </c>
      <c r="AM42" s="1" t="s">
        <v>4762</v>
      </c>
      <c r="AN42" s="1" t="s">
        <v>506</v>
      </c>
      <c r="AO42" s="1" t="s">
        <v>4832</v>
      </c>
      <c r="AP42" s="1">
        <v>0</v>
      </c>
      <c r="AQ42" s="1" t="s">
        <v>1140</v>
      </c>
      <c r="AR42" s="1" t="s">
        <v>1141</v>
      </c>
      <c r="AS42" s="1" t="s">
        <v>4839</v>
      </c>
      <c r="AT42" s="1" t="s">
        <v>328</v>
      </c>
      <c r="AU42" s="1">
        <v>42</v>
      </c>
      <c r="AV42" s="1">
        <v>0</v>
      </c>
      <c r="AW42" s="1" t="s">
        <v>4492</v>
      </c>
      <c r="AX42" s="1" t="s">
        <v>4797</v>
      </c>
      <c r="AY42" s="1">
        <v>4</v>
      </c>
      <c r="AZ42" s="1">
        <v>0</v>
      </c>
      <c r="BA42" s="1" t="s">
        <v>328</v>
      </c>
      <c r="BB42" s="1" t="s">
        <v>4746</v>
      </c>
      <c r="BC42" s="1" t="s">
        <v>4757</v>
      </c>
      <c r="BD42" s="1">
        <v>10302</v>
      </c>
      <c r="BE42" s="1"/>
      <c r="BH42">
        <f>COUNTIF(Dropdowns!$I:$AF,C42)</f>
        <v>1</v>
      </c>
    </row>
    <row r="43" spans="1:60" x14ac:dyDescent="0.3">
      <c r="A43" s="1">
        <v>43</v>
      </c>
      <c r="B43" s="1" t="s">
        <v>2817</v>
      </c>
      <c r="C43" s="207" t="s">
        <v>92</v>
      </c>
      <c r="D43" s="1" t="s">
        <v>92</v>
      </c>
      <c r="E43" s="1"/>
      <c r="F43" s="1"/>
      <c r="G43" s="1" t="s">
        <v>2818</v>
      </c>
      <c r="H43" s="1" t="s">
        <v>2819</v>
      </c>
      <c r="I43" s="1" t="s">
        <v>2820</v>
      </c>
      <c r="J43" s="1">
        <v>3</v>
      </c>
      <c r="K43" s="1">
        <v>4</v>
      </c>
      <c r="L43" s="1">
        <v>15300</v>
      </c>
      <c r="M43" s="1">
        <v>15</v>
      </c>
      <c r="N43" s="1">
        <v>30</v>
      </c>
      <c r="O43" s="1">
        <v>10</v>
      </c>
      <c r="P43" s="1">
        <v>15</v>
      </c>
      <c r="Q43" s="1">
        <v>5</v>
      </c>
      <c r="R43" s="1">
        <v>2</v>
      </c>
      <c r="S43" s="1">
        <v>5</v>
      </c>
      <c r="T43" s="1">
        <v>0</v>
      </c>
      <c r="U43" s="1">
        <v>90</v>
      </c>
      <c r="V43" s="1">
        <v>120</v>
      </c>
      <c r="W43" s="1">
        <v>110</v>
      </c>
      <c r="X43" s="1">
        <v>100</v>
      </c>
      <c r="Y43" s="1">
        <v>120</v>
      </c>
      <c r="Z43" s="1">
        <v>100</v>
      </c>
      <c r="AA43" s="1">
        <v>0</v>
      </c>
      <c r="AB43" s="1">
        <v>15</v>
      </c>
      <c r="AC43" s="1">
        <v>40</v>
      </c>
      <c r="AD43" s="1">
        <v>0</v>
      </c>
      <c r="AE43" s="1">
        <v>120</v>
      </c>
      <c r="AF43" s="1">
        <v>100</v>
      </c>
      <c r="AG43" s="1">
        <v>100403</v>
      </c>
      <c r="AH43" s="1">
        <v>0</v>
      </c>
      <c r="AI43" s="1">
        <v>300104</v>
      </c>
      <c r="AJ43" s="1" t="s">
        <v>328</v>
      </c>
      <c r="AK43" s="1" t="s">
        <v>328</v>
      </c>
      <c r="AL43" s="1">
        <v>13</v>
      </c>
      <c r="AM43" s="1" t="s">
        <v>4762</v>
      </c>
      <c r="AN43" s="1" t="s">
        <v>4834</v>
      </c>
      <c r="AO43" s="1" t="s">
        <v>4832</v>
      </c>
      <c r="AP43" s="1">
        <v>0</v>
      </c>
      <c r="AQ43" s="1" t="s">
        <v>1746</v>
      </c>
      <c r="AR43" s="1" t="s">
        <v>1141</v>
      </c>
      <c r="AS43" s="1" t="s">
        <v>1142</v>
      </c>
      <c r="AT43" s="1" t="s">
        <v>328</v>
      </c>
      <c r="AU43" s="1">
        <v>43</v>
      </c>
      <c r="AV43" s="1">
        <v>0</v>
      </c>
      <c r="AW43" s="1" t="s">
        <v>4842</v>
      </c>
      <c r="AX43" s="1" t="s">
        <v>331</v>
      </c>
      <c r="AY43" s="1">
        <v>4</v>
      </c>
      <c r="AZ43" s="1">
        <v>0</v>
      </c>
      <c r="BA43" s="1" t="s">
        <v>328</v>
      </c>
      <c r="BB43" s="1" t="s">
        <v>4843</v>
      </c>
      <c r="BC43" s="1" t="s">
        <v>4757</v>
      </c>
      <c r="BD43" s="1">
        <v>10402</v>
      </c>
      <c r="BE43" s="1"/>
      <c r="BH43">
        <f>COUNTIF(Dropdowns!$I:$AF,C43)</f>
        <v>1</v>
      </c>
    </row>
    <row r="44" spans="1:60" x14ac:dyDescent="0.3">
      <c r="A44" s="1">
        <v>44</v>
      </c>
      <c r="B44" s="1" t="s">
        <v>2821</v>
      </c>
      <c r="C44" s="207" t="s">
        <v>1613</v>
      </c>
      <c r="D44" s="1" t="s">
        <v>1613</v>
      </c>
      <c r="E44" s="1"/>
      <c r="F44" s="1"/>
      <c r="G44" s="1" t="s">
        <v>2822</v>
      </c>
      <c r="H44" s="1" t="s">
        <v>2823</v>
      </c>
      <c r="I44" s="1" t="s">
        <v>2824</v>
      </c>
      <c r="J44" s="1">
        <v>3</v>
      </c>
      <c r="K44" s="1">
        <v>3</v>
      </c>
      <c r="L44" s="1">
        <v>13200</v>
      </c>
      <c r="M44" s="1">
        <v>15</v>
      </c>
      <c r="N44" s="1">
        <v>30</v>
      </c>
      <c r="O44" s="1">
        <v>10</v>
      </c>
      <c r="P44" s="1">
        <v>15</v>
      </c>
      <c r="Q44" s="1">
        <v>5</v>
      </c>
      <c r="R44" s="1">
        <v>2</v>
      </c>
      <c r="S44" s="1">
        <v>5</v>
      </c>
      <c r="T44" s="1">
        <v>0</v>
      </c>
      <c r="U44" s="1">
        <v>95</v>
      </c>
      <c r="V44" s="1">
        <v>115</v>
      </c>
      <c r="W44" s="1">
        <v>110</v>
      </c>
      <c r="X44" s="1">
        <v>100</v>
      </c>
      <c r="Y44" s="1">
        <v>115</v>
      </c>
      <c r="Z44" s="1">
        <v>85</v>
      </c>
      <c r="AA44" s="1">
        <v>0</v>
      </c>
      <c r="AB44" s="1">
        <v>15</v>
      </c>
      <c r="AC44" s="1">
        <v>40</v>
      </c>
      <c r="AD44" s="1">
        <v>0</v>
      </c>
      <c r="AE44" s="1">
        <v>115</v>
      </c>
      <c r="AF44" s="1">
        <v>110</v>
      </c>
      <c r="AG44" s="1">
        <v>102706</v>
      </c>
      <c r="AH44" s="1">
        <v>0</v>
      </c>
      <c r="AI44" s="1">
        <v>300104</v>
      </c>
      <c r="AJ44" s="1" t="s">
        <v>1147</v>
      </c>
      <c r="AK44" s="1" t="s">
        <v>1148</v>
      </c>
      <c r="AL44" s="1">
        <v>13</v>
      </c>
      <c r="AM44" s="1" t="s">
        <v>4762</v>
      </c>
      <c r="AN44" s="1" t="s">
        <v>465</v>
      </c>
      <c r="AO44" s="1" t="s">
        <v>4826</v>
      </c>
      <c r="AP44" s="1">
        <v>0</v>
      </c>
      <c r="AQ44" s="1" t="s">
        <v>1140</v>
      </c>
      <c r="AR44" s="1" t="s">
        <v>1141</v>
      </c>
      <c r="AS44" s="1" t="s">
        <v>4839</v>
      </c>
      <c r="AT44" s="1" t="s">
        <v>328</v>
      </c>
      <c r="AU44" s="1">
        <v>44</v>
      </c>
      <c r="AV44" s="1">
        <v>0</v>
      </c>
      <c r="AW44" s="1" t="s">
        <v>4492</v>
      </c>
      <c r="AX44" s="1" t="s">
        <v>4797</v>
      </c>
      <c r="AY44" s="1">
        <v>3</v>
      </c>
      <c r="AZ44" s="1">
        <v>0</v>
      </c>
      <c r="BA44" s="1" t="s">
        <v>4765</v>
      </c>
      <c r="BB44" s="1" t="s">
        <v>4844</v>
      </c>
      <c r="BC44" s="1" t="s">
        <v>4757</v>
      </c>
      <c r="BD44" s="1">
        <v>10302</v>
      </c>
      <c r="BE44" s="1"/>
      <c r="BH44">
        <f>COUNTIF(Dropdowns!$I:$AF,C44)</f>
        <v>1</v>
      </c>
    </row>
    <row r="45" spans="1:60" x14ac:dyDescent="0.3">
      <c r="A45" s="1">
        <v>46</v>
      </c>
      <c r="B45" s="1" t="s">
        <v>2825</v>
      </c>
      <c r="C45" s="207" t="s">
        <v>93</v>
      </c>
      <c r="D45" s="1" t="s">
        <v>2826</v>
      </c>
      <c r="E45" s="1"/>
      <c r="F45" s="1"/>
      <c r="G45" s="1" t="s">
        <v>2827</v>
      </c>
      <c r="H45" s="1" t="s">
        <v>2828</v>
      </c>
      <c r="I45" s="1" t="s">
        <v>2829</v>
      </c>
      <c r="J45" s="1">
        <v>3</v>
      </c>
      <c r="K45" s="1">
        <v>5</v>
      </c>
      <c r="L45" s="1">
        <v>16800</v>
      </c>
      <c r="M45" s="1">
        <v>15</v>
      </c>
      <c r="N45" s="1">
        <v>30</v>
      </c>
      <c r="O45" s="1">
        <v>10</v>
      </c>
      <c r="P45" s="1">
        <v>15</v>
      </c>
      <c r="Q45" s="1">
        <v>5</v>
      </c>
      <c r="R45" s="1">
        <v>2</v>
      </c>
      <c r="S45" s="1">
        <v>5</v>
      </c>
      <c r="T45" s="1">
        <v>0</v>
      </c>
      <c r="U45" s="1">
        <v>95</v>
      </c>
      <c r="V45" s="1">
        <v>115</v>
      </c>
      <c r="W45" s="1">
        <v>95</v>
      </c>
      <c r="X45" s="1">
        <v>100</v>
      </c>
      <c r="Y45" s="1">
        <v>105</v>
      </c>
      <c r="Z45" s="1">
        <v>110</v>
      </c>
      <c r="AA45" s="1">
        <v>0</v>
      </c>
      <c r="AB45" s="1">
        <v>15</v>
      </c>
      <c r="AC45" s="1">
        <v>40</v>
      </c>
      <c r="AD45" s="1">
        <v>0</v>
      </c>
      <c r="AE45" s="1">
        <v>135</v>
      </c>
      <c r="AF45" s="1">
        <v>115</v>
      </c>
      <c r="AG45" s="1">
        <v>102905</v>
      </c>
      <c r="AH45" s="1">
        <v>0</v>
      </c>
      <c r="AI45" s="1">
        <v>300104</v>
      </c>
      <c r="AJ45" s="1" t="s">
        <v>1149</v>
      </c>
      <c r="AK45" s="1" t="s">
        <v>328</v>
      </c>
      <c r="AL45" s="1">
        <v>13</v>
      </c>
      <c r="AM45" s="1" t="s">
        <v>4762</v>
      </c>
      <c r="AN45" s="1" t="s">
        <v>4834</v>
      </c>
      <c r="AO45" s="1" t="s">
        <v>4845</v>
      </c>
      <c r="AP45" s="1">
        <v>0</v>
      </c>
      <c r="AQ45" s="1" t="s">
        <v>1140</v>
      </c>
      <c r="AR45" s="1" t="s">
        <v>4835</v>
      </c>
      <c r="AS45" s="1" t="s">
        <v>1142</v>
      </c>
      <c r="AT45" s="1" t="s">
        <v>328</v>
      </c>
      <c r="AU45" s="1">
        <v>46</v>
      </c>
      <c r="AV45" s="1">
        <v>0</v>
      </c>
      <c r="AW45" s="1" t="s">
        <v>4492</v>
      </c>
      <c r="AX45" s="1" t="s">
        <v>331</v>
      </c>
      <c r="AY45" s="1">
        <v>5</v>
      </c>
      <c r="AZ45" s="1">
        <v>0</v>
      </c>
      <c r="BA45" s="1" t="s">
        <v>328</v>
      </c>
      <c r="BB45" s="1" t="s">
        <v>4846</v>
      </c>
      <c r="BC45" s="1" t="s">
        <v>4769</v>
      </c>
      <c r="BD45" s="1">
        <v>10201</v>
      </c>
      <c r="BE45" s="1"/>
      <c r="BH45">
        <f>COUNTIF(Dropdowns!$I:$AF,C45)</f>
        <v>1</v>
      </c>
    </row>
    <row r="46" spans="1:60" x14ac:dyDescent="0.3">
      <c r="A46" s="1">
        <v>47</v>
      </c>
      <c r="B46" s="1" t="s">
        <v>2830</v>
      </c>
      <c r="C46" s="207" t="s">
        <v>94</v>
      </c>
      <c r="D46" s="1" t="s">
        <v>94</v>
      </c>
      <c r="E46" s="1"/>
      <c r="F46" s="1"/>
      <c r="G46" s="1" t="s">
        <v>2831</v>
      </c>
      <c r="H46" s="1" t="s">
        <v>2832</v>
      </c>
      <c r="I46" s="1" t="s">
        <v>2833</v>
      </c>
      <c r="J46" s="1">
        <v>3</v>
      </c>
      <c r="K46" s="1">
        <v>2</v>
      </c>
      <c r="L46" s="1">
        <v>11400</v>
      </c>
      <c r="M46" s="1">
        <v>15</v>
      </c>
      <c r="N46" s="1">
        <v>30</v>
      </c>
      <c r="O46" s="1">
        <v>10</v>
      </c>
      <c r="P46" s="1">
        <v>15</v>
      </c>
      <c r="Q46" s="1">
        <v>5</v>
      </c>
      <c r="R46" s="1">
        <v>2</v>
      </c>
      <c r="S46" s="1">
        <v>5</v>
      </c>
      <c r="T46" s="1">
        <v>0</v>
      </c>
      <c r="U46" s="1">
        <v>90</v>
      </c>
      <c r="V46" s="1">
        <v>105</v>
      </c>
      <c r="W46" s="1">
        <v>120</v>
      </c>
      <c r="X46" s="1">
        <v>100</v>
      </c>
      <c r="Y46" s="1">
        <v>90</v>
      </c>
      <c r="Z46" s="1">
        <v>85</v>
      </c>
      <c r="AA46" s="1">
        <v>0</v>
      </c>
      <c r="AB46" s="1">
        <v>15</v>
      </c>
      <c r="AC46" s="1">
        <v>40</v>
      </c>
      <c r="AD46" s="1">
        <v>0</v>
      </c>
      <c r="AE46" s="1">
        <v>115</v>
      </c>
      <c r="AF46" s="1">
        <v>85</v>
      </c>
      <c r="AG46" s="1">
        <v>100413</v>
      </c>
      <c r="AH46" s="1">
        <v>0</v>
      </c>
      <c r="AI46" s="1">
        <v>300104</v>
      </c>
      <c r="AJ46" s="1" t="s">
        <v>1125</v>
      </c>
      <c r="AK46" s="1" t="s">
        <v>328</v>
      </c>
      <c r="AL46" s="1">
        <v>13</v>
      </c>
      <c r="AM46" s="1" t="s">
        <v>4762</v>
      </c>
      <c r="AN46" s="1" t="s">
        <v>4834</v>
      </c>
      <c r="AO46" s="1" t="s">
        <v>338</v>
      </c>
      <c r="AP46" s="1">
        <v>0</v>
      </c>
      <c r="AQ46" s="1" t="s">
        <v>1140</v>
      </c>
      <c r="AR46" s="1" t="s">
        <v>1141</v>
      </c>
      <c r="AS46" s="1" t="s">
        <v>1142</v>
      </c>
      <c r="AT46" s="1" t="s">
        <v>328</v>
      </c>
      <c r="AU46" s="1">
        <v>47</v>
      </c>
      <c r="AV46" s="1">
        <v>0</v>
      </c>
      <c r="AW46" s="1" t="s">
        <v>4492</v>
      </c>
      <c r="AX46" s="1" t="s">
        <v>470</v>
      </c>
      <c r="AY46" s="1">
        <v>2</v>
      </c>
      <c r="AZ46" s="1">
        <v>0</v>
      </c>
      <c r="BA46" s="1" t="s">
        <v>328</v>
      </c>
      <c r="BB46" s="1" t="s">
        <v>4847</v>
      </c>
      <c r="BC46" s="1" t="s">
        <v>4769</v>
      </c>
      <c r="BD46" s="1">
        <v>10303</v>
      </c>
      <c r="BE46" s="1"/>
      <c r="BH46">
        <f>COUNTIF(Dropdowns!$I:$AF,C46)</f>
        <v>1</v>
      </c>
    </row>
    <row r="47" spans="1:60" x14ac:dyDescent="0.3">
      <c r="A47" s="1">
        <v>48</v>
      </c>
      <c r="B47" s="1" t="s">
        <v>2834</v>
      </c>
      <c r="C47" s="207" t="s">
        <v>95</v>
      </c>
      <c r="D47" s="1" t="s">
        <v>95</v>
      </c>
      <c r="E47" s="1"/>
      <c r="F47" s="1"/>
      <c r="G47" s="1" t="s">
        <v>2835</v>
      </c>
      <c r="H47" s="1" t="s">
        <v>2836</v>
      </c>
      <c r="I47" s="1" t="s">
        <v>2837</v>
      </c>
      <c r="J47" s="1">
        <v>3</v>
      </c>
      <c r="K47" s="1">
        <v>5</v>
      </c>
      <c r="L47" s="1">
        <v>17400</v>
      </c>
      <c r="M47" s="1">
        <v>15</v>
      </c>
      <c r="N47" s="1">
        <v>30</v>
      </c>
      <c r="O47" s="1">
        <v>10</v>
      </c>
      <c r="P47" s="1">
        <v>15</v>
      </c>
      <c r="Q47" s="1">
        <v>5</v>
      </c>
      <c r="R47" s="1">
        <v>2</v>
      </c>
      <c r="S47" s="1">
        <v>5</v>
      </c>
      <c r="T47" s="1">
        <v>0</v>
      </c>
      <c r="U47" s="1">
        <v>100</v>
      </c>
      <c r="V47" s="1">
        <v>120</v>
      </c>
      <c r="W47" s="1">
        <v>115</v>
      </c>
      <c r="X47" s="1">
        <v>100</v>
      </c>
      <c r="Y47" s="1">
        <v>125</v>
      </c>
      <c r="Z47" s="1">
        <v>90</v>
      </c>
      <c r="AA47" s="1">
        <v>0</v>
      </c>
      <c r="AB47" s="1">
        <v>15</v>
      </c>
      <c r="AC47" s="1">
        <v>40</v>
      </c>
      <c r="AD47" s="1">
        <v>0</v>
      </c>
      <c r="AE47" s="1">
        <v>120</v>
      </c>
      <c r="AF47" s="1">
        <v>130</v>
      </c>
      <c r="AG47" s="1">
        <v>100404</v>
      </c>
      <c r="AH47" s="1">
        <v>0</v>
      </c>
      <c r="AI47" s="1">
        <v>300104</v>
      </c>
      <c r="AJ47" s="1" t="s">
        <v>1150</v>
      </c>
      <c r="AK47" s="1" t="s">
        <v>328</v>
      </c>
      <c r="AL47" s="1">
        <v>13</v>
      </c>
      <c r="AM47" s="1" t="s">
        <v>4762</v>
      </c>
      <c r="AN47" s="1" t="s">
        <v>475</v>
      </c>
      <c r="AO47" s="1" t="s">
        <v>4845</v>
      </c>
      <c r="AP47" s="1">
        <v>0</v>
      </c>
      <c r="AQ47" s="1" t="s">
        <v>1140</v>
      </c>
      <c r="AR47" s="1" t="s">
        <v>4835</v>
      </c>
      <c r="AS47" s="1" t="s">
        <v>1142</v>
      </c>
      <c r="AT47" s="1" t="s">
        <v>328</v>
      </c>
      <c r="AU47" s="1">
        <v>48</v>
      </c>
      <c r="AV47" s="1">
        <v>0</v>
      </c>
      <c r="AW47" s="1" t="s">
        <v>4492</v>
      </c>
      <c r="AX47" s="1" t="s">
        <v>4797</v>
      </c>
      <c r="AY47" s="1">
        <v>5</v>
      </c>
      <c r="AZ47" s="1">
        <v>0</v>
      </c>
      <c r="BA47" s="1" t="s">
        <v>328</v>
      </c>
      <c r="BB47" s="1" t="s">
        <v>4790</v>
      </c>
      <c r="BC47" s="1" t="s">
        <v>4769</v>
      </c>
      <c r="BD47" s="1">
        <v>10201</v>
      </c>
      <c r="BE47" s="1"/>
      <c r="BH47">
        <f>COUNTIF(Dropdowns!$I:$AF,C47)</f>
        <v>1</v>
      </c>
    </row>
    <row r="48" spans="1:60" x14ac:dyDescent="0.3">
      <c r="A48" s="1">
        <v>49</v>
      </c>
      <c r="B48" s="1" t="s">
        <v>2838</v>
      </c>
      <c r="C48" s="207" t="s">
        <v>222</v>
      </c>
      <c r="D48" s="1" t="s">
        <v>2839</v>
      </c>
      <c r="E48" s="1"/>
      <c r="F48" s="1"/>
      <c r="G48" s="1" t="s">
        <v>2840</v>
      </c>
      <c r="H48" s="1" t="s">
        <v>2841</v>
      </c>
      <c r="I48" s="1" t="s">
        <v>2842</v>
      </c>
      <c r="J48" s="1">
        <v>3</v>
      </c>
      <c r="K48" s="1">
        <v>3</v>
      </c>
      <c r="L48" s="1">
        <v>13800</v>
      </c>
      <c r="M48" s="1">
        <v>15</v>
      </c>
      <c r="N48" s="1">
        <v>30</v>
      </c>
      <c r="O48" s="1">
        <v>10</v>
      </c>
      <c r="P48" s="1">
        <v>15</v>
      </c>
      <c r="Q48" s="1">
        <v>5</v>
      </c>
      <c r="R48" s="1">
        <v>2</v>
      </c>
      <c r="S48" s="1">
        <v>5</v>
      </c>
      <c r="T48" s="1">
        <v>0</v>
      </c>
      <c r="U48" s="1">
        <v>105</v>
      </c>
      <c r="V48" s="1">
        <v>100</v>
      </c>
      <c r="W48" s="1">
        <v>110</v>
      </c>
      <c r="X48" s="1">
        <v>100</v>
      </c>
      <c r="Y48" s="1">
        <v>105</v>
      </c>
      <c r="Z48" s="1">
        <v>115</v>
      </c>
      <c r="AA48" s="1">
        <v>0</v>
      </c>
      <c r="AB48" s="1">
        <v>15</v>
      </c>
      <c r="AC48" s="1">
        <v>40</v>
      </c>
      <c r="AD48" s="1">
        <v>0</v>
      </c>
      <c r="AE48" s="1">
        <v>110</v>
      </c>
      <c r="AF48" s="1">
        <v>100</v>
      </c>
      <c r="AG48" s="1">
        <v>100102</v>
      </c>
      <c r="AH48" s="1">
        <v>0</v>
      </c>
      <c r="AI48" s="1">
        <v>300104</v>
      </c>
      <c r="AJ48" s="1" t="s">
        <v>1151</v>
      </c>
      <c r="AK48" s="1" t="s">
        <v>328</v>
      </c>
      <c r="AL48" s="1">
        <v>13</v>
      </c>
      <c r="AM48" s="1" t="s">
        <v>4762</v>
      </c>
      <c r="AN48" s="1" t="s">
        <v>464</v>
      </c>
      <c r="AO48" s="1" t="s">
        <v>4826</v>
      </c>
      <c r="AP48" s="1">
        <v>0</v>
      </c>
      <c r="AQ48" s="1" t="s">
        <v>1746</v>
      </c>
      <c r="AR48" s="1" t="s">
        <v>1141</v>
      </c>
      <c r="AS48" s="1" t="s">
        <v>1142</v>
      </c>
      <c r="AT48" s="1" t="s">
        <v>328</v>
      </c>
      <c r="AU48" s="1">
        <v>49</v>
      </c>
      <c r="AV48" s="1">
        <v>0</v>
      </c>
      <c r="AW48" s="1" t="s">
        <v>4848</v>
      </c>
      <c r="AX48" s="1" t="s">
        <v>4849</v>
      </c>
      <c r="AY48" s="1">
        <v>3</v>
      </c>
      <c r="AZ48" s="1">
        <v>0</v>
      </c>
      <c r="BA48" s="1" t="s">
        <v>4765</v>
      </c>
      <c r="BB48" s="1" t="s">
        <v>4850</v>
      </c>
      <c r="BC48" s="1" t="s">
        <v>4783</v>
      </c>
      <c r="BD48" s="1">
        <v>10705</v>
      </c>
      <c r="BE48" s="1"/>
      <c r="BH48">
        <f>COUNTIF(Dropdowns!$I:$AF,C48)</f>
        <v>1</v>
      </c>
    </row>
    <row r="49" spans="1:60" x14ac:dyDescent="0.3">
      <c r="A49" s="1">
        <v>50</v>
      </c>
      <c r="B49" s="1" t="s">
        <v>2843</v>
      </c>
      <c r="C49" s="207" t="s">
        <v>96</v>
      </c>
      <c r="D49" s="1" t="s">
        <v>2844</v>
      </c>
      <c r="E49" s="1"/>
      <c r="F49" s="1"/>
      <c r="G49" s="1" t="s">
        <v>2845</v>
      </c>
      <c r="H49" s="1" t="s">
        <v>2846</v>
      </c>
      <c r="I49" s="1" t="s">
        <v>2847</v>
      </c>
      <c r="J49" s="1">
        <v>3</v>
      </c>
      <c r="K49" s="1">
        <v>5</v>
      </c>
      <c r="L49" s="1">
        <v>18000</v>
      </c>
      <c r="M49" s="1">
        <v>15</v>
      </c>
      <c r="N49" s="1">
        <v>30</v>
      </c>
      <c r="O49" s="1">
        <v>10</v>
      </c>
      <c r="P49" s="1">
        <v>15</v>
      </c>
      <c r="Q49" s="1">
        <v>5</v>
      </c>
      <c r="R49" s="1">
        <v>2</v>
      </c>
      <c r="S49" s="1">
        <v>5</v>
      </c>
      <c r="T49" s="1">
        <v>0</v>
      </c>
      <c r="U49" s="1">
        <v>90</v>
      </c>
      <c r="V49" s="1">
        <v>115</v>
      </c>
      <c r="W49" s="1">
        <v>100</v>
      </c>
      <c r="X49" s="1">
        <v>100</v>
      </c>
      <c r="Y49" s="1">
        <v>105</v>
      </c>
      <c r="Z49" s="1">
        <v>105</v>
      </c>
      <c r="AA49" s="1">
        <v>0</v>
      </c>
      <c r="AB49" s="1">
        <v>15</v>
      </c>
      <c r="AC49" s="1">
        <v>40</v>
      </c>
      <c r="AD49" s="1">
        <v>0</v>
      </c>
      <c r="AE49" s="1">
        <v>135</v>
      </c>
      <c r="AF49" s="1">
        <v>115</v>
      </c>
      <c r="AG49" s="1">
        <v>100104</v>
      </c>
      <c r="AH49" s="1">
        <v>0</v>
      </c>
      <c r="AI49" s="1">
        <v>300104</v>
      </c>
      <c r="AJ49" s="1" t="s">
        <v>328</v>
      </c>
      <c r="AK49" s="1" t="s">
        <v>328</v>
      </c>
      <c r="AL49" s="1">
        <v>13</v>
      </c>
      <c r="AM49" s="1" t="s">
        <v>4762</v>
      </c>
      <c r="AN49" s="1" t="s">
        <v>464</v>
      </c>
      <c r="AO49" s="1" t="s">
        <v>4845</v>
      </c>
      <c r="AP49" s="1">
        <v>0</v>
      </c>
      <c r="AQ49" s="1" t="s">
        <v>1140</v>
      </c>
      <c r="AR49" s="1" t="s">
        <v>4835</v>
      </c>
      <c r="AS49" s="1" t="s">
        <v>1142</v>
      </c>
      <c r="AT49" s="1" t="s">
        <v>328</v>
      </c>
      <c r="AU49" s="1">
        <v>50</v>
      </c>
      <c r="AV49" s="1">
        <v>0</v>
      </c>
      <c r="AW49" s="1" t="s">
        <v>4492</v>
      </c>
      <c r="AX49" s="1" t="s">
        <v>331</v>
      </c>
      <c r="AY49" s="1">
        <v>5</v>
      </c>
      <c r="AZ49" s="1">
        <v>0</v>
      </c>
      <c r="BA49" s="1" t="s">
        <v>328</v>
      </c>
      <c r="BB49" s="1" t="s">
        <v>4851</v>
      </c>
      <c r="BC49" s="1" t="s">
        <v>328</v>
      </c>
      <c r="BD49" s="1">
        <v>10201</v>
      </c>
      <c r="BE49" s="1"/>
      <c r="BH49">
        <f>COUNTIF(Dropdowns!$I:$AF,C49)</f>
        <v>1</v>
      </c>
    </row>
    <row r="50" spans="1:60" x14ac:dyDescent="0.3">
      <c r="A50" s="1">
        <v>51</v>
      </c>
      <c r="B50" s="1" t="s">
        <v>2848</v>
      </c>
      <c r="C50" s="207" t="s">
        <v>1152</v>
      </c>
      <c r="D50" s="1" t="s">
        <v>1152</v>
      </c>
      <c r="E50" s="1"/>
      <c r="F50" s="1"/>
      <c r="G50" s="1" t="s">
        <v>2849</v>
      </c>
      <c r="H50" s="1" t="s">
        <v>2850</v>
      </c>
      <c r="I50" s="1" t="s">
        <v>2851</v>
      </c>
      <c r="J50" s="1">
        <v>3</v>
      </c>
      <c r="K50" s="1">
        <v>2</v>
      </c>
      <c r="L50" s="1">
        <v>11400</v>
      </c>
      <c r="M50" s="1">
        <v>15</v>
      </c>
      <c r="N50" s="1">
        <v>30</v>
      </c>
      <c r="O50" s="1">
        <v>10</v>
      </c>
      <c r="P50" s="1">
        <v>15</v>
      </c>
      <c r="Q50" s="1">
        <v>5</v>
      </c>
      <c r="R50" s="1">
        <v>2</v>
      </c>
      <c r="S50" s="1">
        <v>5</v>
      </c>
      <c r="T50" s="1">
        <v>0</v>
      </c>
      <c r="U50" s="1">
        <v>105</v>
      </c>
      <c r="V50" s="1">
        <v>105</v>
      </c>
      <c r="W50" s="1">
        <v>95</v>
      </c>
      <c r="X50" s="1">
        <v>100</v>
      </c>
      <c r="Y50" s="1">
        <v>95</v>
      </c>
      <c r="Z50" s="1">
        <v>100</v>
      </c>
      <c r="AA50" s="1">
        <v>0</v>
      </c>
      <c r="AB50" s="1">
        <v>15</v>
      </c>
      <c r="AC50" s="1">
        <v>40</v>
      </c>
      <c r="AD50" s="1">
        <v>0</v>
      </c>
      <c r="AE50" s="1">
        <v>115</v>
      </c>
      <c r="AF50" s="1">
        <v>105</v>
      </c>
      <c r="AG50" s="1">
        <v>100101</v>
      </c>
      <c r="AH50" s="1">
        <v>0</v>
      </c>
      <c r="AI50" s="1">
        <v>300104</v>
      </c>
      <c r="AJ50" s="1" t="s">
        <v>1125</v>
      </c>
      <c r="AK50" s="1" t="s">
        <v>328</v>
      </c>
      <c r="AL50" s="1">
        <v>13</v>
      </c>
      <c r="AM50" s="1" t="s">
        <v>4762</v>
      </c>
      <c r="AN50" s="1" t="s">
        <v>4834</v>
      </c>
      <c r="AO50" s="1" t="s">
        <v>338</v>
      </c>
      <c r="AP50" s="1">
        <v>0</v>
      </c>
      <c r="AQ50" s="1" t="s">
        <v>1140</v>
      </c>
      <c r="AR50" s="1" t="s">
        <v>4835</v>
      </c>
      <c r="AS50" s="1" t="s">
        <v>1142</v>
      </c>
      <c r="AT50" s="1" t="s">
        <v>328</v>
      </c>
      <c r="AU50" s="1">
        <v>51</v>
      </c>
      <c r="AV50" s="1">
        <v>0</v>
      </c>
      <c r="AW50" s="1" t="s">
        <v>4492</v>
      </c>
      <c r="AX50" s="1" t="s">
        <v>470</v>
      </c>
      <c r="AY50" s="1">
        <v>2</v>
      </c>
      <c r="AZ50" s="1">
        <v>0</v>
      </c>
      <c r="BA50" s="1" t="s">
        <v>4745</v>
      </c>
      <c r="BB50" s="1" t="s">
        <v>4852</v>
      </c>
      <c r="BC50" s="1" t="s">
        <v>4853</v>
      </c>
      <c r="BD50" s="1">
        <v>10202</v>
      </c>
      <c r="BE50" s="1"/>
      <c r="BH50">
        <f>COUNTIF(Dropdowns!$I:$AF,C50)</f>
        <v>1</v>
      </c>
    </row>
    <row r="51" spans="1:60" x14ac:dyDescent="0.3">
      <c r="A51" s="1">
        <v>52</v>
      </c>
      <c r="B51" s="1" t="s">
        <v>2852</v>
      </c>
      <c r="C51" s="207" t="s">
        <v>97</v>
      </c>
      <c r="D51" s="1" t="s">
        <v>2853</v>
      </c>
      <c r="E51" s="1"/>
      <c r="F51" s="1"/>
      <c r="G51" s="1" t="s">
        <v>2854</v>
      </c>
      <c r="H51" s="1" t="s">
        <v>2855</v>
      </c>
      <c r="I51" s="1" t="s">
        <v>2856</v>
      </c>
      <c r="J51" s="1">
        <v>3</v>
      </c>
      <c r="K51" s="1">
        <v>2</v>
      </c>
      <c r="L51" s="1">
        <v>12000</v>
      </c>
      <c r="M51" s="1">
        <v>15</v>
      </c>
      <c r="N51" s="1">
        <v>30</v>
      </c>
      <c r="O51" s="1">
        <v>10</v>
      </c>
      <c r="P51" s="1">
        <v>15</v>
      </c>
      <c r="Q51" s="1">
        <v>5</v>
      </c>
      <c r="R51" s="1">
        <v>2</v>
      </c>
      <c r="S51" s="1">
        <v>5</v>
      </c>
      <c r="T51" s="1">
        <v>0</v>
      </c>
      <c r="U51" s="1">
        <v>110</v>
      </c>
      <c r="V51" s="1">
        <v>110</v>
      </c>
      <c r="W51" s="1">
        <v>120</v>
      </c>
      <c r="X51" s="1">
        <v>100</v>
      </c>
      <c r="Y51" s="1">
        <v>95</v>
      </c>
      <c r="Z51" s="1">
        <v>90</v>
      </c>
      <c r="AA51" s="1">
        <v>0</v>
      </c>
      <c r="AB51" s="1">
        <v>15</v>
      </c>
      <c r="AC51" s="1">
        <v>40</v>
      </c>
      <c r="AD51" s="1">
        <v>0</v>
      </c>
      <c r="AE51" s="1">
        <v>95</v>
      </c>
      <c r="AF51" s="1">
        <v>100</v>
      </c>
      <c r="AG51" s="1">
        <v>100401</v>
      </c>
      <c r="AH51" s="1">
        <v>0</v>
      </c>
      <c r="AI51" s="1">
        <v>300104</v>
      </c>
      <c r="AJ51" s="1" t="s">
        <v>1125</v>
      </c>
      <c r="AK51" s="1" t="s">
        <v>328</v>
      </c>
      <c r="AL51" s="1">
        <v>13</v>
      </c>
      <c r="AM51" s="1" t="s">
        <v>4762</v>
      </c>
      <c r="AN51" s="1" t="s">
        <v>475</v>
      </c>
      <c r="AO51" s="1" t="s">
        <v>338</v>
      </c>
      <c r="AP51" s="1">
        <v>0</v>
      </c>
      <c r="AQ51" s="1" t="s">
        <v>1140</v>
      </c>
      <c r="AR51" s="1" t="s">
        <v>4835</v>
      </c>
      <c r="AS51" s="1" t="s">
        <v>1142</v>
      </c>
      <c r="AT51" s="1" t="s">
        <v>328</v>
      </c>
      <c r="AU51" s="1">
        <v>52</v>
      </c>
      <c r="AV51" s="1">
        <v>0</v>
      </c>
      <c r="AW51" s="1" t="s">
        <v>4492</v>
      </c>
      <c r="AX51" s="1" t="s">
        <v>470</v>
      </c>
      <c r="AY51" s="1">
        <v>2</v>
      </c>
      <c r="AZ51" s="1">
        <v>0</v>
      </c>
      <c r="BA51" s="1" t="s">
        <v>328</v>
      </c>
      <c r="BB51" s="1" t="s">
        <v>4854</v>
      </c>
      <c r="BC51" s="1" t="s">
        <v>4739</v>
      </c>
      <c r="BD51" s="1">
        <v>10302</v>
      </c>
      <c r="BE51" s="1"/>
      <c r="BH51">
        <f>COUNTIF(Dropdowns!$I:$AF,C51)</f>
        <v>1</v>
      </c>
    </row>
    <row r="52" spans="1:60" x14ac:dyDescent="0.3">
      <c r="A52" s="1">
        <v>53</v>
      </c>
      <c r="B52" s="1" t="s">
        <v>2857</v>
      </c>
      <c r="C52" s="207" t="s">
        <v>1614</v>
      </c>
      <c r="D52" s="1" t="s">
        <v>1614</v>
      </c>
      <c r="E52" s="1"/>
      <c r="F52" s="1"/>
      <c r="G52" s="1" t="s">
        <v>2858</v>
      </c>
      <c r="H52" s="1" t="s">
        <v>2859</v>
      </c>
      <c r="I52" s="1" t="s">
        <v>2860</v>
      </c>
      <c r="J52" s="1">
        <v>3</v>
      </c>
      <c r="K52" s="1">
        <v>5</v>
      </c>
      <c r="L52" s="1">
        <v>17100</v>
      </c>
      <c r="M52" s="1">
        <v>15</v>
      </c>
      <c r="N52" s="1">
        <v>30</v>
      </c>
      <c r="O52" s="1">
        <v>10</v>
      </c>
      <c r="P52" s="1">
        <v>15</v>
      </c>
      <c r="Q52" s="1">
        <v>5</v>
      </c>
      <c r="R52" s="1">
        <v>2</v>
      </c>
      <c r="S52" s="1">
        <v>5</v>
      </c>
      <c r="T52" s="1">
        <v>0</v>
      </c>
      <c r="U52" s="1">
        <v>105</v>
      </c>
      <c r="V52" s="1">
        <v>145</v>
      </c>
      <c r="W52" s="1">
        <v>85</v>
      </c>
      <c r="X52" s="1">
        <v>100</v>
      </c>
      <c r="Y52" s="1">
        <v>105</v>
      </c>
      <c r="Z52" s="1">
        <v>80</v>
      </c>
      <c r="AA52" s="1">
        <v>0</v>
      </c>
      <c r="AB52" s="1">
        <v>15</v>
      </c>
      <c r="AC52" s="1">
        <v>40</v>
      </c>
      <c r="AD52" s="1">
        <v>0</v>
      </c>
      <c r="AE52" s="1">
        <v>130</v>
      </c>
      <c r="AF52" s="1">
        <v>160</v>
      </c>
      <c r="AG52" s="1">
        <v>102707</v>
      </c>
      <c r="AH52" s="1">
        <v>0</v>
      </c>
      <c r="AI52" s="1">
        <v>300104</v>
      </c>
      <c r="AJ52" s="1" t="s">
        <v>1146</v>
      </c>
      <c r="AK52" s="1" t="s">
        <v>328</v>
      </c>
      <c r="AL52" s="1">
        <v>13</v>
      </c>
      <c r="AM52" s="1" t="s">
        <v>4762</v>
      </c>
      <c r="AN52" s="1" t="s">
        <v>475</v>
      </c>
      <c r="AO52" s="1" t="s">
        <v>4845</v>
      </c>
      <c r="AP52" s="1">
        <v>0</v>
      </c>
      <c r="AQ52" s="1" t="s">
        <v>1746</v>
      </c>
      <c r="AR52" s="1" t="s">
        <v>1141</v>
      </c>
      <c r="AS52" s="1" t="s">
        <v>1142</v>
      </c>
      <c r="AT52" s="1" t="s">
        <v>328</v>
      </c>
      <c r="AU52" s="1">
        <v>53</v>
      </c>
      <c r="AV52" s="1">
        <v>0</v>
      </c>
      <c r="AW52" s="1" t="s">
        <v>4492</v>
      </c>
      <c r="AX52" s="1" t="s">
        <v>4491</v>
      </c>
      <c r="AY52" s="1">
        <v>5</v>
      </c>
      <c r="AZ52" s="1">
        <v>0</v>
      </c>
      <c r="BA52" s="1" t="s">
        <v>4855</v>
      </c>
      <c r="BB52" s="1" t="s">
        <v>4856</v>
      </c>
      <c r="BC52" s="1" t="s">
        <v>328</v>
      </c>
      <c r="BD52" s="1">
        <v>104</v>
      </c>
      <c r="BE52" s="1"/>
      <c r="BH52">
        <f>COUNTIF(Dropdowns!$I:$AF,C52)</f>
        <v>1</v>
      </c>
    </row>
    <row r="53" spans="1:60" x14ac:dyDescent="0.3">
      <c r="A53" s="1">
        <v>54</v>
      </c>
      <c r="B53" s="1" t="s">
        <v>2861</v>
      </c>
      <c r="C53" s="207" t="s">
        <v>98</v>
      </c>
      <c r="D53" s="1" t="s">
        <v>98</v>
      </c>
      <c r="E53" s="1"/>
      <c r="F53" s="1"/>
      <c r="G53" s="1" t="s">
        <v>2862</v>
      </c>
      <c r="H53" s="1" t="s">
        <v>2863</v>
      </c>
      <c r="I53" s="1" t="s">
        <v>2864</v>
      </c>
      <c r="J53" s="1">
        <v>4</v>
      </c>
      <c r="K53" s="1">
        <v>4</v>
      </c>
      <c r="L53" s="1">
        <v>12900</v>
      </c>
      <c r="M53" s="1">
        <v>20</v>
      </c>
      <c r="N53" s="1">
        <v>20</v>
      </c>
      <c r="O53" s="1">
        <v>10</v>
      </c>
      <c r="P53" s="1">
        <v>10</v>
      </c>
      <c r="Q53" s="1">
        <v>2</v>
      </c>
      <c r="R53" s="1">
        <v>5</v>
      </c>
      <c r="S53" s="1">
        <v>5</v>
      </c>
      <c r="T53" s="1">
        <v>0</v>
      </c>
      <c r="U53" s="1">
        <v>110</v>
      </c>
      <c r="V53" s="1">
        <v>110</v>
      </c>
      <c r="W53" s="1">
        <v>115</v>
      </c>
      <c r="X53" s="1">
        <v>100</v>
      </c>
      <c r="Y53" s="1">
        <v>120</v>
      </c>
      <c r="Z53" s="1">
        <v>115</v>
      </c>
      <c r="AA53" s="1">
        <v>0</v>
      </c>
      <c r="AB53" s="1">
        <v>15</v>
      </c>
      <c r="AC53" s="1">
        <v>20</v>
      </c>
      <c r="AD53" s="1">
        <v>0</v>
      </c>
      <c r="AE53" s="1">
        <v>110</v>
      </c>
      <c r="AF53" s="1">
        <v>125</v>
      </c>
      <c r="AG53" s="1">
        <v>102203</v>
      </c>
      <c r="AH53" s="1">
        <v>0</v>
      </c>
      <c r="AI53" s="1">
        <v>300103</v>
      </c>
      <c r="AJ53" s="1" t="s">
        <v>1153</v>
      </c>
      <c r="AK53" s="1" t="s">
        <v>328</v>
      </c>
      <c r="AL53" s="1">
        <v>13</v>
      </c>
      <c r="AM53" s="1" t="s">
        <v>4719</v>
      </c>
      <c r="AN53" s="1" t="s">
        <v>4747</v>
      </c>
      <c r="AO53" s="1" t="s">
        <v>4799</v>
      </c>
      <c r="AP53" s="1">
        <v>0</v>
      </c>
      <c r="AQ53" s="1" t="s">
        <v>1154</v>
      </c>
      <c r="AR53" s="1" t="s">
        <v>4857</v>
      </c>
      <c r="AS53" s="1" t="s">
        <v>4857</v>
      </c>
      <c r="AT53" s="1" t="s">
        <v>328</v>
      </c>
      <c r="AU53" s="1">
        <v>54</v>
      </c>
      <c r="AV53" s="1">
        <v>0</v>
      </c>
      <c r="AW53" s="1" t="s">
        <v>4492</v>
      </c>
      <c r="AX53" s="1" t="s">
        <v>4858</v>
      </c>
      <c r="AY53" s="1">
        <v>4</v>
      </c>
      <c r="AZ53" s="1">
        <v>0</v>
      </c>
      <c r="BA53" s="1" t="s">
        <v>328</v>
      </c>
      <c r="BB53" s="1" t="s">
        <v>4859</v>
      </c>
      <c r="BC53" s="1" t="s">
        <v>4860</v>
      </c>
      <c r="BD53" s="1">
        <v>106</v>
      </c>
      <c r="BE53" s="1"/>
      <c r="BH53">
        <f>COUNTIF(Dropdowns!$I:$AF,C53)</f>
        <v>1</v>
      </c>
    </row>
    <row r="54" spans="1:60" x14ac:dyDescent="0.3">
      <c r="A54" s="1">
        <v>55</v>
      </c>
      <c r="B54" s="1" t="s">
        <v>2865</v>
      </c>
      <c r="C54" s="207" t="s">
        <v>22</v>
      </c>
      <c r="D54" s="1" t="s">
        <v>22</v>
      </c>
      <c r="E54" s="1"/>
      <c r="F54" s="1"/>
      <c r="G54" s="1" t="s">
        <v>2866</v>
      </c>
      <c r="H54" s="1" t="s">
        <v>2867</v>
      </c>
      <c r="I54" s="1" t="s">
        <v>2868</v>
      </c>
      <c r="J54" s="1">
        <v>4</v>
      </c>
      <c r="K54" s="1">
        <v>4</v>
      </c>
      <c r="L54" s="1">
        <v>12900</v>
      </c>
      <c r="M54" s="1">
        <v>20</v>
      </c>
      <c r="N54" s="1">
        <v>20</v>
      </c>
      <c r="O54" s="1">
        <v>10</v>
      </c>
      <c r="P54" s="1">
        <v>10</v>
      </c>
      <c r="Q54" s="1">
        <v>2</v>
      </c>
      <c r="R54" s="1">
        <v>5</v>
      </c>
      <c r="S54" s="1">
        <v>5</v>
      </c>
      <c r="T54" s="1">
        <v>0</v>
      </c>
      <c r="U54" s="1">
        <v>100</v>
      </c>
      <c r="V54" s="1">
        <v>105</v>
      </c>
      <c r="W54" s="1">
        <v>120</v>
      </c>
      <c r="X54" s="1">
        <v>100</v>
      </c>
      <c r="Y54" s="1">
        <v>120</v>
      </c>
      <c r="Z54" s="1">
        <v>120</v>
      </c>
      <c r="AA54" s="1">
        <v>0</v>
      </c>
      <c r="AB54" s="1">
        <v>15</v>
      </c>
      <c r="AC54" s="1">
        <v>20</v>
      </c>
      <c r="AD54" s="1">
        <v>0</v>
      </c>
      <c r="AE54" s="1">
        <v>115</v>
      </c>
      <c r="AF54" s="1">
        <v>115</v>
      </c>
      <c r="AG54" s="1">
        <v>100107</v>
      </c>
      <c r="AH54" s="1">
        <v>0</v>
      </c>
      <c r="AI54" s="1">
        <v>300103</v>
      </c>
      <c r="AJ54" s="1" t="s">
        <v>1155</v>
      </c>
      <c r="AK54" s="1" t="s">
        <v>328</v>
      </c>
      <c r="AL54" s="1">
        <v>13</v>
      </c>
      <c r="AM54" s="1" t="s">
        <v>4790</v>
      </c>
      <c r="AN54" s="1" t="s">
        <v>4861</v>
      </c>
      <c r="AO54" s="1" t="s">
        <v>4862</v>
      </c>
      <c r="AP54" s="1">
        <v>0</v>
      </c>
      <c r="AQ54" s="1" t="s">
        <v>1130</v>
      </c>
      <c r="AR54" s="1" t="s">
        <v>1154</v>
      </c>
      <c r="AS54" s="1" t="s">
        <v>1744</v>
      </c>
      <c r="AT54" s="1" t="s">
        <v>328</v>
      </c>
      <c r="AU54" s="1">
        <v>55</v>
      </c>
      <c r="AV54" s="1">
        <v>0</v>
      </c>
      <c r="AW54" s="1" t="s">
        <v>4492</v>
      </c>
      <c r="AX54" s="1" t="s">
        <v>4858</v>
      </c>
      <c r="AY54" s="1">
        <v>4</v>
      </c>
      <c r="AZ54" s="1">
        <v>0</v>
      </c>
      <c r="BA54" s="1" t="s">
        <v>4743</v>
      </c>
      <c r="BB54" s="1" t="s">
        <v>4863</v>
      </c>
      <c r="BC54" s="1" t="s">
        <v>4860</v>
      </c>
      <c r="BD54" s="1">
        <v>10601</v>
      </c>
      <c r="BE54" s="1"/>
      <c r="BH54">
        <f>COUNTIF(Dropdowns!$I:$AF,C54)</f>
        <v>1</v>
      </c>
    </row>
    <row r="55" spans="1:60" x14ac:dyDescent="0.3">
      <c r="A55" s="1">
        <v>56</v>
      </c>
      <c r="B55" s="1" t="s">
        <v>2869</v>
      </c>
      <c r="C55" s="207" t="s">
        <v>99</v>
      </c>
      <c r="D55" s="1" t="s">
        <v>99</v>
      </c>
      <c r="E55" s="1"/>
      <c r="F55" s="1"/>
      <c r="G55" s="1" t="s">
        <v>2870</v>
      </c>
      <c r="H55" s="1" t="s">
        <v>2871</v>
      </c>
      <c r="I55" s="1" t="s">
        <v>2872</v>
      </c>
      <c r="J55" s="1">
        <v>4</v>
      </c>
      <c r="K55" s="1">
        <v>4</v>
      </c>
      <c r="L55" s="1">
        <v>12900</v>
      </c>
      <c r="M55" s="1">
        <v>20</v>
      </c>
      <c r="N55" s="1">
        <v>20</v>
      </c>
      <c r="O55" s="1">
        <v>10</v>
      </c>
      <c r="P55" s="1">
        <v>10</v>
      </c>
      <c r="Q55" s="1">
        <v>2</v>
      </c>
      <c r="R55" s="1">
        <v>5</v>
      </c>
      <c r="S55" s="1">
        <v>5</v>
      </c>
      <c r="T55" s="1">
        <v>0</v>
      </c>
      <c r="U55" s="1">
        <v>100</v>
      </c>
      <c r="V55" s="1">
        <v>115</v>
      </c>
      <c r="W55" s="1">
        <v>120</v>
      </c>
      <c r="X55" s="1">
        <v>100</v>
      </c>
      <c r="Y55" s="1">
        <v>125</v>
      </c>
      <c r="Z55" s="1">
        <v>115</v>
      </c>
      <c r="AA55" s="1">
        <v>0</v>
      </c>
      <c r="AB55" s="1">
        <v>15</v>
      </c>
      <c r="AC55" s="1">
        <v>20</v>
      </c>
      <c r="AD55" s="1">
        <v>0</v>
      </c>
      <c r="AE55" s="1">
        <v>110</v>
      </c>
      <c r="AF55" s="1">
        <v>115</v>
      </c>
      <c r="AG55" s="1">
        <v>102113</v>
      </c>
      <c r="AH55" s="1">
        <v>0</v>
      </c>
      <c r="AI55" s="1">
        <v>300103</v>
      </c>
      <c r="AJ55" s="1" t="s">
        <v>1156</v>
      </c>
      <c r="AK55" s="1" t="s">
        <v>328</v>
      </c>
      <c r="AL55" s="1">
        <v>13</v>
      </c>
      <c r="AM55" s="1" t="s">
        <v>4719</v>
      </c>
      <c r="AN55" s="1" t="s">
        <v>4864</v>
      </c>
      <c r="AO55" s="1" t="s">
        <v>4865</v>
      </c>
      <c r="AP55" s="1">
        <v>0</v>
      </c>
      <c r="AQ55" s="1" t="s">
        <v>4866</v>
      </c>
      <c r="AR55" s="1" t="s">
        <v>4866</v>
      </c>
      <c r="AS55" s="1" t="s">
        <v>1154</v>
      </c>
      <c r="AT55" s="1" t="s">
        <v>328</v>
      </c>
      <c r="AU55" s="1">
        <v>56</v>
      </c>
      <c r="AV55" s="1">
        <v>0</v>
      </c>
      <c r="AW55" s="1" t="s">
        <v>4492</v>
      </c>
      <c r="AX55" s="1" t="s">
        <v>4858</v>
      </c>
      <c r="AY55" s="1">
        <v>4</v>
      </c>
      <c r="AZ55" s="1">
        <v>0</v>
      </c>
      <c r="BA55" s="1" t="s">
        <v>4743</v>
      </c>
      <c r="BB55" s="1" t="s">
        <v>474</v>
      </c>
      <c r="BC55" s="1" t="s">
        <v>4860</v>
      </c>
      <c r="BD55" s="1">
        <v>10601</v>
      </c>
      <c r="BE55" s="1"/>
      <c r="BH55">
        <f>COUNTIF(Dropdowns!$I:$AF,C55)</f>
        <v>1</v>
      </c>
    </row>
    <row r="56" spans="1:60" x14ac:dyDescent="0.3">
      <c r="A56" s="1">
        <v>57</v>
      </c>
      <c r="B56" s="1" t="s">
        <v>2873</v>
      </c>
      <c r="C56" s="207" t="s">
        <v>1615</v>
      </c>
      <c r="D56" s="1" t="s">
        <v>2874</v>
      </c>
      <c r="E56" s="1"/>
      <c r="F56" s="1"/>
      <c r="G56" s="1" t="s">
        <v>2875</v>
      </c>
      <c r="H56" s="1" t="s">
        <v>2876</v>
      </c>
      <c r="I56" s="1" t="s">
        <v>2877</v>
      </c>
      <c r="J56" s="1">
        <v>4</v>
      </c>
      <c r="K56" s="1">
        <v>4</v>
      </c>
      <c r="L56" s="1">
        <v>12900</v>
      </c>
      <c r="M56" s="1">
        <v>20</v>
      </c>
      <c r="N56" s="1">
        <v>20</v>
      </c>
      <c r="O56" s="1">
        <v>10</v>
      </c>
      <c r="P56" s="1">
        <v>10</v>
      </c>
      <c r="Q56" s="1">
        <v>2</v>
      </c>
      <c r="R56" s="1">
        <v>5</v>
      </c>
      <c r="S56" s="1">
        <v>5</v>
      </c>
      <c r="T56" s="1">
        <v>0</v>
      </c>
      <c r="U56" s="1">
        <v>95</v>
      </c>
      <c r="V56" s="1">
        <v>105</v>
      </c>
      <c r="W56" s="1">
        <v>115</v>
      </c>
      <c r="X56" s="1">
        <v>100</v>
      </c>
      <c r="Y56" s="1">
        <v>120</v>
      </c>
      <c r="Z56" s="1">
        <v>120</v>
      </c>
      <c r="AA56" s="1">
        <v>0</v>
      </c>
      <c r="AB56" s="1">
        <v>15</v>
      </c>
      <c r="AC56" s="1">
        <v>20</v>
      </c>
      <c r="AD56" s="1">
        <v>0</v>
      </c>
      <c r="AE56" s="1">
        <v>120</v>
      </c>
      <c r="AF56" s="1">
        <v>125</v>
      </c>
      <c r="AG56" s="1">
        <v>100407</v>
      </c>
      <c r="AH56" s="1">
        <v>0</v>
      </c>
      <c r="AI56" s="1">
        <v>300103</v>
      </c>
      <c r="AJ56" s="1" t="s">
        <v>1157</v>
      </c>
      <c r="AK56" s="1" t="s">
        <v>328</v>
      </c>
      <c r="AL56" s="1">
        <v>13</v>
      </c>
      <c r="AM56" s="1" t="s">
        <v>4719</v>
      </c>
      <c r="AN56" s="1" t="s">
        <v>4864</v>
      </c>
      <c r="AO56" s="1" t="s">
        <v>4867</v>
      </c>
      <c r="AP56" s="1">
        <v>0</v>
      </c>
      <c r="AQ56" s="1" t="s">
        <v>4866</v>
      </c>
      <c r="AR56" s="1" t="s">
        <v>4866</v>
      </c>
      <c r="AS56" s="1" t="s">
        <v>4868</v>
      </c>
      <c r="AT56" s="1" t="s">
        <v>328</v>
      </c>
      <c r="AU56" s="1">
        <v>57</v>
      </c>
      <c r="AV56" s="1">
        <v>0</v>
      </c>
      <c r="AW56" s="1" t="s">
        <v>4492</v>
      </c>
      <c r="AX56" s="1" t="s">
        <v>4858</v>
      </c>
      <c r="AY56" s="1">
        <v>4</v>
      </c>
      <c r="AZ56" s="1">
        <v>0</v>
      </c>
      <c r="BA56" s="1" t="s">
        <v>4743</v>
      </c>
      <c r="BB56" s="1" t="s">
        <v>4869</v>
      </c>
      <c r="BC56" s="1" t="s">
        <v>4860</v>
      </c>
      <c r="BD56" s="1">
        <v>10601</v>
      </c>
      <c r="BE56" s="1"/>
      <c r="BH56">
        <f>COUNTIF(Dropdowns!$I:$AF,C56)</f>
        <v>1</v>
      </c>
    </row>
    <row r="57" spans="1:60" x14ac:dyDescent="0.3">
      <c r="A57" s="1">
        <v>58</v>
      </c>
      <c r="B57" s="1" t="s">
        <v>2878</v>
      </c>
      <c r="C57" s="207" t="s">
        <v>1616</v>
      </c>
      <c r="D57" s="1" t="s">
        <v>1616</v>
      </c>
      <c r="E57" s="1"/>
      <c r="F57" s="1"/>
      <c r="G57" s="1" t="s">
        <v>2879</v>
      </c>
      <c r="H57" s="1" t="s">
        <v>2880</v>
      </c>
      <c r="I57" s="1" t="s">
        <v>2881</v>
      </c>
      <c r="J57" s="1">
        <v>4</v>
      </c>
      <c r="K57" s="1">
        <v>3</v>
      </c>
      <c r="L57" s="1">
        <v>12000</v>
      </c>
      <c r="M57" s="1">
        <v>20</v>
      </c>
      <c r="N57" s="1">
        <v>20</v>
      </c>
      <c r="O57" s="1">
        <v>10</v>
      </c>
      <c r="P57" s="1">
        <v>10</v>
      </c>
      <c r="Q57" s="1">
        <v>2</v>
      </c>
      <c r="R57" s="1">
        <v>5</v>
      </c>
      <c r="S57" s="1">
        <v>5</v>
      </c>
      <c r="T57" s="1">
        <v>0</v>
      </c>
      <c r="U57" s="1">
        <v>120</v>
      </c>
      <c r="V57" s="1">
        <v>125</v>
      </c>
      <c r="W57" s="1">
        <v>100</v>
      </c>
      <c r="X57" s="1">
        <v>100</v>
      </c>
      <c r="Y57" s="1">
        <v>90</v>
      </c>
      <c r="Z57" s="1">
        <v>85</v>
      </c>
      <c r="AA57" s="1">
        <v>0</v>
      </c>
      <c r="AB57" s="1">
        <v>15</v>
      </c>
      <c r="AC57" s="1">
        <v>20</v>
      </c>
      <c r="AD57" s="1">
        <v>0</v>
      </c>
      <c r="AE57" s="1">
        <v>110</v>
      </c>
      <c r="AF57" s="1">
        <v>105</v>
      </c>
      <c r="AG57" s="1">
        <v>118002</v>
      </c>
      <c r="AH57" s="1">
        <v>0</v>
      </c>
      <c r="AI57" s="1">
        <v>300103</v>
      </c>
      <c r="AJ57" s="1" t="s">
        <v>4870</v>
      </c>
      <c r="AK57" s="1" t="s">
        <v>328</v>
      </c>
      <c r="AL57" s="1">
        <v>13</v>
      </c>
      <c r="AM57" s="1" t="s">
        <v>4719</v>
      </c>
      <c r="AN57" s="1" t="s">
        <v>4810</v>
      </c>
      <c r="AO57" s="1" t="s">
        <v>4871</v>
      </c>
      <c r="AP57" s="1">
        <v>0</v>
      </c>
      <c r="AQ57" s="1" t="s">
        <v>1745</v>
      </c>
      <c r="AR57" s="1" t="s">
        <v>1154</v>
      </c>
      <c r="AS57" s="1" t="s">
        <v>1129</v>
      </c>
      <c r="AT57" s="1" t="s">
        <v>328</v>
      </c>
      <c r="AU57" s="1">
        <v>58</v>
      </c>
      <c r="AV57" s="1">
        <v>0</v>
      </c>
      <c r="AW57" s="1" t="s">
        <v>4492</v>
      </c>
      <c r="AX57" s="1" t="s">
        <v>4797</v>
      </c>
      <c r="AY57" s="1">
        <v>3</v>
      </c>
      <c r="AZ57" s="1">
        <v>0</v>
      </c>
      <c r="BA57" s="1" t="s">
        <v>328</v>
      </c>
      <c r="BB57" s="1" t="s">
        <v>4872</v>
      </c>
      <c r="BC57" s="1" t="s">
        <v>4757</v>
      </c>
      <c r="BD57" s="1">
        <v>10302</v>
      </c>
      <c r="BE57" s="1"/>
      <c r="BH57">
        <f>COUNTIF(Dropdowns!$I:$AF,C57)</f>
        <v>1</v>
      </c>
    </row>
    <row r="58" spans="1:60" x14ac:dyDescent="0.3">
      <c r="A58" s="1">
        <v>59</v>
      </c>
      <c r="B58" s="1" t="s">
        <v>2882</v>
      </c>
      <c r="C58" s="207" t="s">
        <v>1617</v>
      </c>
      <c r="D58" s="1" t="s">
        <v>2883</v>
      </c>
      <c r="E58" s="1"/>
      <c r="F58" s="1"/>
      <c r="G58" s="1" t="s">
        <v>2884</v>
      </c>
      <c r="H58" s="1" t="s">
        <v>2885</v>
      </c>
      <c r="I58" s="1" t="s">
        <v>2886</v>
      </c>
      <c r="J58" s="1">
        <v>2</v>
      </c>
      <c r="K58" s="1">
        <v>5</v>
      </c>
      <c r="L58" s="1">
        <v>8280</v>
      </c>
      <c r="M58" s="1">
        <v>25</v>
      </c>
      <c r="N58" s="1">
        <v>20</v>
      </c>
      <c r="O58" s="1">
        <v>15</v>
      </c>
      <c r="P58" s="1">
        <v>10</v>
      </c>
      <c r="Q58" s="1">
        <v>5</v>
      </c>
      <c r="R58" s="1">
        <v>5</v>
      </c>
      <c r="S58" s="1">
        <v>2</v>
      </c>
      <c r="T58" s="1">
        <v>0</v>
      </c>
      <c r="U58" s="1">
        <v>110</v>
      </c>
      <c r="V58" s="1">
        <v>136</v>
      </c>
      <c r="W58" s="1">
        <v>108</v>
      </c>
      <c r="X58" s="1">
        <v>100</v>
      </c>
      <c r="Y58" s="1">
        <v>118</v>
      </c>
      <c r="Z58" s="1">
        <v>115</v>
      </c>
      <c r="AA58" s="1">
        <v>0</v>
      </c>
      <c r="AB58" s="1">
        <v>15</v>
      </c>
      <c r="AC58" s="1">
        <v>5</v>
      </c>
      <c r="AD58" s="1">
        <v>0</v>
      </c>
      <c r="AE58" s="1">
        <v>103</v>
      </c>
      <c r="AF58" s="1">
        <v>100</v>
      </c>
      <c r="AG58" s="1">
        <v>110042</v>
      </c>
      <c r="AH58" s="1">
        <v>0</v>
      </c>
      <c r="AI58" s="1">
        <v>110043</v>
      </c>
      <c r="AJ58" s="1" t="s">
        <v>4873</v>
      </c>
      <c r="AK58" s="1" t="s">
        <v>4874</v>
      </c>
      <c r="AL58" s="1">
        <v>13</v>
      </c>
      <c r="AM58" s="1" t="s">
        <v>4790</v>
      </c>
      <c r="AN58" s="1" t="s">
        <v>4795</v>
      </c>
      <c r="AO58" s="1" t="s">
        <v>4875</v>
      </c>
      <c r="AP58" s="1">
        <v>0</v>
      </c>
      <c r="AQ58" s="1" t="s">
        <v>1129</v>
      </c>
      <c r="AR58" s="1" t="s">
        <v>1119</v>
      </c>
      <c r="AS58" s="1" t="s">
        <v>1130</v>
      </c>
      <c r="AT58" s="1" t="s">
        <v>328</v>
      </c>
      <c r="AU58" s="1">
        <v>59</v>
      </c>
      <c r="AV58" s="1">
        <v>0</v>
      </c>
      <c r="AW58" s="1" t="s">
        <v>4818</v>
      </c>
      <c r="AX58" s="1" t="s">
        <v>4876</v>
      </c>
      <c r="AY58" s="1">
        <v>5</v>
      </c>
      <c r="AZ58" s="1">
        <v>0</v>
      </c>
      <c r="BA58" s="1" t="s">
        <v>328</v>
      </c>
      <c r="BB58" s="1" t="s">
        <v>328</v>
      </c>
      <c r="BC58" s="1" t="s">
        <v>4757</v>
      </c>
      <c r="BD58" s="1">
        <v>10203</v>
      </c>
      <c r="BE58" s="1"/>
      <c r="BH58">
        <f>COUNTIF(Dropdowns!$I:$AF,C58)</f>
        <v>1</v>
      </c>
    </row>
    <row r="59" spans="1:60" x14ac:dyDescent="0.3">
      <c r="A59" s="1">
        <v>60</v>
      </c>
      <c r="B59" s="1" t="s">
        <v>2887</v>
      </c>
      <c r="C59" s="207" t="s">
        <v>101</v>
      </c>
      <c r="D59" s="1" t="s">
        <v>2888</v>
      </c>
      <c r="E59" s="1"/>
      <c r="F59" s="1"/>
      <c r="G59" s="1" t="s">
        <v>2889</v>
      </c>
      <c r="H59" s="1" t="s">
        <v>2890</v>
      </c>
      <c r="I59" s="1" t="s">
        <v>2891</v>
      </c>
      <c r="J59" s="1">
        <v>4</v>
      </c>
      <c r="K59" s="1">
        <v>4</v>
      </c>
      <c r="L59" s="1">
        <v>12600</v>
      </c>
      <c r="M59" s="1">
        <v>20</v>
      </c>
      <c r="N59" s="1">
        <v>20</v>
      </c>
      <c r="O59" s="1">
        <v>10</v>
      </c>
      <c r="P59" s="1">
        <v>10</v>
      </c>
      <c r="Q59" s="1">
        <v>2</v>
      </c>
      <c r="R59" s="1">
        <v>5</v>
      </c>
      <c r="S59" s="1">
        <v>5</v>
      </c>
      <c r="T59" s="1">
        <v>0</v>
      </c>
      <c r="U59" s="1">
        <v>120</v>
      </c>
      <c r="V59" s="1">
        <v>90</v>
      </c>
      <c r="W59" s="1">
        <v>115</v>
      </c>
      <c r="X59" s="1">
        <v>100</v>
      </c>
      <c r="Y59" s="1">
        <v>120</v>
      </c>
      <c r="Z59" s="1">
        <v>125</v>
      </c>
      <c r="AA59" s="1">
        <v>0</v>
      </c>
      <c r="AB59" s="1">
        <v>15</v>
      </c>
      <c r="AC59" s="1">
        <v>20</v>
      </c>
      <c r="AD59" s="1">
        <v>0</v>
      </c>
      <c r="AE59" s="1">
        <v>110</v>
      </c>
      <c r="AF59" s="1">
        <v>85</v>
      </c>
      <c r="AG59" s="1">
        <v>100115</v>
      </c>
      <c r="AH59" s="1">
        <v>0</v>
      </c>
      <c r="AI59" s="1">
        <v>300103</v>
      </c>
      <c r="AJ59" s="1" t="s">
        <v>1158</v>
      </c>
      <c r="AK59" s="1" t="s">
        <v>328</v>
      </c>
      <c r="AL59" s="1">
        <v>13</v>
      </c>
      <c r="AM59" s="1" t="s">
        <v>4719</v>
      </c>
      <c r="AN59" s="1" t="s">
        <v>506</v>
      </c>
      <c r="AO59" s="1" t="s">
        <v>4877</v>
      </c>
      <c r="AP59" s="1">
        <v>0</v>
      </c>
      <c r="AQ59" s="1" t="s">
        <v>1130</v>
      </c>
      <c r="AR59" s="1" t="s">
        <v>4868</v>
      </c>
      <c r="AS59" s="1" t="s">
        <v>1129</v>
      </c>
      <c r="AT59" s="1" t="s">
        <v>328</v>
      </c>
      <c r="AU59" s="1">
        <v>60</v>
      </c>
      <c r="AV59" s="1">
        <v>0</v>
      </c>
      <c r="AW59" s="1" t="s">
        <v>4492</v>
      </c>
      <c r="AX59" s="1" t="s">
        <v>4797</v>
      </c>
      <c r="AY59" s="1">
        <v>4</v>
      </c>
      <c r="AZ59" s="1">
        <v>0</v>
      </c>
      <c r="BA59" s="1" t="s">
        <v>4743</v>
      </c>
      <c r="BB59" s="1" t="s">
        <v>4878</v>
      </c>
      <c r="BC59" s="1" t="s">
        <v>4757</v>
      </c>
      <c r="BD59" s="1">
        <v>10303</v>
      </c>
      <c r="BE59" s="1"/>
      <c r="BH59">
        <f>COUNTIF(Dropdowns!$I:$AF,C59)</f>
        <v>1</v>
      </c>
    </row>
    <row r="60" spans="1:60" x14ac:dyDescent="0.3">
      <c r="A60" s="1">
        <v>61</v>
      </c>
      <c r="B60" s="1" t="s">
        <v>2892</v>
      </c>
      <c r="C60" s="207" t="s">
        <v>102</v>
      </c>
      <c r="D60" s="1" t="s">
        <v>2893</v>
      </c>
      <c r="E60" s="1"/>
      <c r="F60" s="1"/>
      <c r="G60" s="1" t="s">
        <v>2894</v>
      </c>
      <c r="H60" s="1" t="s">
        <v>2895</v>
      </c>
      <c r="I60" s="1" t="s">
        <v>2896</v>
      </c>
      <c r="J60" s="1">
        <v>4</v>
      </c>
      <c r="K60" s="1">
        <v>3</v>
      </c>
      <c r="L60" s="1">
        <v>10800</v>
      </c>
      <c r="M60" s="1">
        <v>20</v>
      </c>
      <c r="N60" s="1">
        <v>20</v>
      </c>
      <c r="O60" s="1">
        <v>10</v>
      </c>
      <c r="P60" s="1">
        <v>10</v>
      </c>
      <c r="Q60" s="1">
        <v>2</v>
      </c>
      <c r="R60" s="1">
        <v>5</v>
      </c>
      <c r="S60" s="1">
        <v>5</v>
      </c>
      <c r="T60" s="1">
        <v>0</v>
      </c>
      <c r="U60" s="1">
        <v>115</v>
      </c>
      <c r="V60" s="1">
        <v>115</v>
      </c>
      <c r="W60" s="1">
        <v>90</v>
      </c>
      <c r="X60" s="1">
        <v>100</v>
      </c>
      <c r="Y60" s="1">
        <v>110</v>
      </c>
      <c r="Z60" s="1">
        <v>85</v>
      </c>
      <c r="AA60" s="1">
        <v>0</v>
      </c>
      <c r="AB60" s="1">
        <v>15</v>
      </c>
      <c r="AC60" s="1">
        <v>20</v>
      </c>
      <c r="AD60" s="1">
        <v>0</v>
      </c>
      <c r="AE60" s="1">
        <v>120</v>
      </c>
      <c r="AF60" s="1">
        <v>125</v>
      </c>
      <c r="AG60" s="1">
        <v>802506</v>
      </c>
      <c r="AH60" s="1">
        <v>0</v>
      </c>
      <c r="AI60" s="1">
        <v>300103</v>
      </c>
      <c r="AJ60" s="1" t="s">
        <v>1121</v>
      </c>
      <c r="AK60" s="1" t="s">
        <v>1159</v>
      </c>
      <c r="AL60" s="1">
        <v>13</v>
      </c>
      <c r="AM60" s="1" t="s">
        <v>4719</v>
      </c>
      <c r="AN60" s="1" t="s">
        <v>475</v>
      </c>
      <c r="AO60" s="1" t="s">
        <v>4879</v>
      </c>
      <c r="AP60" s="1">
        <v>0</v>
      </c>
      <c r="AQ60" s="1" t="s">
        <v>1130</v>
      </c>
      <c r="AR60" s="1" t="s">
        <v>4868</v>
      </c>
      <c r="AS60" s="1" t="s">
        <v>1129</v>
      </c>
      <c r="AT60" s="1" t="s">
        <v>328</v>
      </c>
      <c r="AU60" s="1">
        <v>61</v>
      </c>
      <c r="AV60" s="1">
        <v>0</v>
      </c>
      <c r="AW60" s="1" t="s">
        <v>4492</v>
      </c>
      <c r="AX60" s="1" t="s">
        <v>4797</v>
      </c>
      <c r="AY60" s="1">
        <v>3</v>
      </c>
      <c r="AZ60" s="1">
        <v>0</v>
      </c>
      <c r="BA60" s="1" t="s">
        <v>4765</v>
      </c>
      <c r="BB60" s="1" t="s">
        <v>4775</v>
      </c>
      <c r="BC60" s="1" t="s">
        <v>4769</v>
      </c>
      <c r="BD60" s="1">
        <v>10303</v>
      </c>
      <c r="BE60" s="1"/>
      <c r="BH60">
        <f>COUNTIF(Dropdowns!$I:$AF,C60)</f>
        <v>1</v>
      </c>
    </row>
    <row r="61" spans="1:60" x14ac:dyDescent="0.3">
      <c r="A61" s="1">
        <v>62</v>
      </c>
      <c r="B61" s="1" t="s">
        <v>2897</v>
      </c>
      <c r="C61" s="207" t="s">
        <v>734</v>
      </c>
      <c r="D61" s="1" t="s">
        <v>734</v>
      </c>
      <c r="E61" s="1"/>
      <c r="F61" s="1"/>
      <c r="G61" s="1" t="s">
        <v>2898</v>
      </c>
      <c r="H61" s="1" t="s">
        <v>2899</v>
      </c>
      <c r="I61" s="1" t="s">
        <v>2900</v>
      </c>
      <c r="J61" s="1">
        <v>4</v>
      </c>
      <c r="K61" s="1">
        <v>5</v>
      </c>
      <c r="L61" s="1">
        <v>14700</v>
      </c>
      <c r="M61" s="1">
        <v>20</v>
      </c>
      <c r="N61" s="1">
        <v>20</v>
      </c>
      <c r="O61" s="1">
        <v>10</v>
      </c>
      <c r="P61" s="1">
        <v>10</v>
      </c>
      <c r="Q61" s="1">
        <v>2</v>
      </c>
      <c r="R61" s="1">
        <v>5</v>
      </c>
      <c r="S61" s="1">
        <v>5</v>
      </c>
      <c r="T61" s="1">
        <v>0</v>
      </c>
      <c r="U61" s="1">
        <v>115</v>
      </c>
      <c r="V61" s="1">
        <v>110</v>
      </c>
      <c r="W61" s="1">
        <v>115</v>
      </c>
      <c r="X61" s="1">
        <v>100</v>
      </c>
      <c r="Y61" s="1">
        <v>115</v>
      </c>
      <c r="Z61" s="1">
        <v>95</v>
      </c>
      <c r="AA61" s="1">
        <v>0</v>
      </c>
      <c r="AB61" s="1">
        <v>15</v>
      </c>
      <c r="AC61" s="1">
        <v>20</v>
      </c>
      <c r="AD61" s="1">
        <v>0</v>
      </c>
      <c r="AE61" s="1">
        <v>120</v>
      </c>
      <c r="AF61" s="1">
        <v>100</v>
      </c>
      <c r="AG61" s="1">
        <v>100108</v>
      </c>
      <c r="AH61" s="1">
        <v>0</v>
      </c>
      <c r="AI61" s="1">
        <v>300103</v>
      </c>
      <c r="AJ61" s="1" t="s">
        <v>1160</v>
      </c>
      <c r="AK61" s="1" t="s">
        <v>328</v>
      </c>
      <c r="AL61" s="1">
        <v>13</v>
      </c>
      <c r="AM61" s="1" t="s">
        <v>4719</v>
      </c>
      <c r="AN61" s="1" t="s">
        <v>4834</v>
      </c>
      <c r="AO61" s="1" t="s">
        <v>4880</v>
      </c>
      <c r="AP61" s="1">
        <v>0</v>
      </c>
      <c r="AQ61" s="1" t="s">
        <v>1130</v>
      </c>
      <c r="AR61" s="1" t="s">
        <v>1154</v>
      </c>
      <c r="AS61" s="1" t="s">
        <v>1744</v>
      </c>
      <c r="AT61" s="1" t="s">
        <v>328</v>
      </c>
      <c r="AU61" s="1">
        <v>62</v>
      </c>
      <c r="AV61" s="1">
        <v>0</v>
      </c>
      <c r="AW61" s="1" t="s">
        <v>4492</v>
      </c>
      <c r="AX61" s="1" t="s">
        <v>4491</v>
      </c>
      <c r="AY61" s="1">
        <v>5</v>
      </c>
      <c r="AZ61" s="1">
        <v>0</v>
      </c>
      <c r="BA61" s="1" t="s">
        <v>328</v>
      </c>
      <c r="BB61" s="1" t="s">
        <v>4881</v>
      </c>
      <c r="BC61" s="1" t="s">
        <v>4769</v>
      </c>
      <c r="BD61" s="1">
        <v>10202</v>
      </c>
      <c r="BE61" s="1"/>
      <c r="BH61">
        <f>COUNTIF(Dropdowns!$I:$AF,C61)</f>
        <v>1</v>
      </c>
    </row>
    <row r="62" spans="1:60" x14ac:dyDescent="0.3">
      <c r="A62" s="1">
        <v>63</v>
      </c>
      <c r="B62" s="1" t="s">
        <v>2901</v>
      </c>
      <c r="C62" s="207" t="s">
        <v>1161</v>
      </c>
      <c r="D62" s="1" t="s">
        <v>1161</v>
      </c>
      <c r="E62" s="1"/>
      <c r="F62" s="1"/>
      <c r="G62" s="1" t="s">
        <v>2902</v>
      </c>
      <c r="H62" s="1" t="s">
        <v>2903</v>
      </c>
      <c r="I62" s="1" t="s">
        <v>2904</v>
      </c>
      <c r="J62" s="1">
        <v>4</v>
      </c>
      <c r="K62" s="1">
        <v>2</v>
      </c>
      <c r="L62" s="1">
        <v>10200</v>
      </c>
      <c r="M62" s="1">
        <v>20</v>
      </c>
      <c r="N62" s="1">
        <v>20</v>
      </c>
      <c r="O62" s="1">
        <v>10</v>
      </c>
      <c r="P62" s="1">
        <v>10</v>
      </c>
      <c r="Q62" s="1">
        <v>2</v>
      </c>
      <c r="R62" s="1">
        <v>5</v>
      </c>
      <c r="S62" s="1">
        <v>5</v>
      </c>
      <c r="T62" s="1">
        <v>0</v>
      </c>
      <c r="U62" s="1">
        <v>100</v>
      </c>
      <c r="V62" s="1">
        <v>120</v>
      </c>
      <c r="W62" s="1">
        <v>90</v>
      </c>
      <c r="X62" s="1">
        <v>100</v>
      </c>
      <c r="Y62" s="1">
        <v>110</v>
      </c>
      <c r="Z62" s="1">
        <v>90</v>
      </c>
      <c r="AA62" s="1">
        <v>0</v>
      </c>
      <c r="AB62" s="1">
        <v>15</v>
      </c>
      <c r="AC62" s="1">
        <v>20</v>
      </c>
      <c r="AD62" s="1">
        <v>0</v>
      </c>
      <c r="AE62" s="1">
        <v>120</v>
      </c>
      <c r="AF62" s="1">
        <v>110</v>
      </c>
      <c r="AG62" s="1">
        <v>102109</v>
      </c>
      <c r="AH62" s="1">
        <v>0</v>
      </c>
      <c r="AI62" s="1">
        <v>300103</v>
      </c>
      <c r="AJ62" s="1" t="s">
        <v>1121</v>
      </c>
      <c r="AK62" s="1" t="s">
        <v>328</v>
      </c>
      <c r="AL62" s="1">
        <v>13</v>
      </c>
      <c r="AM62" s="1" t="s">
        <v>4719</v>
      </c>
      <c r="AN62" s="1" t="s">
        <v>506</v>
      </c>
      <c r="AO62" s="1" t="s">
        <v>4882</v>
      </c>
      <c r="AP62" s="1">
        <v>0</v>
      </c>
      <c r="AQ62" s="1" t="s">
        <v>1745</v>
      </c>
      <c r="AR62" s="1" t="s">
        <v>1154</v>
      </c>
      <c r="AS62" s="1" t="s">
        <v>1129</v>
      </c>
      <c r="AT62" s="1" t="s">
        <v>328</v>
      </c>
      <c r="AU62" s="1">
        <v>63</v>
      </c>
      <c r="AV62" s="1">
        <v>0</v>
      </c>
      <c r="AW62" s="1" t="s">
        <v>4492</v>
      </c>
      <c r="AX62" s="1" t="s">
        <v>470</v>
      </c>
      <c r="AY62" s="1">
        <v>2</v>
      </c>
      <c r="AZ62" s="1">
        <v>0</v>
      </c>
      <c r="BA62" s="1" t="s">
        <v>4745</v>
      </c>
      <c r="BB62" s="1" t="s">
        <v>4883</v>
      </c>
      <c r="BC62" s="1" t="s">
        <v>4769</v>
      </c>
      <c r="BD62" s="1">
        <v>105</v>
      </c>
      <c r="BE62" s="1"/>
      <c r="BH62">
        <f>COUNTIF(Dropdowns!$I:$AF,C62)</f>
        <v>1</v>
      </c>
    </row>
    <row r="63" spans="1:60" x14ac:dyDescent="0.3">
      <c r="A63" s="1">
        <v>64</v>
      </c>
      <c r="B63" s="1" t="s">
        <v>2905</v>
      </c>
      <c r="C63" s="207" t="s">
        <v>1162</v>
      </c>
      <c r="D63" s="1" t="s">
        <v>1162</v>
      </c>
      <c r="E63" s="1"/>
      <c r="F63" s="1"/>
      <c r="G63" s="1" t="s">
        <v>2906</v>
      </c>
      <c r="H63" s="1" t="s">
        <v>2907</v>
      </c>
      <c r="I63" s="1" t="s">
        <v>2908</v>
      </c>
      <c r="J63" s="1">
        <v>4</v>
      </c>
      <c r="K63" s="1">
        <v>4</v>
      </c>
      <c r="L63" s="1">
        <v>13200</v>
      </c>
      <c r="M63" s="1">
        <v>20</v>
      </c>
      <c r="N63" s="1">
        <v>20</v>
      </c>
      <c r="O63" s="1">
        <v>10</v>
      </c>
      <c r="P63" s="1">
        <v>10</v>
      </c>
      <c r="Q63" s="1">
        <v>2</v>
      </c>
      <c r="R63" s="1">
        <v>5</v>
      </c>
      <c r="S63" s="1">
        <v>5</v>
      </c>
      <c r="T63" s="1">
        <v>0</v>
      </c>
      <c r="U63" s="1">
        <v>115</v>
      </c>
      <c r="V63" s="1">
        <v>110</v>
      </c>
      <c r="W63" s="1">
        <v>110</v>
      </c>
      <c r="X63" s="1">
        <v>100</v>
      </c>
      <c r="Y63" s="1">
        <v>115</v>
      </c>
      <c r="Z63" s="1">
        <v>105</v>
      </c>
      <c r="AA63" s="1">
        <v>0</v>
      </c>
      <c r="AB63" s="1">
        <v>15</v>
      </c>
      <c r="AC63" s="1">
        <v>20</v>
      </c>
      <c r="AD63" s="1">
        <v>0</v>
      </c>
      <c r="AE63" s="1">
        <v>110</v>
      </c>
      <c r="AF63" s="1">
        <v>100</v>
      </c>
      <c r="AG63" s="1">
        <v>100107</v>
      </c>
      <c r="AH63" s="1">
        <v>0</v>
      </c>
      <c r="AI63" s="1">
        <v>300103</v>
      </c>
      <c r="AJ63" s="1" t="s">
        <v>328</v>
      </c>
      <c r="AK63" s="1" t="s">
        <v>328</v>
      </c>
      <c r="AL63" s="1">
        <v>13</v>
      </c>
      <c r="AM63" s="1" t="s">
        <v>4719</v>
      </c>
      <c r="AN63" s="1" t="s">
        <v>4884</v>
      </c>
      <c r="AO63" s="1" t="s">
        <v>4885</v>
      </c>
      <c r="AP63" s="1">
        <v>0</v>
      </c>
      <c r="AQ63" s="1" t="s">
        <v>1745</v>
      </c>
      <c r="AR63" s="1" t="s">
        <v>1154</v>
      </c>
      <c r="AS63" s="1" t="s">
        <v>1129</v>
      </c>
      <c r="AT63" s="1" t="s">
        <v>328</v>
      </c>
      <c r="AU63" s="1">
        <v>64</v>
      </c>
      <c r="AV63" s="1">
        <v>0</v>
      </c>
      <c r="AW63" s="1" t="s">
        <v>4492</v>
      </c>
      <c r="AX63" s="1" t="s">
        <v>331</v>
      </c>
      <c r="AY63" s="1">
        <v>4</v>
      </c>
      <c r="AZ63" s="1">
        <v>0</v>
      </c>
      <c r="BA63" s="1" t="s">
        <v>4743</v>
      </c>
      <c r="BB63" s="1" t="s">
        <v>4886</v>
      </c>
      <c r="BC63" s="1" t="s">
        <v>4769</v>
      </c>
      <c r="BD63" s="1">
        <v>10705</v>
      </c>
      <c r="BE63" s="1"/>
      <c r="BH63">
        <f>COUNTIF(Dropdowns!$I:$AF,C63)</f>
        <v>1</v>
      </c>
    </row>
    <row r="64" spans="1:60" x14ac:dyDescent="0.3">
      <c r="A64" s="1">
        <v>65</v>
      </c>
      <c r="B64" s="1" t="s">
        <v>2909</v>
      </c>
      <c r="C64" s="207" t="s">
        <v>223</v>
      </c>
      <c r="D64" s="1" t="s">
        <v>223</v>
      </c>
      <c r="E64" s="1"/>
      <c r="F64" s="1"/>
      <c r="G64" s="1" t="s">
        <v>2910</v>
      </c>
      <c r="H64" s="1" t="s">
        <v>2911</v>
      </c>
      <c r="I64" s="1" t="s">
        <v>2912</v>
      </c>
      <c r="J64" s="1">
        <v>4</v>
      </c>
      <c r="K64" s="1">
        <v>5</v>
      </c>
      <c r="L64" s="1">
        <v>14100</v>
      </c>
      <c r="M64" s="1">
        <v>20</v>
      </c>
      <c r="N64" s="1">
        <v>20</v>
      </c>
      <c r="O64" s="1">
        <v>10</v>
      </c>
      <c r="P64" s="1">
        <v>10</v>
      </c>
      <c r="Q64" s="1">
        <v>2</v>
      </c>
      <c r="R64" s="1">
        <v>5</v>
      </c>
      <c r="S64" s="1">
        <v>5</v>
      </c>
      <c r="T64" s="1">
        <v>0</v>
      </c>
      <c r="U64" s="1">
        <v>110</v>
      </c>
      <c r="V64" s="1">
        <v>115</v>
      </c>
      <c r="W64" s="1">
        <v>115</v>
      </c>
      <c r="X64" s="1">
        <v>100</v>
      </c>
      <c r="Y64" s="1">
        <v>115</v>
      </c>
      <c r="Z64" s="1">
        <v>110</v>
      </c>
      <c r="AA64" s="1">
        <v>0</v>
      </c>
      <c r="AB64" s="1">
        <v>15</v>
      </c>
      <c r="AC64" s="1">
        <v>20</v>
      </c>
      <c r="AD64" s="1">
        <v>0</v>
      </c>
      <c r="AE64" s="1">
        <v>115</v>
      </c>
      <c r="AF64" s="1">
        <v>100</v>
      </c>
      <c r="AG64" s="1">
        <v>102112</v>
      </c>
      <c r="AH64" s="1">
        <v>0</v>
      </c>
      <c r="AI64" s="1">
        <v>300103</v>
      </c>
      <c r="AJ64" s="1" t="s">
        <v>1163</v>
      </c>
      <c r="AK64" s="1" t="s">
        <v>328</v>
      </c>
      <c r="AL64" s="1">
        <v>13</v>
      </c>
      <c r="AM64" s="1" t="s">
        <v>4719</v>
      </c>
      <c r="AN64" s="1" t="s">
        <v>475</v>
      </c>
      <c r="AO64" s="1" t="s">
        <v>4887</v>
      </c>
      <c r="AP64" s="1">
        <v>0</v>
      </c>
      <c r="AQ64" s="1" t="s">
        <v>1745</v>
      </c>
      <c r="AR64" s="1" t="s">
        <v>1154</v>
      </c>
      <c r="AS64" s="1" t="s">
        <v>1744</v>
      </c>
      <c r="AT64" s="1" t="s">
        <v>328</v>
      </c>
      <c r="AU64" s="1">
        <v>65</v>
      </c>
      <c r="AV64" s="1">
        <v>0</v>
      </c>
      <c r="AW64" s="1" t="s">
        <v>4492</v>
      </c>
      <c r="AX64" s="1" t="s">
        <v>4797</v>
      </c>
      <c r="AY64" s="1">
        <v>5</v>
      </c>
      <c r="AZ64" s="1">
        <v>0</v>
      </c>
      <c r="BA64" s="1" t="s">
        <v>4855</v>
      </c>
      <c r="BB64" s="1" t="s">
        <v>4888</v>
      </c>
      <c r="BC64" s="1" t="s">
        <v>4889</v>
      </c>
      <c r="BD64" s="1">
        <v>10104</v>
      </c>
      <c r="BE64" s="1"/>
      <c r="BH64">
        <f>COUNTIF(Dropdowns!$I:$AF,C64)</f>
        <v>1</v>
      </c>
    </row>
    <row r="65" spans="1:60" x14ac:dyDescent="0.3">
      <c r="A65" s="1">
        <v>66</v>
      </c>
      <c r="B65" s="1" t="s">
        <v>2913</v>
      </c>
      <c r="C65" s="207" t="s">
        <v>6757</v>
      </c>
      <c r="D65" s="1" t="s">
        <v>2914</v>
      </c>
      <c r="E65" s="1"/>
      <c r="F65" s="1"/>
      <c r="G65" s="1" t="s">
        <v>2915</v>
      </c>
      <c r="H65" s="1" t="s">
        <v>2916</v>
      </c>
      <c r="I65" s="1" t="s">
        <v>2917</v>
      </c>
      <c r="J65" s="1">
        <v>4</v>
      </c>
      <c r="K65" s="1">
        <v>4</v>
      </c>
      <c r="L65" s="1">
        <v>12300</v>
      </c>
      <c r="M65" s="1">
        <v>20</v>
      </c>
      <c r="N65" s="1">
        <v>20</v>
      </c>
      <c r="O65" s="1">
        <v>10</v>
      </c>
      <c r="P65" s="1">
        <v>10</v>
      </c>
      <c r="Q65" s="1">
        <v>2</v>
      </c>
      <c r="R65" s="1">
        <v>5</v>
      </c>
      <c r="S65" s="1">
        <v>5</v>
      </c>
      <c r="T65" s="1">
        <v>0</v>
      </c>
      <c r="U65" s="1">
        <v>125</v>
      </c>
      <c r="V65" s="1">
        <v>125</v>
      </c>
      <c r="W65" s="1">
        <v>105</v>
      </c>
      <c r="X65" s="1">
        <v>100</v>
      </c>
      <c r="Y65" s="1">
        <v>90</v>
      </c>
      <c r="Z65" s="1">
        <v>90</v>
      </c>
      <c r="AA65" s="1">
        <v>0</v>
      </c>
      <c r="AB65" s="1">
        <v>15</v>
      </c>
      <c r="AC65" s="1">
        <v>20</v>
      </c>
      <c r="AD65" s="1">
        <v>0</v>
      </c>
      <c r="AE65" s="1">
        <v>110</v>
      </c>
      <c r="AF65" s="1">
        <v>110</v>
      </c>
      <c r="AG65" s="1">
        <v>102115</v>
      </c>
      <c r="AH65" s="1">
        <v>0</v>
      </c>
      <c r="AI65" s="1">
        <v>300103</v>
      </c>
      <c r="AJ65" s="1" t="s">
        <v>1164</v>
      </c>
      <c r="AK65" s="1" t="s">
        <v>328</v>
      </c>
      <c r="AL65" s="1">
        <v>13</v>
      </c>
      <c r="AM65" s="1" t="s">
        <v>4719</v>
      </c>
      <c r="AN65" s="1" t="s">
        <v>475</v>
      </c>
      <c r="AO65" s="1" t="s">
        <v>4890</v>
      </c>
      <c r="AP65" s="1">
        <v>0</v>
      </c>
      <c r="AQ65" s="1" t="s">
        <v>1745</v>
      </c>
      <c r="AR65" s="1" t="s">
        <v>1154</v>
      </c>
      <c r="AS65" s="1" t="s">
        <v>1129</v>
      </c>
      <c r="AT65" s="1" t="s">
        <v>328</v>
      </c>
      <c r="AU65" s="1">
        <v>66</v>
      </c>
      <c r="AV65" s="1">
        <v>0</v>
      </c>
      <c r="AW65" s="1" t="s">
        <v>4492</v>
      </c>
      <c r="AX65" s="1" t="s">
        <v>4797</v>
      </c>
      <c r="AY65" s="1">
        <v>4</v>
      </c>
      <c r="AZ65" s="1">
        <v>0</v>
      </c>
      <c r="BA65" s="1" t="s">
        <v>328</v>
      </c>
      <c r="BB65" s="1" t="s">
        <v>4891</v>
      </c>
      <c r="BC65" s="1" t="s">
        <v>4783</v>
      </c>
      <c r="BD65" s="1">
        <v>10705</v>
      </c>
      <c r="BE65" s="1"/>
      <c r="BH65">
        <f>COUNTIF(Dropdowns!$I:$AF,C65)</f>
        <v>1</v>
      </c>
    </row>
    <row r="66" spans="1:60" x14ac:dyDescent="0.3">
      <c r="A66" s="1">
        <v>68</v>
      </c>
      <c r="B66" s="1" t="s">
        <v>2918</v>
      </c>
      <c r="C66" s="207" t="s">
        <v>103</v>
      </c>
      <c r="D66" s="1" t="s">
        <v>103</v>
      </c>
      <c r="E66" s="1"/>
      <c r="F66" s="1"/>
      <c r="G66" s="1" t="s">
        <v>2919</v>
      </c>
      <c r="H66" s="1" t="s">
        <v>2920</v>
      </c>
      <c r="I66" s="1" t="s">
        <v>2921</v>
      </c>
      <c r="J66" s="1">
        <v>4</v>
      </c>
      <c r="K66" s="1">
        <v>2</v>
      </c>
      <c r="L66" s="1">
        <v>10200</v>
      </c>
      <c r="M66" s="1">
        <v>20</v>
      </c>
      <c r="N66" s="1">
        <v>20</v>
      </c>
      <c r="O66" s="1">
        <v>10</v>
      </c>
      <c r="P66" s="1">
        <v>10</v>
      </c>
      <c r="Q66" s="1">
        <v>2</v>
      </c>
      <c r="R66" s="1">
        <v>5</v>
      </c>
      <c r="S66" s="1">
        <v>5</v>
      </c>
      <c r="T66" s="1">
        <v>0</v>
      </c>
      <c r="U66" s="1">
        <v>85</v>
      </c>
      <c r="V66" s="1">
        <v>100</v>
      </c>
      <c r="W66" s="1">
        <v>115</v>
      </c>
      <c r="X66" s="1">
        <v>100</v>
      </c>
      <c r="Y66" s="1">
        <v>100</v>
      </c>
      <c r="Z66" s="1">
        <v>100</v>
      </c>
      <c r="AA66" s="1">
        <v>0</v>
      </c>
      <c r="AB66" s="1">
        <v>15</v>
      </c>
      <c r="AC66" s="1">
        <v>20</v>
      </c>
      <c r="AD66" s="1">
        <v>0</v>
      </c>
      <c r="AE66" s="1">
        <v>125</v>
      </c>
      <c r="AF66" s="1">
        <v>120</v>
      </c>
      <c r="AG66" s="1">
        <v>101701</v>
      </c>
      <c r="AH66" s="1">
        <v>0</v>
      </c>
      <c r="AI66" s="1">
        <v>300103</v>
      </c>
      <c r="AJ66" s="1" t="s">
        <v>1121</v>
      </c>
      <c r="AK66" s="1" t="s">
        <v>328</v>
      </c>
      <c r="AL66" s="1">
        <v>13</v>
      </c>
      <c r="AM66" s="1" t="s">
        <v>4719</v>
      </c>
      <c r="AN66" s="1" t="s">
        <v>506</v>
      </c>
      <c r="AO66" s="1" t="s">
        <v>4892</v>
      </c>
      <c r="AP66" s="1">
        <v>0</v>
      </c>
      <c r="AQ66" s="1" t="s">
        <v>1130</v>
      </c>
      <c r="AR66" s="1" t="s">
        <v>1154</v>
      </c>
      <c r="AS66" s="1" t="s">
        <v>1129</v>
      </c>
      <c r="AT66" s="1" t="s">
        <v>328</v>
      </c>
      <c r="AU66" s="1">
        <v>68</v>
      </c>
      <c r="AV66" s="1">
        <v>0</v>
      </c>
      <c r="AW66" s="1" t="s">
        <v>4492</v>
      </c>
      <c r="AX66" s="1" t="s">
        <v>470</v>
      </c>
      <c r="AY66" s="1">
        <v>2</v>
      </c>
      <c r="AZ66" s="1">
        <v>0</v>
      </c>
      <c r="BA66" s="1" t="s">
        <v>328</v>
      </c>
      <c r="BB66" s="1" t="s">
        <v>4893</v>
      </c>
      <c r="BC66" s="1" t="s">
        <v>328</v>
      </c>
      <c r="BD66" s="1">
        <v>10302</v>
      </c>
      <c r="BE66" s="1"/>
      <c r="BH66">
        <f>COUNTIF(Dropdowns!$I:$AF,C66)</f>
        <v>1</v>
      </c>
    </row>
    <row r="67" spans="1:60" x14ac:dyDescent="0.3">
      <c r="A67" s="1">
        <v>69</v>
      </c>
      <c r="B67" s="1" t="s">
        <v>2922</v>
      </c>
      <c r="C67" s="207" t="s">
        <v>710</v>
      </c>
      <c r="D67" s="1" t="s">
        <v>710</v>
      </c>
      <c r="E67" s="1"/>
      <c r="F67" s="1"/>
      <c r="G67" s="1" t="s">
        <v>2923</v>
      </c>
      <c r="H67" s="1" t="s">
        <v>2924</v>
      </c>
      <c r="I67" s="1" t="s">
        <v>2925</v>
      </c>
      <c r="J67" s="1">
        <v>4</v>
      </c>
      <c r="K67" s="1">
        <v>4</v>
      </c>
      <c r="L67" s="1">
        <v>12600</v>
      </c>
      <c r="M67" s="1">
        <v>20</v>
      </c>
      <c r="N67" s="1">
        <v>20</v>
      </c>
      <c r="O67" s="1">
        <v>10</v>
      </c>
      <c r="P67" s="1">
        <v>10</v>
      </c>
      <c r="Q67" s="1">
        <v>2</v>
      </c>
      <c r="R67" s="1">
        <v>5</v>
      </c>
      <c r="S67" s="1">
        <v>5</v>
      </c>
      <c r="T67" s="1">
        <v>0</v>
      </c>
      <c r="U67" s="1">
        <v>110</v>
      </c>
      <c r="V67" s="1">
        <v>105</v>
      </c>
      <c r="W67" s="1">
        <v>125</v>
      </c>
      <c r="X67" s="1">
        <v>100</v>
      </c>
      <c r="Y67" s="1">
        <v>130</v>
      </c>
      <c r="Z67" s="1">
        <v>105</v>
      </c>
      <c r="AA67" s="1">
        <v>0</v>
      </c>
      <c r="AB67" s="1">
        <v>15</v>
      </c>
      <c r="AC67" s="1">
        <v>20</v>
      </c>
      <c r="AD67" s="1">
        <v>0</v>
      </c>
      <c r="AE67" s="1">
        <v>105</v>
      </c>
      <c r="AF67" s="1">
        <v>110</v>
      </c>
      <c r="AG67" s="1">
        <v>102115</v>
      </c>
      <c r="AH67" s="1">
        <v>0</v>
      </c>
      <c r="AI67" s="1">
        <v>300103</v>
      </c>
      <c r="AJ67" s="1" t="s">
        <v>1164</v>
      </c>
      <c r="AK67" s="1" t="s">
        <v>328</v>
      </c>
      <c r="AL67" s="1">
        <v>13</v>
      </c>
      <c r="AM67" s="1" t="s">
        <v>4719</v>
      </c>
      <c r="AN67" s="1" t="s">
        <v>465</v>
      </c>
      <c r="AO67" s="1" t="s">
        <v>4894</v>
      </c>
      <c r="AP67" s="1">
        <v>0</v>
      </c>
      <c r="AQ67" s="1" t="s">
        <v>1745</v>
      </c>
      <c r="AR67" s="1" t="s">
        <v>1154</v>
      </c>
      <c r="AS67" s="1" t="s">
        <v>1129</v>
      </c>
      <c r="AT67" s="1" t="s">
        <v>328</v>
      </c>
      <c r="AU67" s="1">
        <v>69</v>
      </c>
      <c r="AV67" s="1">
        <v>0</v>
      </c>
      <c r="AW67" s="1" t="s">
        <v>4492</v>
      </c>
      <c r="AX67" s="1" t="s">
        <v>4797</v>
      </c>
      <c r="AY67" s="1">
        <v>4</v>
      </c>
      <c r="AZ67" s="1">
        <v>0</v>
      </c>
      <c r="BA67" s="1" t="s">
        <v>328</v>
      </c>
      <c r="BB67" s="1" t="s">
        <v>4895</v>
      </c>
      <c r="BC67" s="1" t="s">
        <v>328</v>
      </c>
      <c r="BD67" s="1">
        <v>10403</v>
      </c>
      <c r="BE67" s="1"/>
      <c r="BH67">
        <f>COUNTIF(Dropdowns!$I:$AF,C67)</f>
        <v>1</v>
      </c>
    </row>
    <row r="68" spans="1:60" x14ac:dyDescent="0.3">
      <c r="A68" s="1">
        <v>70</v>
      </c>
      <c r="B68" s="1" t="s">
        <v>2926</v>
      </c>
      <c r="C68" s="207" t="s">
        <v>1165</v>
      </c>
      <c r="D68" s="1" t="s">
        <v>2927</v>
      </c>
      <c r="E68" s="1"/>
      <c r="F68" s="1"/>
      <c r="G68" s="1" t="s">
        <v>2928</v>
      </c>
      <c r="H68" s="1" t="s">
        <v>2929</v>
      </c>
      <c r="I68" s="1" t="s">
        <v>2930</v>
      </c>
      <c r="J68" s="1">
        <v>4</v>
      </c>
      <c r="K68" s="1">
        <v>3</v>
      </c>
      <c r="L68" s="1">
        <v>12000</v>
      </c>
      <c r="M68" s="1">
        <v>20</v>
      </c>
      <c r="N68" s="1">
        <v>20</v>
      </c>
      <c r="O68" s="1">
        <v>10</v>
      </c>
      <c r="P68" s="1">
        <v>10</v>
      </c>
      <c r="Q68" s="1">
        <v>2</v>
      </c>
      <c r="R68" s="1">
        <v>5</v>
      </c>
      <c r="S68" s="1">
        <v>5</v>
      </c>
      <c r="T68" s="1">
        <v>0</v>
      </c>
      <c r="U68" s="1">
        <v>100</v>
      </c>
      <c r="V68" s="1">
        <v>115</v>
      </c>
      <c r="W68" s="1">
        <v>110</v>
      </c>
      <c r="X68" s="1">
        <v>100</v>
      </c>
      <c r="Y68" s="1">
        <v>115</v>
      </c>
      <c r="Z68" s="1">
        <v>90</v>
      </c>
      <c r="AA68" s="1">
        <v>0</v>
      </c>
      <c r="AB68" s="1">
        <v>15</v>
      </c>
      <c r="AC68" s="1">
        <v>20</v>
      </c>
      <c r="AD68" s="1">
        <v>0</v>
      </c>
      <c r="AE68" s="1">
        <v>115</v>
      </c>
      <c r="AF68" s="1">
        <v>105</v>
      </c>
      <c r="AG68" s="1">
        <v>100102</v>
      </c>
      <c r="AH68" s="1">
        <v>0</v>
      </c>
      <c r="AI68" s="1">
        <v>300103</v>
      </c>
      <c r="AJ68" s="1" t="s">
        <v>4896</v>
      </c>
      <c r="AK68" s="1" t="s">
        <v>328</v>
      </c>
      <c r="AL68" s="1">
        <v>13</v>
      </c>
      <c r="AM68" s="1" t="s">
        <v>4719</v>
      </c>
      <c r="AN68" s="1" t="s">
        <v>4831</v>
      </c>
      <c r="AO68" s="1" t="s">
        <v>4865</v>
      </c>
      <c r="AP68" s="1">
        <v>0</v>
      </c>
      <c r="AQ68" s="1" t="s">
        <v>1130</v>
      </c>
      <c r="AR68" s="1" t="s">
        <v>1154</v>
      </c>
      <c r="AS68" s="1" t="s">
        <v>1129</v>
      </c>
      <c r="AT68" s="1" t="s">
        <v>328</v>
      </c>
      <c r="AU68" s="1">
        <v>70</v>
      </c>
      <c r="AV68" s="1">
        <v>0</v>
      </c>
      <c r="AW68" s="1" t="s">
        <v>4492</v>
      </c>
      <c r="AX68" s="1" t="s">
        <v>4797</v>
      </c>
      <c r="AY68" s="1">
        <v>3</v>
      </c>
      <c r="AZ68" s="1">
        <v>0</v>
      </c>
      <c r="BA68" s="1" t="s">
        <v>328</v>
      </c>
      <c r="BB68" s="1" t="s">
        <v>4897</v>
      </c>
      <c r="BC68" s="1" t="s">
        <v>4853</v>
      </c>
      <c r="BD68" s="1">
        <v>10202</v>
      </c>
      <c r="BE68" s="1"/>
      <c r="BH68">
        <f>COUNTIF(Dropdowns!$I:$AF,C68)</f>
        <v>1</v>
      </c>
    </row>
    <row r="69" spans="1:60" x14ac:dyDescent="0.3">
      <c r="A69" s="1">
        <v>71</v>
      </c>
      <c r="B69" s="1" t="s">
        <v>2931</v>
      </c>
      <c r="C69" s="207" t="s">
        <v>839</v>
      </c>
      <c r="D69" s="1" t="s">
        <v>2</v>
      </c>
      <c r="E69" s="1"/>
      <c r="F69" s="1"/>
      <c r="G69" s="1" t="s">
        <v>2932</v>
      </c>
      <c r="H69" s="1" t="s">
        <v>2933</v>
      </c>
      <c r="I69" s="1" t="s">
        <v>2934</v>
      </c>
      <c r="J69" s="1">
        <v>4</v>
      </c>
      <c r="K69" s="1">
        <v>2</v>
      </c>
      <c r="L69" s="1">
        <v>9600</v>
      </c>
      <c r="M69" s="1">
        <v>20</v>
      </c>
      <c r="N69" s="1">
        <v>20</v>
      </c>
      <c r="O69" s="1">
        <v>10</v>
      </c>
      <c r="P69" s="1">
        <v>10</v>
      </c>
      <c r="Q69" s="1">
        <v>2</v>
      </c>
      <c r="R69" s="1">
        <v>5</v>
      </c>
      <c r="S69" s="1">
        <v>5</v>
      </c>
      <c r="T69" s="1">
        <v>0</v>
      </c>
      <c r="U69" s="1">
        <v>95</v>
      </c>
      <c r="V69" s="1">
        <v>105</v>
      </c>
      <c r="W69" s="1">
        <v>95</v>
      </c>
      <c r="X69" s="1">
        <v>100</v>
      </c>
      <c r="Y69" s="1">
        <v>100</v>
      </c>
      <c r="Z69" s="1">
        <v>95</v>
      </c>
      <c r="AA69" s="1">
        <v>0</v>
      </c>
      <c r="AB69" s="1">
        <v>15</v>
      </c>
      <c r="AC69" s="1">
        <v>20</v>
      </c>
      <c r="AD69" s="1">
        <v>0</v>
      </c>
      <c r="AE69" s="1">
        <v>130</v>
      </c>
      <c r="AF69" s="1">
        <v>105</v>
      </c>
      <c r="AG69" s="1">
        <v>100301</v>
      </c>
      <c r="AH69" s="1">
        <v>0</v>
      </c>
      <c r="AI69" s="1">
        <v>300103</v>
      </c>
      <c r="AJ69" s="1" t="s">
        <v>1125</v>
      </c>
      <c r="AK69" s="1" t="s">
        <v>328</v>
      </c>
      <c r="AL69" s="1">
        <v>13</v>
      </c>
      <c r="AM69" s="1" t="s">
        <v>4719</v>
      </c>
      <c r="AN69" s="1" t="s">
        <v>475</v>
      </c>
      <c r="AO69" s="1" t="s">
        <v>4898</v>
      </c>
      <c r="AP69" s="1">
        <v>0</v>
      </c>
      <c r="AQ69" s="1" t="s">
        <v>1130</v>
      </c>
      <c r="AR69" s="1" t="s">
        <v>1154</v>
      </c>
      <c r="AS69" s="1" t="s">
        <v>1744</v>
      </c>
      <c r="AT69" s="1" t="s">
        <v>328</v>
      </c>
      <c r="AU69" s="1">
        <v>71</v>
      </c>
      <c r="AV69" s="1">
        <v>0</v>
      </c>
      <c r="AW69" s="1" t="s">
        <v>4492</v>
      </c>
      <c r="AX69" s="1" t="s">
        <v>470</v>
      </c>
      <c r="AY69" s="1">
        <v>2</v>
      </c>
      <c r="AZ69" s="1">
        <v>0</v>
      </c>
      <c r="BA69" s="1" t="s">
        <v>4745</v>
      </c>
      <c r="BB69" s="1" t="s">
        <v>4899</v>
      </c>
      <c r="BC69" s="1" t="s">
        <v>328</v>
      </c>
      <c r="BD69" s="1">
        <v>10202</v>
      </c>
      <c r="BE69" s="1"/>
      <c r="BH69">
        <f>COUNTIF(Dropdowns!$I:$AF,C69)</f>
        <v>1</v>
      </c>
    </row>
    <row r="70" spans="1:60" x14ac:dyDescent="0.3">
      <c r="A70" s="1">
        <v>72</v>
      </c>
      <c r="B70" s="1" t="s">
        <v>2935</v>
      </c>
      <c r="C70" s="207" t="s">
        <v>738</v>
      </c>
      <c r="D70" s="1" t="s">
        <v>738</v>
      </c>
      <c r="E70" s="1"/>
      <c r="F70" s="1"/>
      <c r="G70" s="1" t="s">
        <v>2936</v>
      </c>
      <c r="H70" s="1" t="s">
        <v>2937</v>
      </c>
      <c r="I70" s="1" t="s">
        <v>2938</v>
      </c>
      <c r="J70" s="1">
        <v>4</v>
      </c>
      <c r="K70" s="1">
        <v>4</v>
      </c>
      <c r="L70" s="1">
        <v>12600</v>
      </c>
      <c r="M70" s="1">
        <v>20</v>
      </c>
      <c r="N70" s="1">
        <v>20</v>
      </c>
      <c r="O70" s="1">
        <v>10</v>
      </c>
      <c r="P70" s="1">
        <v>10</v>
      </c>
      <c r="Q70" s="1">
        <v>2</v>
      </c>
      <c r="R70" s="1">
        <v>5</v>
      </c>
      <c r="S70" s="1">
        <v>5</v>
      </c>
      <c r="T70" s="1">
        <v>0</v>
      </c>
      <c r="U70" s="1">
        <v>95</v>
      </c>
      <c r="V70" s="1">
        <v>110</v>
      </c>
      <c r="W70" s="1">
        <v>120</v>
      </c>
      <c r="X70" s="1">
        <v>100</v>
      </c>
      <c r="Y70" s="1">
        <v>120</v>
      </c>
      <c r="Z70" s="1">
        <v>110</v>
      </c>
      <c r="AA70" s="1">
        <v>0</v>
      </c>
      <c r="AB70" s="1">
        <v>15</v>
      </c>
      <c r="AC70" s="1">
        <v>20</v>
      </c>
      <c r="AD70" s="1">
        <v>0</v>
      </c>
      <c r="AE70" s="1">
        <v>115</v>
      </c>
      <c r="AF70" s="1">
        <v>100</v>
      </c>
      <c r="AG70" s="1">
        <v>101703</v>
      </c>
      <c r="AH70" s="1">
        <v>0</v>
      </c>
      <c r="AI70" s="1">
        <v>300103</v>
      </c>
      <c r="AJ70" s="1" t="s">
        <v>328</v>
      </c>
      <c r="AK70" s="1" t="s">
        <v>328</v>
      </c>
      <c r="AL70" s="1">
        <v>13</v>
      </c>
      <c r="AM70" s="1" t="s">
        <v>4719</v>
      </c>
      <c r="AN70" s="1" t="s">
        <v>4834</v>
      </c>
      <c r="AO70" s="1" t="s">
        <v>4871</v>
      </c>
      <c r="AP70" s="1">
        <v>0</v>
      </c>
      <c r="AQ70" s="1" t="s">
        <v>1130</v>
      </c>
      <c r="AR70" s="1" t="s">
        <v>1154</v>
      </c>
      <c r="AS70" s="1" t="s">
        <v>1744</v>
      </c>
      <c r="AT70" s="1" t="s">
        <v>328</v>
      </c>
      <c r="AU70" s="1">
        <v>72</v>
      </c>
      <c r="AV70" s="1">
        <v>0</v>
      </c>
      <c r="AW70" s="1" t="s">
        <v>4492</v>
      </c>
      <c r="AX70" s="1" t="s">
        <v>4797</v>
      </c>
      <c r="AY70" s="1">
        <v>4</v>
      </c>
      <c r="AZ70" s="1">
        <v>0</v>
      </c>
      <c r="BA70" s="1" t="s">
        <v>328</v>
      </c>
      <c r="BB70" s="1" t="s">
        <v>4900</v>
      </c>
      <c r="BC70" s="1" t="s">
        <v>328</v>
      </c>
      <c r="BD70" s="1">
        <v>10202</v>
      </c>
      <c r="BE70" s="1"/>
      <c r="BH70">
        <f>COUNTIF(Dropdowns!$I:$AF,C70)</f>
        <v>1</v>
      </c>
    </row>
    <row r="71" spans="1:60" x14ac:dyDescent="0.3">
      <c r="A71" s="1">
        <v>73</v>
      </c>
      <c r="B71" s="1" t="s">
        <v>2939</v>
      </c>
      <c r="C71" s="207" t="s">
        <v>104</v>
      </c>
      <c r="D71" s="1" t="s">
        <v>104</v>
      </c>
      <c r="E71" s="1"/>
      <c r="F71" s="1"/>
      <c r="G71" s="1" t="s">
        <v>2940</v>
      </c>
      <c r="H71" s="1" t="s">
        <v>2941</v>
      </c>
      <c r="I71" s="1" t="s">
        <v>2942</v>
      </c>
      <c r="J71" s="1">
        <v>4</v>
      </c>
      <c r="K71" s="1">
        <v>5</v>
      </c>
      <c r="L71" s="1">
        <v>15120</v>
      </c>
      <c r="M71" s="1">
        <v>20</v>
      </c>
      <c r="N71" s="1">
        <v>20</v>
      </c>
      <c r="O71" s="1">
        <v>10</v>
      </c>
      <c r="P71" s="1">
        <v>10</v>
      </c>
      <c r="Q71" s="1">
        <v>2</v>
      </c>
      <c r="R71" s="1">
        <v>5</v>
      </c>
      <c r="S71" s="1">
        <v>5</v>
      </c>
      <c r="T71" s="1">
        <v>0</v>
      </c>
      <c r="U71" s="1">
        <v>110</v>
      </c>
      <c r="V71" s="1">
        <v>118</v>
      </c>
      <c r="W71" s="1">
        <v>110</v>
      </c>
      <c r="X71" s="1">
        <v>100</v>
      </c>
      <c r="Y71" s="1">
        <v>132</v>
      </c>
      <c r="Z71" s="1">
        <v>105</v>
      </c>
      <c r="AA71" s="1">
        <v>0</v>
      </c>
      <c r="AB71" s="1">
        <v>15</v>
      </c>
      <c r="AC71" s="1">
        <v>30</v>
      </c>
      <c r="AD71" s="1">
        <v>0</v>
      </c>
      <c r="AE71" s="1">
        <v>125</v>
      </c>
      <c r="AF71" s="1">
        <v>100</v>
      </c>
      <c r="AG71" s="1">
        <v>109701</v>
      </c>
      <c r="AH71" s="1">
        <v>0</v>
      </c>
      <c r="AI71" s="1">
        <v>300103</v>
      </c>
      <c r="AJ71" s="1" t="s">
        <v>4901</v>
      </c>
      <c r="AK71" s="1" t="s">
        <v>328</v>
      </c>
      <c r="AL71" s="1">
        <v>13</v>
      </c>
      <c r="AM71" s="1" t="s">
        <v>1806</v>
      </c>
      <c r="AN71" s="1" t="s">
        <v>4902</v>
      </c>
      <c r="AO71" s="1" t="s">
        <v>4903</v>
      </c>
      <c r="AP71" s="1">
        <v>0</v>
      </c>
      <c r="AQ71" s="1" t="s">
        <v>1130</v>
      </c>
      <c r="AR71" s="1" t="s">
        <v>1154</v>
      </c>
      <c r="AS71" s="1" t="s">
        <v>1129</v>
      </c>
      <c r="AT71" s="1" t="s">
        <v>328</v>
      </c>
      <c r="AU71" s="1">
        <v>73</v>
      </c>
      <c r="AV71" s="1">
        <v>0</v>
      </c>
      <c r="AW71" s="1" t="s">
        <v>4904</v>
      </c>
      <c r="AX71" s="1" t="s">
        <v>4905</v>
      </c>
      <c r="AY71" s="1">
        <v>5</v>
      </c>
      <c r="AZ71" s="1">
        <v>0</v>
      </c>
      <c r="BA71" s="1" t="s">
        <v>328</v>
      </c>
      <c r="BB71" s="1" t="s">
        <v>4906</v>
      </c>
      <c r="BC71" s="1" t="s">
        <v>328</v>
      </c>
      <c r="BD71" s="1">
        <v>10402</v>
      </c>
      <c r="BE71" s="1"/>
      <c r="BH71">
        <f>COUNTIF(Dropdowns!$I:$AF,C71)</f>
        <v>1</v>
      </c>
    </row>
    <row r="72" spans="1:60" x14ac:dyDescent="0.3">
      <c r="A72" s="1">
        <v>74</v>
      </c>
      <c r="B72" s="1" t="s">
        <v>2943</v>
      </c>
      <c r="C72" s="207" t="s">
        <v>744</v>
      </c>
      <c r="D72" s="1" t="s">
        <v>744</v>
      </c>
      <c r="E72" s="1"/>
      <c r="F72" s="1"/>
      <c r="G72" s="1" t="s">
        <v>2944</v>
      </c>
      <c r="H72" s="1" t="s">
        <v>2945</v>
      </c>
      <c r="I72" s="1" t="s">
        <v>2946</v>
      </c>
      <c r="J72" s="1">
        <v>4</v>
      </c>
      <c r="K72" s="1">
        <v>2</v>
      </c>
      <c r="L72" s="1">
        <v>9600</v>
      </c>
      <c r="M72" s="1">
        <v>20</v>
      </c>
      <c r="N72" s="1">
        <v>20</v>
      </c>
      <c r="O72" s="1">
        <v>10</v>
      </c>
      <c r="P72" s="1">
        <v>10</v>
      </c>
      <c r="Q72" s="1">
        <v>2</v>
      </c>
      <c r="R72" s="1">
        <v>5</v>
      </c>
      <c r="S72" s="1">
        <v>5</v>
      </c>
      <c r="T72" s="1">
        <v>0</v>
      </c>
      <c r="U72" s="1">
        <v>105</v>
      </c>
      <c r="V72" s="1">
        <v>120</v>
      </c>
      <c r="W72" s="1">
        <v>85</v>
      </c>
      <c r="X72" s="1">
        <v>100</v>
      </c>
      <c r="Y72" s="1">
        <v>95</v>
      </c>
      <c r="Z72" s="1">
        <v>85</v>
      </c>
      <c r="AA72" s="1">
        <v>0</v>
      </c>
      <c r="AB72" s="1">
        <v>15</v>
      </c>
      <c r="AC72" s="1">
        <v>20</v>
      </c>
      <c r="AD72" s="1">
        <v>0</v>
      </c>
      <c r="AE72" s="1">
        <v>125</v>
      </c>
      <c r="AF72" s="1">
        <v>130</v>
      </c>
      <c r="AG72" s="1">
        <v>100101</v>
      </c>
      <c r="AH72" s="1">
        <v>0</v>
      </c>
      <c r="AI72" s="1">
        <v>300103</v>
      </c>
      <c r="AJ72" s="1" t="s">
        <v>1125</v>
      </c>
      <c r="AK72" s="1" t="s">
        <v>328</v>
      </c>
      <c r="AL72" s="1">
        <v>13</v>
      </c>
      <c r="AM72" s="1" t="s">
        <v>4719</v>
      </c>
      <c r="AN72" s="1" t="s">
        <v>4834</v>
      </c>
      <c r="AO72" s="1" t="s">
        <v>4907</v>
      </c>
      <c r="AP72" s="1">
        <v>0</v>
      </c>
      <c r="AQ72" s="1" t="s">
        <v>1745</v>
      </c>
      <c r="AR72" s="1" t="s">
        <v>1154</v>
      </c>
      <c r="AS72" s="1" t="s">
        <v>1129</v>
      </c>
      <c r="AT72" s="1" t="s">
        <v>328</v>
      </c>
      <c r="AU72" s="1">
        <v>74</v>
      </c>
      <c r="AV72" s="1">
        <v>0</v>
      </c>
      <c r="AW72" s="1" t="s">
        <v>4492</v>
      </c>
      <c r="AX72" s="1" t="s">
        <v>470</v>
      </c>
      <c r="AY72" s="1">
        <v>2</v>
      </c>
      <c r="AZ72" s="1">
        <v>0</v>
      </c>
      <c r="BA72" s="1" t="s">
        <v>328</v>
      </c>
      <c r="BB72" s="1" t="s">
        <v>4908</v>
      </c>
      <c r="BC72" s="1" t="s">
        <v>328</v>
      </c>
      <c r="BD72" s="1">
        <v>10302</v>
      </c>
      <c r="BE72" s="1"/>
      <c r="BH72">
        <f>COUNTIF(Dropdowns!$I:$AF,C72)</f>
        <v>1</v>
      </c>
    </row>
    <row r="73" spans="1:60" x14ac:dyDescent="0.3">
      <c r="A73" s="1">
        <v>75</v>
      </c>
      <c r="B73" s="1" t="s">
        <v>2947</v>
      </c>
      <c r="C73" s="207" t="s">
        <v>105</v>
      </c>
      <c r="D73" s="1" t="s">
        <v>105</v>
      </c>
      <c r="E73" s="1"/>
      <c r="F73" s="1"/>
      <c r="G73" s="1" t="s">
        <v>2948</v>
      </c>
      <c r="H73" s="1" t="s">
        <v>2949</v>
      </c>
      <c r="I73" s="1" t="s">
        <v>2950</v>
      </c>
      <c r="J73" s="1">
        <v>5</v>
      </c>
      <c r="K73" s="1">
        <v>4</v>
      </c>
      <c r="L73" s="1">
        <v>23100</v>
      </c>
      <c r="M73" s="1">
        <v>40</v>
      </c>
      <c r="N73" s="1">
        <v>30</v>
      </c>
      <c r="O73" s="1">
        <v>25</v>
      </c>
      <c r="P73" s="1">
        <v>15</v>
      </c>
      <c r="Q73" s="1">
        <v>5</v>
      </c>
      <c r="R73" s="1">
        <v>5</v>
      </c>
      <c r="S73" s="1">
        <v>2</v>
      </c>
      <c r="T73" s="1">
        <v>5</v>
      </c>
      <c r="U73" s="1">
        <v>95</v>
      </c>
      <c r="V73" s="1">
        <v>115</v>
      </c>
      <c r="W73" s="1">
        <v>105</v>
      </c>
      <c r="X73" s="1">
        <v>100</v>
      </c>
      <c r="Y73" s="1">
        <v>120</v>
      </c>
      <c r="Z73" s="1">
        <v>125</v>
      </c>
      <c r="AA73" s="1">
        <v>0</v>
      </c>
      <c r="AB73" s="1">
        <v>15</v>
      </c>
      <c r="AC73" s="1">
        <v>5</v>
      </c>
      <c r="AD73" s="1">
        <v>8</v>
      </c>
      <c r="AE73" s="1">
        <v>125</v>
      </c>
      <c r="AF73" s="1">
        <v>120</v>
      </c>
      <c r="AG73" s="1">
        <v>100111</v>
      </c>
      <c r="AH73" s="1">
        <v>0</v>
      </c>
      <c r="AI73" s="1">
        <v>300105</v>
      </c>
      <c r="AJ73" s="1" t="s">
        <v>1166</v>
      </c>
      <c r="AK73" s="1" t="s">
        <v>328</v>
      </c>
      <c r="AL73" s="1">
        <v>18</v>
      </c>
      <c r="AM73" s="1" t="s">
        <v>4858</v>
      </c>
      <c r="AN73" s="1" t="s">
        <v>4909</v>
      </c>
      <c r="AO73" s="1" t="s">
        <v>4910</v>
      </c>
      <c r="AP73" s="1">
        <v>0</v>
      </c>
      <c r="AQ73" s="1" t="s">
        <v>1167</v>
      </c>
      <c r="AR73" s="1" t="s">
        <v>4911</v>
      </c>
      <c r="AS73" s="1" t="s">
        <v>4912</v>
      </c>
      <c r="AT73" s="1" t="s">
        <v>328</v>
      </c>
      <c r="AU73" s="1">
        <v>75</v>
      </c>
      <c r="AV73" s="1">
        <v>0</v>
      </c>
      <c r="AW73" s="1" t="s">
        <v>4492</v>
      </c>
      <c r="AX73" s="1" t="s">
        <v>4797</v>
      </c>
      <c r="AY73" s="1">
        <v>4</v>
      </c>
      <c r="AZ73" s="1">
        <v>0</v>
      </c>
      <c r="BA73" s="1" t="s">
        <v>4743</v>
      </c>
      <c r="BB73" s="1" t="s">
        <v>4913</v>
      </c>
      <c r="BC73" s="1" t="s">
        <v>4720</v>
      </c>
      <c r="BD73" s="1">
        <v>10303</v>
      </c>
      <c r="BE73" s="1"/>
      <c r="BH73">
        <f>COUNTIF(Dropdowns!$I:$AF,C73)</f>
        <v>1</v>
      </c>
    </row>
    <row r="74" spans="1:60" x14ac:dyDescent="0.3">
      <c r="A74" s="1">
        <v>77</v>
      </c>
      <c r="B74" s="1" t="s">
        <v>2951</v>
      </c>
      <c r="C74" s="207" t="s">
        <v>789</v>
      </c>
      <c r="D74" s="1" t="s">
        <v>789</v>
      </c>
      <c r="E74" s="1"/>
      <c r="F74" s="1"/>
      <c r="G74" s="1" t="s">
        <v>2952</v>
      </c>
      <c r="H74" s="1" t="s">
        <v>2953</v>
      </c>
      <c r="I74" s="1" t="s">
        <v>2954</v>
      </c>
      <c r="J74" s="1">
        <v>5</v>
      </c>
      <c r="K74" s="1">
        <v>3</v>
      </c>
      <c r="L74" s="1">
        <v>22200</v>
      </c>
      <c r="M74" s="1">
        <v>40</v>
      </c>
      <c r="N74" s="1">
        <v>30</v>
      </c>
      <c r="O74" s="1">
        <v>25</v>
      </c>
      <c r="P74" s="1">
        <v>15</v>
      </c>
      <c r="Q74" s="1">
        <v>5</v>
      </c>
      <c r="R74" s="1">
        <v>5</v>
      </c>
      <c r="S74" s="1">
        <v>2</v>
      </c>
      <c r="T74" s="1">
        <v>5</v>
      </c>
      <c r="U74" s="1">
        <v>130</v>
      </c>
      <c r="V74" s="1">
        <v>145</v>
      </c>
      <c r="W74" s="1">
        <v>100</v>
      </c>
      <c r="X74" s="1">
        <v>100</v>
      </c>
      <c r="Y74" s="1">
        <v>85</v>
      </c>
      <c r="Z74" s="1">
        <v>75</v>
      </c>
      <c r="AA74" s="1">
        <v>0</v>
      </c>
      <c r="AB74" s="1">
        <v>15</v>
      </c>
      <c r="AC74" s="1">
        <v>5</v>
      </c>
      <c r="AD74" s="1">
        <v>10</v>
      </c>
      <c r="AE74" s="1">
        <v>95</v>
      </c>
      <c r="AF74" s="1">
        <v>145</v>
      </c>
      <c r="AG74" s="1">
        <v>301502</v>
      </c>
      <c r="AH74" s="1">
        <v>0</v>
      </c>
      <c r="AI74" s="1">
        <v>300107</v>
      </c>
      <c r="AJ74" s="1" t="s">
        <v>1170</v>
      </c>
      <c r="AK74" s="1" t="s">
        <v>328</v>
      </c>
      <c r="AL74" s="1">
        <v>18</v>
      </c>
      <c r="AM74" s="1" t="s">
        <v>4858</v>
      </c>
      <c r="AN74" s="1" t="s">
        <v>4909</v>
      </c>
      <c r="AO74" s="1" t="s">
        <v>4914</v>
      </c>
      <c r="AP74" s="1">
        <v>0</v>
      </c>
      <c r="AQ74" s="1" t="s">
        <v>1167</v>
      </c>
      <c r="AR74" s="1" t="s">
        <v>1168</v>
      </c>
      <c r="AS74" s="1" t="s">
        <v>1169</v>
      </c>
      <c r="AT74" s="1" t="s">
        <v>328</v>
      </c>
      <c r="AU74" s="1">
        <v>77</v>
      </c>
      <c r="AV74" s="1">
        <v>0</v>
      </c>
      <c r="AW74" s="1" t="s">
        <v>4492</v>
      </c>
      <c r="AX74" s="1" t="s">
        <v>4797</v>
      </c>
      <c r="AY74" s="1">
        <v>3</v>
      </c>
      <c r="AZ74" s="1">
        <v>0</v>
      </c>
      <c r="BA74" s="1" t="s">
        <v>328</v>
      </c>
      <c r="BB74" s="1" t="s">
        <v>4915</v>
      </c>
      <c r="BC74" s="1" t="s">
        <v>4720</v>
      </c>
      <c r="BD74" s="1">
        <v>10302</v>
      </c>
      <c r="BE74" s="1"/>
      <c r="BH74">
        <f>COUNTIF(Dropdowns!$I:$AF,C74)</f>
        <v>1</v>
      </c>
    </row>
    <row r="75" spans="1:60" x14ac:dyDescent="0.3">
      <c r="A75" s="1">
        <v>78</v>
      </c>
      <c r="B75" s="1" t="s">
        <v>2955</v>
      </c>
      <c r="C75" s="207" t="s">
        <v>106</v>
      </c>
      <c r="D75" s="1" t="s">
        <v>106</v>
      </c>
      <c r="E75" s="1"/>
      <c r="F75" s="1"/>
      <c r="G75" s="1" t="s">
        <v>2956</v>
      </c>
      <c r="H75" s="1" t="s">
        <v>2957</v>
      </c>
      <c r="I75" s="1" t="s">
        <v>2958</v>
      </c>
      <c r="J75" s="1">
        <v>5</v>
      </c>
      <c r="K75" s="1">
        <v>4</v>
      </c>
      <c r="L75" s="1">
        <v>22200</v>
      </c>
      <c r="M75" s="1">
        <v>40</v>
      </c>
      <c r="N75" s="1">
        <v>30</v>
      </c>
      <c r="O75" s="1">
        <v>25</v>
      </c>
      <c r="P75" s="1">
        <v>15</v>
      </c>
      <c r="Q75" s="1">
        <v>5</v>
      </c>
      <c r="R75" s="1">
        <v>5</v>
      </c>
      <c r="S75" s="1">
        <v>2</v>
      </c>
      <c r="T75" s="1">
        <v>5</v>
      </c>
      <c r="U75" s="1">
        <v>110</v>
      </c>
      <c r="V75" s="1">
        <v>115</v>
      </c>
      <c r="W75" s="1">
        <v>105</v>
      </c>
      <c r="X75" s="1">
        <v>100</v>
      </c>
      <c r="Y75" s="1">
        <v>105</v>
      </c>
      <c r="Z75" s="1">
        <v>105</v>
      </c>
      <c r="AA75" s="1">
        <v>0</v>
      </c>
      <c r="AB75" s="1">
        <v>15</v>
      </c>
      <c r="AC75" s="1">
        <v>5</v>
      </c>
      <c r="AD75" s="1">
        <v>9</v>
      </c>
      <c r="AE75" s="1">
        <v>115</v>
      </c>
      <c r="AF75" s="1">
        <v>95</v>
      </c>
      <c r="AG75" s="1">
        <v>100117</v>
      </c>
      <c r="AH75" s="1">
        <v>0</v>
      </c>
      <c r="AI75" s="1">
        <v>300105</v>
      </c>
      <c r="AJ75" s="1" t="s">
        <v>1166</v>
      </c>
      <c r="AK75" s="1" t="s">
        <v>328</v>
      </c>
      <c r="AL75" s="1">
        <v>17</v>
      </c>
      <c r="AM75" s="1" t="s">
        <v>4858</v>
      </c>
      <c r="AN75" s="1" t="s">
        <v>4916</v>
      </c>
      <c r="AO75" s="1" t="s">
        <v>4917</v>
      </c>
      <c r="AP75" s="1">
        <v>0</v>
      </c>
      <c r="AQ75" s="1" t="s">
        <v>1167</v>
      </c>
      <c r="AR75" s="1" t="s">
        <v>1168</v>
      </c>
      <c r="AS75" s="1" t="s">
        <v>1169</v>
      </c>
      <c r="AT75" s="1" t="s">
        <v>328</v>
      </c>
      <c r="AU75" s="1">
        <v>78</v>
      </c>
      <c r="AV75" s="1">
        <v>0</v>
      </c>
      <c r="AW75" s="1" t="s">
        <v>4492</v>
      </c>
      <c r="AX75" s="1" t="s">
        <v>4797</v>
      </c>
      <c r="AY75" s="1">
        <v>4</v>
      </c>
      <c r="AZ75" s="1">
        <v>0</v>
      </c>
      <c r="BA75" s="1" t="s">
        <v>328</v>
      </c>
      <c r="BB75" s="1" t="s">
        <v>4918</v>
      </c>
      <c r="BC75" s="1" t="s">
        <v>4720</v>
      </c>
      <c r="BD75" s="1">
        <v>10704</v>
      </c>
      <c r="BE75" s="1"/>
      <c r="BH75">
        <f>COUNTIF(Dropdowns!$I:$AF,C75)</f>
        <v>1</v>
      </c>
    </row>
    <row r="76" spans="1:60" x14ac:dyDescent="0.3">
      <c r="A76" s="1">
        <v>79</v>
      </c>
      <c r="B76" s="1" t="s">
        <v>2959</v>
      </c>
      <c r="C76" s="207" t="s">
        <v>1171</v>
      </c>
      <c r="D76" s="1" t="s">
        <v>1171</v>
      </c>
      <c r="E76" s="1"/>
      <c r="F76" s="1"/>
      <c r="G76" s="1" t="s">
        <v>2960</v>
      </c>
      <c r="H76" s="1" t="s">
        <v>2961</v>
      </c>
      <c r="I76" s="1" t="s">
        <v>2962</v>
      </c>
      <c r="J76" s="1">
        <v>5</v>
      </c>
      <c r="K76" s="1">
        <v>3</v>
      </c>
      <c r="L76" s="1">
        <v>19800</v>
      </c>
      <c r="M76" s="1">
        <v>40</v>
      </c>
      <c r="N76" s="1">
        <v>30</v>
      </c>
      <c r="O76" s="1">
        <v>25</v>
      </c>
      <c r="P76" s="1">
        <v>15</v>
      </c>
      <c r="Q76" s="1">
        <v>5</v>
      </c>
      <c r="R76" s="1">
        <v>5</v>
      </c>
      <c r="S76" s="1">
        <v>2</v>
      </c>
      <c r="T76" s="1">
        <v>5</v>
      </c>
      <c r="U76" s="1">
        <v>95</v>
      </c>
      <c r="V76" s="1">
        <v>90</v>
      </c>
      <c r="W76" s="1">
        <v>125</v>
      </c>
      <c r="X76" s="1">
        <v>100</v>
      </c>
      <c r="Y76" s="1">
        <v>125</v>
      </c>
      <c r="Z76" s="1">
        <v>130</v>
      </c>
      <c r="AA76" s="1">
        <v>0</v>
      </c>
      <c r="AB76" s="1">
        <v>15</v>
      </c>
      <c r="AC76" s="1">
        <v>5</v>
      </c>
      <c r="AD76" s="1">
        <v>8</v>
      </c>
      <c r="AE76" s="1">
        <v>135</v>
      </c>
      <c r="AF76" s="1">
        <v>100</v>
      </c>
      <c r="AG76" s="1">
        <v>105101</v>
      </c>
      <c r="AH76" s="1">
        <v>0</v>
      </c>
      <c r="AI76" s="1">
        <v>300105</v>
      </c>
      <c r="AJ76" s="1" t="s">
        <v>1170</v>
      </c>
      <c r="AK76" s="1" t="s">
        <v>328</v>
      </c>
      <c r="AL76" s="1">
        <v>18</v>
      </c>
      <c r="AM76" s="1" t="s">
        <v>4858</v>
      </c>
      <c r="AN76" s="1" t="s">
        <v>4919</v>
      </c>
      <c r="AO76" s="1" t="s">
        <v>4920</v>
      </c>
      <c r="AP76" s="1">
        <v>0</v>
      </c>
      <c r="AQ76" s="1" t="s">
        <v>1167</v>
      </c>
      <c r="AR76" s="1" t="s">
        <v>1168</v>
      </c>
      <c r="AS76" s="1" t="s">
        <v>4912</v>
      </c>
      <c r="AT76" s="1" t="s">
        <v>328</v>
      </c>
      <c r="AU76" s="1">
        <v>79</v>
      </c>
      <c r="AV76" s="1">
        <v>0</v>
      </c>
      <c r="AW76" s="1" t="s">
        <v>4492</v>
      </c>
      <c r="AX76" s="1" t="s">
        <v>4921</v>
      </c>
      <c r="AY76" s="1">
        <v>3</v>
      </c>
      <c r="AZ76" s="1">
        <v>0</v>
      </c>
      <c r="BA76" s="1" t="s">
        <v>328</v>
      </c>
      <c r="BB76" s="1" t="s">
        <v>4915</v>
      </c>
      <c r="BC76" s="1" t="s">
        <v>4720</v>
      </c>
      <c r="BD76" s="1">
        <v>10302</v>
      </c>
      <c r="BE76" s="1"/>
      <c r="BH76">
        <f>COUNTIF(Dropdowns!$I:$AF,C76)</f>
        <v>1</v>
      </c>
    </row>
    <row r="77" spans="1:60" x14ac:dyDescent="0.3">
      <c r="A77" s="1">
        <v>80</v>
      </c>
      <c r="B77" s="1" t="s">
        <v>2963</v>
      </c>
      <c r="C77" s="207" t="s">
        <v>107</v>
      </c>
      <c r="D77" s="1" t="s">
        <v>107</v>
      </c>
      <c r="E77" s="1"/>
      <c r="F77" s="1"/>
      <c r="G77" s="1" t="s">
        <v>2964</v>
      </c>
      <c r="H77" s="1" t="s">
        <v>2965</v>
      </c>
      <c r="I77" s="1" t="s">
        <v>2966</v>
      </c>
      <c r="J77" s="1">
        <v>5</v>
      </c>
      <c r="K77" s="1">
        <v>3</v>
      </c>
      <c r="L77" s="1">
        <v>20400</v>
      </c>
      <c r="M77" s="1">
        <v>40</v>
      </c>
      <c r="N77" s="1">
        <v>30</v>
      </c>
      <c r="O77" s="1">
        <v>25</v>
      </c>
      <c r="P77" s="1">
        <v>15</v>
      </c>
      <c r="Q77" s="1">
        <v>5</v>
      </c>
      <c r="R77" s="1">
        <v>5</v>
      </c>
      <c r="S77" s="1">
        <v>2</v>
      </c>
      <c r="T77" s="1">
        <v>5</v>
      </c>
      <c r="U77" s="1">
        <v>110</v>
      </c>
      <c r="V77" s="1">
        <v>125</v>
      </c>
      <c r="W77" s="1">
        <v>95</v>
      </c>
      <c r="X77" s="1">
        <v>100</v>
      </c>
      <c r="Y77" s="1">
        <v>110</v>
      </c>
      <c r="Z77" s="1">
        <v>95</v>
      </c>
      <c r="AA77" s="1">
        <v>0</v>
      </c>
      <c r="AB77" s="1">
        <v>15</v>
      </c>
      <c r="AC77" s="1">
        <v>5</v>
      </c>
      <c r="AD77" s="1">
        <v>9</v>
      </c>
      <c r="AE77" s="1">
        <v>110</v>
      </c>
      <c r="AF77" s="1">
        <v>110</v>
      </c>
      <c r="AG77" s="1">
        <v>105202</v>
      </c>
      <c r="AH77" s="1">
        <v>0</v>
      </c>
      <c r="AI77" s="1">
        <v>300105</v>
      </c>
      <c r="AJ77" s="1" t="s">
        <v>4922</v>
      </c>
      <c r="AK77" s="1" t="s">
        <v>328</v>
      </c>
      <c r="AL77" s="1">
        <v>19</v>
      </c>
      <c r="AM77" s="1" t="s">
        <v>4858</v>
      </c>
      <c r="AN77" s="1" t="s">
        <v>4923</v>
      </c>
      <c r="AO77" s="1" t="s">
        <v>4924</v>
      </c>
      <c r="AP77" s="1">
        <v>0</v>
      </c>
      <c r="AQ77" s="1" t="s">
        <v>1167</v>
      </c>
      <c r="AR77" s="1" t="s">
        <v>4911</v>
      </c>
      <c r="AS77" s="1" t="s">
        <v>1169</v>
      </c>
      <c r="AT77" s="1" t="s">
        <v>328</v>
      </c>
      <c r="AU77" s="1">
        <v>80</v>
      </c>
      <c r="AV77" s="1">
        <v>0</v>
      </c>
      <c r="AW77" s="1" t="s">
        <v>4492</v>
      </c>
      <c r="AX77" s="1" t="s">
        <v>4797</v>
      </c>
      <c r="AY77" s="1">
        <v>3</v>
      </c>
      <c r="AZ77" s="1">
        <v>0</v>
      </c>
      <c r="BA77" s="1" t="s">
        <v>328</v>
      </c>
      <c r="BB77" s="1" t="s">
        <v>4925</v>
      </c>
      <c r="BC77" s="1" t="s">
        <v>4720</v>
      </c>
      <c r="BD77" s="1">
        <v>10704</v>
      </c>
      <c r="BE77" s="1"/>
      <c r="BH77">
        <f>COUNTIF(Dropdowns!$I:$AF,C77)</f>
        <v>1</v>
      </c>
    </row>
    <row r="78" spans="1:60" x14ac:dyDescent="0.3">
      <c r="A78" s="1">
        <v>81</v>
      </c>
      <c r="B78" s="1" t="s">
        <v>2967</v>
      </c>
      <c r="C78" s="207" t="s">
        <v>108</v>
      </c>
      <c r="D78" s="1" t="s">
        <v>108</v>
      </c>
      <c r="E78" s="1"/>
      <c r="F78" s="1"/>
      <c r="G78" s="1" t="s">
        <v>2968</v>
      </c>
      <c r="H78" s="1" t="s">
        <v>2969</v>
      </c>
      <c r="I78" s="1" t="s">
        <v>2970</v>
      </c>
      <c r="J78" s="1">
        <v>5</v>
      </c>
      <c r="K78" s="1">
        <v>2</v>
      </c>
      <c r="L78" s="1">
        <v>18600</v>
      </c>
      <c r="M78" s="1">
        <v>40</v>
      </c>
      <c r="N78" s="1">
        <v>30</v>
      </c>
      <c r="O78" s="1">
        <v>25</v>
      </c>
      <c r="P78" s="1">
        <v>15</v>
      </c>
      <c r="Q78" s="1">
        <v>5</v>
      </c>
      <c r="R78" s="1">
        <v>5</v>
      </c>
      <c r="S78" s="1">
        <v>2</v>
      </c>
      <c r="T78" s="1">
        <v>5</v>
      </c>
      <c r="U78" s="1">
        <v>105</v>
      </c>
      <c r="V78" s="1">
        <v>135</v>
      </c>
      <c r="W78" s="1">
        <v>90</v>
      </c>
      <c r="X78" s="1">
        <v>100</v>
      </c>
      <c r="Y78" s="1">
        <v>115</v>
      </c>
      <c r="Z78" s="1">
        <v>105</v>
      </c>
      <c r="AA78" s="1">
        <v>0</v>
      </c>
      <c r="AB78" s="1">
        <v>15</v>
      </c>
      <c r="AC78" s="1">
        <v>5</v>
      </c>
      <c r="AD78" s="1">
        <v>9</v>
      </c>
      <c r="AE78" s="1">
        <v>95</v>
      </c>
      <c r="AF78" s="1">
        <v>100</v>
      </c>
      <c r="AG78" s="1">
        <v>105201</v>
      </c>
      <c r="AH78" s="1">
        <v>0</v>
      </c>
      <c r="AI78" s="1">
        <v>802202</v>
      </c>
      <c r="AJ78" s="1" t="s">
        <v>1172</v>
      </c>
      <c r="AK78" s="1" t="s">
        <v>328</v>
      </c>
      <c r="AL78" s="1">
        <v>18</v>
      </c>
      <c r="AM78" s="1" t="s">
        <v>4858</v>
      </c>
      <c r="AN78" s="1" t="s">
        <v>4909</v>
      </c>
      <c r="AO78" s="1" t="s">
        <v>4926</v>
      </c>
      <c r="AP78" s="1">
        <v>0</v>
      </c>
      <c r="AQ78" s="1" t="s">
        <v>1167</v>
      </c>
      <c r="AR78" s="1" t="s">
        <v>4911</v>
      </c>
      <c r="AS78" s="1" t="s">
        <v>1169</v>
      </c>
      <c r="AT78" s="1" t="s">
        <v>328</v>
      </c>
      <c r="AU78" s="1">
        <v>81</v>
      </c>
      <c r="AV78" s="1">
        <v>0</v>
      </c>
      <c r="AW78" s="1" t="s">
        <v>4492</v>
      </c>
      <c r="AX78" s="1" t="s">
        <v>470</v>
      </c>
      <c r="AY78" s="1">
        <v>2</v>
      </c>
      <c r="AZ78" s="1">
        <v>0</v>
      </c>
      <c r="BA78" s="1" t="s">
        <v>4745</v>
      </c>
      <c r="BB78" s="1" t="s">
        <v>4927</v>
      </c>
      <c r="BC78" s="1" t="s">
        <v>4720</v>
      </c>
      <c r="BD78" s="1">
        <v>10302</v>
      </c>
      <c r="BE78" s="1"/>
      <c r="BH78">
        <f>COUNTIF(Dropdowns!$I:$AF,C78)</f>
        <v>1</v>
      </c>
    </row>
    <row r="79" spans="1:60" x14ac:dyDescent="0.3">
      <c r="A79" s="1">
        <v>82</v>
      </c>
      <c r="B79" s="1" t="s">
        <v>2971</v>
      </c>
      <c r="C79" s="207" t="s">
        <v>109</v>
      </c>
      <c r="D79" s="1" t="s">
        <v>109</v>
      </c>
      <c r="E79" s="1"/>
      <c r="F79" s="1"/>
      <c r="G79" s="1" t="s">
        <v>2972</v>
      </c>
      <c r="H79" s="1" t="s">
        <v>2973</v>
      </c>
      <c r="I79" s="1" t="s">
        <v>2974</v>
      </c>
      <c r="J79" s="1">
        <v>5</v>
      </c>
      <c r="K79" s="1">
        <v>2</v>
      </c>
      <c r="L79" s="1">
        <v>18000</v>
      </c>
      <c r="M79" s="1">
        <v>40</v>
      </c>
      <c r="N79" s="1">
        <v>30</v>
      </c>
      <c r="O79" s="1">
        <v>25</v>
      </c>
      <c r="P79" s="1">
        <v>15</v>
      </c>
      <c r="Q79" s="1">
        <v>5</v>
      </c>
      <c r="R79" s="1">
        <v>5</v>
      </c>
      <c r="S79" s="1">
        <v>2</v>
      </c>
      <c r="T79" s="1">
        <v>5</v>
      </c>
      <c r="U79" s="1">
        <v>85</v>
      </c>
      <c r="V79" s="1">
        <v>105</v>
      </c>
      <c r="W79" s="1">
        <v>105</v>
      </c>
      <c r="X79" s="1">
        <v>100</v>
      </c>
      <c r="Y79" s="1">
        <v>105</v>
      </c>
      <c r="Z79" s="1">
        <v>120</v>
      </c>
      <c r="AA79" s="1">
        <v>0</v>
      </c>
      <c r="AB79" s="1">
        <v>15</v>
      </c>
      <c r="AC79" s="1">
        <v>5</v>
      </c>
      <c r="AD79" s="1">
        <v>9</v>
      </c>
      <c r="AE79" s="1">
        <v>125</v>
      </c>
      <c r="AF79" s="1">
        <v>100</v>
      </c>
      <c r="AG79" s="1">
        <v>105102</v>
      </c>
      <c r="AH79" s="1">
        <v>0</v>
      </c>
      <c r="AI79" s="1">
        <v>300105</v>
      </c>
      <c r="AJ79" s="1" t="s">
        <v>1170</v>
      </c>
      <c r="AK79" s="1" t="s">
        <v>328</v>
      </c>
      <c r="AL79" s="1">
        <v>19</v>
      </c>
      <c r="AM79" s="1" t="s">
        <v>4858</v>
      </c>
      <c r="AN79" s="1" t="s">
        <v>4928</v>
      </c>
      <c r="AO79" s="1" t="s">
        <v>4929</v>
      </c>
      <c r="AP79" s="1">
        <v>0</v>
      </c>
      <c r="AQ79" s="1" t="s">
        <v>1167</v>
      </c>
      <c r="AR79" s="1" t="s">
        <v>4911</v>
      </c>
      <c r="AS79" s="1" t="s">
        <v>1169</v>
      </c>
      <c r="AT79" s="1" t="s">
        <v>328</v>
      </c>
      <c r="AU79" s="1">
        <v>82</v>
      </c>
      <c r="AV79" s="1">
        <v>0</v>
      </c>
      <c r="AW79" s="1" t="s">
        <v>4492</v>
      </c>
      <c r="AX79" s="1" t="s">
        <v>470</v>
      </c>
      <c r="AY79" s="1">
        <v>2</v>
      </c>
      <c r="AZ79" s="1">
        <v>0</v>
      </c>
      <c r="BA79" s="1" t="s">
        <v>328</v>
      </c>
      <c r="BB79" s="1" t="s">
        <v>4930</v>
      </c>
      <c r="BC79" s="1" t="s">
        <v>4757</v>
      </c>
      <c r="BD79" s="1">
        <v>10302</v>
      </c>
      <c r="BE79" s="1"/>
      <c r="BH79">
        <f>COUNTIF(Dropdowns!$I:$AF,C79)</f>
        <v>1</v>
      </c>
    </row>
    <row r="80" spans="1:60" x14ac:dyDescent="0.3">
      <c r="A80" s="1">
        <v>84</v>
      </c>
      <c r="B80" s="1" t="s">
        <v>2975</v>
      </c>
      <c r="C80" s="207" t="s">
        <v>110</v>
      </c>
      <c r="D80" s="1" t="s">
        <v>110</v>
      </c>
      <c r="E80" s="1"/>
      <c r="F80" s="1"/>
      <c r="G80" s="1" t="s">
        <v>2976</v>
      </c>
      <c r="H80" s="1" t="s">
        <v>2977</v>
      </c>
      <c r="I80" s="1" t="s">
        <v>2978</v>
      </c>
      <c r="J80" s="1">
        <v>5</v>
      </c>
      <c r="K80" s="1">
        <v>3</v>
      </c>
      <c r="L80" s="1">
        <v>19800</v>
      </c>
      <c r="M80" s="1">
        <v>40</v>
      </c>
      <c r="N80" s="1">
        <v>30</v>
      </c>
      <c r="O80" s="1">
        <v>25</v>
      </c>
      <c r="P80" s="1">
        <v>15</v>
      </c>
      <c r="Q80" s="1">
        <v>5</v>
      </c>
      <c r="R80" s="1">
        <v>5</v>
      </c>
      <c r="S80" s="1">
        <v>2</v>
      </c>
      <c r="T80" s="1">
        <v>5</v>
      </c>
      <c r="U80" s="1">
        <v>100</v>
      </c>
      <c r="V80" s="1">
        <v>95</v>
      </c>
      <c r="W80" s="1">
        <v>110</v>
      </c>
      <c r="X80" s="1">
        <v>100</v>
      </c>
      <c r="Y80" s="1">
        <v>125</v>
      </c>
      <c r="Z80" s="1">
        <v>125</v>
      </c>
      <c r="AA80" s="1">
        <v>0</v>
      </c>
      <c r="AB80" s="1">
        <v>15</v>
      </c>
      <c r="AC80" s="1">
        <v>5</v>
      </c>
      <c r="AD80" s="1">
        <v>8</v>
      </c>
      <c r="AE80" s="1">
        <v>130</v>
      </c>
      <c r="AF80" s="1">
        <v>100</v>
      </c>
      <c r="AG80" s="1">
        <v>100110</v>
      </c>
      <c r="AH80" s="1">
        <v>0</v>
      </c>
      <c r="AI80" s="1">
        <v>300105</v>
      </c>
      <c r="AJ80" s="1" t="s">
        <v>4922</v>
      </c>
      <c r="AK80" s="1" t="s">
        <v>328</v>
      </c>
      <c r="AL80" s="1">
        <v>18</v>
      </c>
      <c r="AM80" s="1" t="s">
        <v>4858</v>
      </c>
      <c r="AN80" s="1" t="s">
        <v>4931</v>
      </c>
      <c r="AO80" s="1" t="s">
        <v>4932</v>
      </c>
      <c r="AP80" s="1">
        <v>0</v>
      </c>
      <c r="AQ80" s="1" t="s">
        <v>1167</v>
      </c>
      <c r="AR80" s="1" t="s">
        <v>1168</v>
      </c>
      <c r="AS80" s="1" t="s">
        <v>4912</v>
      </c>
      <c r="AT80" s="1" t="s">
        <v>328</v>
      </c>
      <c r="AU80" s="1">
        <v>84</v>
      </c>
      <c r="AV80" s="1">
        <v>0</v>
      </c>
      <c r="AW80" s="1" t="s">
        <v>4933</v>
      </c>
      <c r="AX80" s="1" t="s">
        <v>4934</v>
      </c>
      <c r="AY80" s="1">
        <v>3</v>
      </c>
      <c r="AZ80" s="1">
        <v>0</v>
      </c>
      <c r="BA80" s="1" t="s">
        <v>328</v>
      </c>
      <c r="BB80" s="1" t="s">
        <v>328</v>
      </c>
      <c r="BC80" s="1" t="s">
        <v>4757</v>
      </c>
      <c r="BD80" s="1">
        <v>10704</v>
      </c>
      <c r="BE80" s="1"/>
      <c r="BH80">
        <f>COUNTIF(Dropdowns!$I:$AF,C80)</f>
        <v>1</v>
      </c>
    </row>
    <row r="81" spans="1:60" x14ac:dyDescent="0.3">
      <c r="A81" s="1">
        <v>85</v>
      </c>
      <c r="B81" s="1" t="s">
        <v>2979</v>
      </c>
      <c r="C81" s="207" t="s">
        <v>111</v>
      </c>
      <c r="D81" s="1" t="s">
        <v>111</v>
      </c>
      <c r="E81" s="1"/>
      <c r="F81" s="1"/>
      <c r="G81" s="1" t="s">
        <v>2980</v>
      </c>
      <c r="H81" s="1" t="s">
        <v>2981</v>
      </c>
      <c r="I81" s="1" t="s">
        <v>2982</v>
      </c>
      <c r="J81" s="1">
        <v>5</v>
      </c>
      <c r="K81" s="1">
        <v>4</v>
      </c>
      <c r="L81" s="1">
        <v>23400</v>
      </c>
      <c r="M81" s="1">
        <v>40</v>
      </c>
      <c r="N81" s="1">
        <v>30</v>
      </c>
      <c r="O81" s="1">
        <v>25</v>
      </c>
      <c r="P81" s="1">
        <v>15</v>
      </c>
      <c r="Q81" s="1">
        <v>5</v>
      </c>
      <c r="R81" s="1">
        <v>5</v>
      </c>
      <c r="S81" s="1">
        <v>2</v>
      </c>
      <c r="T81" s="1">
        <v>5</v>
      </c>
      <c r="U81" s="1">
        <v>115</v>
      </c>
      <c r="V81" s="1">
        <v>125</v>
      </c>
      <c r="W81" s="1">
        <v>80</v>
      </c>
      <c r="X81" s="1">
        <v>100</v>
      </c>
      <c r="Y81" s="1">
        <v>90</v>
      </c>
      <c r="Z81" s="1">
        <v>100</v>
      </c>
      <c r="AA81" s="1">
        <v>0</v>
      </c>
      <c r="AB81" s="1">
        <v>15</v>
      </c>
      <c r="AC81" s="1">
        <v>5</v>
      </c>
      <c r="AD81" s="1">
        <v>11</v>
      </c>
      <c r="AE81" s="1">
        <v>110</v>
      </c>
      <c r="AF81" s="1">
        <v>120</v>
      </c>
      <c r="AG81" s="1">
        <v>750196</v>
      </c>
      <c r="AH81" s="1">
        <v>0</v>
      </c>
      <c r="AI81" s="1">
        <v>300107</v>
      </c>
      <c r="AJ81" s="1" t="s">
        <v>4935</v>
      </c>
      <c r="AK81" s="1" t="s">
        <v>4936</v>
      </c>
      <c r="AL81" s="1">
        <v>18</v>
      </c>
      <c r="AM81" s="1" t="s">
        <v>4858</v>
      </c>
      <c r="AN81" s="1" t="s">
        <v>4937</v>
      </c>
      <c r="AO81" s="1" t="s">
        <v>4824</v>
      </c>
      <c r="AP81" s="1">
        <v>0</v>
      </c>
      <c r="AQ81" s="1" t="s">
        <v>1167</v>
      </c>
      <c r="AR81" s="1" t="s">
        <v>4911</v>
      </c>
      <c r="AS81" s="1" t="s">
        <v>1169</v>
      </c>
      <c r="AT81" s="1" t="s">
        <v>328</v>
      </c>
      <c r="AU81" s="1">
        <v>85</v>
      </c>
      <c r="AV81" s="1">
        <v>0</v>
      </c>
      <c r="AW81" s="1" t="s">
        <v>4492</v>
      </c>
      <c r="AX81" s="1" t="s">
        <v>4797</v>
      </c>
      <c r="AY81" s="1">
        <v>4</v>
      </c>
      <c r="AZ81" s="1">
        <v>0</v>
      </c>
      <c r="BA81" s="1" t="s">
        <v>328</v>
      </c>
      <c r="BB81" s="1" t="s">
        <v>4938</v>
      </c>
      <c r="BC81" s="1" t="s">
        <v>4757</v>
      </c>
      <c r="BD81" s="1">
        <v>10402</v>
      </c>
      <c r="BE81" s="1"/>
      <c r="BH81">
        <f>COUNTIF(Dropdowns!$I:$AF,C81)</f>
        <v>1</v>
      </c>
    </row>
    <row r="82" spans="1:60" x14ac:dyDescent="0.3">
      <c r="A82" s="1">
        <v>86</v>
      </c>
      <c r="B82" s="1" t="s">
        <v>2983</v>
      </c>
      <c r="C82" s="207" t="s">
        <v>112</v>
      </c>
      <c r="D82" s="1" t="s">
        <v>112</v>
      </c>
      <c r="E82" s="1"/>
      <c r="F82" s="1"/>
      <c r="G82" s="1" t="s">
        <v>2984</v>
      </c>
      <c r="H82" s="1" t="s">
        <v>2985</v>
      </c>
      <c r="I82" s="1" t="s">
        <v>2986</v>
      </c>
      <c r="J82" s="1">
        <v>5</v>
      </c>
      <c r="K82" s="1">
        <v>3</v>
      </c>
      <c r="L82" s="1">
        <v>21000</v>
      </c>
      <c r="M82" s="1">
        <v>40</v>
      </c>
      <c r="N82" s="1">
        <v>30</v>
      </c>
      <c r="O82" s="1">
        <v>25</v>
      </c>
      <c r="P82" s="1">
        <v>15</v>
      </c>
      <c r="Q82" s="1">
        <v>5</v>
      </c>
      <c r="R82" s="1">
        <v>5</v>
      </c>
      <c r="S82" s="1">
        <v>2</v>
      </c>
      <c r="T82" s="1">
        <v>5</v>
      </c>
      <c r="U82" s="1">
        <v>100</v>
      </c>
      <c r="V82" s="1">
        <v>115</v>
      </c>
      <c r="W82" s="1">
        <v>125</v>
      </c>
      <c r="X82" s="1">
        <v>100</v>
      </c>
      <c r="Y82" s="1">
        <v>95</v>
      </c>
      <c r="Z82" s="1">
        <v>105</v>
      </c>
      <c r="AA82" s="1">
        <v>0</v>
      </c>
      <c r="AB82" s="1">
        <v>15</v>
      </c>
      <c r="AC82" s="1">
        <v>5</v>
      </c>
      <c r="AD82" s="1">
        <v>10</v>
      </c>
      <c r="AE82" s="1">
        <v>115</v>
      </c>
      <c r="AF82" s="1">
        <v>135</v>
      </c>
      <c r="AG82" s="1">
        <v>100110</v>
      </c>
      <c r="AH82" s="1">
        <v>0</v>
      </c>
      <c r="AI82" s="1">
        <v>300105</v>
      </c>
      <c r="AJ82" s="1" t="s">
        <v>1170</v>
      </c>
      <c r="AK82" s="1" t="s">
        <v>328</v>
      </c>
      <c r="AL82" s="1">
        <v>17</v>
      </c>
      <c r="AM82" s="1" t="s">
        <v>4858</v>
      </c>
      <c r="AN82" s="1" t="s">
        <v>889</v>
      </c>
      <c r="AO82" s="1" t="s">
        <v>4914</v>
      </c>
      <c r="AP82" s="1">
        <v>0</v>
      </c>
      <c r="AQ82" s="1" t="s">
        <v>1167</v>
      </c>
      <c r="AR82" s="1" t="s">
        <v>1168</v>
      </c>
      <c r="AS82" s="1" t="s">
        <v>1169</v>
      </c>
      <c r="AT82" s="1" t="s">
        <v>328</v>
      </c>
      <c r="AU82" s="1">
        <v>86</v>
      </c>
      <c r="AV82" s="1">
        <v>0</v>
      </c>
      <c r="AW82" s="1" t="s">
        <v>4492</v>
      </c>
      <c r="AX82" s="1" t="s">
        <v>4797</v>
      </c>
      <c r="AY82" s="1">
        <v>3</v>
      </c>
      <c r="AZ82" s="1">
        <v>0</v>
      </c>
      <c r="BA82" s="1" t="s">
        <v>328</v>
      </c>
      <c r="BB82" s="1" t="s">
        <v>4939</v>
      </c>
      <c r="BC82" s="1" t="s">
        <v>4769</v>
      </c>
      <c r="BD82" s="1">
        <v>10702</v>
      </c>
      <c r="BE82" s="1"/>
      <c r="BH82">
        <f>COUNTIF(Dropdowns!$I:$AF,C82)</f>
        <v>1</v>
      </c>
    </row>
    <row r="83" spans="1:60" x14ac:dyDescent="0.3">
      <c r="A83" s="1">
        <v>87</v>
      </c>
      <c r="B83" s="1" t="s">
        <v>2987</v>
      </c>
      <c r="C83" s="207" t="s">
        <v>113</v>
      </c>
      <c r="D83" s="1" t="s">
        <v>113</v>
      </c>
      <c r="E83" s="1"/>
      <c r="F83" s="1"/>
      <c r="G83" s="1" t="s">
        <v>2988</v>
      </c>
      <c r="H83" s="1" t="s">
        <v>2989</v>
      </c>
      <c r="I83" s="1" t="s">
        <v>2990</v>
      </c>
      <c r="J83" s="1">
        <v>5</v>
      </c>
      <c r="K83" s="1">
        <v>2</v>
      </c>
      <c r="L83" s="1">
        <v>18000</v>
      </c>
      <c r="M83" s="1">
        <v>40</v>
      </c>
      <c r="N83" s="1">
        <v>30</v>
      </c>
      <c r="O83" s="1">
        <v>25</v>
      </c>
      <c r="P83" s="1">
        <v>15</v>
      </c>
      <c r="Q83" s="1">
        <v>5</v>
      </c>
      <c r="R83" s="1">
        <v>5</v>
      </c>
      <c r="S83" s="1">
        <v>2</v>
      </c>
      <c r="T83" s="1">
        <v>5</v>
      </c>
      <c r="U83" s="1">
        <v>100</v>
      </c>
      <c r="V83" s="1">
        <v>110</v>
      </c>
      <c r="W83" s="1">
        <v>115</v>
      </c>
      <c r="X83" s="1">
        <v>100</v>
      </c>
      <c r="Y83" s="1">
        <v>95</v>
      </c>
      <c r="Z83" s="1">
        <v>105</v>
      </c>
      <c r="AA83" s="1">
        <v>0</v>
      </c>
      <c r="AB83" s="1">
        <v>15</v>
      </c>
      <c r="AC83" s="1">
        <v>5</v>
      </c>
      <c r="AD83" s="1">
        <v>10</v>
      </c>
      <c r="AE83" s="1">
        <v>110</v>
      </c>
      <c r="AF83" s="1">
        <v>100</v>
      </c>
      <c r="AG83" s="1">
        <v>100109</v>
      </c>
      <c r="AH83" s="1">
        <v>0</v>
      </c>
      <c r="AI83" s="1">
        <v>300105</v>
      </c>
      <c r="AJ83" s="1" t="s">
        <v>1170</v>
      </c>
      <c r="AK83" s="1" t="s">
        <v>328</v>
      </c>
      <c r="AL83" s="1">
        <v>19</v>
      </c>
      <c r="AM83" s="1" t="s">
        <v>4858</v>
      </c>
      <c r="AN83" s="1" t="s">
        <v>4923</v>
      </c>
      <c r="AO83" s="1" t="s">
        <v>4940</v>
      </c>
      <c r="AP83" s="1">
        <v>0</v>
      </c>
      <c r="AQ83" s="1" t="s">
        <v>1167</v>
      </c>
      <c r="AR83" s="1" t="s">
        <v>1168</v>
      </c>
      <c r="AS83" s="1" t="s">
        <v>1169</v>
      </c>
      <c r="AT83" s="1" t="s">
        <v>328</v>
      </c>
      <c r="AU83" s="1">
        <v>87</v>
      </c>
      <c r="AV83" s="1">
        <v>0</v>
      </c>
      <c r="AW83" s="1" t="s">
        <v>4492</v>
      </c>
      <c r="AX83" s="1" t="s">
        <v>470</v>
      </c>
      <c r="AY83" s="1">
        <v>2</v>
      </c>
      <c r="AZ83" s="1">
        <v>0</v>
      </c>
      <c r="BA83" s="1" t="s">
        <v>328</v>
      </c>
      <c r="BB83" s="1" t="s">
        <v>4941</v>
      </c>
      <c r="BC83" s="1" t="s">
        <v>4769</v>
      </c>
      <c r="BD83" s="1">
        <v>10702</v>
      </c>
      <c r="BE83" s="1"/>
      <c r="BH83">
        <f>COUNTIF(Dropdowns!$I:$AF,C83)</f>
        <v>1</v>
      </c>
    </row>
    <row r="84" spans="1:60" x14ac:dyDescent="0.3">
      <c r="A84" s="1">
        <v>88</v>
      </c>
      <c r="B84" s="1" t="s">
        <v>2991</v>
      </c>
      <c r="C84" s="207" t="s">
        <v>114</v>
      </c>
      <c r="D84" s="1" t="s">
        <v>114</v>
      </c>
      <c r="E84" s="1"/>
      <c r="F84" s="1"/>
      <c r="G84" s="1" t="s">
        <v>2992</v>
      </c>
      <c r="H84" s="1" t="s">
        <v>2993</v>
      </c>
      <c r="I84" s="1" t="s">
        <v>2994</v>
      </c>
      <c r="J84" s="1">
        <v>5</v>
      </c>
      <c r="K84" s="1">
        <v>4</v>
      </c>
      <c r="L84" s="1">
        <v>23400</v>
      </c>
      <c r="M84" s="1">
        <v>40</v>
      </c>
      <c r="N84" s="1">
        <v>30</v>
      </c>
      <c r="O84" s="1">
        <v>25</v>
      </c>
      <c r="P84" s="1">
        <v>15</v>
      </c>
      <c r="Q84" s="1">
        <v>5</v>
      </c>
      <c r="R84" s="1">
        <v>5</v>
      </c>
      <c r="S84" s="1">
        <v>2</v>
      </c>
      <c r="T84" s="1">
        <v>5</v>
      </c>
      <c r="U84" s="1">
        <v>120</v>
      </c>
      <c r="V84" s="1">
        <v>110</v>
      </c>
      <c r="W84" s="1">
        <v>125</v>
      </c>
      <c r="X84" s="1">
        <v>100</v>
      </c>
      <c r="Y84" s="1">
        <v>110</v>
      </c>
      <c r="Z84" s="1">
        <v>90</v>
      </c>
      <c r="AA84" s="1">
        <v>0</v>
      </c>
      <c r="AB84" s="1">
        <v>15</v>
      </c>
      <c r="AC84" s="1">
        <v>5</v>
      </c>
      <c r="AD84" s="1">
        <v>10</v>
      </c>
      <c r="AE84" s="1">
        <v>110</v>
      </c>
      <c r="AF84" s="1">
        <v>100</v>
      </c>
      <c r="AG84" s="1">
        <v>105104</v>
      </c>
      <c r="AH84" s="1">
        <v>0</v>
      </c>
      <c r="AI84" s="1">
        <v>300105</v>
      </c>
      <c r="AJ84" s="1" t="s">
        <v>1166</v>
      </c>
      <c r="AK84" s="1" t="s">
        <v>328</v>
      </c>
      <c r="AL84" s="1">
        <v>18</v>
      </c>
      <c r="AM84" s="1" t="s">
        <v>4858</v>
      </c>
      <c r="AN84" s="1" t="s">
        <v>4931</v>
      </c>
      <c r="AO84" s="1" t="s">
        <v>4942</v>
      </c>
      <c r="AP84" s="1">
        <v>0</v>
      </c>
      <c r="AQ84" s="1" t="s">
        <v>1167</v>
      </c>
      <c r="AR84" s="1" t="s">
        <v>1168</v>
      </c>
      <c r="AS84" s="1" t="s">
        <v>4912</v>
      </c>
      <c r="AT84" s="1" t="s">
        <v>328</v>
      </c>
      <c r="AU84" s="1">
        <v>88</v>
      </c>
      <c r="AV84" s="1">
        <v>0</v>
      </c>
      <c r="AW84" s="1" t="s">
        <v>4492</v>
      </c>
      <c r="AX84" s="1" t="s">
        <v>4797</v>
      </c>
      <c r="AY84" s="1">
        <v>4</v>
      </c>
      <c r="AZ84" s="1">
        <v>0</v>
      </c>
      <c r="BA84" s="1" t="s">
        <v>328</v>
      </c>
      <c r="BB84" s="1" t="s">
        <v>4943</v>
      </c>
      <c r="BC84" s="1" t="s">
        <v>4769</v>
      </c>
      <c r="BD84" s="1">
        <v>10302</v>
      </c>
      <c r="BE84" s="1"/>
      <c r="BH84">
        <f>COUNTIF(Dropdowns!$I:$AF,C84)</f>
        <v>2</v>
      </c>
    </row>
    <row r="85" spans="1:60" x14ac:dyDescent="0.3">
      <c r="A85" s="1">
        <v>89</v>
      </c>
      <c r="B85" s="1" t="s">
        <v>2995</v>
      </c>
      <c r="C85" s="207" t="s">
        <v>115</v>
      </c>
      <c r="D85" s="1" t="s">
        <v>2996</v>
      </c>
      <c r="E85" s="1"/>
      <c r="F85" s="1"/>
      <c r="G85" s="1" t="s">
        <v>2997</v>
      </c>
      <c r="H85" s="1" t="s">
        <v>2998</v>
      </c>
      <c r="I85" s="1" t="s">
        <v>2999</v>
      </c>
      <c r="J85" s="1">
        <v>5</v>
      </c>
      <c r="K85" s="1">
        <v>3</v>
      </c>
      <c r="L85" s="1">
        <v>19200</v>
      </c>
      <c r="M85" s="1">
        <v>40</v>
      </c>
      <c r="N85" s="1">
        <v>30</v>
      </c>
      <c r="O85" s="1">
        <v>25</v>
      </c>
      <c r="P85" s="1">
        <v>15</v>
      </c>
      <c r="Q85" s="1">
        <v>5</v>
      </c>
      <c r="R85" s="1">
        <v>5</v>
      </c>
      <c r="S85" s="1">
        <v>2</v>
      </c>
      <c r="T85" s="1">
        <v>5</v>
      </c>
      <c r="U85" s="1">
        <v>105</v>
      </c>
      <c r="V85" s="1">
        <v>110</v>
      </c>
      <c r="W85" s="1">
        <v>95</v>
      </c>
      <c r="X85" s="1">
        <v>100</v>
      </c>
      <c r="Y85" s="1">
        <v>125</v>
      </c>
      <c r="Z85" s="1">
        <v>110</v>
      </c>
      <c r="AA85" s="1">
        <v>0</v>
      </c>
      <c r="AB85" s="1">
        <v>15</v>
      </c>
      <c r="AC85" s="1">
        <v>5</v>
      </c>
      <c r="AD85" s="1">
        <v>8</v>
      </c>
      <c r="AE85" s="1">
        <v>120</v>
      </c>
      <c r="AF85" s="1">
        <v>85</v>
      </c>
      <c r="AG85" s="1">
        <v>105103</v>
      </c>
      <c r="AH85" s="1">
        <v>0</v>
      </c>
      <c r="AI85" s="1">
        <v>300105</v>
      </c>
      <c r="AJ85" s="1" t="s">
        <v>1170</v>
      </c>
      <c r="AK85" s="1" t="s">
        <v>328</v>
      </c>
      <c r="AL85" s="1">
        <v>17</v>
      </c>
      <c r="AM85" s="1" t="s">
        <v>4858</v>
      </c>
      <c r="AN85" s="1" t="s">
        <v>4916</v>
      </c>
      <c r="AO85" s="1" t="s">
        <v>4944</v>
      </c>
      <c r="AP85" s="1">
        <v>0</v>
      </c>
      <c r="AQ85" s="1" t="s">
        <v>1167</v>
      </c>
      <c r="AR85" s="1" t="s">
        <v>4911</v>
      </c>
      <c r="AS85" s="1" t="s">
        <v>1169</v>
      </c>
      <c r="AT85" s="1" t="s">
        <v>328</v>
      </c>
      <c r="AU85" s="1">
        <v>89</v>
      </c>
      <c r="AV85" s="1">
        <v>0</v>
      </c>
      <c r="AW85" s="1" t="s">
        <v>4492</v>
      </c>
      <c r="AX85" s="1" t="s">
        <v>4797</v>
      </c>
      <c r="AY85" s="1">
        <v>3</v>
      </c>
      <c r="AZ85" s="1">
        <v>0</v>
      </c>
      <c r="BA85" s="1" t="s">
        <v>4765</v>
      </c>
      <c r="BB85" s="1" t="s">
        <v>4945</v>
      </c>
      <c r="BC85" s="1" t="s">
        <v>328</v>
      </c>
      <c r="BD85" s="1">
        <v>10302</v>
      </c>
      <c r="BE85" s="1"/>
      <c r="BH85">
        <f>COUNTIF(Dropdowns!$I:$AF,C85)</f>
        <v>1</v>
      </c>
    </row>
    <row r="86" spans="1:60" x14ac:dyDescent="0.3">
      <c r="A86" s="1">
        <v>90</v>
      </c>
      <c r="B86" s="1" t="s">
        <v>3000</v>
      </c>
      <c r="C86" s="207" t="s">
        <v>1173</v>
      </c>
      <c r="D86" s="1" t="s">
        <v>1173</v>
      </c>
      <c r="E86" s="1"/>
      <c r="F86" s="1"/>
      <c r="G86" s="1" t="s">
        <v>3001</v>
      </c>
      <c r="H86" s="1" t="s">
        <v>3002</v>
      </c>
      <c r="I86" s="1" t="s">
        <v>3003</v>
      </c>
      <c r="J86" s="1">
        <v>1</v>
      </c>
      <c r="K86" s="1">
        <v>2</v>
      </c>
      <c r="L86" s="1">
        <v>1500</v>
      </c>
      <c r="M86" s="1">
        <v>10</v>
      </c>
      <c r="N86" s="1">
        <v>10</v>
      </c>
      <c r="O86" s="1">
        <v>5</v>
      </c>
      <c r="P86" s="1">
        <v>5</v>
      </c>
      <c r="Q86" s="1">
        <v>2</v>
      </c>
      <c r="R86" s="1">
        <v>2</v>
      </c>
      <c r="S86" s="1">
        <v>2</v>
      </c>
      <c r="T86" s="1">
        <v>0</v>
      </c>
      <c r="U86" s="1">
        <v>90</v>
      </c>
      <c r="V86" s="1">
        <v>105</v>
      </c>
      <c r="W86" s="1">
        <v>115</v>
      </c>
      <c r="X86" s="1">
        <v>100</v>
      </c>
      <c r="Y86" s="1">
        <v>115</v>
      </c>
      <c r="Z86" s="1">
        <v>120</v>
      </c>
      <c r="AA86" s="1">
        <v>0</v>
      </c>
      <c r="AB86" s="1">
        <v>15</v>
      </c>
      <c r="AC86" s="1">
        <v>20</v>
      </c>
      <c r="AD86" s="1">
        <v>0</v>
      </c>
      <c r="AE86" s="1">
        <v>110</v>
      </c>
      <c r="AF86" s="1">
        <v>100</v>
      </c>
      <c r="AG86" s="1">
        <v>101401</v>
      </c>
      <c r="AH86" s="1">
        <v>0</v>
      </c>
      <c r="AI86" s="1">
        <v>300101</v>
      </c>
      <c r="AJ86" s="1" t="s">
        <v>1125</v>
      </c>
      <c r="AK86" s="1" t="s">
        <v>328</v>
      </c>
      <c r="AL86" s="1">
        <v>13</v>
      </c>
      <c r="AM86" s="1" t="s">
        <v>1806</v>
      </c>
      <c r="AN86" s="1" t="s">
        <v>4861</v>
      </c>
      <c r="AO86" s="1" t="s">
        <v>4946</v>
      </c>
      <c r="AP86" s="1">
        <v>0</v>
      </c>
      <c r="AQ86" s="1" t="s">
        <v>1118</v>
      </c>
      <c r="AR86" s="1" t="s">
        <v>1119</v>
      </c>
      <c r="AS86" s="1" t="s">
        <v>1120</v>
      </c>
      <c r="AT86" s="1" t="s">
        <v>328</v>
      </c>
      <c r="AU86" s="1">
        <v>90</v>
      </c>
      <c r="AV86" s="1">
        <v>0</v>
      </c>
      <c r="AW86" s="1" t="s">
        <v>4492</v>
      </c>
      <c r="AX86" s="1" t="s">
        <v>470</v>
      </c>
      <c r="AY86" s="1">
        <v>2</v>
      </c>
      <c r="AZ86" s="1">
        <v>0</v>
      </c>
      <c r="BA86" s="1" t="s">
        <v>328</v>
      </c>
      <c r="BB86" s="1" t="s">
        <v>4810</v>
      </c>
      <c r="BC86" s="1" t="s">
        <v>4853</v>
      </c>
      <c r="BD86" s="1">
        <v>10704</v>
      </c>
      <c r="BE86" s="1"/>
      <c r="BH86">
        <f>COUNTIF(Dropdowns!$I:$AF,C86)</f>
        <v>0</v>
      </c>
    </row>
    <row r="87" spans="1:60" x14ac:dyDescent="0.3">
      <c r="A87" s="1">
        <v>91</v>
      </c>
      <c r="B87" s="1" t="s">
        <v>3004</v>
      </c>
      <c r="C87" s="207" t="s">
        <v>1618</v>
      </c>
      <c r="D87" s="1" t="s">
        <v>1618</v>
      </c>
      <c r="E87" s="1"/>
      <c r="F87" s="1"/>
      <c r="G87" s="1" t="s">
        <v>3005</v>
      </c>
      <c r="H87" s="1" t="s">
        <v>3006</v>
      </c>
      <c r="I87" s="1" t="s">
        <v>3007</v>
      </c>
      <c r="J87" s="1">
        <v>1</v>
      </c>
      <c r="K87" s="1">
        <v>2</v>
      </c>
      <c r="L87" s="1">
        <v>1500</v>
      </c>
      <c r="M87" s="1">
        <v>10</v>
      </c>
      <c r="N87" s="1">
        <v>10</v>
      </c>
      <c r="O87" s="1">
        <v>5</v>
      </c>
      <c r="P87" s="1">
        <v>5</v>
      </c>
      <c r="Q87" s="1">
        <v>2</v>
      </c>
      <c r="R87" s="1">
        <v>2</v>
      </c>
      <c r="S87" s="1">
        <v>2</v>
      </c>
      <c r="T87" s="1">
        <v>0</v>
      </c>
      <c r="U87" s="1">
        <v>100</v>
      </c>
      <c r="V87" s="1">
        <v>105</v>
      </c>
      <c r="W87" s="1">
        <v>110</v>
      </c>
      <c r="X87" s="1">
        <v>100</v>
      </c>
      <c r="Y87" s="1">
        <v>105</v>
      </c>
      <c r="Z87" s="1">
        <v>100</v>
      </c>
      <c r="AA87" s="1">
        <v>0</v>
      </c>
      <c r="AB87" s="1">
        <v>15</v>
      </c>
      <c r="AC87" s="1">
        <v>20</v>
      </c>
      <c r="AD87" s="1">
        <v>0</v>
      </c>
      <c r="AE87" s="1">
        <v>120</v>
      </c>
      <c r="AF87" s="1">
        <v>100</v>
      </c>
      <c r="AG87" s="1">
        <v>101601</v>
      </c>
      <c r="AH87" s="1">
        <v>0</v>
      </c>
      <c r="AI87" s="1">
        <v>300101</v>
      </c>
      <c r="AJ87" s="1" t="s">
        <v>1174</v>
      </c>
      <c r="AK87" s="1" t="s">
        <v>328</v>
      </c>
      <c r="AL87" s="1">
        <v>13</v>
      </c>
      <c r="AM87" s="1" t="s">
        <v>1806</v>
      </c>
      <c r="AN87" s="1" t="s">
        <v>4947</v>
      </c>
      <c r="AO87" s="1" t="s">
        <v>4948</v>
      </c>
      <c r="AP87" s="1">
        <v>0</v>
      </c>
      <c r="AQ87" s="1" t="s">
        <v>4742</v>
      </c>
      <c r="AR87" s="1" t="s">
        <v>1119</v>
      </c>
      <c r="AS87" s="1" t="s">
        <v>1120</v>
      </c>
      <c r="AT87" s="1" t="s">
        <v>328</v>
      </c>
      <c r="AU87" s="1">
        <v>91</v>
      </c>
      <c r="AV87" s="1">
        <v>0</v>
      </c>
      <c r="AW87" s="1" t="s">
        <v>4492</v>
      </c>
      <c r="AX87" s="1" t="s">
        <v>470</v>
      </c>
      <c r="AY87" s="1">
        <v>2</v>
      </c>
      <c r="AZ87" s="1">
        <v>0</v>
      </c>
      <c r="BA87" s="1" t="s">
        <v>4745</v>
      </c>
      <c r="BB87" s="1" t="s">
        <v>413</v>
      </c>
      <c r="BC87" s="1" t="s">
        <v>4757</v>
      </c>
      <c r="BD87" s="1">
        <v>10302</v>
      </c>
      <c r="BE87" s="1"/>
      <c r="BH87">
        <f>COUNTIF(Dropdowns!$I:$AF,C87)</f>
        <v>0</v>
      </c>
    </row>
    <row r="88" spans="1:60" x14ac:dyDescent="0.3">
      <c r="A88" s="1">
        <v>92</v>
      </c>
      <c r="B88" s="1" t="s">
        <v>3008</v>
      </c>
      <c r="C88" s="207" t="s">
        <v>116</v>
      </c>
      <c r="D88" s="1" t="s">
        <v>3009</v>
      </c>
      <c r="E88" s="1"/>
      <c r="F88" s="1"/>
      <c r="G88" s="1" t="s">
        <v>3010</v>
      </c>
      <c r="H88" s="1" t="s">
        <v>3011</v>
      </c>
      <c r="I88" s="1" t="s">
        <v>3012</v>
      </c>
      <c r="J88" s="1">
        <v>2</v>
      </c>
      <c r="K88" s="1">
        <v>2</v>
      </c>
      <c r="L88" s="1">
        <v>4800</v>
      </c>
      <c r="M88" s="1">
        <v>25</v>
      </c>
      <c r="N88" s="1">
        <v>20</v>
      </c>
      <c r="O88" s="1">
        <v>15</v>
      </c>
      <c r="P88" s="1">
        <v>10</v>
      </c>
      <c r="Q88" s="1">
        <v>5</v>
      </c>
      <c r="R88" s="1">
        <v>5</v>
      </c>
      <c r="S88" s="1">
        <v>2</v>
      </c>
      <c r="T88" s="1">
        <v>0</v>
      </c>
      <c r="U88" s="1">
        <v>100</v>
      </c>
      <c r="V88" s="1">
        <v>100</v>
      </c>
      <c r="W88" s="1">
        <v>115</v>
      </c>
      <c r="X88" s="1">
        <v>100</v>
      </c>
      <c r="Y88" s="1">
        <v>105</v>
      </c>
      <c r="Z88" s="1">
        <v>115</v>
      </c>
      <c r="AA88" s="1">
        <v>0</v>
      </c>
      <c r="AB88" s="1">
        <v>15</v>
      </c>
      <c r="AC88" s="1">
        <v>5</v>
      </c>
      <c r="AD88" s="1">
        <v>0</v>
      </c>
      <c r="AE88" s="1">
        <v>100</v>
      </c>
      <c r="AF88" s="1">
        <v>100</v>
      </c>
      <c r="AG88" s="1">
        <v>100201</v>
      </c>
      <c r="AH88" s="1">
        <v>0</v>
      </c>
      <c r="AI88" s="1">
        <v>300102</v>
      </c>
      <c r="AJ88" s="1" t="s">
        <v>1125</v>
      </c>
      <c r="AK88" s="1" t="s">
        <v>328</v>
      </c>
      <c r="AL88" s="1">
        <v>13</v>
      </c>
      <c r="AM88" s="1" t="s">
        <v>4790</v>
      </c>
      <c r="AN88" s="1" t="s">
        <v>4793</v>
      </c>
      <c r="AO88" s="1" t="s">
        <v>4940</v>
      </c>
      <c r="AP88" s="1">
        <v>0</v>
      </c>
      <c r="AQ88" s="1" t="s">
        <v>1129</v>
      </c>
      <c r="AR88" s="1" t="s">
        <v>1119</v>
      </c>
      <c r="AS88" s="1" t="s">
        <v>1745</v>
      </c>
      <c r="AT88" s="1" t="s">
        <v>328</v>
      </c>
      <c r="AU88" s="1">
        <v>92</v>
      </c>
      <c r="AV88" s="1">
        <v>0</v>
      </c>
      <c r="AW88" s="1" t="s">
        <v>4492</v>
      </c>
      <c r="AX88" s="1" t="s">
        <v>470</v>
      </c>
      <c r="AY88" s="1">
        <v>2</v>
      </c>
      <c r="AZ88" s="1">
        <v>0</v>
      </c>
      <c r="BA88" s="1" t="s">
        <v>328</v>
      </c>
      <c r="BB88" s="1" t="s">
        <v>356</v>
      </c>
      <c r="BC88" s="1" t="s">
        <v>4739</v>
      </c>
      <c r="BD88" s="1">
        <v>10704</v>
      </c>
      <c r="BE88" s="1"/>
      <c r="BH88">
        <f>COUNTIF(Dropdowns!$I:$AF,C88)</f>
        <v>0</v>
      </c>
    </row>
    <row r="89" spans="1:60" x14ac:dyDescent="0.3">
      <c r="A89" s="1">
        <v>93</v>
      </c>
      <c r="B89" s="1" t="s">
        <v>3013</v>
      </c>
      <c r="C89" s="207" t="s">
        <v>117</v>
      </c>
      <c r="D89" s="1" t="s">
        <v>117</v>
      </c>
      <c r="E89" s="1"/>
      <c r="F89" s="1"/>
      <c r="G89" s="1" t="s">
        <v>3014</v>
      </c>
      <c r="H89" s="1" t="s">
        <v>3015</v>
      </c>
      <c r="I89" s="1" t="s">
        <v>3016</v>
      </c>
      <c r="J89" s="1">
        <v>2</v>
      </c>
      <c r="K89" s="1">
        <v>2</v>
      </c>
      <c r="L89" s="1">
        <v>4200</v>
      </c>
      <c r="M89" s="1">
        <v>25</v>
      </c>
      <c r="N89" s="1">
        <v>20</v>
      </c>
      <c r="O89" s="1">
        <v>15</v>
      </c>
      <c r="P89" s="1">
        <v>10</v>
      </c>
      <c r="Q89" s="1">
        <v>5</v>
      </c>
      <c r="R89" s="1">
        <v>5</v>
      </c>
      <c r="S89" s="1">
        <v>2</v>
      </c>
      <c r="T89" s="1">
        <v>0</v>
      </c>
      <c r="U89" s="1">
        <v>85</v>
      </c>
      <c r="V89" s="1">
        <v>90</v>
      </c>
      <c r="W89" s="1">
        <v>90</v>
      </c>
      <c r="X89" s="1">
        <v>100</v>
      </c>
      <c r="Y89" s="1">
        <v>110</v>
      </c>
      <c r="Z89" s="1">
        <v>120</v>
      </c>
      <c r="AA89" s="1">
        <v>0</v>
      </c>
      <c r="AB89" s="1">
        <v>15</v>
      </c>
      <c r="AC89" s="1">
        <v>5</v>
      </c>
      <c r="AD89" s="1">
        <v>0</v>
      </c>
      <c r="AE89" s="1">
        <v>130</v>
      </c>
      <c r="AF89" s="1">
        <v>100</v>
      </c>
      <c r="AG89" s="1">
        <v>100201</v>
      </c>
      <c r="AH89" s="1">
        <v>0</v>
      </c>
      <c r="AI89" s="1">
        <v>300102</v>
      </c>
      <c r="AJ89" s="1" t="s">
        <v>1175</v>
      </c>
      <c r="AK89" s="1" t="s">
        <v>328</v>
      </c>
      <c r="AL89" s="1">
        <v>13</v>
      </c>
      <c r="AM89" s="1" t="s">
        <v>4790</v>
      </c>
      <c r="AN89" s="1" t="s">
        <v>4795</v>
      </c>
      <c r="AO89" s="1" t="s">
        <v>4949</v>
      </c>
      <c r="AP89" s="1">
        <v>0</v>
      </c>
      <c r="AQ89" s="1" t="s">
        <v>1744</v>
      </c>
      <c r="AR89" s="1" t="s">
        <v>1119</v>
      </c>
      <c r="AS89" s="1" t="s">
        <v>1130</v>
      </c>
      <c r="AT89" s="1" t="s">
        <v>328</v>
      </c>
      <c r="AU89" s="1">
        <v>93</v>
      </c>
      <c r="AV89" s="1">
        <v>0</v>
      </c>
      <c r="AW89" s="1" t="s">
        <v>4492</v>
      </c>
      <c r="AX89" s="1" t="s">
        <v>470</v>
      </c>
      <c r="AY89" s="1">
        <v>2</v>
      </c>
      <c r="AZ89" s="1">
        <v>0</v>
      </c>
      <c r="BA89" s="1" t="s">
        <v>4745</v>
      </c>
      <c r="BB89" s="1" t="s">
        <v>4950</v>
      </c>
      <c r="BC89" s="1" t="s">
        <v>328</v>
      </c>
      <c r="BD89" s="1">
        <v>10302</v>
      </c>
      <c r="BE89" s="1"/>
      <c r="BH89">
        <f>COUNTIF(Dropdowns!$I:$AF,C89)</f>
        <v>0</v>
      </c>
    </row>
    <row r="90" spans="1:60" x14ac:dyDescent="0.3">
      <c r="A90" s="1">
        <v>94</v>
      </c>
      <c r="B90" s="1" t="s">
        <v>3017</v>
      </c>
      <c r="C90" s="207" t="s">
        <v>118</v>
      </c>
      <c r="D90" s="1" t="s">
        <v>3018</v>
      </c>
      <c r="E90" s="1"/>
      <c r="F90" s="1"/>
      <c r="G90" s="1" t="s">
        <v>3019</v>
      </c>
      <c r="H90" s="1" t="s">
        <v>3020</v>
      </c>
      <c r="I90" s="1" t="s">
        <v>3021</v>
      </c>
      <c r="J90" s="1">
        <v>2</v>
      </c>
      <c r="K90" s="1">
        <v>2</v>
      </c>
      <c r="L90" s="1">
        <v>5100</v>
      </c>
      <c r="M90" s="1">
        <v>25</v>
      </c>
      <c r="N90" s="1">
        <v>20</v>
      </c>
      <c r="O90" s="1">
        <v>15</v>
      </c>
      <c r="P90" s="1">
        <v>10</v>
      </c>
      <c r="Q90" s="1">
        <v>5</v>
      </c>
      <c r="R90" s="1">
        <v>5</v>
      </c>
      <c r="S90" s="1">
        <v>2</v>
      </c>
      <c r="T90" s="1">
        <v>0</v>
      </c>
      <c r="U90" s="1">
        <v>100</v>
      </c>
      <c r="V90" s="1">
        <v>105</v>
      </c>
      <c r="W90" s="1">
        <v>120</v>
      </c>
      <c r="X90" s="1">
        <v>100</v>
      </c>
      <c r="Y90" s="1">
        <v>90</v>
      </c>
      <c r="Z90" s="1">
        <v>110</v>
      </c>
      <c r="AA90" s="1">
        <v>0</v>
      </c>
      <c r="AB90" s="1">
        <v>15</v>
      </c>
      <c r="AC90" s="1">
        <v>5</v>
      </c>
      <c r="AD90" s="1">
        <v>0</v>
      </c>
      <c r="AE90" s="1">
        <v>105</v>
      </c>
      <c r="AF90" s="1">
        <v>100</v>
      </c>
      <c r="AG90" s="1">
        <v>902390</v>
      </c>
      <c r="AH90" s="1">
        <v>0</v>
      </c>
      <c r="AI90" s="1">
        <v>300102</v>
      </c>
      <c r="AJ90" s="1" t="s">
        <v>1121</v>
      </c>
      <c r="AK90" s="1" t="s">
        <v>328</v>
      </c>
      <c r="AL90" s="1">
        <v>13</v>
      </c>
      <c r="AM90" s="1" t="s">
        <v>4790</v>
      </c>
      <c r="AN90" s="1" t="s">
        <v>4793</v>
      </c>
      <c r="AO90" s="1" t="s">
        <v>4951</v>
      </c>
      <c r="AP90" s="1">
        <v>0</v>
      </c>
      <c r="AQ90" s="1" t="s">
        <v>1744</v>
      </c>
      <c r="AR90" s="1" t="s">
        <v>1119</v>
      </c>
      <c r="AS90" s="1" t="s">
        <v>1745</v>
      </c>
      <c r="AT90" s="1" t="s">
        <v>328</v>
      </c>
      <c r="AU90" s="1">
        <v>94</v>
      </c>
      <c r="AV90" s="1">
        <v>0</v>
      </c>
      <c r="AW90" s="1" t="s">
        <v>4492</v>
      </c>
      <c r="AX90" s="1" t="s">
        <v>470</v>
      </c>
      <c r="AY90" s="1">
        <v>2</v>
      </c>
      <c r="AZ90" s="1">
        <v>0</v>
      </c>
      <c r="BA90" s="1" t="s">
        <v>4745</v>
      </c>
      <c r="BB90" s="1" t="s">
        <v>4952</v>
      </c>
      <c r="BC90" s="1" t="s">
        <v>4783</v>
      </c>
      <c r="BD90" s="1">
        <v>10705</v>
      </c>
      <c r="BE90" s="1"/>
      <c r="BH90">
        <f>COUNTIF(Dropdowns!$I:$AF,C90)</f>
        <v>0</v>
      </c>
    </row>
    <row r="91" spans="1:60" x14ac:dyDescent="0.3">
      <c r="A91" s="1">
        <v>95</v>
      </c>
      <c r="B91" s="1" t="s">
        <v>3022</v>
      </c>
      <c r="C91" s="207" t="s">
        <v>119</v>
      </c>
      <c r="D91" s="1" t="s">
        <v>3023</v>
      </c>
      <c r="E91" s="1"/>
      <c r="F91" s="1"/>
      <c r="G91" s="1" t="s">
        <v>3024</v>
      </c>
      <c r="H91" s="1" t="s">
        <v>3025</v>
      </c>
      <c r="I91" s="1" t="s">
        <v>3026</v>
      </c>
      <c r="J91" s="1">
        <v>3</v>
      </c>
      <c r="K91" s="1">
        <v>3</v>
      </c>
      <c r="L91" s="1">
        <v>13800</v>
      </c>
      <c r="M91" s="1">
        <v>15</v>
      </c>
      <c r="N91" s="1">
        <v>30</v>
      </c>
      <c r="O91" s="1">
        <v>10</v>
      </c>
      <c r="P91" s="1">
        <v>15</v>
      </c>
      <c r="Q91" s="1">
        <v>5</v>
      </c>
      <c r="R91" s="1">
        <v>2</v>
      </c>
      <c r="S91" s="1">
        <v>5</v>
      </c>
      <c r="T91" s="1">
        <v>0</v>
      </c>
      <c r="U91" s="1">
        <v>115</v>
      </c>
      <c r="V91" s="1">
        <v>100</v>
      </c>
      <c r="W91" s="1">
        <v>90</v>
      </c>
      <c r="X91" s="1">
        <v>100</v>
      </c>
      <c r="Y91" s="1">
        <v>90</v>
      </c>
      <c r="Z91" s="1">
        <v>110</v>
      </c>
      <c r="AA91" s="1">
        <v>0</v>
      </c>
      <c r="AB91" s="1">
        <v>15</v>
      </c>
      <c r="AC91" s="1">
        <v>40</v>
      </c>
      <c r="AD91" s="1">
        <v>0</v>
      </c>
      <c r="AE91" s="1">
        <v>120</v>
      </c>
      <c r="AF91" s="1">
        <v>100</v>
      </c>
      <c r="AG91" s="1">
        <v>100114</v>
      </c>
      <c r="AH91" s="1">
        <v>0</v>
      </c>
      <c r="AI91" s="1">
        <v>300104</v>
      </c>
      <c r="AJ91" s="1" t="s">
        <v>1176</v>
      </c>
      <c r="AK91" s="1" t="s">
        <v>328</v>
      </c>
      <c r="AL91" s="1">
        <v>13</v>
      </c>
      <c r="AM91" s="1" t="s">
        <v>4762</v>
      </c>
      <c r="AN91" s="1" t="s">
        <v>475</v>
      </c>
      <c r="AO91" s="1" t="s">
        <v>4826</v>
      </c>
      <c r="AP91" s="1">
        <v>0</v>
      </c>
      <c r="AQ91" s="1" t="s">
        <v>1746</v>
      </c>
      <c r="AR91" s="1" t="s">
        <v>4835</v>
      </c>
      <c r="AS91" s="1" t="s">
        <v>1142</v>
      </c>
      <c r="AT91" s="1" t="s">
        <v>328</v>
      </c>
      <c r="AU91" s="1">
        <v>95</v>
      </c>
      <c r="AV91" s="1">
        <v>0</v>
      </c>
      <c r="AW91" s="1" t="s">
        <v>4492</v>
      </c>
      <c r="AX91" s="1" t="s">
        <v>331</v>
      </c>
      <c r="AY91" s="1">
        <v>3</v>
      </c>
      <c r="AZ91" s="1">
        <v>0</v>
      </c>
      <c r="BA91" s="1" t="s">
        <v>4765</v>
      </c>
      <c r="BB91" s="1" t="s">
        <v>4952</v>
      </c>
      <c r="BC91" s="1" t="s">
        <v>4783</v>
      </c>
      <c r="BD91" s="1">
        <v>10701</v>
      </c>
      <c r="BE91" s="1"/>
      <c r="BH91">
        <f>COUNTIF(Dropdowns!$I:$AF,C91)</f>
        <v>1</v>
      </c>
    </row>
    <row r="92" spans="1:60" x14ac:dyDescent="0.3">
      <c r="A92" s="1">
        <v>96</v>
      </c>
      <c r="B92" s="1" t="s">
        <v>3027</v>
      </c>
      <c r="C92" s="207" t="s">
        <v>120</v>
      </c>
      <c r="D92" s="1" t="s">
        <v>120</v>
      </c>
      <c r="E92" s="1"/>
      <c r="F92" s="1"/>
      <c r="G92" s="1" t="s">
        <v>3028</v>
      </c>
      <c r="H92" s="1" t="s">
        <v>3029</v>
      </c>
      <c r="I92" s="1" t="s">
        <v>3030</v>
      </c>
      <c r="J92" s="1">
        <v>1</v>
      </c>
      <c r="K92" s="1">
        <v>5</v>
      </c>
      <c r="L92" s="1">
        <v>4200</v>
      </c>
      <c r="M92" s="1">
        <v>10</v>
      </c>
      <c r="N92" s="1">
        <v>10</v>
      </c>
      <c r="O92" s="1">
        <v>5</v>
      </c>
      <c r="P92" s="1">
        <v>5</v>
      </c>
      <c r="Q92" s="1">
        <v>2</v>
      </c>
      <c r="R92" s="1">
        <v>2</v>
      </c>
      <c r="S92" s="1">
        <v>2</v>
      </c>
      <c r="T92" s="1">
        <v>0</v>
      </c>
      <c r="U92" s="1">
        <v>130</v>
      </c>
      <c r="V92" s="1">
        <v>135</v>
      </c>
      <c r="W92" s="1">
        <v>100</v>
      </c>
      <c r="X92" s="1">
        <v>100</v>
      </c>
      <c r="Y92" s="1">
        <v>100</v>
      </c>
      <c r="Z92" s="1">
        <v>85</v>
      </c>
      <c r="AA92" s="1">
        <v>0</v>
      </c>
      <c r="AB92" s="1">
        <v>15</v>
      </c>
      <c r="AC92" s="1">
        <v>20</v>
      </c>
      <c r="AD92" s="1">
        <v>0</v>
      </c>
      <c r="AE92" s="1">
        <v>125</v>
      </c>
      <c r="AF92" s="1">
        <v>100</v>
      </c>
      <c r="AG92" s="1">
        <v>100504</v>
      </c>
      <c r="AH92" s="1">
        <v>0</v>
      </c>
      <c r="AI92" s="1">
        <v>300101</v>
      </c>
      <c r="AJ92" s="1" t="s">
        <v>328</v>
      </c>
      <c r="AK92" s="1" t="s">
        <v>1177</v>
      </c>
      <c r="AL92" s="1">
        <v>13</v>
      </c>
      <c r="AM92" s="1" t="s">
        <v>1806</v>
      </c>
      <c r="AN92" s="1" t="s">
        <v>4953</v>
      </c>
      <c r="AO92" s="1" t="s">
        <v>4954</v>
      </c>
      <c r="AP92" s="1">
        <v>0</v>
      </c>
      <c r="AQ92" s="1" t="s">
        <v>1118</v>
      </c>
      <c r="AR92" s="1" t="s">
        <v>1119</v>
      </c>
      <c r="AS92" s="1" t="s">
        <v>4761</v>
      </c>
      <c r="AT92" s="1" t="s">
        <v>328</v>
      </c>
      <c r="AU92" s="1">
        <v>96</v>
      </c>
      <c r="AV92" s="1">
        <v>0</v>
      </c>
      <c r="AW92" s="1" t="s">
        <v>4492</v>
      </c>
      <c r="AX92" s="1" t="s">
        <v>4762</v>
      </c>
      <c r="AY92" s="1">
        <v>5</v>
      </c>
      <c r="AZ92" s="1">
        <v>0</v>
      </c>
      <c r="BA92" s="1" t="s">
        <v>328</v>
      </c>
      <c r="BB92" s="1" t="s">
        <v>4955</v>
      </c>
      <c r="BC92" s="1" t="s">
        <v>4720</v>
      </c>
      <c r="BD92" s="1">
        <v>10401</v>
      </c>
      <c r="BE92" s="1"/>
      <c r="BH92">
        <f>COUNTIF(Dropdowns!$I:$AF,C92)</f>
        <v>0</v>
      </c>
    </row>
    <row r="93" spans="1:60" x14ac:dyDescent="0.3">
      <c r="A93" s="1">
        <v>97</v>
      </c>
      <c r="B93" s="1" t="s">
        <v>3031</v>
      </c>
      <c r="C93" s="207" t="s">
        <v>121</v>
      </c>
      <c r="D93" s="1" t="s">
        <v>121</v>
      </c>
      <c r="E93" s="1"/>
      <c r="F93" s="1"/>
      <c r="G93" s="1" t="s">
        <v>3032</v>
      </c>
      <c r="H93" s="1" t="s">
        <v>3033</v>
      </c>
      <c r="I93" s="1" t="s">
        <v>3034</v>
      </c>
      <c r="J93" s="1">
        <v>1</v>
      </c>
      <c r="K93" s="1">
        <v>5</v>
      </c>
      <c r="L93" s="1">
        <v>3900</v>
      </c>
      <c r="M93" s="1">
        <v>10</v>
      </c>
      <c r="N93" s="1">
        <v>10</v>
      </c>
      <c r="O93" s="1">
        <v>5</v>
      </c>
      <c r="P93" s="1">
        <v>5</v>
      </c>
      <c r="Q93" s="1">
        <v>2</v>
      </c>
      <c r="R93" s="1">
        <v>2</v>
      </c>
      <c r="S93" s="1">
        <v>2</v>
      </c>
      <c r="T93" s="1">
        <v>0</v>
      </c>
      <c r="U93" s="1">
        <v>115</v>
      </c>
      <c r="V93" s="1">
        <v>110</v>
      </c>
      <c r="W93" s="1">
        <v>135</v>
      </c>
      <c r="X93" s="1">
        <v>100</v>
      </c>
      <c r="Y93" s="1">
        <v>115</v>
      </c>
      <c r="Z93" s="1">
        <v>95</v>
      </c>
      <c r="AA93" s="1">
        <v>0</v>
      </c>
      <c r="AB93" s="1">
        <v>15</v>
      </c>
      <c r="AC93" s="1">
        <v>20</v>
      </c>
      <c r="AD93" s="1">
        <v>0</v>
      </c>
      <c r="AE93" s="1">
        <v>115</v>
      </c>
      <c r="AF93" s="1">
        <v>100</v>
      </c>
      <c r="AG93" s="1">
        <v>100804</v>
      </c>
      <c r="AH93" s="1">
        <v>0</v>
      </c>
      <c r="AI93" s="1">
        <v>300101</v>
      </c>
      <c r="AJ93" s="1" t="s">
        <v>328</v>
      </c>
      <c r="AK93" s="1" t="s">
        <v>328</v>
      </c>
      <c r="AL93" s="1">
        <v>13</v>
      </c>
      <c r="AM93" s="1" t="s">
        <v>1806</v>
      </c>
      <c r="AN93" s="1" t="s">
        <v>4784</v>
      </c>
      <c r="AO93" s="1" t="s">
        <v>4817</v>
      </c>
      <c r="AP93" s="1">
        <v>0</v>
      </c>
      <c r="AQ93" s="1" t="s">
        <v>4742</v>
      </c>
      <c r="AR93" s="1" t="s">
        <v>1119</v>
      </c>
      <c r="AS93" s="1" t="s">
        <v>1120</v>
      </c>
      <c r="AT93" s="1" t="s">
        <v>328</v>
      </c>
      <c r="AU93" s="1">
        <v>97</v>
      </c>
      <c r="AV93" s="1">
        <v>0</v>
      </c>
      <c r="AW93" s="1" t="s">
        <v>4492</v>
      </c>
      <c r="AX93" s="1" t="s">
        <v>4956</v>
      </c>
      <c r="AY93" s="1">
        <v>5</v>
      </c>
      <c r="AZ93" s="1">
        <v>0</v>
      </c>
      <c r="BA93" s="1" t="s">
        <v>4855</v>
      </c>
      <c r="BB93" s="1" t="s">
        <v>4957</v>
      </c>
      <c r="BC93" s="1" t="s">
        <v>4720</v>
      </c>
      <c r="BD93" s="1">
        <v>10202</v>
      </c>
      <c r="BE93" s="1"/>
      <c r="BH93">
        <f>COUNTIF(Dropdowns!$I:$AF,C93)</f>
        <v>0</v>
      </c>
    </row>
    <row r="94" spans="1:60" x14ac:dyDescent="0.3">
      <c r="A94" s="1">
        <v>98</v>
      </c>
      <c r="B94" s="1" t="s">
        <v>3035</v>
      </c>
      <c r="C94" s="207" t="s">
        <v>1619</v>
      </c>
      <c r="D94" s="1" t="s">
        <v>1619</v>
      </c>
      <c r="E94" s="1"/>
      <c r="F94" s="1"/>
      <c r="G94" s="1" t="s">
        <v>3036</v>
      </c>
      <c r="H94" s="1" t="s">
        <v>3037</v>
      </c>
      <c r="I94" s="1" t="s">
        <v>3038</v>
      </c>
      <c r="J94" s="1">
        <v>1</v>
      </c>
      <c r="K94" s="1">
        <v>4</v>
      </c>
      <c r="L94" s="1">
        <v>3300</v>
      </c>
      <c r="M94" s="1">
        <v>10</v>
      </c>
      <c r="N94" s="1">
        <v>10</v>
      </c>
      <c r="O94" s="1">
        <v>5</v>
      </c>
      <c r="P94" s="1">
        <v>5</v>
      </c>
      <c r="Q94" s="1">
        <v>2</v>
      </c>
      <c r="R94" s="1">
        <v>2</v>
      </c>
      <c r="S94" s="1">
        <v>2</v>
      </c>
      <c r="T94" s="1">
        <v>0</v>
      </c>
      <c r="U94" s="1">
        <v>115</v>
      </c>
      <c r="V94" s="1">
        <v>115</v>
      </c>
      <c r="W94" s="1">
        <v>85</v>
      </c>
      <c r="X94" s="1">
        <v>100</v>
      </c>
      <c r="Y94" s="1">
        <v>110</v>
      </c>
      <c r="Z94" s="1">
        <v>90</v>
      </c>
      <c r="AA94" s="1">
        <v>0</v>
      </c>
      <c r="AB94" s="1">
        <v>15</v>
      </c>
      <c r="AC94" s="1">
        <v>20</v>
      </c>
      <c r="AD94" s="1">
        <v>0</v>
      </c>
      <c r="AE94" s="1">
        <v>135</v>
      </c>
      <c r="AF94" s="1">
        <v>100</v>
      </c>
      <c r="AG94" s="1">
        <v>101403</v>
      </c>
      <c r="AH94" s="1">
        <v>0</v>
      </c>
      <c r="AI94" s="1">
        <v>300115</v>
      </c>
      <c r="AJ94" s="1" t="s">
        <v>328</v>
      </c>
      <c r="AK94" s="1" t="s">
        <v>328</v>
      </c>
      <c r="AL94" s="1">
        <v>13</v>
      </c>
      <c r="AM94" s="1" t="s">
        <v>1806</v>
      </c>
      <c r="AN94" s="1" t="s">
        <v>4958</v>
      </c>
      <c r="AO94" s="1" t="s">
        <v>4959</v>
      </c>
      <c r="AP94" s="1">
        <v>0</v>
      </c>
      <c r="AQ94" s="1" t="s">
        <v>1118</v>
      </c>
      <c r="AR94" s="1" t="s">
        <v>1119</v>
      </c>
      <c r="AS94" s="1" t="s">
        <v>1120</v>
      </c>
      <c r="AT94" s="1" t="s">
        <v>328</v>
      </c>
      <c r="AU94" s="1">
        <v>98</v>
      </c>
      <c r="AV94" s="1">
        <v>0</v>
      </c>
      <c r="AW94" s="1" t="s">
        <v>4960</v>
      </c>
      <c r="AX94" s="1" t="s">
        <v>1806</v>
      </c>
      <c r="AY94" s="1">
        <v>4</v>
      </c>
      <c r="AZ94" s="1">
        <v>0</v>
      </c>
      <c r="BA94" s="1" t="s">
        <v>328</v>
      </c>
      <c r="BB94" s="1" t="s">
        <v>328</v>
      </c>
      <c r="BC94" s="1" t="s">
        <v>4757</v>
      </c>
      <c r="BD94" s="1">
        <v>10802</v>
      </c>
      <c r="BE94" s="1"/>
      <c r="BH94">
        <f>COUNTIF(Dropdowns!$I:$AF,C94)</f>
        <v>0</v>
      </c>
    </row>
    <row r="95" spans="1:60" x14ac:dyDescent="0.3">
      <c r="A95" s="1">
        <v>99</v>
      </c>
      <c r="B95" s="1" t="s">
        <v>3039</v>
      </c>
      <c r="C95" s="207" t="s">
        <v>1178</v>
      </c>
      <c r="D95" s="1" t="s">
        <v>1178</v>
      </c>
      <c r="E95" s="1"/>
      <c r="F95" s="1"/>
      <c r="G95" s="1" t="s">
        <v>3040</v>
      </c>
      <c r="H95" s="1" t="s">
        <v>3041</v>
      </c>
      <c r="I95" s="1" t="s">
        <v>3042</v>
      </c>
      <c r="J95" s="1">
        <v>1</v>
      </c>
      <c r="K95" s="1">
        <v>4</v>
      </c>
      <c r="L95" s="1">
        <v>3000</v>
      </c>
      <c r="M95" s="1">
        <v>10</v>
      </c>
      <c r="N95" s="1">
        <v>10</v>
      </c>
      <c r="O95" s="1">
        <v>5</v>
      </c>
      <c r="P95" s="1">
        <v>5</v>
      </c>
      <c r="Q95" s="1">
        <v>2</v>
      </c>
      <c r="R95" s="1">
        <v>2</v>
      </c>
      <c r="S95" s="1">
        <v>2</v>
      </c>
      <c r="T95" s="1">
        <v>0</v>
      </c>
      <c r="U95" s="1">
        <v>120</v>
      </c>
      <c r="V95" s="1">
        <v>110</v>
      </c>
      <c r="W95" s="1">
        <v>120</v>
      </c>
      <c r="X95" s="1">
        <v>100</v>
      </c>
      <c r="Y95" s="1">
        <v>115</v>
      </c>
      <c r="Z95" s="1">
        <v>95</v>
      </c>
      <c r="AA95" s="1">
        <v>0</v>
      </c>
      <c r="AB95" s="1">
        <v>15</v>
      </c>
      <c r="AC95" s="1">
        <v>20</v>
      </c>
      <c r="AD95" s="1">
        <v>0</v>
      </c>
      <c r="AE95" s="1">
        <v>110</v>
      </c>
      <c r="AF95" s="1">
        <v>100</v>
      </c>
      <c r="AG95" s="1">
        <v>100511</v>
      </c>
      <c r="AH95" s="1">
        <v>0</v>
      </c>
      <c r="AI95" s="1">
        <v>300101</v>
      </c>
      <c r="AJ95" s="1" t="s">
        <v>328</v>
      </c>
      <c r="AK95" s="1" t="s">
        <v>328</v>
      </c>
      <c r="AL95" s="1">
        <v>13</v>
      </c>
      <c r="AM95" s="1" t="s">
        <v>1806</v>
      </c>
      <c r="AN95" s="1" t="s">
        <v>4763</v>
      </c>
      <c r="AO95" s="1" t="s">
        <v>4824</v>
      </c>
      <c r="AP95" s="1">
        <v>0</v>
      </c>
      <c r="AQ95" s="1" t="s">
        <v>1118</v>
      </c>
      <c r="AR95" s="1" t="s">
        <v>1119</v>
      </c>
      <c r="AS95" s="1" t="s">
        <v>1120</v>
      </c>
      <c r="AT95" s="1" t="s">
        <v>328</v>
      </c>
      <c r="AU95" s="1">
        <v>99</v>
      </c>
      <c r="AV95" s="1">
        <v>0</v>
      </c>
      <c r="AW95" s="1" t="s">
        <v>4492</v>
      </c>
      <c r="AX95" s="1" t="s">
        <v>470</v>
      </c>
      <c r="AY95" s="1">
        <v>4</v>
      </c>
      <c r="AZ95" s="1">
        <v>0</v>
      </c>
      <c r="BA95" s="1" t="s">
        <v>328</v>
      </c>
      <c r="BB95" s="1" t="s">
        <v>4961</v>
      </c>
      <c r="BC95" s="1" t="s">
        <v>4769</v>
      </c>
      <c r="BD95" s="1">
        <v>10302</v>
      </c>
      <c r="BE95" s="1"/>
      <c r="BH95">
        <f>COUNTIF(Dropdowns!$I:$AF,C95)</f>
        <v>0</v>
      </c>
    </row>
    <row r="96" spans="1:60" x14ac:dyDescent="0.3">
      <c r="A96" s="1">
        <v>100</v>
      </c>
      <c r="B96" s="1" t="s">
        <v>3043</v>
      </c>
      <c r="C96" s="207" t="s">
        <v>122</v>
      </c>
      <c r="D96" s="1" t="s">
        <v>122</v>
      </c>
      <c r="E96" s="1"/>
      <c r="F96" s="1"/>
      <c r="G96" s="1" t="s">
        <v>3044</v>
      </c>
      <c r="H96" s="1" t="s">
        <v>3045</v>
      </c>
      <c r="I96" s="1" t="s">
        <v>3046</v>
      </c>
      <c r="J96" s="1">
        <v>1</v>
      </c>
      <c r="K96" s="1">
        <v>4</v>
      </c>
      <c r="L96" s="1">
        <v>3300</v>
      </c>
      <c r="M96" s="1">
        <v>10</v>
      </c>
      <c r="N96" s="1">
        <v>10</v>
      </c>
      <c r="O96" s="1">
        <v>5</v>
      </c>
      <c r="P96" s="1">
        <v>5</v>
      </c>
      <c r="Q96" s="1">
        <v>2</v>
      </c>
      <c r="R96" s="1">
        <v>2</v>
      </c>
      <c r="S96" s="1">
        <v>2</v>
      </c>
      <c r="T96" s="1">
        <v>0</v>
      </c>
      <c r="U96" s="1">
        <v>95</v>
      </c>
      <c r="V96" s="1">
        <v>115</v>
      </c>
      <c r="W96" s="1">
        <v>115</v>
      </c>
      <c r="X96" s="1">
        <v>100</v>
      </c>
      <c r="Y96" s="1">
        <v>130</v>
      </c>
      <c r="Z96" s="1">
        <v>115</v>
      </c>
      <c r="AA96" s="1">
        <v>0</v>
      </c>
      <c r="AB96" s="1">
        <v>15</v>
      </c>
      <c r="AC96" s="1">
        <v>20</v>
      </c>
      <c r="AD96" s="1">
        <v>0</v>
      </c>
      <c r="AE96" s="1">
        <v>115</v>
      </c>
      <c r="AF96" s="1">
        <v>100</v>
      </c>
      <c r="AG96" s="1">
        <v>100603</v>
      </c>
      <c r="AH96" s="1">
        <v>0</v>
      </c>
      <c r="AI96" s="1">
        <v>300101</v>
      </c>
      <c r="AJ96" s="1" t="s">
        <v>328</v>
      </c>
      <c r="AK96" s="1" t="s">
        <v>328</v>
      </c>
      <c r="AL96" s="1">
        <v>13</v>
      </c>
      <c r="AM96" s="1" t="s">
        <v>1806</v>
      </c>
      <c r="AN96" s="1" t="s">
        <v>4962</v>
      </c>
      <c r="AO96" s="1" t="s">
        <v>4867</v>
      </c>
      <c r="AP96" s="1">
        <v>0</v>
      </c>
      <c r="AQ96" s="1" t="s">
        <v>1118</v>
      </c>
      <c r="AR96" s="1" t="s">
        <v>1119</v>
      </c>
      <c r="AS96" s="1" t="s">
        <v>1120</v>
      </c>
      <c r="AT96" s="1" t="s">
        <v>328</v>
      </c>
      <c r="AU96" s="1">
        <v>100</v>
      </c>
      <c r="AV96" s="1">
        <v>0</v>
      </c>
      <c r="AW96" s="1" t="s">
        <v>4492</v>
      </c>
      <c r="AX96" s="1" t="s">
        <v>470</v>
      </c>
      <c r="AY96" s="1">
        <v>4</v>
      </c>
      <c r="AZ96" s="1">
        <v>0</v>
      </c>
      <c r="BA96" s="1" t="s">
        <v>328</v>
      </c>
      <c r="BB96" s="1" t="s">
        <v>4963</v>
      </c>
      <c r="BC96" s="1" t="s">
        <v>4769</v>
      </c>
      <c r="BD96" s="1">
        <v>10303</v>
      </c>
      <c r="BE96" s="1"/>
      <c r="BH96">
        <f>COUNTIF(Dropdowns!$I:$AF,C96)</f>
        <v>0</v>
      </c>
    </row>
    <row r="97" spans="1:60" x14ac:dyDescent="0.3">
      <c r="A97" s="1">
        <v>101</v>
      </c>
      <c r="B97" s="1" t="s">
        <v>3047</v>
      </c>
      <c r="C97" s="207" t="s">
        <v>123</v>
      </c>
      <c r="D97" s="1" t="s">
        <v>123</v>
      </c>
      <c r="E97" s="1"/>
      <c r="F97" s="1"/>
      <c r="G97" s="1" t="s">
        <v>3048</v>
      </c>
      <c r="H97" s="1" t="s">
        <v>3049</v>
      </c>
      <c r="I97" s="1" t="s">
        <v>3050</v>
      </c>
      <c r="J97" s="1">
        <v>2</v>
      </c>
      <c r="K97" s="1">
        <v>4</v>
      </c>
      <c r="L97" s="1">
        <v>8100</v>
      </c>
      <c r="M97" s="1">
        <v>25</v>
      </c>
      <c r="N97" s="1">
        <v>20</v>
      </c>
      <c r="O97" s="1">
        <v>15</v>
      </c>
      <c r="P97" s="1">
        <v>10</v>
      </c>
      <c r="Q97" s="1">
        <v>5</v>
      </c>
      <c r="R97" s="1">
        <v>5</v>
      </c>
      <c r="S97" s="1">
        <v>2</v>
      </c>
      <c r="T97" s="1">
        <v>0</v>
      </c>
      <c r="U97" s="1">
        <v>100</v>
      </c>
      <c r="V97" s="1">
        <v>95</v>
      </c>
      <c r="W97" s="1">
        <v>110</v>
      </c>
      <c r="X97" s="1">
        <v>100</v>
      </c>
      <c r="Y97" s="1">
        <v>120</v>
      </c>
      <c r="Z97" s="1">
        <v>125</v>
      </c>
      <c r="AA97" s="1">
        <v>0</v>
      </c>
      <c r="AB97" s="1">
        <v>15</v>
      </c>
      <c r="AC97" s="1">
        <v>5</v>
      </c>
      <c r="AD97" s="1">
        <v>0</v>
      </c>
      <c r="AE97" s="1">
        <v>110</v>
      </c>
      <c r="AF97" s="1">
        <v>100</v>
      </c>
      <c r="AG97" s="1">
        <v>102203</v>
      </c>
      <c r="AH97" s="1">
        <v>0</v>
      </c>
      <c r="AI97" s="1">
        <v>300102</v>
      </c>
      <c r="AJ97" s="1" t="s">
        <v>1179</v>
      </c>
      <c r="AK97" s="1" t="s">
        <v>328</v>
      </c>
      <c r="AL97" s="1">
        <v>13</v>
      </c>
      <c r="AM97" s="1" t="s">
        <v>4790</v>
      </c>
      <c r="AN97" s="1" t="s">
        <v>4795</v>
      </c>
      <c r="AO97" s="1" t="s">
        <v>4964</v>
      </c>
      <c r="AP97" s="1">
        <v>0</v>
      </c>
      <c r="AQ97" s="1" t="s">
        <v>1744</v>
      </c>
      <c r="AR97" s="1" t="s">
        <v>1119</v>
      </c>
      <c r="AS97" s="1" t="s">
        <v>1745</v>
      </c>
      <c r="AT97" s="1" t="s">
        <v>328</v>
      </c>
      <c r="AU97" s="1">
        <v>101</v>
      </c>
      <c r="AV97" s="1">
        <v>0</v>
      </c>
      <c r="AW97" s="1" t="s">
        <v>4492</v>
      </c>
      <c r="AX97" s="1" t="s">
        <v>4797</v>
      </c>
      <c r="AY97" s="1">
        <v>4</v>
      </c>
      <c r="AZ97" s="1">
        <v>0</v>
      </c>
      <c r="BA97" s="1" t="s">
        <v>4743</v>
      </c>
      <c r="BB97" s="1" t="s">
        <v>4965</v>
      </c>
      <c r="BC97" s="1" t="s">
        <v>4889</v>
      </c>
      <c r="BD97" s="1">
        <v>10104</v>
      </c>
      <c r="BE97" s="1"/>
      <c r="BH97">
        <f>COUNTIF(Dropdowns!$I:$AF,C97)</f>
        <v>1</v>
      </c>
    </row>
    <row r="98" spans="1:60" x14ac:dyDescent="0.3">
      <c r="A98" s="1">
        <v>102</v>
      </c>
      <c r="B98" s="1" t="s">
        <v>3051</v>
      </c>
      <c r="C98" s="207" t="s">
        <v>24</v>
      </c>
      <c r="D98" s="1" t="s">
        <v>24</v>
      </c>
      <c r="E98" s="1"/>
      <c r="F98" s="1"/>
      <c r="G98" s="1" t="s">
        <v>3052</v>
      </c>
      <c r="H98" s="1" t="s">
        <v>3053</v>
      </c>
      <c r="I98" s="1" t="s">
        <v>3054</v>
      </c>
      <c r="J98" s="1">
        <v>2</v>
      </c>
      <c r="K98" s="1">
        <v>4</v>
      </c>
      <c r="L98" s="1">
        <v>8100</v>
      </c>
      <c r="M98" s="1">
        <v>25</v>
      </c>
      <c r="N98" s="1">
        <v>20</v>
      </c>
      <c r="O98" s="1">
        <v>15</v>
      </c>
      <c r="P98" s="1">
        <v>10</v>
      </c>
      <c r="Q98" s="1">
        <v>5</v>
      </c>
      <c r="R98" s="1">
        <v>5</v>
      </c>
      <c r="S98" s="1">
        <v>2</v>
      </c>
      <c r="T98" s="1">
        <v>0</v>
      </c>
      <c r="U98" s="1">
        <v>102</v>
      </c>
      <c r="V98" s="1">
        <v>102</v>
      </c>
      <c r="W98" s="1">
        <v>108</v>
      </c>
      <c r="X98" s="1">
        <v>100</v>
      </c>
      <c r="Y98" s="1">
        <v>115</v>
      </c>
      <c r="Z98" s="1">
        <v>122</v>
      </c>
      <c r="AA98" s="1">
        <v>0</v>
      </c>
      <c r="AB98" s="1">
        <v>15</v>
      </c>
      <c r="AC98" s="1">
        <v>5</v>
      </c>
      <c r="AD98" s="1">
        <v>0</v>
      </c>
      <c r="AE98" s="1">
        <v>110</v>
      </c>
      <c r="AF98" s="1">
        <v>100</v>
      </c>
      <c r="AG98" s="1">
        <v>106501</v>
      </c>
      <c r="AH98" s="1">
        <v>0</v>
      </c>
      <c r="AI98" s="1">
        <v>300102</v>
      </c>
      <c r="AJ98" s="1" t="s">
        <v>1180</v>
      </c>
      <c r="AK98" s="1" t="s">
        <v>328</v>
      </c>
      <c r="AL98" s="1">
        <v>13</v>
      </c>
      <c r="AM98" s="1" t="s">
        <v>4719</v>
      </c>
      <c r="AN98" s="1" t="s">
        <v>4747</v>
      </c>
      <c r="AO98" s="1" t="s">
        <v>4966</v>
      </c>
      <c r="AP98" s="1">
        <v>0</v>
      </c>
      <c r="AQ98" s="1" t="s">
        <v>1744</v>
      </c>
      <c r="AR98" s="1" t="s">
        <v>1119</v>
      </c>
      <c r="AS98" s="1" t="s">
        <v>1130</v>
      </c>
      <c r="AT98" s="1" t="s">
        <v>328</v>
      </c>
      <c r="AU98" s="1">
        <v>102</v>
      </c>
      <c r="AV98" s="1">
        <v>0</v>
      </c>
      <c r="AW98" s="1" t="s">
        <v>4967</v>
      </c>
      <c r="AX98" s="1" t="s">
        <v>1806</v>
      </c>
      <c r="AY98" s="1">
        <v>4</v>
      </c>
      <c r="AZ98" s="1">
        <v>0</v>
      </c>
      <c r="BA98" s="1" t="s">
        <v>328</v>
      </c>
      <c r="BB98" s="1" t="s">
        <v>4968</v>
      </c>
      <c r="BC98" s="1" t="s">
        <v>4769</v>
      </c>
      <c r="BD98" s="1">
        <v>0</v>
      </c>
      <c r="BE98" s="1"/>
      <c r="BH98">
        <f>COUNTIF(Dropdowns!$I:$AF,C98)</f>
        <v>1</v>
      </c>
    </row>
    <row r="99" spans="1:60" x14ac:dyDescent="0.3">
      <c r="A99" s="1">
        <v>103</v>
      </c>
      <c r="B99" s="1" t="s">
        <v>3055</v>
      </c>
      <c r="C99" s="207" t="s">
        <v>23</v>
      </c>
      <c r="D99" s="1" t="s">
        <v>23</v>
      </c>
      <c r="E99" s="1"/>
      <c r="F99" s="1"/>
      <c r="G99" s="1" t="s">
        <v>3056</v>
      </c>
      <c r="H99" s="1" t="s">
        <v>3057</v>
      </c>
      <c r="I99" s="1" t="s">
        <v>3058</v>
      </c>
      <c r="J99" s="1">
        <v>2</v>
      </c>
      <c r="K99" s="1">
        <v>4</v>
      </c>
      <c r="L99" s="1">
        <v>8100</v>
      </c>
      <c r="M99" s="1">
        <v>25</v>
      </c>
      <c r="N99" s="1">
        <v>20</v>
      </c>
      <c r="O99" s="1">
        <v>15</v>
      </c>
      <c r="P99" s="1">
        <v>10</v>
      </c>
      <c r="Q99" s="1">
        <v>5</v>
      </c>
      <c r="R99" s="1">
        <v>5</v>
      </c>
      <c r="S99" s="1">
        <v>2</v>
      </c>
      <c r="T99" s="1">
        <v>0</v>
      </c>
      <c r="U99" s="1">
        <v>105</v>
      </c>
      <c r="V99" s="1">
        <v>105</v>
      </c>
      <c r="W99" s="1">
        <v>105</v>
      </c>
      <c r="X99" s="1">
        <v>100</v>
      </c>
      <c r="Y99" s="1">
        <v>110</v>
      </c>
      <c r="Z99" s="1">
        <v>120</v>
      </c>
      <c r="AA99" s="1">
        <v>0</v>
      </c>
      <c r="AB99" s="1">
        <v>15</v>
      </c>
      <c r="AC99" s="1">
        <v>5</v>
      </c>
      <c r="AD99" s="1">
        <v>0</v>
      </c>
      <c r="AE99" s="1">
        <v>110</v>
      </c>
      <c r="AF99" s="1">
        <v>100</v>
      </c>
      <c r="AG99" s="1">
        <v>102403</v>
      </c>
      <c r="AH99" s="1">
        <v>0</v>
      </c>
      <c r="AI99" s="1">
        <v>300102</v>
      </c>
      <c r="AJ99" s="1" t="s">
        <v>1181</v>
      </c>
      <c r="AK99" s="1" t="s">
        <v>328</v>
      </c>
      <c r="AL99" s="1">
        <v>13</v>
      </c>
      <c r="AM99" s="1" t="s">
        <v>4790</v>
      </c>
      <c r="AN99" s="1" t="s">
        <v>4795</v>
      </c>
      <c r="AO99" s="1" t="s">
        <v>4862</v>
      </c>
      <c r="AP99" s="1">
        <v>0</v>
      </c>
      <c r="AQ99" s="1" t="s">
        <v>1744</v>
      </c>
      <c r="AR99" s="1" t="s">
        <v>1119</v>
      </c>
      <c r="AS99" s="1" t="s">
        <v>1745</v>
      </c>
      <c r="AT99" s="1" t="s">
        <v>328</v>
      </c>
      <c r="AU99" s="1">
        <v>103</v>
      </c>
      <c r="AV99" s="1">
        <v>0</v>
      </c>
      <c r="AW99" s="1" t="s">
        <v>4969</v>
      </c>
      <c r="AX99" s="1" t="s">
        <v>4797</v>
      </c>
      <c r="AY99" s="1">
        <v>4</v>
      </c>
      <c r="AZ99" s="1">
        <v>0</v>
      </c>
      <c r="BA99" s="1" t="s">
        <v>4743</v>
      </c>
      <c r="BB99" s="1" t="s">
        <v>4970</v>
      </c>
      <c r="BC99" s="1" t="s">
        <v>4889</v>
      </c>
      <c r="BD99" s="1">
        <v>10104</v>
      </c>
      <c r="BE99" s="1"/>
      <c r="BH99">
        <f>COUNTIF(Dropdowns!$I:$AF,C99)</f>
        <v>1</v>
      </c>
    </row>
    <row r="100" spans="1:60" x14ac:dyDescent="0.3">
      <c r="A100" s="1">
        <v>104</v>
      </c>
      <c r="B100" s="1" t="s">
        <v>3059</v>
      </c>
      <c r="C100" s="207" t="s">
        <v>1602</v>
      </c>
      <c r="D100" s="1" t="s">
        <v>3060</v>
      </c>
      <c r="E100" s="1"/>
      <c r="F100" s="1"/>
      <c r="G100" s="1" t="s">
        <v>3061</v>
      </c>
      <c r="H100" s="1" t="s">
        <v>3062</v>
      </c>
      <c r="I100" s="1" t="s">
        <v>3063</v>
      </c>
      <c r="J100" s="1">
        <v>2</v>
      </c>
      <c r="K100" s="1">
        <v>5</v>
      </c>
      <c r="L100" s="1">
        <v>9000</v>
      </c>
      <c r="M100" s="1">
        <v>25</v>
      </c>
      <c r="N100" s="1">
        <v>20</v>
      </c>
      <c r="O100" s="1">
        <v>15</v>
      </c>
      <c r="P100" s="1">
        <v>10</v>
      </c>
      <c r="Q100" s="1">
        <v>5</v>
      </c>
      <c r="R100" s="1">
        <v>5</v>
      </c>
      <c r="S100" s="1">
        <v>2</v>
      </c>
      <c r="T100" s="1">
        <v>0</v>
      </c>
      <c r="U100" s="1">
        <v>115</v>
      </c>
      <c r="V100" s="1">
        <v>135</v>
      </c>
      <c r="W100" s="1">
        <v>110</v>
      </c>
      <c r="X100" s="1">
        <v>100</v>
      </c>
      <c r="Y100" s="1">
        <v>120</v>
      </c>
      <c r="Z100" s="1">
        <v>120</v>
      </c>
      <c r="AA100" s="1">
        <v>0</v>
      </c>
      <c r="AB100" s="1">
        <v>15</v>
      </c>
      <c r="AC100" s="1">
        <v>5</v>
      </c>
      <c r="AD100" s="1">
        <v>0</v>
      </c>
      <c r="AE100" s="1">
        <v>95</v>
      </c>
      <c r="AF100" s="1">
        <v>100</v>
      </c>
      <c r="AG100" s="1">
        <v>900225</v>
      </c>
      <c r="AH100" s="1">
        <v>0</v>
      </c>
      <c r="AI100" s="1">
        <v>300102</v>
      </c>
      <c r="AJ100" s="1" t="s">
        <v>328</v>
      </c>
      <c r="AK100" s="1" t="s">
        <v>328</v>
      </c>
      <c r="AL100" s="1">
        <v>13</v>
      </c>
      <c r="AM100" s="1" t="s">
        <v>4790</v>
      </c>
      <c r="AN100" s="1" t="s">
        <v>4795</v>
      </c>
      <c r="AO100" s="1" t="s">
        <v>4917</v>
      </c>
      <c r="AP100" s="1">
        <v>0</v>
      </c>
      <c r="AQ100" s="1" t="s">
        <v>1744</v>
      </c>
      <c r="AR100" s="1" t="s">
        <v>1119</v>
      </c>
      <c r="AS100" s="1" t="s">
        <v>1130</v>
      </c>
      <c r="AT100" s="1" t="s">
        <v>328</v>
      </c>
      <c r="AU100" s="1">
        <v>104</v>
      </c>
      <c r="AV100" s="1">
        <v>0</v>
      </c>
      <c r="AW100" s="1" t="s">
        <v>4971</v>
      </c>
      <c r="AX100" s="1" t="s">
        <v>331</v>
      </c>
      <c r="AY100" s="1">
        <v>5</v>
      </c>
      <c r="AZ100" s="1">
        <v>0</v>
      </c>
      <c r="BA100" s="1" t="s">
        <v>4855</v>
      </c>
      <c r="BB100" s="1" t="s">
        <v>4972</v>
      </c>
      <c r="BC100" s="1" t="s">
        <v>4769</v>
      </c>
      <c r="BD100" s="1">
        <v>10703</v>
      </c>
      <c r="BE100" s="1"/>
      <c r="BH100">
        <f>COUNTIF(Dropdowns!$I:$AF,C100)</f>
        <v>1</v>
      </c>
    </row>
    <row r="101" spans="1:60" x14ac:dyDescent="0.3">
      <c r="A101" s="1">
        <v>105</v>
      </c>
      <c r="B101" s="1" t="s">
        <v>3064</v>
      </c>
      <c r="C101" s="207" t="s">
        <v>726</v>
      </c>
      <c r="D101" s="1" t="s">
        <v>726</v>
      </c>
      <c r="E101" s="1"/>
      <c r="F101" s="1"/>
      <c r="G101" s="1" t="s">
        <v>3065</v>
      </c>
      <c r="H101" s="1" t="s">
        <v>3066</v>
      </c>
      <c r="I101" s="1" t="s">
        <v>3067</v>
      </c>
      <c r="J101" s="1">
        <v>4</v>
      </c>
      <c r="K101" s="1">
        <v>3</v>
      </c>
      <c r="L101" s="1">
        <v>11400</v>
      </c>
      <c r="M101" s="1">
        <v>20</v>
      </c>
      <c r="N101" s="1">
        <v>20</v>
      </c>
      <c r="O101" s="1">
        <v>10</v>
      </c>
      <c r="P101" s="1">
        <v>10</v>
      </c>
      <c r="Q101" s="1">
        <v>2</v>
      </c>
      <c r="R101" s="1">
        <v>5</v>
      </c>
      <c r="S101" s="1">
        <v>5</v>
      </c>
      <c r="T101" s="1">
        <v>0</v>
      </c>
      <c r="U101" s="1">
        <v>95</v>
      </c>
      <c r="V101" s="1">
        <v>90</v>
      </c>
      <c r="W101" s="1">
        <v>105</v>
      </c>
      <c r="X101" s="1">
        <v>100</v>
      </c>
      <c r="Y101" s="1">
        <v>125</v>
      </c>
      <c r="Z101" s="1">
        <v>125</v>
      </c>
      <c r="AA101" s="1">
        <v>0</v>
      </c>
      <c r="AB101" s="1">
        <v>15</v>
      </c>
      <c r="AC101" s="1">
        <v>20</v>
      </c>
      <c r="AD101" s="1">
        <v>0</v>
      </c>
      <c r="AE101" s="1">
        <v>125</v>
      </c>
      <c r="AF101" s="1">
        <v>100</v>
      </c>
      <c r="AG101" s="1">
        <v>100406</v>
      </c>
      <c r="AH101" s="1">
        <v>0</v>
      </c>
      <c r="AI101" s="1">
        <v>300103</v>
      </c>
      <c r="AJ101" s="1" t="s">
        <v>1125</v>
      </c>
      <c r="AK101" s="1" t="s">
        <v>328</v>
      </c>
      <c r="AL101" s="1">
        <v>13</v>
      </c>
      <c r="AM101" s="1" t="s">
        <v>4719</v>
      </c>
      <c r="AN101" s="1" t="s">
        <v>4829</v>
      </c>
      <c r="AO101" s="1" t="s">
        <v>4973</v>
      </c>
      <c r="AP101" s="1">
        <v>0</v>
      </c>
      <c r="AQ101" s="1" t="s">
        <v>1130</v>
      </c>
      <c r="AR101" s="1" t="s">
        <v>4868</v>
      </c>
      <c r="AS101" s="1" t="s">
        <v>1129</v>
      </c>
      <c r="AT101" s="1" t="s">
        <v>328</v>
      </c>
      <c r="AU101" s="1">
        <v>105</v>
      </c>
      <c r="AV101" s="1">
        <v>0</v>
      </c>
      <c r="AW101" s="1" t="s">
        <v>4492</v>
      </c>
      <c r="AX101" s="1" t="s">
        <v>4797</v>
      </c>
      <c r="AY101" s="1">
        <v>3</v>
      </c>
      <c r="AZ101" s="1">
        <v>0</v>
      </c>
      <c r="BA101" s="1" t="s">
        <v>328</v>
      </c>
      <c r="BB101" s="1" t="s">
        <v>328</v>
      </c>
      <c r="BC101" s="1" t="s">
        <v>4757</v>
      </c>
      <c r="BD101" s="1">
        <v>10704</v>
      </c>
      <c r="BE101" s="1"/>
      <c r="BH101">
        <f>COUNTIF(Dropdowns!$I:$AF,C101)</f>
        <v>1</v>
      </c>
    </row>
    <row r="102" spans="1:60" x14ac:dyDescent="0.3">
      <c r="A102" s="1">
        <v>106</v>
      </c>
      <c r="B102" s="1" t="s">
        <v>3068</v>
      </c>
      <c r="C102" s="207" t="s">
        <v>124</v>
      </c>
      <c r="D102" s="1" t="s">
        <v>3069</v>
      </c>
      <c r="E102" s="1"/>
      <c r="F102" s="1"/>
      <c r="G102" s="1" t="s">
        <v>3070</v>
      </c>
      <c r="H102" s="1" t="s">
        <v>3071</v>
      </c>
      <c r="I102" s="1" t="s">
        <v>3072</v>
      </c>
      <c r="J102" s="1">
        <v>4</v>
      </c>
      <c r="K102" s="1">
        <v>5</v>
      </c>
      <c r="L102" s="1">
        <v>13500</v>
      </c>
      <c r="M102" s="1">
        <v>20</v>
      </c>
      <c r="N102" s="1">
        <v>20</v>
      </c>
      <c r="O102" s="1">
        <v>10</v>
      </c>
      <c r="P102" s="1">
        <v>10</v>
      </c>
      <c r="Q102" s="1">
        <v>2</v>
      </c>
      <c r="R102" s="1">
        <v>5</v>
      </c>
      <c r="S102" s="1">
        <v>5</v>
      </c>
      <c r="T102" s="1">
        <v>0</v>
      </c>
      <c r="U102" s="1">
        <v>120</v>
      </c>
      <c r="V102" s="1">
        <v>130</v>
      </c>
      <c r="W102" s="1">
        <v>108</v>
      </c>
      <c r="X102" s="1">
        <v>100</v>
      </c>
      <c r="Y102" s="1">
        <v>105</v>
      </c>
      <c r="Z102" s="1">
        <v>95</v>
      </c>
      <c r="AA102" s="1">
        <v>0</v>
      </c>
      <c r="AB102" s="1">
        <v>15</v>
      </c>
      <c r="AC102" s="1">
        <v>20</v>
      </c>
      <c r="AD102" s="1">
        <v>0</v>
      </c>
      <c r="AE102" s="1">
        <v>115</v>
      </c>
      <c r="AF102" s="1">
        <v>100</v>
      </c>
      <c r="AG102" s="1">
        <v>102117</v>
      </c>
      <c r="AH102" s="1">
        <v>0</v>
      </c>
      <c r="AI102" s="1">
        <v>300103</v>
      </c>
      <c r="AJ102" s="1" t="s">
        <v>4974</v>
      </c>
      <c r="AK102" s="1" t="s">
        <v>1182</v>
      </c>
      <c r="AL102" s="1">
        <v>13</v>
      </c>
      <c r="AM102" s="1" t="s">
        <v>4719</v>
      </c>
      <c r="AN102" s="1" t="s">
        <v>4864</v>
      </c>
      <c r="AO102" s="1" t="s">
        <v>4949</v>
      </c>
      <c r="AP102" s="1">
        <v>0</v>
      </c>
      <c r="AQ102" s="1" t="s">
        <v>1130</v>
      </c>
      <c r="AR102" s="1" t="s">
        <v>1154</v>
      </c>
      <c r="AS102" s="1" t="s">
        <v>1129</v>
      </c>
      <c r="AT102" s="1" t="s">
        <v>328</v>
      </c>
      <c r="AU102" s="1">
        <v>106</v>
      </c>
      <c r="AV102" s="1">
        <v>0</v>
      </c>
      <c r="AW102" s="1" t="s">
        <v>4492</v>
      </c>
      <c r="AX102" s="1" t="s">
        <v>331</v>
      </c>
      <c r="AY102" s="1">
        <v>5</v>
      </c>
      <c r="AZ102" s="1">
        <v>0</v>
      </c>
      <c r="BA102" s="1" t="s">
        <v>328</v>
      </c>
      <c r="BB102" s="1" t="s">
        <v>4975</v>
      </c>
      <c r="BC102" s="1" t="s">
        <v>4853</v>
      </c>
      <c r="BD102" s="1">
        <v>10202</v>
      </c>
      <c r="BE102" s="1"/>
      <c r="BH102">
        <f>COUNTIF(Dropdowns!$I:$AF,C102)</f>
        <v>1</v>
      </c>
    </row>
    <row r="103" spans="1:60" x14ac:dyDescent="0.3">
      <c r="A103" s="1">
        <v>107</v>
      </c>
      <c r="B103" s="1" t="s">
        <v>3073</v>
      </c>
      <c r="C103" s="207" t="s">
        <v>1183</v>
      </c>
      <c r="D103" s="1" t="s">
        <v>1183</v>
      </c>
      <c r="E103" s="1"/>
      <c r="F103" s="1"/>
      <c r="G103" s="1" t="s">
        <v>3074</v>
      </c>
      <c r="H103" s="1" t="s">
        <v>3075</v>
      </c>
      <c r="I103" s="1" t="s">
        <v>3076</v>
      </c>
      <c r="J103" s="1">
        <v>4</v>
      </c>
      <c r="K103" s="1">
        <v>2</v>
      </c>
      <c r="L103" s="1">
        <v>9900</v>
      </c>
      <c r="M103" s="1">
        <v>20</v>
      </c>
      <c r="N103" s="1">
        <v>20</v>
      </c>
      <c r="O103" s="1">
        <v>10</v>
      </c>
      <c r="P103" s="1">
        <v>10</v>
      </c>
      <c r="Q103" s="1">
        <v>2</v>
      </c>
      <c r="R103" s="1">
        <v>5</v>
      </c>
      <c r="S103" s="1">
        <v>5</v>
      </c>
      <c r="T103" s="1">
        <v>0</v>
      </c>
      <c r="U103" s="1">
        <v>95</v>
      </c>
      <c r="V103" s="1">
        <v>100</v>
      </c>
      <c r="W103" s="1">
        <v>125</v>
      </c>
      <c r="X103" s="1">
        <v>100</v>
      </c>
      <c r="Y103" s="1">
        <v>120</v>
      </c>
      <c r="Z103" s="1">
        <v>105</v>
      </c>
      <c r="AA103" s="1">
        <v>0</v>
      </c>
      <c r="AB103" s="1">
        <v>15</v>
      </c>
      <c r="AC103" s="1">
        <v>20</v>
      </c>
      <c r="AD103" s="1">
        <v>0</v>
      </c>
      <c r="AE103" s="1">
        <v>105</v>
      </c>
      <c r="AF103" s="1">
        <v>100</v>
      </c>
      <c r="AG103" s="1">
        <v>100101</v>
      </c>
      <c r="AH103" s="1">
        <v>0</v>
      </c>
      <c r="AI103" s="1">
        <v>300116</v>
      </c>
      <c r="AJ103" s="1" t="s">
        <v>1125</v>
      </c>
      <c r="AK103" s="1" t="s">
        <v>328</v>
      </c>
      <c r="AL103" s="1">
        <v>13</v>
      </c>
      <c r="AM103" s="1" t="s">
        <v>4719</v>
      </c>
      <c r="AN103" s="1" t="s">
        <v>475</v>
      </c>
      <c r="AO103" s="1" t="s">
        <v>4976</v>
      </c>
      <c r="AP103" s="1">
        <v>0</v>
      </c>
      <c r="AQ103" s="1" t="s">
        <v>1745</v>
      </c>
      <c r="AR103" s="1" t="s">
        <v>1154</v>
      </c>
      <c r="AS103" s="1" t="s">
        <v>1129</v>
      </c>
      <c r="AT103" s="1" t="s">
        <v>328</v>
      </c>
      <c r="AU103" s="1">
        <v>107</v>
      </c>
      <c r="AV103" s="1">
        <v>0</v>
      </c>
      <c r="AW103" s="1" t="s">
        <v>4492</v>
      </c>
      <c r="AX103" s="1" t="s">
        <v>470</v>
      </c>
      <c r="AY103" s="1">
        <v>2</v>
      </c>
      <c r="AZ103" s="1">
        <v>0</v>
      </c>
      <c r="BA103" s="1" t="s">
        <v>328</v>
      </c>
      <c r="BB103" s="1" t="s">
        <v>4977</v>
      </c>
      <c r="BC103" s="1" t="s">
        <v>4853</v>
      </c>
      <c r="BD103" s="1">
        <v>10202</v>
      </c>
      <c r="BE103" s="1"/>
      <c r="BH103">
        <f>COUNTIF(Dropdowns!$I:$AF,C103)</f>
        <v>1</v>
      </c>
    </row>
    <row r="104" spans="1:60" x14ac:dyDescent="0.3">
      <c r="A104" s="1">
        <v>108</v>
      </c>
      <c r="B104" s="1" t="s">
        <v>3077</v>
      </c>
      <c r="C104" s="207" t="s">
        <v>1620</v>
      </c>
      <c r="D104" s="1" t="s">
        <v>1620</v>
      </c>
      <c r="E104" s="1"/>
      <c r="F104" s="1"/>
      <c r="G104" s="1" t="s">
        <v>3078</v>
      </c>
      <c r="H104" s="1" t="s">
        <v>3079</v>
      </c>
      <c r="I104" s="1" t="s">
        <v>3080</v>
      </c>
      <c r="J104" s="1">
        <v>4</v>
      </c>
      <c r="K104" s="1">
        <v>3</v>
      </c>
      <c r="L104" s="1">
        <v>11400</v>
      </c>
      <c r="M104" s="1">
        <v>20</v>
      </c>
      <c r="N104" s="1">
        <v>20</v>
      </c>
      <c r="O104" s="1">
        <v>10</v>
      </c>
      <c r="P104" s="1">
        <v>10</v>
      </c>
      <c r="Q104" s="1">
        <v>2</v>
      </c>
      <c r="R104" s="1">
        <v>5</v>
      </c>
      <c r="S104" s="1">
        <v>5</v>
      </c>
      <c r="T104" s="1">
        <v>0</v>
      </c>
      <c r="U104" s="1">
        <v>105</v>
      </c>
      <c r="V104" s="1">
        <v>100</v>
      </c>
      <c r="W104" s="1">
        <v>115</v>
      </c>
      <c r="X104" s="1">
        <v>100</v>
      </c>
      <c r="Y104" s="1">
        <v>125</v>
      </c>
      <c r="Z104" s="1">
        <v>105</v>
      </c>
      <c r="AA104" s="1">
        <v>0</v>
      </c>
      <c r="AB104" s="1">
        <v>15</v>
      </c>
      <c r="AC104" s="1">
        <v>20</v>
      </c>
      <c r="AD104" s="1">
        <v>0</v>
      </c>
      <c r="AE104" s="1">
        <v>110</v>
      </c>
      <c r="AF104" s="1">
        <v>100</v>
      </c>
      <c r="AG104" s="1">
        <v>102116</v>
      </c>
      <c r="AH104" s="1">
        <v>0</v>
      </c>
      <c r="AI104" s="1">
        <v>300103</v>
      </c>
      <c r="AJ104" s="1" t="s">
        <v>1121</v>
      </c>
      <c r="AK104" s="1" t="s">
        <v>328</v>
      </c>
      <c r="AL104" s="1">
        <v>13</v>
      </c>
      <c r="AM104" s="1" t="s">
        <v>4719</v>
      </c>
      <c r="AN104" s="1" t="s">
        <v>4834</v>
      </c>
      <c r="AO104" s="1" t="s">
        <v>4978</v>
      </c>
      <c r="AP104" s="1">
        <v>0</v>
      </c>
      <c r="AQ104" s="1" t="s">
        <v>1130</v>
      </c>
      <c r="AR104" s="1" t="s">
        <v>1154</v>
      </c>
      <c r="AS104" s="1" t="s">
        <v>1129</v>
      </c>
      <c r="AT104" s="1" t="s">
        <v>328</v>
      </c>
      <c r="AU104" s="1">
        <v>108</v>
      </c>
      <c r="AV104" s="1">
        <v>0</v>
      </c>
      <c r="AW104" s="1" t="s">
        <v>4492</v>
      </c>
      <c r="AX104" s="1" t="s">
        <v>4979</v>
      </c>
      <c r="AY104" s="1">
        <v>3</v>
      </c>
      <c r="AZ104" s="1">
        <v>0</v>
      </c>
      <c r="BA104" s="1" t="s">
        <v>328</v>
      </c>
      <c r="BB104" s="1" t="s">
        <v>328</v>
      </c>
      <c r="BC104" s="1" t="s">
        <v>328</v>
      </c>
      <c r="BD104" s="1">
        <v>10704</v>
      </c>
      <c r="BE104" s="1"/>
      <c r="BH104">
        <f>COUNTIF(Dropdowns!$I:$AF,C104)</f>
        <v>1</v>
      </c>
    </row>
    <row r="105" spans="1:60" x14ac:dyDescent="0.3">
      <c r="A105" s="1">
        <v>109</v>
      </c>
      <c r="B105" s="1" t="s">
        <v>3081</v>
      </c>
      <c r="C105" s="207" t="s">
        <v>300</v>
      </c>
      <c r="D105" s="1" t="s">
        <v>300</v>
      </c>
      <c r="E105" s="1"/>
      <c r="F105" s="1"/>
      <c r="G105" s="1" t="s">
        <v>3082</v>
      </c>
      <c r="H105" s="1" t="s">
        <v>3083</v>
      </c>
      <c r="I105" s="1" t="s">
        <v>3084</v>
      </c>
      <c r="J105" s="1">
        <v>5</v>
      </c>
      <c r="K105" s="1">
        <v>5</v>
      </c>
      <c r="L105" s="1">
        <v>24300</v>
      </c>
      <c r="M105" s="1">
        <v>40</v>
      </c>
      <c r="N105" s="1">
        <v>30</v>
      </c>
      <c r="O105" s="1">
        <v>25</v>
      </c>
      <c r="P105" s="1">
        <v>15</v>
      </c>
      <c r="Q105" s="1">
        <v>5</v>
      </c>
      <c r="R105" s="1">
        <v>5</v>
      </c>
      <c r="S105" s="1">
        <v>2</v>
      </c>
      <c r="T105" s="1">
        <v>5</v>
      </c>
      <c r="U105" s="1">
        <v>120</v>
      </c>
      <c r="V105" s="1">
        <v>110</v>
      </c>
      <c r="W105" s="1">
        <v>115</v>
      </c>
      <c r="X105" s="1">
        <v>100</v>
      </c>
      <c r="Y105" s="1">
        <v>115</v>
      </c>
      <c r="Z105" s="1">
        <v>115</v>
      </c>
      <c r="AA105" s="1">
        <v>0</v>
      </c>
      <c r="AB105" s="1">
        <v>15</v>
      </c>
      <c r="AC105" s="1">
        <v>5</v>
      </c>
      <c r="AD105" s="1">
        <v>11</v>
      </c>
      <c r="AE105" s="1">
        <v>110</v>
      </c>
      <c r="AF105" s="1">
        <v>100</v>
      </c>
      <c r="AG105" s="1">
        <v>301504</v>
      </c>
      <c r="AH105" s="1">
        <v>0</v>
      </c>
      <c r="AI105" s="1">
        <v>300107</v>
      </c>
      <c r="AJ105" s="1" t="s">
        <v>1166</v>
      </c>
      <c r="AK105" s="1" t="s">
        <v>328</v>
      </c>
      <c r="AL105" s="1">
        <v>18</v>
      </c>
      <c r="AM105" s="1" t="s">
        <v>4858</v>
      </c>
      <c r="AN105" s="1" t="s">
        <v>4931</v>
      </c>
      <c r="AO105" s="1" t="s">
        <v>4738</v>
      </c>
      <c r="AP105" s="1">
        <v>0</v>
      </c>
      <c r="AQ105" s="1" t="s">
        <v>1167</v>
      </c>
      <c r="AR105" s="1" t="s">
        <v>1168</v>
      </c>
      <c r="AS105" s="1" t="s">
        <v>1169</v>
      </c>
      <c r="AT105" s="1" t="s">
        <v>328</v>
      </c>
      <c r="AU105" s="1">
        <v>109</v>
      </c>
      <c r="AV105" s="1">
        <v>0</v>
      </c>
      <c r="AW105" s="1" t="s">
        <v>4492</v>
      </c>
      <c r="AX105" s="1" t="s">
        <v>4980</v>
      </c>
      <c r="AY105" s="1">
        <v>5</v>
      </c>
      <c r="AZ105" s="1">
        <v>0</v>
      </c>
      <c r="BA105" s="1" t="s">
        <v>328</v>
      </c>
      <c r="BB105" s="1" t="s">
        <v>4981</v>
      </c>
      <c r="BC105" s="1" t="s">
        <v>4769</v>
      </c>
      <c r="BD105" s="1">
        <v>10402</v>
      </c>
      <c r="BE105" s="1"/>
      <c r="BH105">
        <f>COUNTIF(Dropdowns!$I:$AF,C105)</f>
        <v>2</v>
      </c>
    </row>
    <row r="106" spans="1:60" x14ac:dyDescent="0.3">
      <c r="A106" s="1">
        <v>110</v>
      </c>
      <c r="B106" s="1" t="s">
        <v>3085</v>
      </c>
      <c r="C106" s="207" t="s">
        <v>125</v>
      </c>
      <c r="D106" s="1" t="s">
        <v>125</v>
      </c>
      <c r="E106" s="1"/>
      <c r="F106" s="1"/>
      <c r="G106" s="1" t="s">
        <v>3086</v>
      </c>
      <c r="H106" s="1" t="s">
        <v>3087</v>
      </c>
      <c r="I106" s="1" t="s">
        <v>3088</v>
      </c>
      <c r="J106" s="1">
        <v>5</v>
      </c>
      <c r="K106" s="1">
        <v>2</v>
      </c>
      <c r="L106" s="1">
        <v>17400</v>
      </c>
      <c r="M106" s="1">
        <v>40</v>
      </c>
      <c r="N106" s="1">
        <v>30</v>
      </c>
      <c r="O106" s="1">
        <v>25</v>
      </c>
      <c r="P106" s="1">
        <v>15</v>
      </c>
      <c r="Q106" s="1">
        <v>5</v>
      </c>
      <c r="R106" s="1">
        <v>5</v>
      </c>
      <c r="S106" s="1">
        <v>2</v>
      </c>
      <c r="T106" s="1">
        <v>5</v>
      </c>
      <c r="U106" s="1">
        <v>90</v>
      </c>
      <c r="V106" s="1">
        <v>110</v>
      </c>
      <c r="W106" s="1">
        <v>115</v>
      </c>
      <c r="X106" s="1">
        <v>100</v>
      </c>
      <c r="Y106" s="1">
        <v>115</v>
      </c>
      <c r="Z106" s="1">
        <v>135</v>
      </c>
      <c r="AA106" s="1">
        <v>0</v>
      </c>
      <c r="AB106" s="1">
        <v>15</v>
      </c>
      <c r="AC106" s="1">
        <v>5</v>
      </c>
      <c r="AD106" s="1">
        <v>8</v>
      </c>
      <c r="AE106" s="1">
        <v>115</v>
      </c>
      <c r="AF106" s="1">
        <v>100</v>
      </c>
      <c r="AG106" s="1">
        <v>105201</v>
      </c>
      <c r="AH106" s="1">
        <v>0</v>
      </c>
      <c r="AI106" s="1">
        <v>300105</v>
      </c>
      <c r="AJ106" s="1" t="s">
        <v>1170</v>
      </c>
      <c r="AK106" s="1" t="s">
        <v>328</v>
      </c>
      <c r="AL106" s="1">
        <v>18</v>
      </c>
      <c r="AM106" s="1" t="s">
        <v>4858</v>
      </c>
      <c r="AN106" s="1" t="s">
        <v>4931</v>
      </c>
      <c r="AO106" s="1" t="s">
        <v>4982</v>
      </c>
      <c r="AP106" s="1">
        <v>0</v>
      </c>
      <c r="AQ106" s="1" t="s">
        <v>1167</v>
      </c>
      <c r="AR106" s="1" t="s">
        <v>4911</v>
      </c>
      <c r="AS106" s="1" t="s">
        <v>1169</v>
      </c>
      <c r="AT106" s="1" t="s">
        <v>328</v>
      </c>
      <c r="AU106" s="1">
        <v>110</v>
      </c>
      <c r="AV106" s="1">
        <v>0</v>
      </c>
      <c r="AW106" s="1" t="s">
        <v>4492</v>
      </c>
      <c r="AX106" s="1" t="s">
        <v>470</v>
      </c>
      <c r="AY106" s="1">
        <v>2</v>
      </c>
      <c r="AZ106" s="1">
        <v>0</v>
      </c>
      <c r="BA106" s="1" t="s">
        <v>328</v>
      </c>
      <c r="BB106" s="1" t="s">
        <v>353</v>
      </c>
      <c r="BC106" s="1" t="s">
        <v>4769</v>
      </c>
      <c r="BD106" s="1">
        <v>10303</v>
      </c>
      <c r="BE106" s="1"/>
      <c r="BH106">
        <f>COUNTIF(Dropdowns!$I:$AF,C106)</f>
        <v>1</v>
      </c>
    </row>
    <row r="107" spans="1:60" x14ac:dyDescent="0.3">
      <c r="A107" s="1">
        <v>111</v>
      </c>
      <c r="B107" s="1" t="s">
        <v>3089</v>
      </c>
      <c r="C107" s="207" t="s">
        <v>1621</v>
      </c>
      <c r="D107" s="1" t="s">
        <v>1621</v>
      </c>
      <c r="E107" s="1"/>
      <c r="F107" s="1"/>
      <c r="G107" s="1" t="s">
        <v>3090</v>
      </c>
      <c r="H107" s="1" t="s">
        <v>3091</v>
      </c>
      <c r="I107" s="1" t="s">
        <v>3092</v>
      </c>
      <c r="J107" s="1">
        <v>5</v>
      </c>
      <c r="K107" s="1">
        <v>2</v>
      </c>
      <c r="L107" s="1">
        <v>17400</v>
      </c>
      <c r="M107" s="1">
        <v>40</v>
      </c>
      <c r="N107" s="1">
        <v>30</v>
      </c>
      <c r="O107" s="1">
        <v>25</v>
      </c>
      <c r="P107" s="1">
        <v>15</v>
      </c>
      <c r="Q107" s="1">
        <v>5</v>
      </c>
      <c r="R107" s="1">
        <v>5</v>
      </c>
      <c r="S107" s="1">
        <v>2</v>
      </c>
      <c r="T107" s="1">
        <v>5</v>
      </c>
      <c r="U107" s="1">
        <v>110</v>
      </c>
      <c r="V107" s="1">
        <v>115</v>
      </c>
      <c r="W107" s="1">
        <v>120</v>
      </c>
      <c r="X107" s="1">
        <v>100</v>
      </c>
      <c r="Y107" s="1">
        <v>120</v>
      </c>
      <c r="Z107" s="1">
        <v>110</v>
      </c>
      <c r="AA107" s="1">
        <v>0</v>
      </c>
      <c r="AB107" s="1">
        <v>15</v>
      </c>
      <c r="AC107" s="1">
        <v>5</v>
      </c>
      <c r="AD107" s="1">
        <v>10</v>
      </c>
      <c r="AE107" s="1">
        <v>90</v>
      </c>
      <c r="AF107" s="1">
        <v>100</v>
      </c>
      <c r="AG107" s="1">
        <v>100121</v>
      </c>
      <c r="AH107" s="1">
        <v>0</v>
      </c>
      <c r="AI107" s="1">
        <v>300105</v>
      </c>
      <c r="AJ107" s="1" t="s">
        <v>1170</v>
      </c>
      <c r="AK107" s="1" t="s">
        <v>328</v>
      </c>
      <c r="AL107" s="1">
        <v>17</v>
      </c>
      <c r="AM107" s="1" t="s">
        <v>4858</v>
      </c>
      <c r="AN107" s="1" t="s">
        <v>889</v>
      </c>
      <c r="AO107" s="1" t="s">
        <v>4951</v>
      </c>
      <c r="AP107" s="1">
        <v>0</v>
      </c>
      <c r="AQ107" s="1" t="s">
        <v>1167</v>
      </c>
      <c r="AR107" s="1" t="s">
        <v>1168</v>
      </c>
      <c r="AS107" s="1" t="s">
        <v>1169</v>
      </c>
      <c r="AT107" s="1" t="s">
        <v>328</v>
      </c>
      <c r="AU107" s="1">
        <v>111</v>
      </c>
      <c r="AV107" s="1">
        <v>0</v>
      </c>
      <c r="AW107" s="1" t="s">
        <v>4492</v>
      </c>
      <c r="AX107" s="1" t="s">
        <v>470</v>
      </c>
      <c r="AY107" s="1">
        <v>2</v>
      </c>
      <c r="AZ107" s="1">
        <v>0</v>
      </c>
      <c r="BA107" s="1" t="s">
        <v>328</v>
      </c>
      <c r="BB107" s="1" t="s">
        <v>4983</v>
      </c>
      <c r="BC107" s="1" t="s">
        <v>328</v>
      </c>
      <c r="BD107" s="1">
        <v>10704</v>
      </c>
      <c r="BE107" s="1"/>
      <c r="BH107">
        <f>COUNTIF(Dropdowns!$I:$AF,C107)</f>
        <v>1</v>
      </c>
    </row>
    <row r="108" spans="1:60" x14ac:dyDescent="0.3">
      <c r="A108" s="1">
        <v>112</v>
      </c>
      <c r="B108" s="1" t="s">
        <v>3093</v>
      </c>
      <c r="C108" s="207" t="s">
        <v>126</v>
      </c>
      <c r="D108" s="1" t="s">
        <v>3094</v>
      </c>
      <c r="E108" s="1"/>
      <c r="F108" s="1"/>
      <c r="G108" s="1" t="s">
        <v>3095</v>
      </c>
      <c r="H108" s="1" t="s">
        <v>3096</v>
      </c>
      <c r="I108" s="1" t="s">
        <v>3097</v>
      </c>
      <c r="J108" s="1">
        <v>5</v>
      </c>
      <c r="K108" s="1">
        <v>5</v>
      </c>
      <c r="L108" s="1">
        <v>23700</v>
      </c>
      <c r="M108" s="1">
        <v>40</v>
      </c>
      <c r="N108" s="1">
        <v>30</v>
      </c>
      <c r="O108" s="1">
        <v>25</v>
      </c>
      <c r="P108" s="1">
        <v>15</v>
      </c>
      <c r="Q108" s="1">
        <v>5</v>
      </c>
      <c r="R108" s="1">
        <v>5</v>
      </c>
      <c r="S108" s="1">
        <v>2</v>
      </c>
      <c r="T108" s="1">
        <v>5</v>
      </c>
      <c r="U108" s="1">
        <v>105</v>
      </c>
      <c r="V108" s="1">
        <v>95</v>
      </c>
      <c r="W108" s="1">
        <v>125</v>
      </c>
      <c r="X108" s="1">
        <v>100</v>
      </c>
      <c r="Y108" s="1">
        <v>125</v>
      </c>
      <c r="Z108" s="1">
        <v>130</v>
      </c>
      <c r="AA108" s="1">
        <v>0</v>
      </c>
      <c r="AB108" s="1">
        <v>15</v>
      </c>
      <c r="AC108" s="1">
        <v>5</v>
      </c>
      <c r="AD108" s="1">
        <v>9</v>
      </c>
      <c r="AE108" s="1">
        <v>135</v>
      </c>
      <c r="AF108" s="1">
        <v>100</v>
      </c>
      <c r="AG108" s="1">
        <v>200201</v>
      </c>
      <c r="AH108" s="1">
        <v>0</v>
      </c>
      <c r="AI108" s="1">
        <v>300105</v>
      </c>
      <c r="AJ108" s="1" t="s">
        <v>1184</v>
      </c>
      <c r="AK108" s="1" t="s">
        <v>328</v>
      </c>
      <c r="AL108" s="1">
        <v>18</v>
      </c>
      <c r="AM108" s="1" t="s">
        <v>4858</v>
      </c>
      <c r="AN108" s="1" t="s">
        <v>4984</v>
      </c>
      <c r="AO108" s="1" t="s">
        <v>4985</v>
      </c>
      <c r="AP108" s="1">
        <v>0</v>
      </c>
      <c r="AQ108" s="1" t="s">
        <v>1167</v>
      </c>
      <c r="AR108" s="1" t="s">
        <v>1168</v>
      </c>
      <c r="AS108" s="1" t="s">
        <v>1169</v>
      </c>
      <c r="AT108" s="1" t="s">
        <v>328</v>
      </c>
      <c r="AU108" s="1">
        <v>112</v>
      </c>
      <c r="AV108" s="1">
        <v>0</v>
      </c>
      <c r="AW108" s="1" t="s">
        <v>4492</v>
      </c>
      <c r="AX108" s="1" t="s">
        <v>331</v>
      </c>
      <c r="AY108" s="1">
        <v>5</v>
      </c>
      <c r="AZ108" s="1">
        <v>0</v>
      </c>
      <c r="BA108" s="1" t="s">
        <v>328</v>
      </c>
      <c r="BB108" s="1" t="s">
        <v>4986</v>
      </c>
      <c r="BC108" s="1" t="s">
        <v>328</v>
      </c>
      <c r="BD108" s="1">
        <v>10202</v>
      </c>
      <c r="BE108" s="1"/>
      <c r="BH108">
        <f>COUNTIF(Dropdowns!$I:$AF,C108)</f>
        <v>1</v>
      </c>
    </row>
    <row r="109" spans="1:60" x14ac:dyDescent="0.3">
      <c r="A109" s="1">
        <v>113</v>
      </c>
      <c r="B109" s="1" t="s">
        <v>3098</v>
      </c>
      <c r="C109" s="207" t="s">
        <v>749</v>
      </c>
      <c r="D109" s="1" t="s">
        <v>3099</v>
      </c>
      <c r="E109" s="1"/>
      <c r="F109" s="1"/>
      <c r="G109" s="1" t="s">
        <v>3100</v>
      </c>
      <c r="H109" s="1" t="s">
        <v>3101</v>
      </c>
      <c r="I109" s="1" t="s">
        <v>3102</v>
      </c>
      <c r="J109" s="1">
        <v>1</v>
      </c>
      <c r="K109" s="1">
        <v>3</v>
      </c>
      <c r="L109" s="1">
        <v>2100</v>
      </c>
      <c r="M109" s="1">
        <v>10</v>
      </c>
      <c r="N109" s="1">
        <v>10</v>
      </c>
      <c r="O109" s="1">
        <v>5</v>
      </c>
      <c r="P109" s="1">
        <v>5</v>
      </c>
      <c r="Q109" s="1">
        <v>2</v>
      </c>
      <c r="R109" s="1">
        <v>2</v>
      </c>
      <c r="S109" s="1">
        <v>2</v>
      </c>
      <c r="T109" s="1">
        <v>0</v>
      </c>
      <c r="U109" s="1">
        <v>105</v>
      </c>
      <c r="V109" s="1">
        <v>125</v>
      </c>
      <c r="W109" s="1">
        <v>110</v>
      </c>
      <c r="X109" s="1">
        <v>100</v>
      </c>
      <c r="Y109" s="1">
        <v>120</v>
      </c>
      <c r="Z109" s="1">
        <v>95</v>
      </c>
      <c r="AA109" s="1">
        <v>0</v>
      </c>
      <c r="AB109" s="1">
        <v>15</v>
      </c>
      <c r="AC109" s="1">
        <v>20</v>
      </c>
      <c r="AD109" s="1">
        <v>0</v>
      </c>
      <c r="AE109" s="1">
        <v>115</v>
      </c>
      <c r="AF109" s="1">
        <v>100</v>
      </c>
      <c r="AG109" s="1">
        <v>100502</v>
      </c>
      <c r="AH109" s="1">
        <v>0</v>
      </c>
      <c r="AI109" s="1">
        <v>300101</v>
      </c>
      <c r="AJ109" s="1" t="s">
        <v>4987</v>
      </c>
      <c r="AK109" s="1" t="s">
        <v>328</v>
      </c>
      <c r="AL109" s="1">
        <v>13</v>
      </c>
      <c r="AM109" s="1" t="s">
        <v>1806</v>
      </c>
      <c r="AN109" s="1" t="s">
        <v>4754</v>
      </c>
      <c r="AO109" s="1" t="s">
        <v>4903</v>
      </c>
      <c r="AP109" s="1">
        <v>0</v>
      </c>
      <c r="AQ109" s="1" t="s">
        <v>4742</v>
      </c>
      <c r="AR109" s="1" t="s">
        <v>1119</v>
      </c>
      <c r="AS109" s="1" t="s">
        <v>1120</v>
      </c>
      <c r="AT109" s="1" t="s">
        <v>328</v>
      </c>
      <c r="AU109" s="1">
        <v>113</v>
      </c>
      <c r="AV109" s="1">
        <v>0</v>
      </c>
      <c r="AW109" s="1" t="s">
        <v>4988</v>
      </c>
      <c r="AX109" s="1" t="s">
        <v>4934</v>
      </c>
      <c r="AY109" s="1">
        <v>3</v>
      </c>
      <c r="AZ109" s="1">
        <v>0</v>
      </c>
      <c r="BA109" s="1" t="s">
        <v>328</v>
      </c>
      <c r="BB109" s="1" t="s">
        <v>328</v>
      </c>
      <c r="BC109" s="1" t="s">
        <v>4757</v>
      </c>
      <c r="BD109" s="1">
        <v>10801</v>
      </c>
      <c r="BE109" s="1"/>
      <c r="BH109">
        <f>COUNTIF(Dropdowns!$I:$AF,C109)</f>
        <v>0</v>
      </c>
    </row>
    <row r="110" spans="1:60" x14ac:dyDescent="0.3">
      <c r="A110" s="1">
        <v>114</v>
      </c>
      <c r="B110" s="1" t="s">
        <v>3103</v>
      </c>
      <c r="C110" s="207" t="s">
        <v>835</v>
      </c>
      <c r="D110" s="1" t="s">
        <v>3104</v>
      </c>
      <c r="E110" s="1"/>
      <c r="F110" s="1"/>
      <c r="G110" s="1" t="s">
        <v>3105</v>
      </c>
      <c r="H110" s="1" t="s">
        <v>3106</v>
      </c>
      <c r="I110" s="1" t="s">
        <v>3107</v>
      </c>
      <c r="J110" s="1">
        <v>1</v>
      </c>
      <c r="K110" s="1">
        <v>5</v>
      </c>
      <c r="L110" s="1">
        <v>3600</v>
      </c>
      <c r="M110" s="1">
        <v>10</v>
      </c>
      <c r="N110" s="1">
        <v>10</v>
      </c>
      <c r="O110" s="1">
        <v>5</v>
      </c>
      <c r="P110" s="1">
        <v>5</v>
      </c>
      <c r="Q110" s="1">
        <v>2</v>
      </c>
      <c r="R110" s="1">
        <v>2</v>
      </c>
      <c r="S110" s="1">
        <v>2</v>
      </c>
      <c r="T110" s="1">
        <v>0</v>
      </c>
      <c r="U110" s="1">
        <v>120</v>
      </c>
      <c r="V110" s="1">
        <v>90</v>
      </c>
      <c r="W110" s="1">
        <v>90</v>
      </c>
      <c r="X110" s="1">
        <v>100</v>
      </c>
      <c r="Y110" s="1">
        <v>125</v>
      </c>
      <c r="Z110" s="1">
        <v>105</v>
      </c>
      <c r="AA110" s="1">
        <v>0</v>
      </c>
      <c r="AB110" s="1">
        <v>15</v>
      </c>
      <c r="AC110" s="1">
        <v>40</v>
      </c>
      <c r="AD110" s="1">
        <v>0</v>
      </c>
      <c r="AE110" s="1">
        <v>140</v>
      </c>
      <c r="AF110" s="1">
        <v>100</v>
      </c>
      <c r="AG110" s="1">
        <v>101504</v>
      </c>
      <c r="AH110" s="1">
        <v>0</v>
      </c>
      <c r="AI110" s="1">
        <v>300101</v>
      </c>
      <c r="AJ110" s="1" t="s">
        <v>328</v>
      </c>
      <c r="AK110" s="1" t="s">
        <v>328</v>
      </c>
      <c r="AL110" s="1">
        <v>13</v>
      </c>
      <c r="AM110" s="1" t="s">
        <v>1806</v>
      </c>
      <c r="AN110" s="1" t="s">
        <v>4947</v>
      </c>
      <c r="AO110" s="1" t="s">
        <v>4917</v>
      </c>
      <c r="AP110" s="1">
        <v>0</v>
      </c>
      <c r="AQ110" s="1" t="s">
        <v>1118</v>
      </c>
      <c r="AR110" s="1" t="s">
        <v>1119</v>
      </c>
      <c r="AS110" s="1" t="s">
        <v>4761</v>
      </c>
      <c r="AT110" s="1" t="s">
        <v>328</v>
      </c>
      <c r="AU110" s="1">
        <v>114</v>
      </c>
      <c r="AV110" s="1">
        <v>0</v>
      </c>
      <c r="AW110" s="1" t="s">
        <v>4969</v>
      </c>
      <c r="AX110" s="1" t="s">
        <v>4762</v>
      </c>
      <c r="AY110" s="1">
        <v>5</v>
      </c>
      <c r="AZ110" s="1">
        <v>0</v>
      </c>
      <c r="BA110" s="1" t="s">
        <v>4855</v>
      </c>
      <c r="BB110" s="1" t="s">
        <v>4989</v>
      </c>
      <c r="BC110" s="1" t="s">
        <v>328</v>
      </c>
      <c r="BD110" s="1">
        <v>103</v>
      </c>
      <c r="BE110" s="1"/>
      <c r="BH110">
        <f>COUNTIF(Dropdowns!$I:$AF,C110)</f>
        <v>0</v>
      </c>
    </row>
    <row r="111" spans="1:60" x14ac:dyDescent="0.3">
      <c r="A111" s="1">
        <v>115</v>
      </c>
      <c r="B111" s="1" t="s">
        <v>3108</v>
      </c>
      <c r="C111" s="207" t="s">
        <v>127</v>
      </c>
      <c r="D111" s="1" t="s">
        <v>3109</v>
      </c>
      <c r="E111" s="1"/>
      <c r="F111" s="1"/>
      <c r="G111" s="1" t="s">
        <v>3110</v>
      </c>
      <c r="H111" s="1" t="s">
        <v>3111</v>
      </c>
      <c r="I111" s="1" t="s">
        <v>3112</v>
      </c>
      <c r="J111" s="1">
        <v>2</v>
      </c>
      <c r="K111" s="1">
        <v>5</v>
      </c>
      <c r="L111" s="1">
        <v>8700</v>
      </c>
      <c r="M111" s="1">
        <v>25</v>
      </c>
      <c r="N111" s="1">
        <v>20</v>
      </c>
      <c r="O111" s="1">
        <v>15</v>
      </c>
      <c r="P111" s="1">
        <v>10</v>
      </c>
      <c r="Q111" s="1">
        <v>5</v>
      </c>
      <c r="R111" s="1">
        <v>5</v>
      </c>
      <c r="S111" s="1">
        <v>2</v>
      </c>
      <c r="T111" s="1">
        <v>0</v>
      </c>
      <c r="U111" s="1">
        <v>125</v>
      </c>
      <c r="V111" s="1">
        <v>110</v>
      </c>
      <c r="W111" s="1">
        <v>120</v>
      </c>
      <c r="X111" s="1">
        <v>100</v>
      </c>
      <c r="Y111" s="1">
        <v>130</v>
      </c>
      <c r="Z111" s="1">
        <v>95</v>
      </c>
      <c r="AA111" s="1">
        <v>0</v>
      </c>
      <c r="AB111" s="1">
        <v>15</v>
      </c>
      <c r="AC111" s="1">
        <v>5</v>
      </c>
      <c r="AD111" s="1">
        <v>0</v>
      </c>
      <c r="AE111" s="1">
        <v>105</v>
      </c>
      <c r="AF111" s="1">
        <v>100</v>
      </c>
      <c r="AG111" s="1">
        <v>100204</v>
      </c>
      <c r="AH111" s="1">
        <v>0</v>
      </c>
      <c r="AI111" s="1">
        <v>300102</v>
      </c>
      <c r="AJ111" s="1" t="s">
        <v>4990</v>
      </c>
      <c r="AK111" s="1" t="s">
        <v>328</v>
      </c>
      <c r="AL111" s="1">
        <v>13</v>
      </c>
      <c r="AM111" s="1" t="s">
        <v>4790</v>
      </c>
      <c r="AN111" s="1" t="s">
        <v>388</v>
      </c>
      <c r="AO111" s="1" t="s">
        <v>4991</v>
      </c>
      <c r="AP111" s="1">
        <v>0</v>
      </c>
      <c r="AQ111" s="1" t="s">
        <v>1744</v>
      </c>
      <c r="AR111" s="1" t="s">
        <v>1119</v>
      </c>
      <c r="AS111" s="1" t="s">
        <v>1130</v>
      </c>
      <c r="AT111" s="1" t="s">
        <v>328</v>
      </c>
      <c r="AU111" s="1">
        <v>115</v>
      </c>
      <c r="AV111" s="1">
        <v>0</v>
      </c>
      <c r="AW111" s="1" t="s">
        <v>4969</v>
      </c>
      <c r="AX111" s="1" t="s">
        <v>331</v>
      </c>
      <c r="AY111" s="1">
        <v>5</v>
      </c>
      <c r="AZ111" s="1">
        <v>0</v>
      </c>
      <c r="BA111" s="1" t="s">
        <v>328</v>
      </c>
      <c r="BB111" s="1" t="s">
        <v>4992</v>
      </c>
      <c r="BC111" s="1" t="s">
        <v>328</v>
      </c>
      <c r="BD111" s="1">
        <v>10803</v>
      </c>
      <c r="BE111" s="1"/>
      <c r="BH111">
        <f>COUNTIF(Dropdowns!$I:$AF,C111)</f>
        <v>1</v>
      </c>
    </row>
    <row r="112" spans="1:60" x14ac:dyDescent="0.3">
      <c r="A112" s="1">
        <v>116</v>
      </c>
      <c r="B112" s="1" t="s">
        <v>3113</v>
      </c>
      <c r="C112" s="207" t="s">
        <v>1622</v>
      </c>
      <c r="D112" s="1" t="s">
        <v>1622</v>
      </c>
      <c r="E112" s="1"/>
      <c r="F112" s="1"/>
      <c r="G112" s="1" t="s">
        <v>3114</v>
      </c>
      <c r="H112" s="1" t="s">
        <v>3115</v>
      </c>
      <c r="I112" s="1" t="s">
        <v>3116</v>
      </c>
      <c r="J112" s="1">
        <v>2</v>
      </c>
      <c r="K112" s="1">
        <v>3</v>
      </c>
      <c r="L112" s="1">
        <v>7500</v>
      </c>
      <c r="M112" s="1">
        <v>25</v>
      </c>
      <c r="N112" s="1">
        <v>20</v>
      </c>
      <c r="O112" s="1">
        <v>15</v>
      </c>
      <c r="P112" s="1">
        <v>10</v>
      </c>
      <c r="Q112" s="1">
        <v>5</v>
      </c>
      <c r="R112" s="1">
        <v>5</v>
      </c>
      <c r="S112" s="1">
        <v>2</v>
      </c>
      <c r="T112" s="1">
        <v>0</v>
      </c>
      <c r="U112" s="1">
        <v>95</v>
      </c>
      <c r="V112" s="1">
        <v>100</v>
      </c>
      <c r="W112" s="1">
        <v>95</v>
      </c>
      <c r="X112" s="1">
        <v>100</v>
      </c>
      <c r="Y112" s="1">
        <v>120</v>
      </c>
      <c r="Z112" s="1">
        <v>115</v>
      </c>
      <c r="AA112" s="1">
        <v>0</v>
      </c>
      <c r="AB112" s="1">
        <v>15</v>
      </c>
      <c r="AC112" s="1">
        <v>5</v>
      </c>
      <c r="AD112" s="1">
        <v>0</v>
      </c>
      <c r="AE112" s="1">
        <v>120</v>
      </c>
      <c r="AF112" s="1">
        <v>100</v>
      </c>
      <c r="AG112" s="1">
        <v>102302</v>
      </c>
      <c r="AH112" s="1">
        <v>0</v>
      </c>
      <c r="AI112" s="1">
        <v>300102</v>
      </c>
      <c r="AJ112" s="1" t="s">
        <v>1121</v>
      </c>
      <c r="AK112" s="1" t="s">
        <v>328</v>
      </c>
      <c r="AL112" s="1">
        <v>13</v>
      </c>
      <c r="AM112" s="1" t="s">
        <v>4790</v>
      </c>
      <c r="AN112" s="1" t="s">
        <v>4993</v>
      </c>
      <c r="AO112" s="1" t="s">
        <v>4994</v>
      </c>
      <c r="AP112" s="1">
        <v>0</v>
      </c>
      <c r="AQ112" s="1" t="s">
        <v>1129</v>
      </c>
      <c r="AR112" s="1" t="s">
        <v>1119</v>
      </c>
      <c r="AS112" s="1" t="s">
        <v>1130</v>
      </c>
      <c r="AT112" s="1" t="s">
        <v>328</v>
      </c>
      <c r="AU112" s="1">
        <v>116</v>
      </c>
      <c r="AV112" s="1">
        <v>0</v>
      </c>
      <c r="AW112" s="1" t="s">
        <v>4960</v>
      </c>
      <c r="AX112" s="1" t="s">
        <v>4995</v>
      </c>
      <c r="AY112" s="1">
        <v>3</v>
      </c>
      <c r="AZ112" s="1">
        <v>0</v>
      </c>
      <c r="BA112" s="1" t="s">
        <v>328</v>
      </c>
      <c r="BB112" s="1" t="s">
        <v>4996</v>
      </c>
      <c r="BC112" s="1" t="s">
        <v>328</v>
      </c>
      <c r="BD112" s="1">
        <v>10704</v>
      </c>
      <c r="BE112" s="1"/>
      <c r="BH112">
        <f>COUNTIF(Dropdowns!$I:$AF,C112)</f>
        <v>1</v>
      </c>
    </row>
    <row r="113" spans="1:60" x14ac:dyDescent="0.3">
      <c r="A113" s="1">
        <v>117</v>
      </c>
      <c r="B113" s="1" t="s">
        <v>3117</v>
      </c>
      <c r="C113" s="207" t="s">
        <v>1623</v>
      </c>
      <c r="D113" s="1" t="s">
        <v>1623</v>
      </c>
      <c r="E113" s="1"/>
      <c r="F113" s="1"/>
      <c r="G113" s="1" t="s">
        <v>3118</v>
      </c>
      <c r="H113" s="1" t="s">
        <v>3119</v>
      </c>
      <c r="I113" s="1" t="s">
        <v>3120</v>
      </c>
      <c r="J113" s="1">
        <v>3</v>
      </c>
      <c r="K113" s="1">
        <v>4</v>
      </c>
      <c r="L113" s="1">
        <v>15600</v>
      </c>
      <c r="M113" s="1">
        <v>15</v>
      </c>
      <c r="N113" s="1">
        <v>30</v>
      </c>
      <c r="O113" s="1">
        <v>10</v>
      </c>
      <c r="P113" s="1">
        <v>15</v>
      </c>
      <c r="Q113" s="1">
        <v>5</v>
      </c>
      <c r="R113" s="1">
        <v>2</v>
      </c>
      <c r="S113" s="1">
        <v>5</v>
      </c>
      <c r="T113" s="1">
        <v>0</v>
      </c>
      <c r="U113" s="1">
        <v>105</v>
      </c>
      <c r="V113" s="1">
        <v>120</v>
      </c>
      <c r="W113" s="1">
        <v>120</v>
      </c>
      <c r="X113" s="1">
        <v>100</v>
      </c>
      <c r="Y113" s="1">
        <v>125</v>
      </c>
      <c r="Z113" s="1">
        <v>85</v>
      </c>
      <c r="AA113" s="1">
        <v>0</v>
      </c>
      <c r="AB113" s="1">
        <v>15</v>
      </c>
      <c r="AC113" s="1">
        <v>40</v>
      </c>
      <c r="AD113" s="1">
        <v>0</v>
      </c>
      <c r="AE113" s="1">
        <v>105</v>
      </c>
      <c r="AF113" s="1">
        <v>100</v>
      </c>
      <c r="AG113" s="1">
        <v>102805</v>
      </c>
      <c r="AH113" s="1">
        <v>0</v>
      </c>
      <c r="AI113" s="1">
        <v>300104</v>
      </c>
      <c r="AJ113" s="1" t="s">
        <v>1143</v>
      </c>
      <c r="AK113" s="1" t="s">
        <v>328</v>
      </c>
      <c r="AL113" s="1">
        <v>13</v>
      </c>
      <c r="AM113" s="1" t="s">
        <v>4762</v>
      </c>
      <c r="AN113" s="1" t="s">
        <v>464</v>
      </c>
      <c r="AO113" s="1" t="s">
        <v>4832</v>
      </c>
      <c r="AP113" s="1">
        <v>0</v>
      </c>
      <c r="AQ113" s="1" t="s">
        <v>1140</v>
      </c>
      <c r="AR113" s="1" t="s">
        <v>1141</v>
      </c>
      <c r="AS113" s="1" t="s">
        <v>1142</v>
      </c>
      <c r="AT113" s="1" t="s">
        <v>328</v>
      </c>
      <c r="AU113" s="1">
        <v>117</v>
      </c>
      <c r="AV113" s="1">
        <v>0</v>
      </c>
      <c r="AW113" s="1" t="s">
        <v>4960</v>
      </c>
      <c r="AX113" s="1" t="s">
        <v>4995</v>
      </c>
      <c r="AY113" s="1">
        <v>4</v>
      </c>
      <c r="AZ113" s="1">
        <v>0</v>
      </c>
      <c r="BA113" s="1" t="s">
        <v>328</v>
      </c>
      <c r="BB113" s="1" t="s">
        <v>4759</v>
      </c>
      <c r="BC113" s="1" t="s">
        <v>4769</v>
      </c>
      <c r="BD113" s="1">
        <v>10302</v>
      </c>
      <c r="BE113" s="1"/>
      <c r="BH113">
        <f>COUNTIF(Dropdowns!$I:$AF,C113)</f>
        <v>1</v>
      </c>
    </row>
    <row r="114" spans="1:60" x14ac:dyDescent="0.3">
      <c r="A114" s="1">
        <v>118</v>
      </c>
      <c r="B114" s="1" t="s">
        <v>3121</v>
      </c>
      <c r="C114" s="207" t="s">
        <v>716</v>
      </c>
      <c r="D114" s="1" t="s">
        <v>716</v>
      </c>
      <c r="E114" s="1"/>
      <c r="F114" s="1"/>
      <c r="G114" s="1" t="s">
        <v>3122</v>
      </c>
      <c r="H114" s="1" t="s">
        <v>3123</v>
      </c>
      <c r="I114" s="1" t="s">
        <v>3124</v>
      </c>
      <c r="J114" s="1">
        <v>4</v>
      </c>
      <c r="K114" s="1">
        <v>4</v>
      </c>
      <c r="L114" s="1">
        <v>12900</v>
      </c>
      <c r="M114" s="1">
        <v>20</v>
      </c>
      <c r="N114" s="1">
        <v>20</v>
      </c>
      <c r="O114" s="1">
        <v>10</v>
      </c>
      <c r="P114" s="1">
        <v>10</v>
      </c>
      <c r="Q114" s="1">
        <v>2</v>
      </c>
      <c r="R114" s="1">
        <v>5</v>
      </c>
      <c r="S114" s="1">
        <v>5</v>
      </c>
      <c r="T114" s="1">
        <v>0</v>
      </c>
      <c r="U114" s="1">
        <v>105</v>
      </c>
      <c r="V114" s="1">
        <v>95</v>
      </c>
      <c r="W114" s="1">
        <v>120</v>
      </c>
      <c r="X114" s="1">
        <v>100</v>
      </c>
      <c r="Y114" s="1">
        <v>125</v>
      </c>
      <c r="Z114" s="1">
        <v>130</v>
      </c>
      <c r="AA114" s="1">
        <v>0</v>
      </c>
      <c r="AB114" s="1">
        <v>15</v>
      </c>
      <c r="AC114" s="1">
        <v>20</v>
      </c>
      <c r="AD114" s="1">
        <v>0</v>
      </c>
      <c r="AE114" s="1">
        <v>110</v>
      </c>
      <c r="AF114" s="1">
        <v>100</v>
      </c>
      <c r="AG114" s="1">
        <v>100125</v>
      </c>
      <c r="AH114" s="1">
        <v>0</v>
      </c>
      <c r="AI114" s="1">
        <v>300103</v>
      </c>
      <c r="AJ114" s="1" t="s">
        <v>1185</v>
      </c>
      <c r="AK114" s="1" t="s">
        <v>4997</v>
      </c>
      <c r="AL114" s="1">
        <v>13</v>
      </c>
      <c r="AM114" s="1" t="s">
        <v>4719</v>
      </c>
      <c r="AN114" s="1" t="s">
        <v>4834</v>
      </c>
      <c r="AO114" s="1" t="s">
        <v>4998</v>
      </c>
      <c r="AP114" s="1">
        <v>0</v>
      </c>
      <c r="AQ114" s="1" t="s">
        <v>1745</v>
      </c>
      <c r="AR114" s="1" t="s">
        <v>1154</v>
      </c>
      <c r="AS114" s="1" t="s">
        <v>1744</v>
      </c>
      <c r="AT114" s="1" t="s">
        <v>328</v>
      </c>
      <c r="AU114" s="1">
        <v>118</v>
      </c>
      <c r="AV114" s="1">
        <v>0</v>
      </c>
      <c r="AW114" s="1" t="s">
        <v>4969</v>
      </c>
      <c r="AX114" s="1" t="s">
        <v>4797</v>
      </c>
      <c r="AY114" s="1">
        <v>4</v>
      </c>
      <c r="AZ114" s="1">
        <v>0</v>
      </c>
      <c r="BA114" s="1" t="s">
        <v>328</v>
      </c>
      <c r="BB114" s="1" t="s">
        <v>4999</v>
      </c>
      <c r="BC114" s="1" t="s">
        <v>4757</v>
      </c>
      <c r="BD114" s="1">
        <v>10403</v>
      </c>
      <c r="BE114" s="1"/>
      <c r="BH114">
        <f>COUNTIF(Dropdowns!$I:$AF,C114)</f>
        <v>1</v>
      </c>
    </row>
    <row r="115" spans="1:60" x14ac:dyDescent="0.3">
      <c r="A115" s="1">
        <v>119</v>
      </c>
      <c r="B115" s="1" t="s">
        <v>3125</v>
      </c>
      <c r="C115" s="207" t="s">
        <v>1624</v>
      </c>
      <c r="D115" s="1" t="s">
        <v>1624</v>
      </c>
      <c r="E115" s="1"/>
      <c r="F115" s="1"/>
      <c r="G115" s="1" t="s">
        <v>3126</v>
      </c>
      <c r="H115" s="1" t="s">
        <v>3127</v>
      </c>
      <c r="I115" s="1" t="s">
        <v>3128</v>
      </c>
      <c r="J115" s="1">
        <v>4</v>
      </c>
      <c r="K115" s="1">
        <v>5</v>
      </c>
      <c r="L115" s="1">
        <v>14520</v>
      </c>
      <c r="M115" s="1">
        <v>20</v>
      </c>
      <c r="N115" s="1">
        <v>20</v>
      </c>
      <c r="O115" s="1">
        <v>10</v>
      </c>
      <c r="P115" s="1">
        <v>10</v>
      </c>
      <c r="Q115" s="1">
        <v>2</v>
      </c>
      <c r="R115" s="1">
        <v>5</v>
      </c>
      <c r="S115" s="1">
        <v>5</v>
      </c>
      <c r="T115" s="1">
        <v>0</v>
      </c>
      <c r="U115" s="1">
        <v>100</v>
      </c>
      <c r="V115" s="1">
        <v>105</v>
      </c>
      <c r="W115" s="1">
        <v>110</v>
      </c>
      <c r="X115" s="1">
        <v>100</v>
      </c>
      <c r="Y115" s="1">
        <v>125</v>
      </c>
      <c r="Z115" s="1">
        <v>125</v>
      </c>
      <c r="AA115" s="1">
        <v>0</v>
      </c>
      <c r="AB115" s="1">
        <v>15</v>
      </c>
      <c r="AC115" s="1">
        <v>20</v>
      </c>
      <c r="AD115" s="1">
        <v>0</v>
      </c>
      <c r="AE115" s="1">
        <v>125</v>
      </c>
      <c r="AF115" s="1">
        <v>100</v>
      </c>
      <c r="AG115" s="1">
        <v>100116</v>
      </c>
      <c r="AH115" s="1">
        <v>0</v>
      </c>
      <c r="AI115" s="1">
        <v>300103</v>
      </c>
      <c r="AJ115" s="1" t="s">
        <v>328</v>
      </c>
      <c r="AK115" s="1" t="s">
        <v>328</v>
      </c>
      <c r="AL115" s="1">
        <v>13</v>
      </c>
      <c r="AM115" s="1" t="s">
        <v>4719</v>
      </c>
      <c r="AN115" s="1" t="s">
        <v>4864</v>
      </c>
      <c r="AO115" s="1" t="s">
        <v>5000</v>
      </c>
      <c r="AP115" s="1">
        <v>0</v>
      </c>
      <c r="AQ115" s="1" t="s">
        <v>1130</v>
      </c>
      <c r="AR115" s="1" t="s">
        <v>1154</v>
      </c>
      <c r="AS115" s="1" t="s">
        <v>1129</v>
      </c>
      <c r="AT115" s="1" t="s">
        <v>328</v>
      </c>
      <c r="AU115" s="1">
        <v>119</v>
      </c>
      <c r="AV115" s="1">
        <v>0</v>
      </c>
      <c r="AW115" s="1" t="s">
        <v>4960</v>
      </c>
      <c r="AX115" s="1" t="s">
        <v>1806</v>
      </c>
      <c r="AY115" s="1">
        <v>5</v>
      </c>
      <c r="AZ115" s="1">
        <v>0</v>
      </c>
      <c r="BA115" s="1" t="s">
        <v>328</v>
      </c>
      <c r="BB115" s="1" t="s">
        <v>5001</v>
      </c>
      <c r="BC115" s="1" t="s">
        <v>4757</v>
      </c>
      <c r="BD115" s="1">
        <v>10202</v>
      </c>
      <c r="BE115" s="1"/>
      <c r="BH115">
        <f>COUNTIF(Dropdowns!$I:$AF,C115)</f>
        <v>1</v>
      </c>
    </row>
    <row r="116" spans="1:60" x14ac:dyDescent="0.3">
      <c r="A116" s="1">
        <v>120</v>
      </c>
      <c r="B116" s="1" t="s">
        <v>3129</v>
      </c>
      <c r="C116" s="207" t="s">
        <v>1625</v>
      </c>
      <c r="D116" s="1" t="s">
        <v>1625</v>
      </c>
      <c r="E116" s="1"/>
      <c r="F116" s="1"/>
      <c r="G116" s="1" t="s">
        <v>3130</v>
      </c>
      <c r="H116" s="1" t="s">
        <v>3131</v>
      </c>
      <c r="I116" s="1" t="s">
        <v>3132</v>
      </c>
      <c r="J116" s="1">
        <v>4</v>
      </c>
      <c r="K116" s="1">
        <v>3</v>
      </c>
      <c r="L116" s="1">
        <v>11700</v>
      </c>
      <c r="M116" s="1">
        <v>20</v>
      </c>
      <c r="N116" s="1">
        <v>20</v>
      </c>
      <c r="O116" s="1">
        <v>10</v>
      </c>
      <c r="P116" s="1">
        <v>10</v>
      </c>
      <c r="Q116" s="1">
        <v>2</v>
      </c>
      <c r="R116" s="1">
        <v>5</v>
      </c>
      <c r="S116" s="1">
        <v>5</v>
      </c>
      <c r="T116" s="1">
        <v>0</v>
      </c>
      <c r="U116" s="1">
        <v>90</v>
      </c>
      <c r="V116" s="1">
        <v>110</v>
      </c>
      <c r="W116" s="1">
        <v>110</v>
      </c>
      <c r="X116" s="1">
        <v>100</v>
      </c>
      <c r="Y116" s="1">
        <v>120</v>
      </c>
      <c r="Z116" s="1">
        <v>120</v>
      </c>
      <c r="AA116" s="1">
        <v>0</v>
      </c>
      <c r="AB116" s="1">
        <v>15</v>
      </c>
      <c r="AC116" s="1">
        <v>20</v>
      </c>
      <c r="AD116" s="1">
        <v>0</v>
      </c>
      <c r="AE116" s="1">
        <v>115</v>
      </c>
      <c r="AF116" s="1">
        <v>100</v>
      </c>
      <c r="AG116" s="1">
        <v>102110</v>
      </c>
      <c r="AH116" s="1">
        <v>0</v>
      </c>
      <c r="AI116" s="1">
        <v>300103</v>
      </c>
      <c r="AJ116" s="1" t="s">
        <v>1121</v>
      </c>
      <c r="AK116" s="1" t="s">
        <v>328</v>
      </c>
      <c r="AL116" s="1">
        <v>13</v>
      </c>
      <c r="AM116" s="1" t="s">
        <v>4719</v>
      </c>
      <c r="AN116" s="1" t="s">
        <v>465</v>
      </c>
      <c r="AO116" s="1" t="s">
        <v>5002</v>
      </c>
      <c r="AP116" s="1">
        <v>0</v>
      </c>
      <c r="AQ116" s="1" t="s">
        <v>1130</v>
      </c>
      <c r="AR116" s="1" t="s">
        <v>1154</v>
      </c>
      <c r="AS116" s="1" t="s">
        <v>1129</v>
      </c>
      <c r="AT116" s="1" t="s">
        <v>328</v>
      </c>
      <c r="AU116" s="1">
        <v>120</v>
      </c>
      <c r="AV116" s="1">
        <v>0</v>
      </c>
      <c r="AW116" s="1" t="s">
        <v>4960</v>
      </c>
      <c r="AX116" s="1" t="s">
        <v>4995</v>
      </c>
      <c r="AY116" s="1">
        <v>3</v>
      </c>
      <c r="AZ116" s="1">
        <v>0</v>
      </c>
      <c r="BA116" s="1" t="s">
        <v>328</v>
      </c>
      <c r="BB116" s="1" t="s">
        <v>4915</v>
      </c>
      <c r="BC116" s="1" t="s">
        <v>4739</v>
      </c>
      <c r="BD116" s="1">
        <v>10403</v>
      </c>
      <c r="BE116" s="1"/>
      <c r="BH116">
        <f>COUNTIF(Dropdowns!$I:$AF,C116)</f>
        <v>1</v>
      </c>
    </row>
    <row r="117" spans="1:60" x14ac:dyDescent="0.3">
      <c r="A117" s="1">
        <v>121</v>
      </c>
      <c r="B117" s="1" t="s">
        <v>3133</v>
      </c>
      <c r="C117" s="207" t="s">
        <v>128</v>
      </c>
      <c r="D117" s="1" t="s">
        <v>128</v>
      </c>
      <c r="E117" s="1"/>
      <c r="F117" s="1"/>
      <c r="G117" s="1" t="s">
        <v>3134</v>
      </c>
      <c r="H117" s="1" t="s">
        <v>3135</v>
      </c>
      <c r="I117" s="1" t="s">
        <v>3136</v>
      </c>
      <c r="J117" s="1">
        <v>5</v>
      </c>
      <c r="K117" s="1">
        <v>4</v>
      </c>
      <c r="L117" s="1">
        <v>22800</v>
      </c>
      <c r="M117" s="1">
        <v>40</v>
      </c>
      <c r="N117" s="1">
        <v>30</v>
      </c>
      <c r="O117" s="1">
        <v>25</v>
      </c>
      <c r="P117" s="1">
        <v>15</v>
      </c>
      <c r="Q117" s="1">
        <v>5</v>
      </c>
      <c r="R117" s="1">
        <v>5</v>
      </c>
      <c r="S117" s="1">
        <v>2</v>
      </c>
      <c r="T117" s="1">
        <v>5</v>
      </c>
      <c r="U117" s="1">
        <v>105</v>
      </c>
      <c r="V117" s="1">
        <v>125</v>
      </c>
      <c r="W117" s="1">
        <v>110</v>
      </c>
      <c r="X117" s="1">
        <v>100</v>
      </c>
      <c r="Y117" s="1">
        <v>115</v>
      </c>
      <c r="Z117" s="1">
        <v>120</v>
      </c>
      <c r="AA117" s="1">
        <v>0</v>
      </c>
      <c r="AB117" s="1">
        <v>15</v>
      </c>
      <c r="AC117" s="1">
        <v>5</v>
      </c>
      <c r="AD117" s="1">
        <v>10</v>
      </c>
      <c r="AE117" s="1">
        <v>100</v>
      </c>
      <c r="AF117" s="1">
        <v>100</v>
      </c>
      <c r="AG117" s="1">
        <v>105203</v>
      </c>
      <c r="AH117" s="1">
        <v>0</v>
      </c>
      <c r="AI117" s="1">
        <v>300105</v>
      </c>
      <c r="AJ117" s="1" t="s">
        <v>1166</v>
      </c>
      <c r="AK117" s="1" t="s">
        <v>328</v>
      </c>
      <c r="AL117" s="1">
        <v>19</v>
      </c>
      <c r="AM117" s="1" t="s">
        <v>4858</v>
      </c>
      <c r="AN117" s="1" t="s">
        <v>4928</v>
      </c>
      <c r="AO117" s="1" t="s">
        <v>5003</v>
      </c>
      <c r="AP117" s="1">
        <v>0</v>
      </c>
      <c r="AQ117" s="1" t="s">
        <v>1167</v>
      </c>
      <c r="AR117" s="1" t="s">
        <v>1168</v>
      </c>
      <c r="AS117" s="1" t="s">
        <v>1169</v>
      </c>
      <c r="AT117" s="1" t="s">
        <v>328</v>
      </c>
      <c r="AU117" s="1">
        <v>121</v>
      </c>
      <c r="AV117" s="1">
        <v>0</v>
      </c>
      <c r="AW117" s="1" t="s">
        <v>4969</v>
      </c>
      <c r="AX117" s="1" t="s">
        <v>331</v>
      </c>
      <c r="AY117" s="1">
        <v>4</v>
      </c>
      <c r="AZ117" s="1">
        <v>0</v>
      </c>
      <c r="BA117" s="1" t="s">
        <v>328</v>
      </c>
      <c r="BB117" s="1" t="s">
        <v>5004</v>
      </c>
      <c r="BC117" s="1" t="s">
        <v>4720</v>
      </c>
      <c r="BD117" s="1">
        <v>10402</v>
      </c>
      <c r="BE117" s="1"/>
      <c r="BH117">
        <f>COUNTIF(Dropdowns!$I:$AF,C117)</f>
        <v>1</v>
      </c>
    </row>
    <row r="118" spans="1:60" x14ac:dyDescent="0.3">
      <c r="A118" s="1">
        <v>122</v>
      </c>
      <c r="B118" s="1" t="s">
        <v>3137</v>
      </c>
      <c r="C118" s="207" t="s">
        <v>1186</v>
      </c>
      <c r="D118" s="1" t="s">
        <v>1186</v>
      </c>
      <c r="E118" s="1"/>
      <c r="F118" s="1"/>
      <c r="G118" s="1" t="s">
        <v>3138</v>
      </c>
      <c r="H118" s="1" t="s">
        <v>3139</v>
      </c>
      <c r="I118" s="1" t="s">
        <v>3140</v>
      </c>
      <c r="J118" s="1">
        <v>4</v>
      </c>
      <c r="K118" s="1">
        <v>5</v>
      </c>
      <c r="L118" s="1">
        <v>14640</v>
      </c>
      <c r="M118" s="1">
        <v>20</v>
      </c>
      <c r="N118" s="1">
        <v>20</v>
      </c>
      <c r="O118" s="1">
        <v>10</v>
      </c>
      <c r="P118" s="1">
        <v>10</v>
      </c>
      <c r="Q118" s="1">
        <v>2</v>
      </c>
      <c r="R118" s="1">
        <v>5</v>
      </c>
      <c r="S118" s="1">
        <v>5</v>
      </c>
      <c r="T118" s="1">
        <v>0</v>
      </c>
      <c r="U118" s="1">
        <v>110</v>
      </c>
      <c r="V118" s="1">
        <v>100</v>
      </c>
      <c r="W118" s="1">
        <v>145</v>
      </c>
      <c r="X118" s="1">
        <v>100</v>
      </c>
      <c r="Y118" s="1">
        <v>115</v>
      </c>
      <c r="Z118" s="1">
        <v>105</v>
      </c>
      <c r="AA118" s="1">
        <v>0</v>
      </c>
      <c r="AB118" s="1">
        <v>15</v>
      </c>
      <c r="AC118" s="1">
        <v>20</v>
      </c>
      <c r="AD118" s="1">
        <v>0</v>
      </c>
      <c r="AE118" s="1">
        <v>110</v>
      </c>
      <c r="AF118" s="1">
        <v>100</v>
      </c>
      <c r="AG118" s="1">
        <v>104101</v>
      </c>
      <c r="AH118" s="1">
        <v>0</v>
      </c>
      <c r="AI118" s="1">
        <v>301804</v>
      </c>
      <c r="AJ118" s="1" t="s">
        <v>1187</v>
      </c>
      <c r="AK118" s="1" t="s">
        <v>328</v>
      </c>
      <c r="AL118" s="1">
        <v>13</v>
      </c>
      <c r="AM118" s="1" t="s">
        <v>4719</v>
      </c>
      <c r="AN118" s="1" t="s">
        <v>475</v>
      </c>
      <c r="AO118" s="1" t="s">
        <v>5005</v>
      </c>
      <c r="AP118" s="1">
        <v>0</v>
      </c>
      <c r="AQ118" s="1" t="s">
        <v>1130</v>
      </c>
      <c r="AR118" s="1" t="s">
        <v>1154</v>
      </c>
      <c r="AS118" s="1" t="s">
        <v>1744</v>
      </c>
      <c r="AT118" s="1" t="s">
        <v>328</v>
      </c>
      <c r="AU118" s="1">
        <v>122</v>
      </c>
      <c r="AV118" s="1">
        <v>0</v>
      </c>
      <c r="AW118" s="1" t="s">
        <v>4960</v>
      </c>
      <c r="AX118" s="1" t="s">
        <v>331</v>
      </c>
      <c r="AY118" s="1">
        <v>5</v>
      </c>
      <c r="AZ118" s="1">
        <v>0</v>
      </c>
      <c r="BA118" s="1" t="s">
        <v>4855</v>
      </c>
      <c r="BB118" s="1" t="s">
        <v>5006</v>
      </c>
      <c r="BC118" s="1" t="s">
        <v>4889</v>
      </c>
      <c r="BD118" s="1">
        <v>10104</v>
      </c>
      <c r="BE118" s="1"/>
      <c r="BH118">
        <f>COUNTIF(Dropdowns!$I:$AF,C118)</f>
        <v>1</v>
      </c>
    </row>
    <row r="119" spans="1:60" x14ac:dyDescent="0.3">
      <c r="A119" s="1">
        <v>123</v>
      </c>
      <c r="B119" s="1" t="s">
        <v>3141</v>
      </c>
      <c r="C119" s="207" t="s">
        <v>129</v>
      </c>
      <c r="D119" s="1" t="s">
        <v>129</v>
      </c>
      <c r="E119" s="1"/>
      <c r="F119" s="1"/>
      <c r="G119" s="1" t="s">
        <v>3142</v>
      </c>
      <c r="H119" s="1" t="s">
        <v>3143</v>
      </c>
      <c r="I119" s="1" t="s">
        <v>3144</v>
      </c>
      <c r="J119" s="1">
        <v>1</v>
      </c>
      <c r="K119" s="1">
        <v>3</v>
      </c>
      <c r="L119" s="1">
        <v>2100</v>
      </c>
      <c r="M119" s="1">
        <v>10</v>
      </c>
      <c r="N119" s="1">
        <v>10</v>
      </c>
      <c r="O119" s="1">
        <v>5</v>
      </c>
      <c r="P119" s="1">
        <v>5</v>
      </c>
      <c r="Q119" s="1">
        <v>2</v>
      </c>
      <c r="R119" s="1">
        <v>2</v>
      </c>
      <c r="S119" s="1">
        <v>2</v>
      </c>
      <c r="T119" s="1">
        <v>0</v>
      </c>
      <c r="U119" s="1">
        <v>90</v>
      </c>
      <c r="V119" s="1">
        <v>115</v>
      </c>
      <c r="W119" s="1">
        <v>115</v>
      </c>
      <c r="X119" s="1">
        <v>100</v>
      </c>
      <c r="Y119" s="1">
        <v>120</v>
      </c>
      <c r="Z119" s="1">
        <v>125</v>
      </c>
      <c r="AA119" s="1">
        <v>0</v>
      </c>
      <c r="AB119" s="1">
        <v>15</v>
      </c>
      <c r="AC119" s="1">
        <v>20</v>
      </c>
      <c r="AD119" s="1">
        <v>0</v>
      </c>
      <c r="AE119" s="1">
        <v>110</v>
      </c>
      <c r="AF119" s="1">
        <v>100</v>
      </c>
      <c r="AG119" s="1">
        <v>100602</v>
      </c>
      <c r="AH119" s="1">
        <v>0</v>
      </c>
      <c r="AI119" s="1">
        <v>300101</v>
      </c>
      <c r="AJ119" s="1" t="s">
        <v>1125</v>
      </c>
      <c r="AK119" s="1" t="s">
        <v>328</v>
      </c>
      <c r="AL119" s="1">
        <v>13</v>
      </c>
      <c r="AM119" s="1" t="s">
        <v>1806</v>
      </c>
      <c r="AN119" s="1" t="s">
        <v>4773</v>
      </c>
      <c r="AO119" s="1" t="s">
        <v>5007</v>
      </c>
      <c r="AP119" s="1">
        <v>0</v>
      </c>
      <c r="AQ119" s="1" t="s">
        <v>1118</v>
      </c>
      <c r="AR119" s="1" t="s">
        <v>1119</v>
      </c>
      <c r="AS119" s="1" t="s">
        <v>1120</v>
      </c>
      <c r="AT119" s="1" t="s">
        <v>328</v>
      </c>
      <c r="AU119" s="1">
        <v>123</v>
      </c>
      <c r="AV119" s="1">
        <v>0</v>
      </c>
      <c r="AW119" s="1" t="s">
        <v>4842</v>
      </c>
      <c r="AX119" s="1" t="s">
        <v>4762</v>
      </c>
      <c r="AY119" s="1">
        <v>3</v>
      </c>
      <c r="AZ119" s="1">
        <v>0</v>
      </c>
      <c r="BA119" s="1" t="s">
        <v>328</v>
      </c>
      <c r="BB119" s="1" t="s">
        <v>5008</v>
      </c>
      <c r="BC119" s="1" t="s">
        <v>4769</v>
      </c>
      <c r="BD119" s="1">
        <v>10704</v>
      </c>
      <c r="BE119" s="1"/>
      <c r="BH119">
        <f>COUNTIF(Dropdowns!$I:$AF,C119)</f>
        <v>0</v>
      </c>
    </row>
    <row r="120" spans="1:60" x14ac:dyDescent="0.3">
      <c r="A120" s="1">
        <v>124</v>
      </c>
      <c r="B120" s="1" t="s">
        <v>3145</v>
      </c>
      <c r="C120" s="207" t="s">
        <v>130</v>
      </c>
      <c r="D120" s="1" t="s">
        <v>3146</v>
      </c>
      <c r="E120" s="1"/>
      <c r="F120" s="1"/>
      <c r="G120" s="1" t="s">
        <v>3147</v>
      </c>
      <c r="H120" s="1" t="s">
        <v>3148</v>
      </c>
      <c r="I120" s="1" t="s">
        <v>3149</v>
      </c>
      <c r="J120" s="1">
        <v>3</v>
      </c>
      <c r="K120" s="1">
        <v>3</v>
      </c>
      <c r="L120" s="1">
        <v>14400</v>
      </c>
      <c r="M120" s="1">
        <v>15</v>
      </c>
      <c r="N120" s="1">
        <v>30</v>
      </c>
      <c r="O120" s="1">
        <v>10</v>
      </c>
      <c r="P120" s="1">
        <v>15</v>
      </c>
      <c r="Q120" s="1">
        <v>5</v>
      </c>
      <c r="R120" s="1">
        <v>2</v>
      </c>
      <c r="S120" s="1">
        <v>5</v>
      </c>
      <c r="T120" s="1">
        <v>0</v>
      </c>
      <c r="U120" s="1">
        <v>100</v>
      </c>
      <c r="V120" s="1">
        <v>115</v>
      </c>
      <c r="W120" s="1">
        <v>120</v>
      </c>
      <c r="X120" s="1">
        <v>100</v>
      </c>
      <c r="Y120" s="1">
        <v>110</v>
      </c>
      <c r="Z120" s="1">
        <v>90</v>
      </c>
      <c r="AA120" s="1">
        <v>0</v>
      </c>
      <c r="AB120" s="1">
        <v>15</v>
      </c>
      <c r="AC120" s="1">
        <v>40</v>
      </c>
      <c r="AD120" s="1">
        <v>0</v>
      </c>
      <c r="AE120" s="1">
        <v>105</v>
      </c>
      <c r="AF120" s="1">
        <v>100</v>
      </c>
      <c r="AG120" s="1">
        <v>102603</v>
      </c>
      <c r="AH120" s="1">
        <v>0</v>
      </c>
      <c r="AI120" s="1">
        <v>300104</v>
      </c>
      <c r="AJ120" s="1" t="s">
        <v>1188</v>
      </c>
      <c r="AK120" s="1" t="s">
        <v>328</v>
      </c>
      <c r="AL120" s="1">
        <v>13</v>
      </c>
      <c r="AM120" s="1" t="s">
        <v>4762</v>
      </c>
      <c r="AN120" s="1" t="s">
        <v>4831</v>
      </c>
      <c r="AO120" s="1" t="s">
        <v>4826</v>
      </c>
      <c r="AP120" s="1">
        <v>0</v>
      </c>
      <c r="AQ120" s="1" t="s">
        <v>1140</v>
      </c>
      <c r="AR120" s="1" t="s">
        <v>4835</v>
      </c>
      <c r="AS120" s="1" t="s">
        <v>1142</v>
      </c>
      <c r="AT120" s="1" t="s">
        <v>328</v>
      </c>
      <c r="AU120" s="1">
        <v>124</v>
      </c>
      <c r="AV120" s="1">
        <v>0</v>
      </c>
      <c r="AW120" s="1" t="s">
        <v>5009</v>
      </c>
      <c r="AX120" s="1" t="s">
        <v>4849</v>
      </c>
      <c r="AY120" s="1">
        <v>3</v>
      </c>
      <c r="AZ120" s="1">
        <v>0</v>
      </c>
      <c r="BA120" s="1" t="s">
        <v>4765</v>
      </c>
      <c r="BB120" s="1" t="s">
        <v>5010</v>
      </c>
      <c r="BC120" s="1" t="s">
        <v>4720</v>
      </c>
      <c r="BD120" s="1">
        <v>10202</v>
      </c>
      <c r="BE120" s="1"/>
      <c r="BH120">
        <f>COUNTIF(Dropdowns!$I:$AF,C120)</f>
        <v>1</v>
      </c>
    </row>
    <row r="121" spans="1:60" x14ac:dyDescent="0.3">
      <c r="A121" s="1">
        <v>125</v>
      </c>
      <c r="B121" s="1" t="s">
        <v>3150</v>
      </c>
      <c r="C121" s="207" t="s">
        <v>299</v>
      </c>
      <c r="D121" s="1" t="s">
        <v>299</v>
      </c>
      <c r="E121" s="1"/>
      <c r="F121" s="1"/>
      <c r="G121" s="1" t="s">
        <v>3151</v>
      </c>
      <c r="H121" s="1" t="s">
        <v>3152</v>
      </c>
      <c r="I121" s="1" t="s">
        <v>3153</v>
      </c>
      <c r="J121" s="1">
        <v>5</v>
      </c>
      <c r="K121" s="1">
        <v>5</v>
      </c>
      <c r="L121" s="1">
        <v>24000</v>
      </c>
      <c r="M121" s="1">
        <v>40</v>
      </c>
      <c r="N121" s="1">
        <v>30</v>
      </c>
      <c r="O121" s="1">
        <v>25</v>
      </c>
      <c r="P121" s="1">
        <v>15</v>
      </c>
      <c r="Q121" s="1">
        <v>5</v>
      </c>
      <c r="R121" s="1">
        <v>5</v>
      </c>
      <c r="S121" s="1">
        <v>2</v>
      </c>
      <c r="T121" s="1">
        <v>5</v>
      </c>
      <c r="U121" s="1">
        <v>110</v>
      </c>
      <c r="V121" s="1">
        <v>95</v>
      </c>
      <c r="W121" s="1">
        <v>125</v>
      </c>
      <c r="X121" s="1">
        <v>100</v>
      </c>
      <c r="Y121" s="1">
        <v>120</v>
      </c>
      <c r="Z121" s="1">
        <v>120</v>
      </c>
      <c r="AA121" s="1">
        <v>0</v>
      </c>
      <c r="AB121" s="1">
        <v>15</v>
      </c>
      <c r="AC121" s="1">
        <v>5</v>
      </c>
      <c r="AD121" s="1">
        <v>9</v>
      </c>
      <c r="AE121" s="1">
        <v>135</v>
      </c>
      <c r="AF121" s="1">
        <v>100</v>
      </c>
      <c r="AG121" s="1">
        <v>105105</v>
      </c>
      <c r="AH121" s="1">
        <v>0</v>
      </c>
      <c r="AI121" s="1">
        <v>300105</v>
      </c>
      <c r="AJ121" s="1" t="s">
        <v>1189</v>
      </c>
      <c r="AK121" s="1" t="s">
        <v>328</v>
      </c>
      <c r="AL121" s="1">
        <v>18</v>
      </c>
      <c r="AM121" s="1" t="s">
        <v>4858</v>
      </c>
      <c r="AN121" s="1" t="s">
        <v>4931</v>
      </c>
      <c r="AO121" s="1" t="s">
        <v>5011</v>
      </c>
      <c r="AP121" s="1">
        <v>0</v>
      </c>
      <c r="AQ121" s="1" t="s">
        <v>5012</v>
      </c>
      <c r="AR121" s="1" t="s">
        <v>4911</v>
      </c>
      <c r="AS121" s="1" t="s">
        <v>1169</v>
      </c>
      <c r="AT121" s="1" t="s">
        <v>328</v>
      </c>
      <c r="AU121" s="1">
        <v>125</v>
      </c>
      <c r="AV121" s="1">
        <v>0</v>
      </c>
      <c r="AW121" s="1" t="s">
        <v>4842</v>
      </c>
      <c r="AX121" s="1" t="s">
        <v>331</v>
      </c>
      <c r="AY121" s="1">
        <v>5</v>
      </c>
      <c r="AZ121" s="1">
        <v>0</v>
      </c>
      <c r="BA121" s="1" t="s">
        <v>4855</v>
      </c>
      <c r="BB121" s="1" t="s">
        <v>328</v>
      </c>
      <c r="BC121" s="1" t="s">
        <v>4769</v>
      </c>
      <c r="BD121" s="1">
        <v>10402</v>
      </c>
      <c r="BE121" s="1"/>
      <c r="BH121">
        <f>COUNTIF(Dropdowns!$I:$AF,C121)</f>
        <v>2</v>
      </c>
    </row>
    <row r="122" spans="1:60" x14ac:dyDescent="0.3">
      <c r="A122" s="1">
        <v>126</v>
      </c>
      <c r="B122" s="1" t="s">
        <v>3154</v>
      </c>
      <c r="C122" s="207" t="s">
        <v>131</v>
      </c>
      <c r="D122" s="1" t="s">
        <v>131</v>
      </c>
      <c r="E122" s="1"/>
      <c r="F122" s="1"/>
      <c r="G122" s="1" t="s">
        <v>3155</v>
      </c>
      <c r="H122" s="1" t="s">
        <v>3156</v>
      </c>
      <c r="I122" s="1" t="s">
        <v>3157</v>
      </c>
      <c r="J122" s="1">
        <v>1</v>
      </c>
      <c r="K122" s="1">
        <v>5</v>
      </c>
      <c r="L122" s="1">
        <v>3900</v>
      </c>
      <c r="M122" s="1">
        <v>10</v>
      </c>
      <c r="N122" s="1">
        <v>10</v>
      </c>
      <c r="O122" s="1">
        <v>5</v>
      </c>
      <c r="P122" s="1">
        <v>5</v>
      </c>
      <c r="Q122" s="1">
        <v>2</v>
      </c>
      <c r="R122" s="1">
        <v>2</v>
      </c>
      <c r="S122" s="1">
        <v>2</v>
      </c>
      <c r="T122" s="1">
        <v>0</v>
      </c>
      <c r="U122" s="1">
        <v>110</v>
      </c>
      <c r="V122" s="1">
        <v>115</v>
      </c>
      <c r="W122" s="1">
        <v>115</v>
      </c>
      <c r="X122" s="1">
        <v>100</v>
      </c>
      <c r="Y122" s="1">
        <v>120</v>
      </c>
      <c r="Z122" s="1">
        <v>95</v>
      </c>
      <c r="AA122" s="1">
        <v>0</v>
      </c>
      <c r="AB122" s="1">
        <v>15</v>
      </c>
      <c r="AC122" s="1">
        <v>20</v>
      </c>
      <c r="AD122" s="1">
        <v>0</v>
      </c>
      <c r="AE122" s="1">
        <v>125</v>
      </c>
      <c r="AF122" s="1">
        <v>100</v>
      </c>
      <c r="AG122" s="1">
        <v>101604</v>
      </c>
      <c r="AH122" s="1">
        <v>0</v>
      </c>
      <c r="AI122" s="1">
        <v>300101</v>
      </c>
      <c r="AJ122" s="1" t="s">
        <v>328</v>
      </c>
      <c r="AK122" s="1" t="s">
        <v>328</v>
      </c>
      <c r="AL122" s="1">
        <v>13</v>
      </c>
      <c r="AM122" s="1" t="s">
        <v>1806</v>
      </c>
      <c r="AN122" s="1" t="s">
        <v>5013</v>
      </c>
      <c r="AO122" s="1" t="s">
        <v>5014</v>
      </c>
      <c r="AP122" s="1">
        <v>0</v>
      </c>
      <c r="AQ122" s="1" t="s">
        <v>4742</v>
      </c>
      <c r="AR122" s="1" t="s">
        <v>1119</v>
      </c>
      <c r="AS122" s="1" t="s">
        <v>1120</v>
      </c>
      <c r="AT122" s="1" t="s">
        <v>328</v>
      </c>
      <c r="AU122" s="1">
        <v>126</v>
      </c>
      <c r="AV122" s="1">
        <v>0</v>
      </c>
      <c r="AW122" s="1" t="s">
        <v>5015</v>
      </c>
      <c r="AX122" s="1" t="s">
        <v>4762</v>
      </c>
      <c r="AY122" s="1">
        <v>5</v>
      </c>
      <c r="AZ122" s="1">
        <v>0</v>
      </c>
      <c r="BA122" s="1" t="s">
        <v>328</v>
      </c>
      <c r="BB122" s="1" t="s">
        <v>5016</v>
      </c>
      <c r="BC122" s="1" t="s">
        <v>4783</v>
      </c>
      <c r="BD122" s="1">
        <v>10402</v>
      </c>
      <c r="BE122" s="1"/>
      <c r="BH122">
        <f>COUNTIF(Dropdowns!$I:$AF,C122)</f>
        <v>0</v>
      </c>
    </row>
    <row r="123" spans="1:60" x14ac:dyDescent="0.3">
      <c r="A123" s="1">
        <v>127</v>
      </c>
      <c r="B123" s="1" t="s">
        <v>3158</v>
      </c>
      <c r="C123" s="207" t="s">
        <v>8741</v>
      </c>
      <c r="D123" s="1" t="s">
        <v>3159</v>
      </c>
      <c r="E123" s="1"/>
      <c r="F123" s="1"/>
      <c r="G123" s="1" t="s">
        <v>3160</v>
      </c>
      <c r="H123" s="1" t="s">
        <v>3161</v>
      </c>
      <c r="I123" s="1" t="s">
        <v>3162</v>
      </c>
      <c r="J123" s="1">
        <v>2</v>
      </c>
      <c r="K123" s="1">
        <v>5</v>
      </c>
      <c r="L123" s="1">
        <v>9300</v>
      </c>
      <c r="M123" s="1">
        <v>25</v>
      </c>
      <c r="N123" s="1">
        <v>20</v>
      </c>
      <c r="O123" s="1">
        <v>15</v>
      </c>
      <c r="P123" s="1">
        <v>10</v>
      </c>
      <c r="Q123" s="1">
        <v>5</v>
      </c>
      <c r="R123" s="1">
        <v>5</v>
      </c>
      <c r="S123" s="1">
        <v>2</v>
      </c>
      <c r="T123" s="1">
        <v>0</v>
      </c>
      <c r="U123" s="1">
        <v>110</v>
      </c>
      <c r="V123" s="1">
        <v>130</v>
      </c>
      <c r="W123" s="1">
        <v>115</v>
      </c>
      <c r="X123" s="1">
        <v>100</v>
      </c>
      <c r="Y123" s="1">
        <v>110</v>
      </c>
      <c r="Z123" s="1">
        <v>125</v>
      </c>
      <c r="AA123" s="1">
        <v>0</v>
      </c>
      <c r="AB123" s="1">
        <v>15</v>
      </c>
      <c r="AC123" s="1">
        <v>5</v>
      </c>
      <c r="AD123" s="1">
        <v>0</v>
      </c>
      <c r="AE123" s="1">
        <v>100</v>
      </c>
      <c r="AF123" s="1">
        <v>100</v>
      </c>
      <c r="AG123" s="1">
        <v>102204</v>
      </c>
      <c r="AH123" s="1">
        <v>0</v>
      </c>
      <c r="AI123" s="1">
        <v>300102</v>
      </c>
      <c r="AJ123" s="1" t="s">
        <v>1190</v>
      </c>
      <c r="AK123" s="1" t="s">
        <v>328</v>
      </c>
      <c r="AL123" s="1">
        <v>13</v>
      </c>
      <c r="AM123" s="1" t="s">
        <v>4790</v>
      </c>
      <c r="AN123" s="1" t="s">
        <v>388</v>
      </c>
      <c r="AO123" s="1" t="s">
        <v>4940</v>
      </c>
      <c r="AP123" s="1">
        <v>0</v>
      </c>
      <c r="AQ123" s="1" t="s">
        <v>1129</v>
      </c>
      <c r="AR123" s="1" t="s">
        <v>1743</v>
      </c>
      <c r="AS123" s="1" t="s">
        <v>1130</v>
      </c>
      <c r="AT123" s="1" t="s">
        <v>328</v>
      </c>
      <c r="AU123" s="1">
        <v>127</v>
      </c>
      <c r="AV123" s="1">
        <v>0</v>
      </c>
      <c r="AW123" s="1" t="s">
        <v>5015</v>
      </c>
      <c r="AX123" s="1" t="s">
        <v>331</v>
      </c>
      <c r="AY123" s="1">
        <v>5</v>
      </c>
      <c r="AZ123" s="1">
        <v>0</v>
      </c>
      <c r="BA123" s="1" t="s">
        <v>328</v>
      </c>
      <c r="BB123" s="1" t="s">
        <v>4952</v>
      </c>
      <c r="BC123" s="1" t="s">
        <v>4783</v>
      </c>
      <c r="BD123" s="1">
        <v>10203</v>
      </c>
      <c r="BE123" s="1"/>
      <c r="BH123">
        <f>COUNTIF(Dropdowns!$I:$AF,C123)</f>
        <v>1</v>
      </c>
    </row>
    <row r="124" spans="1:60" x14ac:dyDescent="0.3">
      <c r="A124" s="1">
        <v>128</v>
      </c>
      <c r="B124" s="1" t="s">
        <v>3163</v>
      </c>
      <c r="C124" s="207" t="s">
        <v>132</v>
      </c>
      <c r="D124" s="1" t="s">
        <v>132</v>
      </c>
      <c r="E124" s="1"/>
      <c r="F124" s="1"/>
      <c r="G124" s="1" t="s">
        <v>3164</v>
      </c>
      <c r="H124" s="1" t="s">
        <v>3165</v>
      </c>
      <c r="I124" s="1" t="s">
        <v>3166</v>
      </c>
      <c r="J124" s="1">
        <v>3</v>
      </c>
      <c r="K124" s="1">
        <v>5</v>
      </c>
      <c r="L124" s="1">
        <v>17700</v>
      </c>
      <c r="M124" s="1">
        <v>15</v>
      </c>
      <c r="N124" s="1">
        <v>30</v>
      </c>
      <c r="O124" s="1">
        <v>10</v>
      </c>
      <c r="P124" s="1">
        <v>15</v>
      </c>
      <c r="Q124" s="1">
        <v>5</v>
      </c>
      <c r="R124" s="1">
        <v>2</v>
      </c>
      <c r="S124" s="1">
        <v>5</v>
      </c>
      <c r="T124" s="1">
        <v>0</v>
      </c>
      <c r="U124" s="1">
        <v>100</v>
      </c>
      <c r="V124" s="1">
        <v>135</v>
      </c>
      <c r="W124" s="1">
        <v>90</v>
      </c>
      <c r="X124" s="1">
        <v>100</v>
      </c>
      <c r="Y124" s="1">
        <v>110</v>
      </c>
      <c r="Z124" s="1">
        <v>85</v>
      </c>
      <c r="AA124" s="1">
        <v>0</v>
      </c>
      <c r="AB124" s="1">
        <v>15</v>
      </c>
      <c r="AC124" s="1">
        <v>40</v>
      </c>
      <c r="AD124" s="1">
        <v>0</v>
      </c>
      <c r="AE124" s="1">
        <v>135</v>
      </c>
      <c r="AF124" s="1">
        <v>100</v>
      </c>
      <c r="AG124" s="1">
        <v>102808</v>
      </c>
      <c r="AH124" s="1">
        <v>0</v>
      </c>
      <c r="AI124" s="1">
        <v>300104</v>
      </c>
      <c r="AJ124" s="1" t="s">
        <v>1146</v>
      </c>
      <c r="AK124" s="1" t="s">
        <v>328</v>
      </c>
      <c r="AL124" s="1">
        <v>13</v>
      </c>
      <c r="AM124" s="1" t="s">
        <v>4762</v>
      </c>
      <c r="AN124" s="1" t="s">
        <v>475</v>
      </c>
      <c r="AO124" s="1" t="s">
        <v>4845</v>
      </c>
      <c r="AP124" s="1">
        <v>0</v>
      </c>
      <c r="AQ124" s="1" t="s">
        <v>1140</v>
      </c>
      <c r="AR124" s="1" t="s">
        <v>1141</v>
      </c>
      <c r="AS124" s="1" t="s">
        <v>1142</v>
      </c>
      <c r="AT124" s="1" t="s">
        <v>328</v>
      </c>
      <c r="AU124" s="1">
        <v>128</v>
      </c>
      <c r="AV124" s="1">
        <v>0</v>
      </c>
      <c r="AW124" s="1" t="s">
        <v>5015</v>
      </c>
      <c r="AX124" s="1" t="s">
        <v>5017</v>
      </c>
      <c r="AY124" s="1">
        <v>5</v>
      </c>
      <c r="AZ124" s="1">
        <v>0</v>
      </c>
      <c r="BA124" s="1" t="s">
        <v>328</v>
      </c>
      <c r="BB124" s="1" t="s">
        <v>5018</v>
      </c>
      <c r="BC124" s="1" t="s">
        <v>4783</v>
      </c>
      <c r="BD124" s="1">
        <v>10203</v>
      </c>
      <c r="BE124" s="1"/>
      <c r="BH124">
        <f>COUNTIF(Dropdowns!$I:$AF,C124)</f>
        <v>1</v>
      </c>
    </row>
    <row r="125" spans="1:60" x14ac:dyDescent="0.3">
      <c r="A125" s="1">
        <v>129</v>
      </c>
      <c r="B125" s="1" t="s">
        <v>3167</v>
      </c>
      <c r="C125" s="207" t="s">
        <v>133</v>
      </c>
      <c r="D125" s="1" t="s">
        <v>3168</v>
      </c>
      <c r="E125" s="1"/>
      <c r="F125" s="1"/>
      <c r="G125" s="1" t="s">
        <v>3169</v>
      </c>
      <c r="H125" s="1" t="s">
        <v>3170</v>
      </c>
      <c r="I125" s="1" t="s">
        <v>3171</v>
      </c>
      <c r="J125" s="1">
        <v>4</v>
      </c>
      <c r="K125" s="1">
        <v>5</v>
      </c>
      <c r="L125" s="1">
        <v>13800</v>
      </c>
      <c r="M125" s="1">
        <v>20</v>
      </c>
      <c r="N125" s="1">
        <v>20</v>
      </c>
      <c r="O125" s="1">
        <v>10</v>
      </c>
      <c r="P125" s="1">
        <v>10</v>
      </c>
      <c r="Q125" s="1">
        <v>2</v>
      </c>
      <c r="R125" s="1">
        <v>5</v>
      </c>
      <c r="S125" s="1">
        <v>5</v>
      </c>
      <c r="T125" s="1">
        <v>0</v>
      </c>
      <c r="U125" s="1">
        <v>105</v>
      </c>
      <c r="V125" s="1">
        <v>120</v>
      </c>
      <c r="W125" s="1">
        <v>105</v>
      </c>
      <c r="X125" s="1">
        <v>100</v>
      </c>
      <c r="Y125" s="1">
        <v>125</v>
      </c>
      <c r="Z125" s="1">
        <v>110</v>
      </c>
      <c r="AA125" s="1">
        <v>0</v>
      </c>
      <c r="AB125" s="1">
        <v>15</v>
      </c>
      <c r="AC125" s="1">
        <v>20</v>
      </c>
      <c r="AD125" s="1">
        <v>0</v>
      </c>
      <c r="AE125" s="1">
        <v>120</v>
      </c>
      <c r="AF125" s="1">
        <v>100</v>
      </c>
      <c r="AG125" s="1">
        <v>100118</v>
      </c>
      <c r="AH125" s="1">
        <v>0</v>
      </c>
      <c r="AI125" s="1">
        <v>300103</v>
      </c>
      <c r="AJ125" s="1" t="s">
        <v>1191</v>
      </c>
      <c r="AK125" s="1" t="s">
        <v>328</v>
      </c>
      <c r="AL125" s="1">
        <v>13</v>
      </c>
      <c r="AM125" s="1" t="s">
        <v>4719</v>
      </c>
      <c r="AN125" s="1" t="s">
        <v>465</v>
      </c>
      <c r="AO125" s="1" t="s">
        <v>5019</v>
      </c>
      <c r="AP125" s="1">
        <v>0</v>
      </c>
      <c r="AQ125" s="1" t="s">
        <v>1745</v>
      </c>
      <c r="AR125" s="1" t="s">
        <v>1154</v>
      </c>
      <c r="AS125" s="1" t="s">
        <v>1129</v>
      </c>
      <c r="AT125" s="1" t="s">
        <v>328</v>
      </c>
      <c r="AU125" s="1">
        <v>129</v>
      </c>
      <c r="AV125" s="1">
        <v>0</v>
      </c>
      <c r="AW125" s="1" t="s">
        <v>5015</v>
      </c>
      <c r="AX125" s="1" t="s">
        <v>331</v>
      </c>
      <c r="AY125" s="1">
        <v>5</v>
      </c>
      <c r="AZ125" s="1">
        <v>0</v>
      </c>
      <c r="BA125" s="1" t="s">
        <v>328</v>
      </c>
      <c r="BB125" s="1" t="s">
        <v>5020</v>
      </c>
      <c r="BC125" s="1" t="s">
        <v>4783</v>
      </c>
      <c r="BD125" s="1">
        <v>10203</v>
      </c>
      <c r="BE125" s="1"/>
      <c r="BH125">
        <f>COUNTIF(Dropdowns!$I:$AF,C125)</f>
        <v>1</v>
      </c>
    </row>
    <row r="126" spans="1:60" x14ac:dyDescent="0.3">
      <c r="A126" s="1">
        <v>130</v>
      </c>
      <c r="B126" s="1" t="s">
        <v>3172</v>
      </c>
      <c r="C126" s="207" t="s">
        <v>134</v>
      </c>
      <c r="D126" s="1" t="s">
        <v>3173</v>
      </c>
      <c r="E126" s="1"/>
      <c r="F126" s="1"/>
      <c r="G126" s="1" t="s">
        <v>3174</v>
      </c>
      <c r="H126" s="1" t="s">
        <v>3175</v>
      </c>
      <c r="I126" s="1" t="s">
        <v>3176</v>
      </c>
      <c r="J126" s="1">
        <v>4</v>
      </c>
      <c r="K126" s="1">
        <v>5</v>
      </c>
      <c r="L126" s="1">
        <v>13800</v>
      </c>
      <c r="M126" s="1">
        <v>20</v>
      </c>
      <c r="N126" s="1">
        <v>20</v>
      </c>
      <c r="O126" s="1">
        <v>10</v>
      </c>
      <c r="P126" s="1">
        <v>10</v>
      </c>
      <c r="Q126" s="1">
        <v>2</v>
      </c>
      <c r="R126" s="1">
        <v>5</v>
      </c>
      <c r="S126" s="1">
        <v>5</v>
      </c>
      <c r="T126" s="1">
        <v>0</v>
      </c>
      <c r="U126" s="1">
        <v>105</v>
      </c>
      <c r="V126" s="1">
        <v>115</v>
      </c>
      <c r="W126" s="1">
        <v>105</v>
      </c>
      <c r="X126" s="1">
        <v>100</v>
      </c>
      <c r="Y126" s="1">
        <v>120</v>
      </c>
      <c r="Z126" s="1">
        <v>105</v>
      </c>
      <c r="AA126" s="1">
        <v>0</v>
      </c>
      <c r="AB126" s="1">
        <v>15</v>
      </c>
      <c r="AC126" s="1">
        <v>20</v>
      </c>
      <c r="AD126" s="1">
        <v>0</v>
      </c>
      <c r="AE126" s="1">
        <v>125</v>
      </c>
      <c r="AF126" s="1">
        <v>100</v>
      </c>
      <c r="AG126" s="1">
        <v>100408</v>
      </c>
      <c r="AH126" s="1">
        <v>0</v>
      </c>
      <c r="AI126" s="1">
        <v>300103</v>
      </c>
      <c r="AJ126" s="1" t="s">
        <v>1191</v>
      </c>
      <c r="AK126" s="1" t="s">
        <v>328</v>
      </c>
      <c r="AL126" s="1">
        <v>13</v>
      </c>
      <c r="AM126" s="1" t="s">
        <v>4719</v>
      </c>
      <c r="AN126" s="1" t="s">
        <v>4831</v>
      </c>
      <c r="AO126" s="1" t="s">
        <v>5021</v>
      </c>
      <c r="AP126" s="1">
        <v>0</v>
      </c>
      <c r="AQ126" s="1" t="s">
        <v>1745</v>
      </c>
      <c r="AR126" s="1" t="s">
        <v>1154</v>
      </c>
      <c r="AS126" s="1" t="s">
        <v>1129</v>
      </c>
      <c r="AT126" s="1" t="s">
        <v>328</v>
      </c>
      <c r="AU126" s="1">
        <v>130</v>
      </c>
      <c r="AV126" s="1">
        <v>0</v>
      </c>
      <c r="AW126" s="1" t="s">
        <v>5015</v>
      </c>
      <c r="AX126" s="1" t="s">
        <v>331</v>
      </c>
      <c r="AY126" s="1">
        <v>5</v>
      </c>
      <c r="AZ126" s="1">
        <v>0</v>
      </c>
      <c r="BA126" s="1" t="s">
        <v>328</v>
      </c>
      <c r="BB126" s="1" t="s">
        <v>5022</v>
      </c>
      <c r="BC126" s="1" t="s">
        <v>4783</v>
      </c>
      <c r="BD126" s="1">
        <v>10203</v>
      </c>
      <c r="BE126" s="1"/>
      <c r="BH126">
        <f>COUNTIF(Dropdowns!$I:$AF,C126)</f>
        <v>1</v>
      </c>
    </row>
    <row r="127" spans="1:60" x14ac:dyDescent="0.3">
      <c r="A127" s="1">
        <v>131</v>
      </c>
      <c r="B127" s="1" t="s">
        <v>3177</v>
      </c>
      <c r="C127" s="207" t="s">
        <v>135</v>
      </c>
      <c r="D127" s="1" t="s">
        <v>3178</v>
      </c>
      <c r="E127" s="1"/>
      <c r="F127" s="1"/>
      <c r="G127" s="1" t="s">
        <v>3179</v>
      </c>
      <c r="H127" s="1" t="s">
        <v>3180</v>
      </c>
      <c r="I127" s="1" t="s">
        <v>3181</v>
      </c>
      <c r="J127" s="1">
        <v>2</v>
      </c>
      <c r="K127" s="1">
        <v>3</v>
      </c>
      <c r="L127" s="1">
        <v>6600</v>
      </c>
      <c r="M127" s="1">
        <v>25</v>
      </c>
      <c r="N127" s="1">
        <v>20</v>
      </c>
      <c r="O127" s="1">
        <v>15</v>
      </c>
      <c r="P127" s="1">
        <v>10</v>
      </c>
      <c r="Q127" s="1">
        <v>5</v>
      </c>
      <c r="R127" s="1">
        <v>5</v>
      </c>
      <c r="S127" s="1">
        <v>2</v>
      </c>
      <c r="T127" s="1">
        <v>0</v>
      </c>
      <c r="U127" s="1">
        <v>110</v>
      </c>
      <c r="V127" s="1">
        <v>90</v>
      </c>
      <c r="W127" s="1">
        <v>120</v>
      </c>
      <c r="X127" s="1">
        <v>100</v>
      </c>
      <c r="Y127" s="1">
        <v>115</v>
      </c>
      <c r="Z127" s="1">
        <v>115</v>
      </c>
      <c r="AA127" s="1">
        <v>0</v>
      </c>
      <c r="AB127" s="1">
        <v>15</v>
      </c>
      <c r="AC127" s="1">
        <v>5</v>
      </c>
      <c r="AD127" s="1">
        <v>0</v>
      </c>
      <c r="AE127" s="1">
        <v>105</v>
      </c>
      <c r="AF127" s="1">
        <v>100</v>
      </c>
      <c r="AG127" s="1">
        <v>102102</v>
      </c>
      <c r="AH127" s="1">
        <v>0</v>
      </c>
      <c r="AI127" s="1">
        <v>300102</v>
      </c>
      <c r="AJ127" s="1" t="s">
        <v>1121</v>
      </c>
      <c r="AK127" s="1" t="s">
        <v>328</v>
      </c>
      <c r="AL127" s="1">
        <v>13</v>
      </c>
      <c r="AM127" s="1" t="s">
        <v>4790</v>
      </c>
      <c r="AN127" s="1" t="s">
        <v>4793</v>
      </c>
      <c r="AO127" s="1" t="s">
        <v>5023</v>
      </c>
      <c r="AP127" s="1">
        <v>0</v>
      </c>
      <c r="AQ127" s="1" t="s">
        <v>1129</v>
      </c>
      <c r="AR127" s="1" t="s">
        <v>1119</v>
      </c>
      <c r="AS127" s="1" t="s">
        <v>1130</v>
      </c>
      <c r="AT127" s="1" t="s">
        <v>328</v>
      </c>
      <c r="AU127" s="1">
        <v>131</v>
      </c>
      <c r="AV127" s="1">
        <v>0</v>
      </c>
      <c r="AW127" s="1" t="s">
        <v>5024</v>
      </c>
      <c r="AX127" s="1" t="s">
        <v>4849</v>
      </c>
      <c r="AY127" s="1">
        <v>3</v>
      </c>
      <c r="AZ127" s="1">
        <v>0</v>
      </c>
      <c r="BA127" s="1" t="s">
        <v>328</v>
      </c>
      <c r="BB127" s="1" t="s">
        <v>328</v>
      </c>
      <c r="BC127" s="1" t="s">
        <v>328</v>
      </c>
      <c r="BD127" s="1">
        <v>10303</v>
      </c>
      <c r="BE127" s="1"/>
      <c r="BH127">
        <f>COUNTIF(Dropdowns!$I:$AF,C127)</f>
        <v>1</v>
      </c>
    </row>
    <row r="128" spans="1:60" x14ac:dyDescent="0.3">
      <c r="A128" s="1">
        <v>132</v>
      </c>
      <c r="B128" s="1" t="s">
        <v>3182</v>
      </c>
      <c r="C128" s="207" t="s">
        <v>224</v>
      </c>
      <c r="D128" s="1" t="s">
        <v>3183</v>
      </c>
      <c r="E128" s="1"/>
      <c r="F128" s="1"/>
      <c r="G128" s="1" t="s">
        <v>3184</v>
      </c>
      <c r="H128" s="1" t="s">
        <v>3185</v>
      </c>
      <c r="I128" s="1" t="s">
        <v>3186</v>
      </c>
      <c r="J128" s="1">
        <v>1</v>
      </c>
      <c r="K128" s="1">
        <v>3</v>
      </c>
      <c r="L128" s="1">
        <v>2700</v>
      </c>
      <c r="M128" s="1">
        <v>10</v>
      </c>
      <c r="N128" s="1">
        <v>10</v>
      </c>
      <c r="O128" s="1">
        <v>5</v>
      </c>
      <c r="P128" s="1">
        <v>5</v>
      </c>
      <c r="Q128" s="1">
        <v>2</v>
      </c>
      <c r="R128" s="1">
        <v>2</v>
      </c>
      <c r="S128" s="1">
        <v>2</v>
      </c>
      <c r="T128" s="1">
        <v>0</v>
      </c>
      <c r="U128" s="1">
        <v>90</v>
      </c>
      <c r="V128" s="1">
        <v>95</v>
      </c>
      <c r="W128" s="1">
        <v>110</v>
      </c>
      <c r="X128" s="1">
        <v>100</v>
      </c>
      <c r="Y128" s="1">
        <v>115</v>
      </c>
      <c r="Z128" s="1">
        <v>120</v>
      </c>
      <c r="AA128" s="1">
        <v>0</v>
      </c>
      <c r="AB128" s="1">
        <v>15</v>
      </c>
      <c r="AC128" s="1">
        <v>20</v>
      </c>
      <c r="AD128" s="1">
        <v>0</v>
      </c>
      <c r="AE128" s="1">
        <v>130</v>
      </c>
      <c r="AF128" s="1">
        <v>100</v>
      </c>
      <c r="AG128" s="1">
        <v>101410</v>
      </c>
      <c r="AH128" s="1">
        <v>0</v>
      </c>
      <c r="AI128" s="1">
        <v>300101</v>
      </c>
      <c r="AJ128" s="1" t="s">
        <v>1125</v>
      </c>
      <c r="AK128" s="1" t="s">
        <v>328</v>
      </c>
      <c r="AL128" s="1">
        <v>13</v>
      </c>
      <c r="AM128" s="1" t="s">
        <v>1806</v>
      </c>
      <c r="AN128" s="1" t="s">
        <v>4861</v>
      </c>
      <c r="AO128" s="1" t="s">
        <v>4809</v>
      </c>
      <c r="AP128" s="1">
        <v>0</v>
      </c>
      <c r="AQ128" s="1" t="s">
        <v>1118</v>
      </c>
      <c r="AR128" s="1" t="s">
        <v>1119</v>
      </c>
      <c r="AS128" s="1" t="s">
        <v>1120</v>
      </c>
      <c r="AT128" s="1" t="s">
        <v>328</v>
      </c>
      <c r="AU128" s="1">
        <v>132</v>
      </c>
      <c r="AV128" s="1">
        <v>0</v>
      </c>
      <c r="AW128" s="1" t="s">
        <v>5025</v>
      </c>
      <c r="AX128" s="1" t="s">
        <v>4849</v>
      </c>
      <c r="AY128" s="1">
        <v>3</v>
      </c>
      <c r="AZ128" s="1">
        <v>0</v>
      </c>
      <c r="BA128" s="1" t="s">
        <v>328</v>
      </c>
      <c r="BB128" s="1" t="s">
        <v>5026</v>
      </c>
      <c r="BC128" s="1" t="s">
        <v>4783</v>
      </c>
      <c r="BD128" s="1">
        <v>10704</v>
      </c>
      <c r="BE128" s="1"/>
      <c r="BH128">
        <f>COUNTIF(Dropdowns!$I:$AF,C128)</f>
        <v>0</v>
      </c>
    </row>
    <row r="129" spans="1:60" x14ac:dyDescent="0.3">
      <c r="A129" s="1">
        <v>133</v>
      </c>
      <c r="B129" s="1" t="s">
        <v>3187</v>
      </c>
      <c r="C129" s="207" t="s">
        <v>136</v>
      </c>
      <c r="D129" s="1" t="s">
        <v>3188</v>
      </c>
      <c r="E129" s="1"/>
      <c r="F129" s="1"/>
      <c r="G129" s="1" t="s">
        <v>3189</v>
      </c>
      <c r="H129" s="1" t="s">
        <v>3190</v>
      </c>
      <c r="I129" s="1" t="s">
        <v>3191</v>
      </c>
      <c r="J129" s="1">
        <v>4</v>
      </c>
      <c r="K129" s="1">
        <v>2</v>
      </c>
      <c r="L129" s="1">
        <v>9900</v>
      </c>
      <c r="M129" s="1">
        <v>20</v>
      </c>
      <c r="N129" s="1">
        <v>20</v>
      </c>
      <c r="O129" s="1">
        <v>10</v>
      </c>
      <c r="P129" s="1">
        <v>10</v>
      </c>
      <c r="Q129" s="1">
        <v>2</v>
      </c>
      <c r="R129" s="1">
        <v>5</v>
      </c>
      <c r="S129" s="1">
        <v>5</v>
      </c>
      <c r="T129" s="1">
        <v>0</v>
      </c>
      <c r="U129" s="1">
        <v>90</v>
      </c>
      <c r="V129" s="1">
        <v>115</v>
      </c>
      <c r="W129" s="1">
        <v>110</v>
      </c>
      <c r="X129" s="1">
        <v>100</v>
      </c>
      <c r="Y129" s="1">
        <v>100</v>
      </c>
      <c r="Z129" s="1">
        <v>100</v>
      </c>
      <c r="AA129" s="1">
        <v>0</v>
      </c>
      <c r="AB129" s="1">
        <v>15</v>
      </c>
      <c r="AC129" s="1">
        <v>20</v>
      </c>
      <c r="AD129" s="1">
        <v>0</v>
      </c>
      <c r="AE129" s="1">
        <v>115</v>
      </c>
      <c r="AF129" s="1">
        <v>100</v>
      </c>
      <c r="AG129" s="1">
        <v>100301</v>
      </c>
      <c r="AH129" s="1">
        <v>0</v>
      </c>
      <c r="AI129" s="1">
        <v>300103</v>
      </c>
      <c r="AJ129" s="1" t="s">
        <v>1125</v>
      </c>
      <c r="AK129" s="1" t="s">
        <v>328</v>
      </c>
      <c r="AL129" s="1">
        <v>13</v>
      </c>
      <c r="AM129" s="1" t="s">
        <v>4719</v>
      </c>
      <c r="AN129" s="1" t="s">
        <v>475</v>
      </c>
      <c r="AO129" s="1" t="s">
        <v>5027</v>
      </c>
      <c r="AP129" s="1">
        <v>0</v>
      </c>
      <c r="AQ129" s="1" t="s">
        <v>1745</v>
      </c>
      <c r="AR129" s="1" t="s">
        <v>1154</v>
      </c>
      <c r="AS129" s="1" t="s">
        <v>1129</v>
      </c>
      <c r="AT129" s="1" t="s">
        <v>328</v>
      </c>
      <c r="AU129" s="1">
        <v>133</v>
      </c>
      <c r="AV129" s="1">
        <v>0</v>
      </c>
      <c r="AW129" s="1" t="s">
        <v>4828</v>
      </c>
      <c r="AX129" s="1" t="s">
        <v>470</v>
      </c>
      <c r="AY129" s="1">
        <v>2</v>
      </c>
      <c r="AZ129" s="1">
        <v>0</v>
      </c>
      <c r="BA129" s="1" t="s">
        <v>328</v>
      </c>
      <c r="BB129" s="1" t="s">
        <v>4952</v>
      </c>
      <c r="BC129" s="1" t="s">
        <v>4783</v>
      </c>
      <c r="BD129" s="1">
        <v>10704</v>
      </c>
      <c r="BE129" s="1"/>
      <c r="BH129">
        <f>COUNTIF(Dropdowns!$I:$AF,C129)</f>
        <v>1</v>
      </c>
    </row>
    <row r="130" spans="1:60" x14ac:dyDescent="0.3">
      <c r="A130" s="1">
        <v>134</v>
      </c>
      <c r="B130" s="1" t="s">
        <v>3192</v>
      </c>
      <c r="C130" s="207" t="s">
        <v>137</v>
      </c>
      <c r="D130" s="1" t="s">
        <v>137</v>
      </c>
      <c r="E130" s="1"/>
      <c r="F130" s="1"/>
      <c r="G130" s="1" t="s">
        <v>3193</v>
      </c>
      <c r="H130" s="1" t="s">
        <v>3194</v>
      </c>
      <c r="I130" s="1" t="s">
        <v>3195</v>
      </c>
      <c r="J130" s="1">
        <v>4</v>
      </c>
      <c r="K130" s="1">
        <v>3</v>
      </c>
      <c r="L130" s="1">
        <v>11400</v>
      </c>
      <c r="M130" s="1">
        <v>20</v>
      </c>
      <c r="N130" s="1">
        <v>20</v>
      </c>
      <c r="O130" s="1">
        <v>10</v>
      </c>
      <c r="P130" s="1">
        <v>10</v>
      </c>
      <c r="Q130" s="1">
        <v>2</v>
      </c>
      <c r="R130" s="1">
        <v>5</v>
      </c>
      <c r="S130" s="1">
        <v>5</v>
      </c>
      <c r="T130" s="1">
        <v>0</v>
      </c>
      <c r="U130" s="1">
        <v>100</v>
      </c>
      <c r="V130" s="1">
        <v>110</v>
      </c>
      <c r="W130" s="1">
        <v>105</v>
      </c>
      <c r="X130" s="1">
        <v>100</v>
      </c>
      <c r="Y130" s="1">
        <v>105</v>
      </c>
      <c r="Z130" s="1">
        <v>100</v>
      </c>
      <c r="AA130" s="1">
        <v>0</v>
      </c>
      <c r="AB130" s="1">
        <v>15</v>
      </c>
      <c r="AC130" s="1">
        <v>20</v>
      </c>
      <c r="AD130" s="1">
        <v>0</v>
      </c>
      <c r="AE130" s="1">
        <v>120</v>
      </c>
      <c r="AF130" s="1">
        <v>100</v>
      </c>
      <c r="AG130" s="1">
        <v>102110</v>
      </c>
      <c r="AH130" s="1">
        <v>0</v>
      </c>
      <c r="AI130" s="1">
        <v>300103</v>
      </c>
      <c r="AJ130" s="1" t="s">
        <v>1121</v>
      </c>
      <c r="AK130" s="1" t="s">
        <v>328</v>
      </c>
      <c r="AL130" s="1">
        <v>13</v>
      </c>
      <c r="AM130" s="1" t="s">
        <v>4719</v>
      </c>
      <c r="AN130" s="1" t="s">
        <v>4831</v>
      </c>
      <c r="AO130" s="1" t="s">
        <v>5028</v>
      </c>
      <c r="AP130" s="1">
        <v>0</v>
      </c>
      <c r="AQ130" s="1" t="s">
        <v>1130</v>
      </c>
      <c r="AR130" s="1" t="s">
        <v>1154</v>
      </c>
      <c r="AS130" s="1" t="s">
        <v>1129</v>
      </c>
      <c r="AT130" s="1" t="s">
        <v>328</v>
      </c>
      <c r="AU130" s="1">
        <v>134</v>
      </c>
      <c r="AV130" s="1">
        <v>0</v>
      </c>
      <c r="AW130" s="1" t="s">
        <v>5029</v>
      </c>
      <c r="AX130" s="1" t="s">
        <v>4849</v>
      </c>
      <c r="AY130" s="1">
        <v>3</v>
      </c>
      <c r="AZ130" s="1">
        <v>0</v>
      </c>
      <c r="BA130" s="1" t="s">
        <v>328</v>
      </c>
      <c r="BB130" s="1" t="s">
        <v>328</v>
      </c>
      <c r="BC130" s="1" t="s">
        <v>4739</v>
      </c>
      <c r="BD130" s="1">
        <v>10302</v>
      </c>
      <c r="BE130" s="1"/>
      <c r="BH130">
        <f>COUNTIF(Dropdowns!$I:$AF,C130)</f>
        <v>1</v>
      </c>
    </row>
    <row r="131" spans="1:60" x14ac:dyDescent="0.3">
      <c r="A131" s="1">
        <v>135</v>
      </c>
      <c r="B131" s="1" t="s">
        <v>3196</v>
      </c>
      <c r="C131" s="207" t="s">
        <v>1626</v>
      </c>
      <c r="D131" s="1" t="s">
        <v>1626</v>
      </c>
      <c r="E131" s="1"/>
      <c r="F131" s="1"/>
      <c r="G131" s="1" t="s">
        <v>3197</v>
      </c>
      <c r="H131" s="1" t="s">
        <v>3198</v>
      </c>
      <c r="I131" s="1" t="s">
        <v>3199</v>
      </c>
      <c r="J131" s="1">
        <v>2</v>
      </c>
      <c r="K131" s="1">
        <v>5</v>
      </c>
      <c r="L131" s="1">
        <v>9180</v>
      </c>
      <c r="M131" s="1">
        <v>25</v>
      </c>
      <c r="N131" s="1">
        <v>20</v>
      </c>
      <c r="O131" s="1">
        <v>15</v>
      </c>
      <c r="P131" s="1">
        <v>10</v>
      </c>
      <c r="Q131" s="1">
        <v>5</v>
      </c>
      <c r="R131" s="1">
        <v>5</v>
      </c>
      <c r="S131" s="1">
        <v>2</v>
      </c>
      <c r="T131" s="1">
        <v>0</v>
      </c>
      <c r="U131" s="1">
        <v>110</v>
      </c>
      <c r="V131" s="1">
        <v>130</v>
      </c>
      <c r="W131" s="1">
        <v>120</v>
      </c>
      <c r="X131" s="1">
        <v>100</v>
      </c>
      <c r="Y131" s="1">
        <v>115</v>
      </c>
      <c r="Z131" s="1">
        <v>125</v>
      </c>
      <c r="AA131" s="1">
        <v>0</v>
      </c>
      <c r="AB131" s="1">
        <v>15</v>
      </c>
      <c r="AC131" s="1">
        <v>5</v>
      </c>
      <c r="AD131" s="1">
        <v>0</v>
      </c>
      <c r="AE131" s="1">
        <v>95</v>
      </c>
      <c r="AF131" s="1">
        <v>100</v>
      </c>
      <c r="AG131" s="1">
        <v>100120</v>
      </c>
      <c r="AH131" s="1">
        <v>0</v>
      </c>
      <c r="AI131" s="1">
        <v>300102</v>
      </c>
      <c r="AJ131" s="1" t="s">
        <v>328</v>
      </c>
      <c r="AK131" s="1" t="s">
        <v>328</v>
      </c>
      <c r="AL131" s="1">
        <v>13</v>
      </c>
      <c r="AM131" s="1" t="s">
        <v>4790</v>
      </c>
      <c r="AN131" s="1" t="s">
        <v>4795</v>
      </c>
      <c r="AO131" s="1" t="s">
        <v>5030</v>
      </c>
      <c r="AP131" s="1">
        <v>0</v>
      </c>
      <c r="AQ131" s="1" t="s">
        <v>1129</v>
      </c>
      <c r="AR131" s="1" t="s">
        <v>1119</v>
      </c>
      <c r="AS131" s="1" t="s">
        <v>1745</v>
      </c>
      <c r="AT131" s="1" t="s">
        <v>328</v>
      </c>
      <c r="AU131" s="1">
        <v>135</v>
      </c>
      <c r="AV131" s="1">
        <v>0</v>
      </c>
      <c r="AW131" s="1" t="s">
        <v>4808</v>
      </c>
      <c r="AX131" s="1" t="s">
        <v>4491</v>
      </c>
      <c r="AY131" s="1">
        <v>5</v>
      </c>
      <c r="AZ131" s="1">
        <v>0</v>
      </c>
      <c r="BA131" s="1" t="s">
        <v>328</v>
      </c>
      <c r="BB131" s="1" t="s">
        <v>5031</v>
      </c>
      <c r="BC131" s="1" t="s">
        <v>4757</v>
      </c>
      <c r="BD131" s="1">
        <v>10202</v>
      </c>
      <c r="BE131" s="1"/>
      <c r="BH131">
        <f>COUNTIF(Dropdowns!$I:$AF,C131)</f>
        <v>1</v>
      </c>
    </row>
    <row r="132" spans="1:60" x14ac:dyDescent="0.3">
      <c r="A132" s="1">
        <v>136</v>
      </c>
      <c r="B132" s="1" t="s">
        <v>3200</v>
      </c>
      <c r="C132" s="207" t="s">
        <v>1627</v>
      </c>
      <c r="D132" s="1" t="s">
        <v>1627</v>
      </c>
      <c r="E132" s="1"/>
      <c r="F132" s="1"/>
      <c r="G132" s="1" t="s">
        <v>3201</v>
      </c>
      <c r="H132" s="1" t="s">
        <v>3202</v>
      </c>
      <c r="I132" s="1" t="s">
        <v>3203</v>
      </c>
      <c r="J132" s="1">
        <v>2</v>
      </c>
      <c r="K132" s="1">
        <v>4</v>
      </c>
      <c r="L132" s="1">
        <v>8400</v>
      </c>
      <c r="M132" s="1">
        <v>25</v>
      </c>
      <c r="N132" s="1">
        <v>20</v>
      </c>
      <c r="O132" s="1">
        <v>15</v>
      </c>
      <c r="P132" s="1">
        <v>10</v>
      </c>
      <c r="Q132" s="1">
        <v>5</v>
      </c>
      <c r="R132" s="1">
        <v>5</v>
      </c>
      <c r="S132" s="1">
        <v>2</v>
      </c>
      <c r="T132" s="1">
        <v>0</v>
      </c>
      <c r="U132" s="1">
        <v>100</v>
      </c>
      <c r="V132" s="1">
        <v>95</v>
      </c>
      <c r="W132" s="1">
        <v>115</v>
      </c>
      <c r="X132" s="1">
        <v>100</v>
      </c>
      <c r="Y132" s="1">
        <v>115</v>
      </c>
      <c r="Z132" s="1">
        <v>120</v>
      </c>
      <c r="AA132" s="1">
        <v>0</v>
      </c>
      <c r="AB132" s="1">
        <v>15</v>
      </c>
      <c r="AC132" s="1">
        <v>5</v>
      </c>
      <c r="AD132" s="1">
        <v>0</v>
      </c>
      <c r="AE132" s="1">
        <v>110</v>
      </c>
      <c r="AF132" s="1">
        <v>100</v>
      </c>
      <c r="AG132" s="1">
        <v>102103</v>
      </c>
      <c r="AH132" s="1">
        <v>0</v>
      </c>
      <c r="AI132" s="1">
        <v>300102</v>
      </c>
      <c r="AJ132" s="1" t="s">
        <v>1164</v>
      </c>
      <c r="AK132" s="1" t="s">
        <v>328</v>
      </c>
      <c r="AL132" s="1">
        <v>13</v>
      </c>
      <c r="AM132" s="1" t="s">
        <v>4790</v>
      </c>
      <c r="AN132" s="1" t="s">
        <v>4793</v>
      </c>
      <c r="AO132" s="1" t="s">
        <v>5032</v>
      </c>
      <c r="AP132" s="1">
        <v>0</v>
      </c>
      <c r="AQ132" s="1" t="s">
        <v>1129</v>
      </c>
      <c r="AR132" s="1" t="s">
        <v>1119</v>
      </c>
      <c r="AS132" s="1" t="s">
        <v>1745</v>
      </c>
      <c r="AT132" s="1" t="s">
        <v>328</v>
      </c>
      <c r="AU132" s="1">
        <v>136</v>
      </c>
      <c r="AV132" s="1">
        <v>0</v>
      </c>
      <c r="AW132" s="1" t="s">
        <v>4808</v>
      </c>
      <c r="AX132" s="1" t="s">
        <v>1806</v>
      </c>
      <c r="AY132" s="1">
        <v>4</v>
      </c>
      <c r="AZ132" s="1">
        <v>0</v>
      </c>
      <c r="BA132" s="1" t="s">
        <v>4743</v>
      </c>
      <c r="BB132" s="1" t="s">
        <v>4793</v>
      </c>
      <c r="BC132" s="1" t="s">
        <v>4757</v>
      </c>
      <c r="BD132" s="1">
        <v>10203</v>
      </c>
      <c r="BE132" s="1"/>
      <c r="BH132">
        <f>COUNTIF(Dropdowns!$I:$AF,C132)</f>
        <v>1</v>
      </c>
    </row>
    <row r="133" spans="1:60" x14ac:dyDescent="0.3">
      <c r="A133" s="1">
        <v>137</v>
      </c>
      <c r="B133" s="1" t="s">
        <v>3204</v>
      </c>
      <c r="C133" s="207" t="s">
        <v>225</v>
      </c>
      <c r="D133" s="1" t="s">
        <v>225</v>
      </c>
      <c r="E133" s="1"/>
      <c r="F133" s="1"/>
      <c r="G133" s="1" t="s">
        <v>3205</v>
      </c>
      <c r="H133" s="1" t="s">
        <v>3206</v>
      </c>
      <c r="I133" s="1" t="s">
        <v>3207</v>
      </c>
      <c r="J133" s="1">
        <v>2</v>
      </c>
      <c r="K133" s="1">
        <v>4</v>
      </c>
      <c r="L133" s="1">
        <v>8280</v>
      </c>
      <c r="M133" s="1">
        <v>25</v>
      </c>
      <c r="N133" s="1">
        <v>20</v>
      </c>
      <c r="O133" s="1">
        <v>15</v>
      </c>
      <c r="P133" s="1">
        <v>10</v>
      </c>
      <c r="Q133" s="1">
        <v>5</v>
      </c>
      <c r="R133" s="1">
        <v>5</v>
      </c>
      <c r="S133" s="1">
        <v>2</v>
      </c>
      <c r="T133" s="1">
        <v>0</v>
      </c>
      <c r="U133" s="1">
        <v>110</v>
      </c>
      <c r="V133" s="1">
        <v>105</v>
      </c>
      <c r="W133" s="1">
        <v>110</v>
      </c>
      <c r="X133" s="1">
        <v>100</v>
      </c>
      <c r="Y133" s="1">
        <v>110</v>
      </c>
      <c r="Z133" s="1">
        <v>115</v>
      </c>
      <c r="AA133" s="1">
        <v>0</v>
      </c>
      <c r="AB133" s="1">
        <v>15</v>
      </c>
      <c r="AC133" s="1">
        <v>5</v>
      </c>
      <c r="AD133" s="1">
        <v>0</v>
      </c>
      <c r="AE133" s="1">
        <v>105</v>
      </c>
      <c r="AF133" s="1">
        <v>100</v>
      </c>
      <c r="AG133" s="1">
        <v>102403</v>
      </c>
      <c r="AH133" s="1">
        <v>0</v>
      </c>
      <c r="AI133" s="1">
        <v>300102</v>
      </c>
      <c r="AJ133" s="1" t="s">
        <v>328</v>
      </c>
      <c r="AK133" s="1" t="s">
        <v>328</v>
      </c>
      <c r="AL133" s="1">
        <v>13</v>
      </c>
      <c r="AM133" s="1" t="s">
        <v>4790</v>
      </c>
      <c r="AN133" s="1" t="s">
        <v>388</v>
      </c>
      <c r="AO133" s="1" t="s">
        <v>4964</v>
      </c>
      <c r="AP133" s="1">
        <v>0</v>
      </c>
      <c r="AQ133" s="1" t="s">
        <v>1129</v>
      </c>
      <c r="AR133" s="1" t="s">
        <v>1119</v>
      </c>
      <c r="AS133" s="1" t="s">
        <v>1130</v>
      </c>
      <c r="AT133" s="1" t="s">
        <v>328</v>
      </c>
      <c r="AU133" s="1">
        <v>137</v>
      </c>
      <c r="AV133" s="1">
        <v>0</v>
      </c>
      <c r="AW133" s="1" t="s">
        <v>5033</v>
      </c>
      <c r="AX133" s="1" t="s">
        <v>331</v>
      </c>
      <c r="AY133" s="1">
        <v>4</v>
      </c>
      <c r="AZ133" s="1">
        <v>0</v>
      </c>
      <c r="BA133" s="1" t="s">
        <v>328</v>
      </c>
      <c r="BB133" s="1" t="s">
        <v>506</v>
      </c>
      <c r="BC133" s="1" t="s">
        <v>4757</v>
      </c>
      <c r="BD133" s="1">
        <v>10802</v>
      </c>
      <c r="BE133" s="1"/>
      <c r="BH133">
        <f>COUNTIF(Dropdowns!$I:$AF,C133)</f>
        <v>1</v>
      </c>
    </row>
    <row r="134" spans="1:60" x14ac:dyDescent="0.3">
      <c r="A134" s="1">
        <v>138</v>
      </c>
      <c r="B134" s="1" t="s">
        <v>3208</v>
      </c>
      <c r="C134" s="207" t="s">
        <v>138</v>
      </c>
      <c r="D134" s="1" t="s">
        <v>138</v>
      </c>
      <c r="E134" s="1"/>
      <c r="F134" s="1"/>
      <c r="G134" s="1" t="s">
        <v>3209</v>
      </c>
      <c r="H134" s="1" t="s">
        <v>3210</v>
      </c>
      <c r="I134" s="1" t="s">
        <v>3211</v>
      </c>
      <c r="J134" s="1">
        <v>4</v>
      </c>
      <c r="K134" s="1">
        <v>3</v>
      </c>
      <c r="L134" s="1">
        <v>12000</v>
      </c>
      <c r="M134" s="1">
        <v>20</v>
      </c>
      <c r="N134" s="1">
        <v>20</v>
      </c>
      <c r="O134" s="1">
        <v>10</v>
      </c>
      <c r="P134" s="1">
        <v>10</v>
      </c>
      <c r="Q134" s="1">
        <v>2</v>
      </c>
      <c r="R134" s="1">
        <v>5</v>
      </c>
      <c r="S134" s="1">
        <v>5</v>
      </c>
      <c r="T134" s="1">
        <v>0</v>
      </c>
      <c r="U134" s="1">
        <v>110</v>
      </c>
      <c r="V134" s="1">
        <v>150</v>
      </c>
      <c r="W134" s="1">
        <v>80</v>
      </c>
      <c r="X134" s="1">
        <v>100</v>
      </c>
      <c r="Y134" s="1">
        <v>85</v>
      </c>
      <c r="Z134" s="1">
        <v>75</v>
      </c>
      <c r="AA134" s="1">
        <v>0</v>
      </c>
      <c r="AB134" s="1">
        <v>15</v>
      </c>
      <c r="AC134" s="1">
        <v>20</v>
      </c>
      <c r="AD134" s="1">
        <v>0</v>
      </c>
      <c r="AE134" s="1">
        <v>125</v>
      </c>
      <c r="AF134" s="1">
        <v>100</v>
      </c>
      <c r="AG134" s="1">
        <v>101802</v>
      </c>
      <c r="AH134" s="1">
        <v>0</v>
      </c>
      <c r="AI134" s="1">
        <v>300103</v>
      </c>
      <c r="AJ134" s="1" t="s">
        <v>1125</v>
      </c>
      <c r="AK134" s="1" t="s">
        <v>328</v>
      </c>
      <c r="AL134" s="1">
        <v>13</v>
      </c>
      <c r="AM134" s="1" t="s">
        <v>4719</v>
      </c>
      <c r="AN134" s="1" t="s">
        <v>475</v>
      </c>
      <c r="AO134" s="1" t="s">
        <v>5034</v>
      </c>
      <c r="AP134" s="1">
        <v>0</v>
      </c>
      <c r="AQ134" s="1" t="s">
        <v>1130</v>
      </c>
      <c r="AR134" s="1" t="s">
        <v>1192</v>
      </c>
      <c r="AS134" s="1" t="s">
        <v>1129</v>
      </c>
      <c r="AT134" s="1" t="s">
        <v>328</v>
      </c>
      <c r="AU134" s="1">
        <v>138</v>
      </c>
      <c r="AV134" s="1">
        <v>0</v>
      </c>
      <c r="AW134" s="1" t="s">
        <v>5035</v>
      </c>
      <c r="AX134" s="1" t="s">
        <v>485</v>
      </c>
      <c r="AY134" s="1">
        <v>3</v>
      </c>
      <c r="AZ134" s="1">
        <v>0</v>
      </c>
      <c r="BA134" s="1" t="s">
        <v>328</v>
      </c>
      <c r="BB134" s="1" t="s">
        <v>328</v>
      </c>
      <c r="BC134" s="1" t="s">
        <v>4757</v>
      </c>
      <c r="BD134" s="1">
        <v>10102</v>
      </c>
      <c r="BE134" s="1"/>
      <c r="BH134">
        <f>COUNTIF(Dropdowns!$I:$AF,C134)</f>
        <v>1</v>
      </c>
    </row>
    <row r="135" spans="1:60" x14ac:dyDescent="0.3">
      <c r="A135" s="1">
        <v>139</v>
      </c>
      <c r="B135" s="1" t="s">
        <v>3212</v>
      </c>
      <c r="C135" s="207" t="s">
        <v>139</v>
      </c>
      <c r="D135" s="1" t="s">
        <v>3213</v>
      </c>
      <c r="E135" s="1"/>
      <c r="F135" s="1"/>
      <c r="G135" s="1" t="s">
        <v>3214</v>
      </c>
      <c r="H135" s="1" t="s">
        <v>3215</v>
      </c>
      <c r="I135" s="1" t="s">
        <v>3216</v>
      </c>
      <c r="J135" s="1">
        <v>1</v>
      </c>
      <c r="K135" s="1">
        <v>2</v>
      </c>
      <c r="L135" s="1">
        <v>1680</v>
      </c>
      <c r="M135" s="1">
        <v>10</v>
      </c>
      <c r="N135" s="1">
        <v>10</v>
      </c>
      <c r="O135" s="1">
        <v>5</v>
      </c>
      <c r="P135" s="1">
        <v>5</v>
      </c>
      <c r="Q135" s="1">
        <v>2</v>
      </c>
      <c r="R135" s="1">
        <v>2</v>
      </c>
      <c r="S135" s="1">
        <v>2</v>
      </c>
      <c r="T135" s="1">
        <v>0</v>
      </c>
      <c r="U135" s="1">
        <v>105</v>
      </c>
      <c r="V135" s="1">
        <v>120</v>
      </c>
      <c r="W135" s="1">
        <v>110</v>
      </c>
      <c r="X135" s="1">
        <v>100</v>
      </c>
      <c r="Y135" s="1">
        <v>110</v>
      </c>
      <c r="Z135" s="1">
        <v>90</v>
      </c>
      <c r="AA135" s="1">
        <v>0</v>
      </c>
      <c r="AB135" s="1">
        <v>15</v>
      </c>
      <c r="AC135" s="1">
        <v>20</v>
      </c>
      <c r="AD135" s="1">
        <v>0</v>
      </c>
      <c r="AE135" s="1">
        <v>110</v>
      </c>
      <c r="AF135" s="1">
        <v>100</v>
      </c>
      <c r="AG135" s="1">
        <v>100501</v>
      </c>
      <c r="AH135" s="1">
        <v>0</v>
      </c>
      <c r="AI135" s="1">
        <v>300101</v>
      </c>
      <c r="AJ135" s="1" t="s">
        <v>1125</v>
      </c>
      <c r="AK135" s="1" t="s">
        <v>328</v>
      </c>
      <c r="AL135" s="1">
        <v>13</v>
      </c>
      <c r="AM135" s="1" t="s">
        <v>1806</v>
      </c>
      <c r="AN135" s="1" t="s">
        <v>4740</v>
      </c>
      <c r="AO135" s="1" t="s">
        <v>5036</v>
      </c>
      <c r="AP135" s="1">
        <v>0</v>
      </c>
      <c r="AQ135" s="1" t="s">
        <v>1118</v>
      </c>
      <c r="AR135" s="1" t="s">
        <v>1119</v>
      </c>
      <c r="AS135" s="1" t="s">
        <v>1120</v>
      </c>
      <c r="AT135" s="1" t="s">
        <v>328</v>
      </c>
      <c r="AU135" s="1">
        <v>139</v>
      </c>
      <c r="AV135" s="1">
        <v>0</v>
      </c>
      <c r="AW135" s="1" t="s">
        <v>5037</v>
      </c>
      <c r="AX135" s="1" t="s">
        <v>470</v>
      </c>
      <c r="AY135" s="1">
        <v>2</v>
      </c>
      <c r="AZ135" s="1">
        <v>0</v>
      </c>
      <c r="BA135" s="1" t="s">
        <v>328</v>
      </c>
      <c r="BB135" s="1" t="s">
        <v>328</v>
      </c>
      <c r="BC135" s="1" t="s">
        <v>4720</v>
      </c>
      <c r="BD135" s="1">
        <v>10704</v>
      </c>
      <c r="BE135" s="1"/>
      <c r="BH135">
        <f>COUNTIF(Dropdowns!$I:$AF,C135)</f>
        <v>0</v>
      </c>
    </row>
    <row r="136" spans="1:60" x14ac:dyDescent="0.3">
      <c r="A136" s="1">
        <v>140</v>
      </c>
      <c r="B136" s="1" t="s">
        <v>3217</v>
      </c>
      <c r="C136" s="207" t="s">
        <v>140</v>
      </c>
      <c r="D136" s="1" t="s">
        <v>140</v>
      </c>
      <c r="E136" s="1"/>
      <c r="F136" s="1"/>
      <c r="G136" s="1" t="s">
        <v>3218</v>
      </c>
      <c r="H136" s="1" t="s">
        <v>3219</v>
      </c>
      <c r="I136" s="1" t="s">
        <v>3220</v>
      </c>
      <c r="J136" s="1">
        <v>1</v>
      </c>
      <c r="K136" s="1">
        <v>3</v>
      </c>
      <c r="L136" s="1">
        <v>2100</v>
      </c>
      <c r="M136" s="1">
        <v>10</v>
      </c>
      <c r="N136" s="1">
        <v>10</v>
      </c>
      <c r="O136" s="1">
        <v>5</v>
      </c>
      <c r="P136" s="1">
        <v>5</v>
      </c>
      <c r="Q136" s="1">
        <v>2</v>
      </c>
      <c r="R136" s="1">
        <v>2</v>
      </c>
      <c r="S136" s="1">
        <v>2</v>
      </c>
      <c r="T136" s="1">
        <v>0</v>
      </c>
      <c r="U136" s="1">
        <v>85</v>
      </c>
      <c r="V136" s="1">
        <v>80</v>
      </c>
      <c r="W136" s="1">
        <v>115</v>
      </c>
      <c r="X136" s="1">
        <v>100</v>
      </c>
      <c r="Y136" s="1">
        <v>120</v>
      </c>
      <c r="Z136" s="1">
        <v>135</v>
      </c>
      <c r="AA136" s="1">
        <v>0</v>
      </c>
      <c r="AB136" s="1">
        <v>15</v>
      </c>
      <c r="AC136" s="1">
        <v>20</v>
      </c>
      <c r="AD136" s="1">
        <v>0</v>
      </c>
      <c r="AE136" s="1">
        <v>135</v>
      </c>
      <c r="AF136" s="1">
        <v>100</v>
      </c>
      <c r="AG136" s="1">
        <v>105502</v>
      </c>
      <c r="AH136" s="1">
        <v>0</v>
      </c>
      <c r="AI136" s="1">
        <v>300101</v>
      </c>
      <c r="AJ136" s="1" t="s">
        <v>1125</v>
      </c>
      <c r="AK136" s="1" t="s">
        <v>328</v>
      </c>
      <c r="AL136" s="1">
        <v>13</v>
      </c>
      <c r="AM136" s="1" t="s">
        <v>1806</v>
      </c>
      <c r="AN136" s="1" t="s">
        <v>5038</v>
      </c>
      <c r="AO136" s="1" t="s">
        <v>5039</v>
      </c>
      <c r="AP136" s="1">
        <v>0</v>
      </c>
      <c r="AQ136" s="1" t="s">
        <v>1118</v>
      </c>
      <c r="AR136" s="1" t="s">
        <v>1119</v>
      </c>
      <c r="AS136" s="1" t="s">
        <v>1120</v>
      </c>
      <c r="AT136" s="1" t="s">
        <v>328</v>
      </c>
      <c r="AU136" s="1">
        <v>140</v>
      </c>
      <c r="AV136" s="1">
        <v>0</v>
      </c>
      <c r="AW136" s="1" t="s">
        <v>5037</v>
      </c>
      <c r="AX136" s="1" t="s">
        <v>5040</v>
      </c>
      <c r="AY136" s="1">
        <v>3</v>
      </c>
      <c r="AZ136" s="1">
        <v>0</v>
      </c>
      <c r="BA136" s="1" t="s">
        <v>328</v>
      </c>
      <c r="BB136" s="1" t="s">
        <v>328</v>
      </c>
      <c r="BC136" s="1" t="s">
        <v>4757</v>
      </c>
      <c r="BD136" s="1">
        <v>10704</v>
      </c>
      <c r="BE136" s="1"/>
      <c r="BH136">
        <f>COUNTIF(Dropdowns!$I:$AF,C136)</f>
        <v>0</v>
      </c>
    </row>
    <row r="137" spans="1:60" x14ac:dyDescent="0.3">
      <c r="A137" s="1">
        <v>141</v>
      </c>
      <c r="B137" s="1" t="s">
        <v>3221</v>
      </c>
      <c r="C137" s="207" t="s">
        <v>1193</v>
      </c>
      <c r="D137" s="1" t="s">
        <v>1193</v>
      </c>
      <c r="E137" s="1"/>
      <c r="F137" s="1"/>
      <c r="G137" s="1" t="s">
        <v>3222</v>
      </c>
      <c r="H137" s="1" t="s">
        <v>3223</v>
      </c>
      <c r="I137" s="1" t="s">
        <v>3224</v>
      </c>
      <c r="J137" s="1">
        <v>1</v>
      </c>
      <c r="K137" s="1">
        <v>2</v>
      </c>
      <c r="L137" s="1">
        <v>1680</v>
      </c>
      <c r="M137" s="1">
        <v>10</v>
      </c>
      <c r="N137" s="1">
        <v>10</v>
      </c>
      <c r="O137" s="1">
        <v>5</v>
      </c>
      <c r="P137" s="1">
        <v>5</v>
      </c>
      <c r="Q137" s="1">
        <v>2</v>
      </c>
      <c r="R137" s="1">
        <v>2</v>
      </c>
      <c r="S137" s="1">
        <v>2</v>
      </c>
      <c r="T137" s="1">
        <v>0</v>
      </c>
      <c r="U137" s="1">
        <v>100</v>
      </c>
      <c r="V137" s="1">
        <v>90</v>
      </c>
      <c r="W137" s="1">
        <v>120</v>
      </c>
      <c r="X137" s="1">
        <v>100</v>
      </c>
      <c r="Y137" s="1">
        <v>125</v>
      </c>
      <c r="Z137" s="1">
        <v>120</v>
      </c>
      <c r="AA137" s="1">
        <v>0</v>
      </c>
      <c r="AB137" s="1">
        <v>15</v>
      </c>
      <c r="AC137" s="1">
        <v>20</v>
      </c>
      <c r="AD137" s="1">
        <v>0</v>
      </c>
      <c r="AE137" s="1">
        <v>115</v>
      </c>
      <c r="AF137" s="1">
        <v>100</v>
      </c>
      <c r="AG137" s="1">
        <v>100701</v>
      </c>
      <c r="AH137" s="1">
        <v>0</v>
      </c>
      <c r="AI137" s="1">
        <v>300101</v>
      </c>
      <c r="AJ137" s="1" t="s">
        <v>1125</v>
      </c>
      <c r="AK137" s="1" t="s">
        <v>328</v>
      </c>
      <c r="AL137" s="1">
        <v>13</v>
      </c>
      <c r="AM137" s="1" t="s">
        <v>1806</v>
      </c>
      <c r="AN137" s="1" t="s">
        <v>4776</v>
      </c>
      <c r="AO137" s="1" t="s">
        <v>5041</v>
      </c>
      <c r="AP137" s="1">
        <v>0</v>
      </c>
      <c r="AQ137" s="1" t="s">
        <v>1118</v>
      </c>
      <c r="AR137" s="1" t="s">
        <v>1119</v>
      </c>
      <c r="AS137" s="1" t="s">
        <v>1120</v>
      </c>
      <c r="AT137" s="1" t="s">
        <v>328</v>
      </c>
      <c r="AU137" s="1">
        <v>141</v>
      </c>
      <c r="AV137" s="1">
        <v>0</v>
      </c>
      <c r="AW137" s="1" t="s">
        <v>5037</v>
      </c>
      <c r="AX137" s="1" t="s">
        <v>470</v>
      </c>
      <c r="AY137" s="1">
        <v>2</v>
      </c>
      <c r="AZ137" s="1">
        <v>0</v>
      </c>
      <c r="BA137" s="1" t="s">
        <v>328</v>
      </c>
      <c r="BB137" s="1" t="s">
        <v>328</v>
      </c>
      <c r="BC137" s="1" t="s">
        <v>4769</v>
      </c>
      <c r="BD137" s="1">
        <v>10704</v>
      </c>
      <c r="BE137" s="1"/>
      <c r="BH137">
        <f>COUNTIF(Dropdowns!$I:$AF,C137)</f>
        <v>0</v>
      </c>
    </row>
    <row r="138" spans="1:60" x14ac:dyDescent="0.3">
      <c r="A138" s="1">
        <v>142</v>
      </c>
      <c r="B138" s="1" t="s">
        <v>3225</v>
      </c>
      <c r="C138" s="207" t="s">
        <v>1628</v>
      </c>
      <c r="D138" s="1" t="s">
        <v>3226</v>
      </c>
      <c r="E138" s="1"/>
      <c r="F138" s="1"/>
      <c r="G138" s="1" t="s">
        <v>3227</v>
      </c>
      <c r="H138" s="1" t="s">
        <v>3228</v>
      </c>
      <c r="I138" s="1" t="s">
        <v>3229</v>
      </c>
      <c r="J138" s="1">
        <v>1</v>
      </c>
      <c r="K138" s="1">
        <v>5</v>
      </c>
      <c r="L138" s="1">
        <v>3420</v>
      </c>
      <c r="M138" s="1">
        <v>10</v>
      </c>
      <c r="N138" s="1">
        <v>10</v>
      </c>
      <c r="O138" s="1">
        <v>5</v>
      </c>
      <c r="P138" s="1">
        <v>5</v>
      </c>
      <c r="Q138" s="1">
        <v>2</v>
      </c>
      <c r="R138" s="1">
        <v>2</v>
      </c>
      <c r="S138" s="1">
        <v>2</v>
      </c>
      <c r="T138" s="1">
        <v>0</v>
      </c>
      <c r="U138" s="1">
        <v>95</v>
      </c>
      <c r="V138" s="1">
        <v>110</v>
      </c>
      <c r="W138" s="1">
        <v>120</v>
      </c>
      <c r="X138" s="1">
        <v>100</v>
      </c>
      <c r="Y138" s="1">
        <v>110</v>
      </c>
      <c r="Z138" s="1">
        <v>125</v>
      </c>
      <c r="AA138" s="1">
        <v>0</v>
      </c>
      <c r="AB138" s="1">
        <v>15</v>
      </c>
      <c r="AC138" s="1">
        <v>20</v>
      </c>
      <c r="AD138" s="1">
        <v>0</v>
      </c>
      <c r="AE138" s="1">
        <v>125</v>
      </c>
      <c r="AF138" s="1">
        <v>100</v>
      </c>
      <c r="AG138" s="1">
        <v>102003</v>
      </c>
      <c r="AH138" s="1">
        <v>0</v>
      </c>
      <c r="AI138" s="1">
        <v>300101</v>
      </c>
      <c r="AJ138" s="1" t="s">
        <v>328</v>
      </c>
      <c r="AK138" s="1" t="s">
        <v>328</v>
      </c>
      <c r="AL138" s="1">
        <v>13</v>
      </c>
      <c r="AM138" s="1" t="s">
        <v>1806</v>
      </c>
      <c r="AN138" s="1" t="s">
        <v>4747</v>
      </c>
      <c r="AO138" s="1" t="s">
        <v>5042</v>
      </c>
      <c r="AP138" s="1">
        <v>0</v>
      </c>
      <c r="AQ138" s="1" t="s">
        <v>1118</v>
      </c>
      <c r="AR138" s="1" t="s">
        <v>1119</v>
      </c>
      <c r="AS138" s="1" t="s">
        <v>1120</v>
      </c>
      <c r="AT138" s="1" t="s">
        <v>328</v>
      </c>
      <c r="AU138" s="1">
        <v>142</v>
      </c>
      <c r="AV138" s="1">
        <v>0</v>
      </c>
      <c r="AW138" s="1" t="s">
        <v>5043</v>
      </c>
      <c r="AX138" s="1" t="s">
        <v>5044</v>
      </c>
      <c r="AY138" s="1">
        <v>5</v>
      </c>
      <c r="AZ138" s="1">
        <v>0</v>
      </c>
      <c r="BA138" s="1" t="s">
        <v>328</v>
      </c>
      <c r="BB138" s="1" t="s">
        <v>5045</v>
      </c>
      <c r="BC138" s="1" t="s">
        <v>4853</v>
      </c>
      <c r="BD138" s="1">
        <v>10202</v>
      </c>
      <c r="BE138" s="1"/>
      <c r="BH138">
        <f>COUNTIF(Dropdowns!$I:$AF,C138)</f>
        <v>0</v>
      </c>
    </row>
    <row r="139" spans="1:60" x14ac:dyDescent="0.3">
      <c r="A139" s="1">
        <v>143</v>
      </c>
      <c r="B139" s="1" t="s">
        <v>3230</v>
      </c>
      <c r="C139" s="207" t="s">
        <v>141</v>
      </c>
      <c r="D139" s="1" t="s">
        <v>141</v>
      </c>
      <c r="E139" s="1"/>
      <c r="F139" s="1"/>
      <c r="G139" s="1" t="s">
        <v>3231</v>
      </c>
      <c r="H139" s="1" t="s">
        <v>3232</v>
      </c>
      <c r="I139" s="1" t="s">
        <v>3233</v>
      </c>
      <c r="J139" s="1">
        <v>2</v>
      </c>
      <c r="K139" s="1">
        <v>5</v>
      </c>
      <c r="L139" s="1">
        <v>9300</v>
      </c>
      <c r="M139" s="1">
        <v>25</v>
      </c>
      <c r="N139" s="1">
        <v>20</v>
      </c>
      <c r="O139" s="1">
        <v>15</v>
      </c>
      <c r="P139" s="1">
        <v>10</v>
      </c>
      <c r="Q139" s="1">
        <v>5</v>
      </c>
      <c r="R139" s="1">
        <v>5</v>
      </c>
      <c r="S139" s="1">
        <v>2</v>
      </c>
      <c r="T139" s="1">
        <v>0</v>
      </c>
      <c r="U139" s="1">
        <v>110</v>
      </c>
      <c r="V139" s="1">
        <v>105</v>
      </c>
      <c r="W139" s="1">
        <v>125</v>
      </c>
      <c r="X139" s="1">
        <v>100</v>
      </c>
      <c r="Y139" s="1">
        <v>125</v>
      </c>
      <c r="Z139" s="1">
        <v>120</v>
      </c>
      <c r="AA139" s="1">
        <v>0</v>
      </c>
      <c r="AB139" s="1">
        <v>15</v>
      </c>
      <c r="AC139" s="1">
        <v>5</v>
      </c>
      <c r="AD139" s="1">
        <v>0</v>
      </c>
      <c r="AE139" s="1">
        <v>105</v>
      </c>
      <c r="AF139" s="1">
        <v>100</v>
      </c>
      <c r="AG139" s="1">
        <v>105604</v>
      </c>
      <c r="AH139" s="1">
        <v>0</v>
      </c>
      <c r="AI139" s="1">
        <v>300102</v>
      </c>
      <c r="AJ139" s="1" t="s">
        <v>1194</v>
      </c>
      <c r="AK139" s="1" t="s">
        <v>328</v>
      </c>
      <c r="AL139" s="1">
        <v>13</v>
      </c>
      <c r="AM139" s="1" t="s">
        <v>4790</v>
      </c>
      <c r="AN139" s="1" t="s">
        <v>4947</v>
      </c>
      <c r="AO139" s="1" t="s">
        <v>5046</v>
      </c>
      <c r="AP139" s="1">
        <v>0</v>
      </c>
      <c r="AQ139" s="1" t="s">
        <v>1744</v>
      </c>
      <c r="AR139" s="1" t="s">
        <v>1119</v>
      </c>
      <c r="AS139" s="1" t="s">
        <v>1130</v>
      </c>
      <c r="AT139" s="1" t="s">
        <v>328</v>
      </c>
      <c r="AU139" s="1">
        <v>143</v>
      </c>
      <c r="AV139" s="1">
        <v>0</v>
      </c>
      <c r="AW139" s="1" t="s">
        <v>5037</v>
      </c>
      <c r="AX139" s="1" t="s">
        <v>4858</v>
      </c>
      <c r="AY139" s="1">
        <v>5</v>
      </c>
      <c r="AZ139" s="1">
        <v>0</v>
      </c>
      <c r="BA139" s="1" t="s">
        <v>4855</v>
      </c>
      <c r="BB139" s="1" t="s">
        <v>5047</v>
      </c>
      <c r="BC139" s="1" t="s">
        <v>4860</v>
      </c>
      <c r="BD139" s="1">
        <v>10601</v>
      </c>
      <c r="BE139" s="1"/>
      <c r="BH139">
        <f>COUNTIF(Dropdowns!$I:$AF,C139)</f>
        <v>1</v>
      </c>
    </row>
    <row r="140" spans="1:60" x14ac:dyDescent="0.3">
      <c r="A140" s="1">
        <v>144</v>
      </c>
      <c r="B140" s="1" t="s">
        <v>3234</v>
      </c>
      <c r="C140" s="207" t="s">
        <v>1629</v>
      </c>
      <c r="D140" s="1" t="s">
        <v>1629</v>
      </c>
      <c r="E140" s="1"/>
      <c r="F140" s="1"/>
      <c r="G140" s="1" t="s">
        <v>3235</v>
      </c>
      <c r="H140" s="1" t="s">
        <v>3236</v>
      </c>
      <c r="I140" s="1" t="s">
        <v>3237</v>
      </c>
      <c r="J140" s="1">
        <v>2</v>
      </c>
      <c r="K140" s="1">
        <v>3</v>
      </c>
      <c r="L140" s="1">
        <v>7500</v>
      </c>
      <c r="M140" s="1">
        <v>25</v>
      </c>
      <c r="N140" s="1">
        <v>20</v>
      </c>
      <c r="O140" s="1">
        <v>15</v>
      </c>
      <c r="P140" s="1">
        <v>10</v>
      </c>
      <c r="Q140" s="1">
        <v>5</v>
      </c>
      <c r="R140" s="1">
        <v>5</v>
      </c>
      <c r="S140" s="1">
        <v>2</v>
      </c>
      <c r="T140" s="1">
        <v>0</v>
      </c>
      <c r="U140" s="1">
        <v>115</v>
      </c>
      <c r="V140" s="1">
        <v>100</v>
      </c>
      <c r="W140" s="1">
        <v>115</v>
      </c>
      <c r="X140" s="1">
        <v>100</v>
      </c>
      <c r="Y140" s="1">
        <v>120</v>
      </c>
      <c r="Z140" s="1">
        <v>105</v>
      </c>
      <c r="AA140" s="1">
        <v>0</v>
      </c>
      <c r="AB140" s="1">
        <v>15</v>
      </c>
      <c r="AC140" s="1">
        <v>5</v>
      </c>
      <c r="AD140" s="1">
        <v>0</v>
      </c>
      <c r="AE140" s="1">
        <v>100</v>
      </c>
      <c r="AF140" s="1">
        <v>100</v>
      </c>
      <c r="AG140" s="1">
        <v>102205</v>
      </c>
      <c r="AH140" s="1">
        <v>0</v>
      </c>
      <c r="AI140" s="1">
        <v>300102</v>
      </c>
      <c r="AJ140" s="1" t="s">
        <v>1121</v>
      </c>
      <c r="AK140" s="1" t="s">
        <v>328</v>
      </c>
      <c r="AL140" s="1">
        <v>13</v>
      </c>
      <c r="AM140" s="1" t="s">
        <v>4790</v>
      </c>
      <c r="AN140" s="1" t="s">
        <v>388</v>
      </c>
      <c r="AO140" s="1" t="s">
        <v>4799</v>
      </c>
      <c r="AP140" s="1">
        <v>0</v>
      </c>
      <c r="AQ140" s="1" t="s">
        <v>1129</v>
      </c>
      <c r="AR140" s="1" t="s">
        <v>1119</v>
      </c>
      <c r="AS140" s="1" t="s">
        <v>1130</v>
      </c>
      <c r="AT140" s="1" t="s">
        <v>328</v>
      </c>
      <c r="AU140" s="1">
        <v>144</v>
      </c>
      <c r="AV140" s="1">
        <v>0</v>
      </c>
      <c r="AW140" s="1" t="s">
        <v>5048</v>
      </c>
      <c r="AX140" s="1" t="s">
        <v>485</v>
      </c>
      <c r="AY140" s="1">
        <v>3</v>
      </c>
      <c r="AZ140" s="1">
        <v>0</v>
      </c>
      <c r="BA140" s="1" t="s">
        <v>328</v>
      </c>
      <c r="BB140" s="1" t="s">
        <v>370</v>
      </c>
      <c r="BC140" s="1" t="s">
        <v>328</v>
      </c>
      <c r="BD140" s="1">
        <v>10303</v>
      </c>
      <c r="BE140" s="1"/>
      <c r="BH140">
        <f>COUNTIF(Dropdowns!$I:$AF,C140)</f>
        <v>1</v>
      </c>
    </row>
    <row r="141" spans="1:60" x14ac:dyDescent="0.3">
      <c r="A141" s="1">
        <v>145</v>
      </c>
      <c r="B141" s="1" t="s">
        <v>3238</v>
      </c>
      <c r="C141" s="207" t="s">
        <v>1630</v>
      </c>
      <c r="D141" s="1" t="s">
        <v>3239</v>
      </c>
      <c r="E141" s="1"/>
      <c r="F141" s="1"/>
      <c r="G141" s="1" t="s">
        <v>3240</v>
      </c>
      <c r="H141" s="1" t="s">
        <v>3241</v>
      </c>
      <c r="I141" s="1" t="s">
        <v>3242</v>
      </c>
      <c r="J141" s="1">
        <v>3</v>
      </c>
      <c r="K141" s="1">
        <v>3</v>
      </c>
      <c r="L141" s="1">
        <v>13800</v>
      </c>
      <c r="M141" s="1">
        <v>15</v>
      </c>
      <c r="N141" s="1">
        <v>30</v>
      </c>
      <c r="O141" s="1">
        <v>10</v>
      </c>
      <c r="P141" s="1">
        <v>15</v>
      </c>
      <c r="Q141" s="1">
        <v>5</v>
      </c>
      <c r="R141" s="1">
        <v>2</v>
      </c>
      <c r="S141" s="1">
        <v>5</v>
      </c>
      <c r="T141" s="1">
        <v>0</v>
      </c>
      <c r="U141" s="1">
        <v>90</v>
      </c>
      <c r="V141" s="1">
        <v>135</v>
      </c>
      <c r="W141" s="1">
        <v>90</v>
      </c>
      <c r="X141" s="1">
        <v>100</v>
      </c>
      <c r="Y141" s="1">
        <v>90</v>
      </c>
      <c r="Z141" s="1">
        <v>85</v>
      </c>
      <c r="AA141" s="1">
        <v>0</v>
      </c>
      <c r="AB141" s="1">
        <v>15</v>
      </c>
      <c r="AC141" s="1">
        <v>40</v>
      </c>
      <c r="AD141" s="1">
        <v>0</v>
      </c>
      <c r="AE141" s="1">
        <v>135</v>
      </c>
      <c r="AF141" s="1">
        <v>100</v>
      </c>
      <c r="AG141" s="1">
        <v>103005</v>
      </c>
      <c r="AH141" s="1">
        <v>0</v>
      </c>
      <c r="AI141" s="1">
        <v>300104</v>
      </c>
      <c r="AJ141" s="1" t="s">
        <v>1195</v>
      </c>
      <c r="AK141" s="1" t="s">
        <v>328</v>
      </c>
      <c r="AL141" s="1">
        <v>13</v>
      </c>
      <c r="AM141" s="1" t="s">
        <v>4762</v>
      </c>
      <c r="AN141" s="1" t="s">
        <v>4834</v>
      </c>
      <c r="AO141" s="1" t="s">
        <v>4826</v>
      </c>
      <c r="AP141" s="1">
        <v>0</v>
      </c>
      <c r="AQ141" s="1" t="s">
        <v>1140</v>
      </c>
      <c r="AR141" s="1" t="s">
        <v>4835</v>
      </c>
      <c r="AS141" s="1" t="s">
        <v>1142</v>
      </c>
      <c r="AT141" s="1" t="s">
        <v>328</v>
      </c>
      <c r="AU141" s="1">
        <v>145</v>
      </c>
      <c r="AV141" s="1">
        <v>0</v>
      </c>
      <c r="AW141" s="1" t="s">
        <v>5043</v>
      </c>
      <c r="AX141" s="1" t="s">
        <v>5049</v>
      </c>
      <c r="AY141" s="1">
        <v>3</v>
      </c>
      <c r="AZ141" s="1">
        <v>0</v>
      </c>
      <c r="BA141" s="1" t="s">
        <v>328</v>
      </c>
      <c r="BB141" s="1" t="s">
        <v>328</v>
      </c>
      <c r="BC141" s="1" t="s">
        <v>4757</v>
      </c>
      <c r="BD141" s="1">
        <v>10703</v>
      </c>
      <c r="BE141" s="1"/>
      <c r="BH141">
        <f>COUNTIF(Dropdowns!$I:$AF,C141)</f>
        <v>1</v>
      </c>
    </row>
    <row r="142" spans="1:60" x14ac:dyDescent="0.3">
      <c r="A142" s="1">
        <v>146</v>
      </c>
      <c r="B142" s="1" t="s">
        <v>3243</v>
      </c>
      <c r="C142" s="207" t="s">
        <v>226</v>
      </c>
      <c r="D142" s="1" t="s">
        <v>226</v>
      </c>
      <c r="E142" s="1"/>
      <c r="F142" s="1"/>
      <c r="G142" s="1" t="s">
        <v>3244</v>
      </c>
      <c r="H142" s="1" t="s">
        <v>3245</v>
      </c>
      <c r="I142" s="1" t="s">
        <v>3246</v>
      </c>
      <c r="J142" s="1">
        <v>3</v>
      </c>
      <c r="K142" s="1">
        <v>4</v>
      </c>
      <c r="L142" s="1">
        <v>15600</v>
      </c>
      <c r="M142" s="1">
        <v>15</v>
      </c>
      <c r="N142" s="1">
        <v>30</v>
      </c>
      <c r="O142" s="1">
        <v>10</v>
      </c>
      <c r="P142" s="1">
        <v>15</v>
      </c>
      <c r="Q142" s="1">
        <v>5</v>
      </c>
      <c r="R142" s="1">
        <v>2</v>
      </c>
      <c r="S142" s="1">
        <v>5</v>
      </c>
      <c r="T142" s="1">
        <v>0</v>
      </c>
      <c r="U142" s="1">
        <v>100</v>
      </c>
      <c r="V142" s="1">
        <v>110</v>
      </c>
      <c r="W142" s="1">
        <v>115</v>
      </c>
      <c r="X142" s="1">
        <v>100</v>
      </c>
      <c r="Y142" s="1">
        <v>120</v>
      </c>
      <c r="Z142" s="1">
        <v>85</v>
      </c>
      <c r="AA142" s="1">
        <v>0</v>
      </c>
      <c r="AB142" s="1">
        <v>15</v>
      </c>
      <c r="AC142" s="1">
        <v>40</v>
      </c>
      <c r="AD142" s="1">
        <v>0</v>
      </c>
      <c r="AE142" s="1">
        <v>120</v>
      </c>
      <c r="AF142" s="1">
        <v>100</v>
      </c>
      <c r="AG142" s="1">
        <v>100124</v>
      </c>
      <c r="AH142" s="1">
        <v>0</v>
      </c>
      <c r="AI142" s="1">
        <v>300104</v>
      </c>
      <c r="AJ142" s="1" t="s">
        <v>1196</v>
      </c>
      <c r="AK142" s="1" t="s">
        <v>328</v>
      </c>
      <c r="AL142" s="1">
        <v>13</v>
      </c>
      <c r="AM142" s="1" t="s">
        <v>4762</v>
      </c>
      <c r="AN142" s="1" t="s">
        <v>464</v>
      </c>
      <c r="AO142" s="1" t="s">
        <v>4832</v>
      </c>
      <c r="AP142" s="1">
        <v>0</v>
      </c>
      <c r="AQ142" s="1" t="s">
        <v>1140</v>
      </c>
      <c r="AR142" s="1" t="s">
        <v>1141</v>
      </c>
      <c r="AS142" s="1" t="s">
        <v>1142</v>
      </c>
      <c r="AT142" s="1" t="s">
        <v>328</v>
      </c>
      <c r="AU142" s="1">
        <v>146</v>
      </c>
      <c r="AV142" s="1">
        <v>0</v>
      </c>
      <c r="AW142" s="1" t="s">
        <v>5043</v>
      </c>
      <c r="AX142" s="1" t="s">
        <v>5049</v>
      </c>
      <c r="AY142" s="1">
        <v>4</v>
      </c>
      <c r="AZ142" s="1">
        <v>0</v>
      </c>
      <c r="BA142" s="1" t="s">
        <v>328</v>
      </c>
      <c r="BB142" s="1" t="s">
        <v>5050</v>
      </c>
      <c r="BC142" s="1" t="s">
        <v>4769</v>
      </c>
      <c r="BD142" s="1">
        <v>10701</v>
      </c>
      <c r="BE142" s="1"/>
      <c r="BH142">
        <f>COUNTIF(Dropdowns!$I:$AF,C142)</f>
        <v>1</v>
      </c>
    </row>
    <row r="143" spans="1:60" x14ac:dyDescent="0.3">
      <c r="A143" s="1">
        <v>147</v>
      </c>
      <c r="B143" s="1" t="s">
        <v>3247</v>
      </c>
      <c r="C143" s="207" t="s">
        <v>142</v>
      </c>
      <c r="D143" s="1" t="s">
        <v>3248</v>
      </c>
      <c r="E143" s="1"/>
      <c r="F143" s="1"/>
      <c r="G143" s="1" t="s">
        <v>3249</v>
      </c>
      <c r="H143" s="1" t="s">
        <v>3250</v>
      </c>
      <c r="I143" s="1" t="s">
        <v>3251</v>
      </c>
      <c r="J143" s="1">
        <v>3</v>
      </c>
      <c r="K143" s="1">
        <v>3</v>
      </c>
      <c r="L143" s="1">
        <v>13800</v>
      </c>
      <c r="M143" s="1">
        <v>15</v>
      </c>
      <c r="N143" s="1">
        <v>30</v>
      </c>
      <c r="O143" s="1">
        <v>10</v>
      </c>
      <c r="P143" s="1">
        <v>15</v>
      </c>
      <c r="Q143" s="1">
        <v>5</v>
      </c>
      <c r="R143" s="1">
        <v>2</v>
      </c>
      <c r="S143" s="1">
        <v>5</v>
      </c>
      <c r="T143" s="1">
        <v>0</v>
      </c>
      <c r="U143" s="1">
        <v>90</v>
      </c>
      <c r="V143" s="1">
        <v>120</v>
      </c>
      <c r="W143" s="1">
        <v>85</v>
      </c>
      <c r="X143" s="1">
        <v>100</v>
      </c>
      <c r="Y143" s="1">
        <v>125</v>
      </c>
      <c r="Z143" s="1">
        <v>115</v>
      </c>
      <c r="AA143" s="1">
        <v>0</v>
      </c>
      <c r="AB143" s="1">
        <v>15</v>
      </c>
      <c r="AC143" s="1">
        <v>40</v>
      </c>
      <c r="AD143" s="1">
        <v>0</v>
      </c>
      <c r="AE143" s="1">
        <v>120</v>
      </c>
      <c r="AF143" s="1">
        <v>100</v>
      </c>
      <c r="AG143" s="1">
        <v>100102</v>
      </c>
      <c r="AH143" s="1">
        <v>0</v>
      </c>
      <c r="AI143" s="1">
        <v>300104</v>
      </c>
      <c r="AJ143" s="1" t="s">
        <v>1125</v>
      </c>
      <c r="AK143" s="1" t="s">
        <v>328</v>
      </c>
      <c r="AL143" s="1">
        <v>13</v>
      </c>
      <c r="AM143" s="1" t="s">
        <v>4762</v>
      </c>
      <c r="AN143" s="1" t="s">
        <v>475</v>
      </c>
      <c r="AO143" s="1" t="s">
        <v>4826</v>
      </c>
      <c r="AP143" s="1">
        <v>0</v>
      </c>
      <c r="AQ143" s="1" t="s">
        <v>1140</v>
      </c>
      <c r="AR143" s="1" t="s">
        <v>1141</v>
      </c>
      <c r="AS143" s="1" t="s">
        <v>1142</v>
      </c>
      <c r="AT143" s="1" t="s">
        <v>328</v>
      </c>
      <c r="AU143" s="1">
        <v>147</v>
      </c>
      <c r="AV143" s="1">
        <v>0</v>
      </c>
      <c r="AW143" s="1" t="s">
        <v>5051</v>
      </c>
      <c r="AX143" s="1" t="s">
        <v>485</v>
      </c>
      <c r="AY143" s="1">
        <v>3</v>
      </c>
      <c r="AZ143" s="1">
        <v>0</v>
      </c>
      <c r="BA143" s="1" t="s">
        <v>328</v>
      </c>
      <c r="BB143" s="1" t="s">
        <v>367</v>
      </c>
      <c r="BC143" s="1" t="s">
        <v>328</v>
      </c>
      <c r="BD143" s="1">
        <v>10803</v>
      </c>
      <c r="BE143" s="1"/>
      <c r="BH143">
        <f>COUNTIF(Dropdowns!$I:$AF,C143)</f>
        <v>1</v>
      </c>
    </row>
    <row r="144" spans="1:60" x14ac:dyDescent="0.3">
      <c r="A144" s="1">
        <v>148</v>
      </c>
      <c r="B144" s="1" t="s">
        <v>3252</v>
      </c>
      <c r="C144" s="207" t="s">
        <v>143</v>
      </c>
      <c r="D144" s="1" t="s">
        <v>3253</v>
      </c>
      <c r="E144" s="1"/>
      <c r="F144" s="1"/>
      <c r="G144" s="1" t="s">
        <v>3254</v>
      </c>
      <c r="H144" s="1" t="s">
        <v>3255</v>
      </c>
      <c r="I144" s="1" t="s">
        <v>3256</v>
      </c>
      <c r="J144" s="1">
        <v>3</v>
      </c>
      <c r="K144" s="1">
        <v>5</v>
      </c>
      <c r="L144" s="1">
        <v>17520</v>
      </c>
      <c r="M144" s="1">
        <v>15</v>
      </c>
      <c r="N144" s="1">
        <v>30</v>
      </c>
      <c r="O144" s="1">
        <v>10</v>
      </c>
      <c r="P144" s="1">
        <v>15</v>
      </c>
      <c r="Q144" s="1">
        <v>5</v>
      </c>
      <c r="R144" s="1">
        <v>2</v>
      </c>
      <c r="S144" s="1">
        <v>5</v>
      </c>
      <c r="T144" s="1">
        <v>0</v>
      </c>
      <c r="U144" s="1">
        <v>100</v>
      </c>
      <c r="V144" s="1">
        <v>142</v>
      </c>
      <c r="W144" s="1">
        <v>90</v>
      </c>
      <c r="X144" s="1">
        <v>100</v>
      </c>
      <c r="Y144" s="1">
        <v>110</v>
      </c>
      <c r="Z144" s="1">
        <v>80</v>
      </c>
      <c r="AA144" s="1">
        <v>0</v>
      </c>
      <c r="AB144" s="1">
        <v>15</v>
      </c>
      <c r="AC144" s="1">
        <v>40</v>
      </c>
      <c r="AD144" s="1">
        <v>0</v>
      </c>
      <c r="AE144" s="1">
        <v>130</v>
      </c>
      <c r="AF144" s="1">
        <v>100</v>
      </c>
      <c r="AG144" s="1">
        <v>105705</v>
      </c>
      <c r="AH144" s="1">
        <v>0</v>
      </c>
      <c r="AI144" s="1">
        <v>301704</v>
      </c>
      <c r="AJ144" s="1" t="s">
        <v>1197</v>
      </c>
      <c r="AK144" s="1" t="s">
        <v>328</v>
      </c>
      <c r="AL144" s="1">
        <v>13</v>
      </c>
      <c r="AM144" s="1" t="s">
        <v>4762</v>
      </c>
      <c r="AN144" s="1" t="s">
        <v>464</v>
      </c>
      <c r="AO144" s="1" t="s">
        <v>4845</v>
      </c>
      <c r="AP144" s="1">
        <v>0</v>
      </c>
      <c r="AQ144" s="1" t="s">
        <v>1140</v>
      </c>
      <c r="AR144" s="1" t="s">
        <v>1141</v>
      </c>
      <c r="AS144" s="1" t="s">
        <v>1142</v>
      </c>
      <c r="AT144" s="1" t="s">
        <v>328</v>
      </c>
      <c r="AU144" s="1">
        <v>148</v>
      </c>
      <c r="AV144" s="1">
        <v>0</v>
      </c>
      <c r="AW144" s="1" t="s">
        <v>5052</v>
      </c>
      <c r="AX144" s="1" t="s">
        <v>331</v>
      </c>
      <c r="AY144" s="1">
        <v>5</v>
      </c>
      <c r="AZ144" s="1">
        <v>0</v>
      </c>
      <c r="BA144" s="1" t="s">
        <v>328</v>
      </c>
      <c r="BB144" s="1" t="s">
        <v>5053</v>
      </c>
      <c r="BC144" s="1" t="s">
        <v>328</v>
      </c>
      <c r="BD144" s="1">
        <v>10203</v>
      </c>
      <c r="BE144" s="1"/>
      <c r="BH144">
        <f>COUNTIF(Dropdowns!$I:$AF,C144)</f>
        <v>1</v>
      </c>
    </row>
    <row r="145" spans="1:60" x14ac:dyDescent="0.3">
      <c r="A145" s="1">
        <v>149</v>
      </c>
      <c r="B145" s="1" t="s">
        <v>3257</v>
      </c>
      <c r="C145" s="207" t="s">
        <v>1631</v>
      </c>
      <c r="D145" s="1" t="s">
        <v>1631</v>
      </c>
      <c r="E145" s="1"/>
      <c r="F145" s="1"/>
      <c r="G145" s="1" t="s">
        <v>3258</v>
      </c>
      <c r="H145" s="1" t="s">
        <v>3259</v>
      </c>
      <c r="I145" s="1" t="s">
        <v>3260</v>
      </c>
      <c r="J145" s="1">
        <v>5</v>
      </c>
      <c r="K145" s="1">
        <v>4</v>
      </c>
      <c r="L145" s="1">
        <v>22800</v>
      </c>
      <c r="M145" s="1">
        <v>40</v>
      </c>
      <c r="N145" s="1">
        <v>30</v>
      </c>
      <c r="O145" s="1">
        <v>25</v>
      </c>
      <c r="P145" s="1">
        <v>15</v>
      </c>
      <c r="Q145" s="1">
        <v>5</v>
      </c>
      <c r="R145" s="1">
        <v>5</v>
      </c>
      <c r="S145" s="1">
        <v>2</v>
      </c>
      <c r="T145" s="1">
        <v>5</v>
      </c>
      <c r="U145" s="1">
        <v>100</v>
      </c>
      <c r="V145" s="1">
        <v>115</v>
      </c>
      <c r="W145" s="1">
        <v>115</v>
      </c>
      <c r="X145" s="1">
        <v>100</v>
      </c>
      <c r="Y145" s="1">
        <v>125</v>
      </c>
      <c r="Z145" s="1">
        <v>120</v>
      </c>
      <c r="AA145" s="1">
        <v>0</v>
      </c>
      <c r="AB145" s="1">
        <v>15</v>
      </c>
      <c r="AC145" s="1">
        <v>5</v>
      </c>
      <c r="AD145" s="1">
        <v>10</v>
      </c>
      <c r="AE145" s="1">
        <v>110</v>
      </c>
      <c r="AF145" s="1">
        <v>100</v>
      </c>
      <c r="AG145" s="1">
        <v>105204</v>
      </c>
      <c r="AH145" s="1">
        <v>0</v>
      </c>
      <c r="AI145" s="1">
        <v>300105</v>
      </c>
      <c r="AJ145" s="1" t="s">
        <v>1166</v>
      </c>
      <c r="AK145" s="1" t="s">
        <v>328</v>
      </c>
      <c r="AL145" s="1">
        <v>18</v>
      </c>
      <c r="AM145" s="1" t="s">
        <v>4858</v>
      </c>
      <c r="AN145" s="1" t="s">
        <v>4931</v>
      </c>
      <c r="AO145" s="1" t="s">
        <v>5054</v>
      </c>
      <c r="AP145" s="1">
        <v>0</v>
      </c>
      <c r="AQ145" s="1" t="s">
        <v>1167</v>
      </c>
      <c r="AR145" s="1" t="s">
        <v>1168</v>
      </c>
      <c r="AS145" s="1" t="s">
        <v>1169</v>
      </c>
      <c r="AT145" s="1" t="s">
        <v>328</v>
      </c>
      <c r="AU145" s="1">
        <v>149</v>
      </c>
      <c r="AV145" s="1">
        <v>0</v>
      </c>
      <c r="AW145" s="1" t="s">
        <v>5052</v>
      </c>
      <c r="AX145" s="1" t="s">
        <v>331</v>
      </c>
      <c r="AY145" s="1">
        <v>4</v>
      </c>
      <c r="AZ145" s="1">
        <v>0</v>
      </c>
      <c r="BA145" s="1" t="s">
        <v>328</v>
      </c>
      <c r="BB145" s="1" t="s">
        <v>5055</v>
      </c>
      <c r="BC145" s="1" t="s">
        <v>4757</v>
      </c>
      <c r="BD145" s="1">
        <v>10202</v>
      </c>
      <c r="BE145" s="1"/>
      <c r="BH145">
        <f>COUNTIF(Dropdowns!$I:$AF,C145)</f>
        <v>1</v>
      </c>
    </row>
    <row r="146" spans="1:60" x14ac:dyDescent="0.3">
      <c r="A146" s="1">
        <v>150</v>
      </c>
      <c r="B146" s="1" t="s">
        <v>3261</v>
      </c>
      <c r="C146" s="207" t="s">
        <v>144</v>
      </c>
      <c r="D146" s="1" t="s">
        <v>144</v>
      </c>
      <c r="E146" s="1"/>
      <c r="F146" s="1"/>
      <c r="G146" s="1" t="s">
        <v>3262</v>
      </c>
      <c r="H146" s="1" t="s">
        <v>3263</v>
      </c>
      <c r="I146" s="1" t="s">
        <v>3264</v>
      </c>
      <c r="J146" s="1">
        <v>2</v>
      </c>
      <c r="K146" s="1">
        <v>4</v>
      </c>
      <c r="L146" s="1">
        <v>8280</v>
      </c>
      <c r="M146" s="1">
        <v>25</v>
      </c>
      <c r="N146" s="1">
        <v>20</v>
      </c>
      <c r="O146" s="1">
        <v>15</v>
      </c>
      <c r="P146" s="1">
        <v>10</v>
      </c>
      <c r="Q146" s="1">
        <v>5</v>
      </c>
      <c r="R146" s="1">
        <v>5</v>
      </c>
      <c r="S146" s="1">
        <v>2</v>
      </c>
      <c r="T146" s="1">
        <v>0</v>
      </c>
      <c r="U146" s="1">
        <v>95</v>
      </c>
      <c r="V146" s="1">
        <v>90</v>
      </c>
      <c r="W146" s="1">
        <v>120</v>
      </c>
      <c r="X146" s="1">
        <v>100</v>
      </c>
      <c r="Y146" s="1">
        <v>115</v>
      </c>
      <c r="Z146" s="1">
        <v>125</v>
      </c>
      <c r="AA146" s="1">
        <v>0</v>
      </c>
      <c r="AB146" s="1">
        <v>15</v>
      </c>
      <c r="AC146" s="1">
        <v>5</v>
      </c>
      <c r="AD146" s="1">
        <v>0</v>
      </c>
      <c r="AE146" s="1">
        <v>115</v>
      </c>
      <c r="AF146" s="1">
        <v>100</v>
      </c>
      <c r="AG146" s="1">
        <v>100203</v>
      </c>
      <c r="AH146" s="1">
        <v>0</v>
      </c>
      <c r="AI146" s="1">
        <v>300102</v>
      </c>
      <c r="AJ146" s="1" t="s">
        <v>1198</v>
      </c>
      <c r="AK146" s="1" t="s">
        <v>328</v>
      </c>
      <c r="AL146" s="1">
        <v>13</v>
      </c>
      <c r="AM146" s="1" t="s">
        <v>4790</v>
      </c>
      <c r="AN146" s="1" t="s">
        <v>388</v>
      </c>
      <c r="AO146" s="1" t="s">
        <v>5056</v>
      </c>
      <c r="AP146" s="1">
        <v>0</v>
      </c>
      <c r="AQ146" s="1" t="s">
        <v>1129</v>
      </c>
      <c r="AR146" s="1" t="s">
        <v>1119</v>
      </c>
      <c r="AS146" s="1" t="s">
        <v>1130</v>
      </c>
      <c r="AT146" s="1" t="s">
        <v>328</v>
      </c>
      <c r="AU146" s="1">
        <v>150</v>
      </c>
      <c r="AV146" s="1">
        <v>0</v>
      </c>
      <c r="AW146" s="1" t="s">
        <v>5052</v>
      </c>
      <c r="AX146" s="1" t="s">
        <v>331</v>
      </c>
      <c r="AY146" s="1">
        <v>4</v>
      </c>
      <c r="AZ146" s="1">
        <v>0</v>
      </c>
      <c r="BA146" s="1" t="s">
        <v>328</v>
      </c>
      <c r="BB146" s="1" t="s">
        <v>328</v>
      </c>
      <c r="BC146" s="1" t="s">
        <v>328</v>
      </c>
      <c r="BD146" s="1">
        <v>10302</v>
      </c>
      <c r="BE146" s="1"/>
      <c r="BH146">
        <f>COUNTIF(Dropdowns!$I:$AF,C146)</f>
        <v>1</v>
      </c>
    </row>
    <row r="147" spans="1:60" x14ac:dyDescent="0.3">
      <c r="A147" s="1">
        <v>151</v>
      </c>
      <c r="B147" s="1" t="s">
        <v>3265</v>
      </c>
      <c r="C147" s="207" t="s">
        <v>145</v>
      </c>
      <c r="D147" s="1" t="s">
        <v>145</v>
      </c>
      <c r="E147" s="1"/>
      <c r="F147" s="1"/>
      <c r="G147" s="1" t="s">
        <v>3266</v>
      </c>
      <c r="H147" s="1" t="s">
        <v>3267</v>
      </c>
      <c r="I147" s="1" t="s">
        <v>3268</v>
      </c>
      <c r="J147" s="1">
        <v>6</v>
      </c>
      <c r="K147" s="1">
        <v>5</v>
      </c>
      <c r="L147" s="1">
        <v>29100</v>
      </c>
      <c r="M147" s="1">
        <v>30</v>
      </c>
      <c r="N147" s="1">
        <v>40</v>
      </c>
      <c r="O147" s="1">
        <v>15</v>
      </c>
      <c r="P147" s="1">
        <v>25</v>
      </c>
      <c r="Q147" s="1">
        <v>5</v>
      </c>
      <c r="R147" s="1">
        <v>2</v>
      </c>
      <c r="S147" s="1">
        <v>5</v>
      </c>
      <c r="T147" s="1">
        <v>5</v>
      </c>
      <c r="U147" s="1">
        <v>125</v>
      </c>
      <c r="V147" s="1">
        <v>125</v>
      </c>
      <c r="W147" s="1">
        <v>80</v>
      </c>
      <c r="X147" s="1">
        <v>100</v>
      </c>
      <c r="Y147" s="1">
        <v>95</v>
      </c>
      <c r="Z147" s="1">
        <v>95</v>
      </c>
      <c r="AA147" s="1">
        <v>120</v>
      </c>
      <c r="AB147" s="1">
        <v>15</v>
      </c>
      <c r="AC147" s="1">
        <v>40</v>
      </c>
      <c r="AD147" s="1">
        <v>4</v>
      </c>
      <c r="AE147" s="1">
        <v>115</v>
      </c>
      <c r="AF147" s="1">
        <v>100</v>
      </c>
      <c r="AG147" s="1">
        <v>103201</v>
      </c>
      <c r="AH147" s="1">
        <v>0</v>
      </c>
      <c r="AI147" s="1">
        <v>300106</v>
      </c>
      <c r="AJ147" s="1" t="s">
        <v>1199</v>
      </c>
      <c r="AK147" s="1" t="s">
        <v>328</v>
      </c>
      <c r="AL147" s="1">
        <v>8</v>
      </c>
      <c r="AM147" s="1" t="s">
        <v>4716</v>
      </c>
      <c r="AN147" s="1" t="s">
        <v>476</v>
      </c>
      <c r="AO147" s="1" t="s">
        <v>5057</v>
      </c>
      <c r="AP147" s="1">
        <v>0</v>
      </c>
      <c r="AQ147" s="1" t="s">
        <v>1200</v>
      </c>
      <c r="AR147" s="1" t="s">
        <v>1201</v>
      </c>
      <c r="AS147" s="1" t="s">
        <v>1202</v>
      </c>
      <c r="AT147" s="1" t="s">
        <v>328</v>
      </c>
      <c r="AU147" s="1">
        <v>151</v>
      </c>
      <c r="AV147" s="1">
        <v>0</v>
      </c>
      <c r="AW147" s="1" t="s">
        <v>5043</v>
      </c>
      <c r="AX147" s="1" t="s">
        <v>5058</v>
      </c>
      <c r="AY147" s="1">
        <v>5</v>
      </c>
      <c r="AZ147" s="1">
        <v>0</v>
      </c>
      <c r="BA147" s="1" t="s">
        <v>328</v>
      </c>
      <c r="BB147" s="1" t="s">
        <v>328</v>
      </c>
      <c r="BC147" s="1" t="s">
        <v>4720</v>
      </c>
      <c r="BD147" s="1">
        <v>10202</v>
      </c>
      <c r="BE147" s="1"/>
      <c r="BH147">
        <f>COUNTIF(Dropdowns!$I:$AF,C147)</f>
        <v>1</v>
      </c>
    </row>
    <row r="148" spans="1:60" x14ac:dyDescent="0.3">
      <c r="A148" s="1">
        <v>152</v>
      </c>
      <c r="B148" s="1" t="s">
        <v>3269</v>
      </c>
      <c r="C148" s="207" t="s">
        <v>146</v>
      </c>
      <c r="D148" s="1" t="s">
        <v>146</v>
      </c>
      <c r="E148" s="1"/>
      <c r="F148" s="1"/>
      <c r="G148" s="1" t="s">
        <v>3270</v>
      </c>
      <c r="H148" s="1" t="s">
        <v>3271</v>
      </c>
      <c r="I148" s="1" t="s">
        <v>3272</v>
      </c>
      <c r="J148" s="1">
        <v>6</v>
      </c>
      <c r="K148" s="1">
        <v>3</v>
      </c>
      <c r="L148" s="1">
        <v>27000</v>
      </c>
      <c r="M148" s="1">
        <v>30</v>
      </c>
      <c r="N148" s="1">
        <v>40</v>
      </c>
      <c r="O148" s="1">
        <v>15</v>
      </c>
      <c r="P148" s="1">
        <v>25</v>
      </c>
      <c r="Q148" s="1">
        <v>5</v>
      </c>
      <c r="R148" s="1">
        <v>2</v>
      </c>
      <c r="S148" s="1">
        <v>5</v>
      </c>
      <c r="T148" s="1">
        <v>5</v>
      </c>
      <c r="U148" s="1">
        <v>115</v>
      </c>
      <c r="V148" s="1">
        <v>120</v>
      </c>
      <c r="W148" s="1">
        <v>100</v>
      </c>
      <c r="X148" s="1">
        <v>100</v>
      </c>
      <c r="Y148" s="1">
        <v>100</v>
      </c>
      <c r="Z148" s="1">
        <v>95</v>
      </c>
      <c r="AA148" s="1">
        <v>115</v>
      </c>
      <c r="AB148" s="1">
        <v>15</v>
      </c>
      <c r="AC148" s="1">
        <v>40</v>
      </c>
      <c r="AD148" s="1">
        <v>4</v>
      </c>
      <c r="AE148" s="1">
        <v>100</v>
      </c>
      <c r="AF148" s="1">
        <v>100</v>
      </c>
      <c r="AG148" s="1">
        <v>103202</v>
      </c>
      <c r="AH148" s="1">
        <v>0</v>
      </c>
      <c r="AI148" s="1">
        <v>300106</v>
      </c>
      <c r="AJ148" s="1" t="s">
        <v>1203</v>
      </c>
      <c r="AK148" s="1" t="s">
        <v>328</v>
      </c>
      <c r="AL148" s="1">
        <v>8</v>
      </c>
      <c r="AM148" s="1" t="s">
        <v>4716</v>
      </c>
      <c r="AN148" s="1" t="s">
        <v>334</v>
      </c>
      <c r="AO148" s="1" t="s">
        <v>5059</v>
      </c>
      <c r="AP148" s="1">
        <v>0</v>
      </c>
      <c r="AQ148" s="1" t="s">
        <v>1200</v>
      </c>
      <c r="AR148" s="1" t="s">
        <v>5060</v>
      </c>
      <c r="AS148" s="1" t="s">
        <v>1202</v>
      </c>
      <c r="AT148" s="1" t="s">
        <v>328</v>
      </c>
      <c r="AU148" s="1">
        <v>152</v>
      </c>
      <c r="AV148" s="1">
        <v>0</v>
      </c>
      <c r="AW148" s="1" t="s">
        <v>5061</v>
      </c>
      <c r="AX148" s="1" t="s">
        <v>4719</v>
      </c>
      <c r="AY148" s="1">
        <v>3</v>
      </c>
      <c r="AZ148" s="1">
        <v>0</v>
      </c>
      <c r="BA148" s="1" t="s">
        <v>4765</v>
      </c>
      <c r="BB148" s="1" t="s">
        <v>328</v>
      </c>
      <c r="BC148" s="1" t="s">
        <v>4720</v>
      </c>
      <c r="BD148" s="1">
        <v>10303</v>
      </c>
      <c r="BE148" s="1"/>
      <c r="BH148">
        <f>COUNTIF(Dropdowns!$I:$AF,C148)</f>
        <v>1</v>
      </c>
    </row>
    <row r="149" spans="1:60" x14ac:dyDescent="0.3">
      <c r="A149" s="1">
        <v>153</v>
      </c>
      <c r="B149" s="1" t="s">
        <v>3273</v>
      </c>
      <c r="C149" s="207" t="s">
        <v>147</v>
      </c>
      <c r="D149" s="1" t="s">
        <v>3274</v>
      </c>
      <c r="E149" s="1"/>
      <c r="F149" s="1"/>
      <c r="G149" s="1" t="s">
        <v>3275</v>
      </c>
      <c r="H149" s="1" t="s">
        <v>3276</v>
      </c>
      <c r="I149" s="1" t="s">
        <v>3277</v>
      </c>
      <c r="J149" s="1">
        <v>6</v>
      </c>
      <c r="K149" s="1">
        <v>4</v>
      </c>
      <c r="L149" s="1">
        <v>27900</v>
      </c>
      <c r="M149" s="1">
        <v>30</v>
      </c>
      <c r="N149" s="1">
        <v>40</v>
      </c>
      <c r="O149" s="1">
        <v>15</v>
      </c>
      <c r="P149" s="1">
        <v>25</v>
      </c>
      <c r="Q149" s="1">
        <v>5</v>
      </c>
      <c r="R149" s="1">
        <v>2</v>
      </c>
      <c r="S149" s="1">
        <v>5</v>
      </c>
      <c r="T149" s="1">
        <v>5</v>
      </c>
      <c r="U149" s="1">
        <v>115</v>
      </c>
      <c r="V149" s="1">
        <v>125</v>
      </c>
      <c r="W149" s="1">
        <v>105</v>
      </c>
      <c r="X149" s="1">
        <v>100</v>
      </c>
      <c r="Y149" s="1">
        <v>120</v>
      </c>
      <c r="Z149" s="1">
        <v>115</v>
      </c>
      <c r="AA149" s="1">
        <v>120</v>
      </c>
      <c r="AB149" s="1">
        <v>15</v>
      </c>
      <c r="AC149" s="1">
        <v>40</v>
      </c>
      <c r="AD149" s="1">
        <v>4</v>
      </c>
      <c r="AE149" s="1">
        <v>90</v>
      </c>
      <c r="AF149" s="1">
        <v>100</v>
      </c>
      <c r="AG149" s="1">
        <v>103203</v>
      </c>
      <c r="AH149" s="1">
        <v>0</v>
      </c>
      <c r="AI149" s="1">
        <v>300106</v>
      </c>
      <c r="AJ149" s="1" t="s">
        <v>1199</v>
      </c>
      <c r="AK149" s="1" t="s">
        <v>328</v>
      </c>
      <c r="AL149" s="1">
        <v>8</v>
      </c>
      <c r="AM149" s="1" t="s">
        <v>4716</v>
      </c>
      <c r="AN149" s="1" t="s">
        <v>398</v>
      </c>
      <c r="AO149" s="1" t="s">
        <v>4824</v>
      </c>
      <c r="AP149" s="1">
        <v>0</v>
      </c>
      <c r="AQ149" s="1" t="s">
        <v>1200</v>
      </c>
      <c r="AR149" s="1" t="s">
        <v>1201</v>
      </c>
      <c r="AS149" s="1" t="s">
        <v>1202</v>
      </c>
      <c r="AT149" s="1" t="s">
        <v>328</v>
      </c>
      <c r="AU149" s="1">
        <v>153</v>
      </c>
      <c r="AV149" s="1">
        <v>0</v>
      </c>
      <c r="AW149" s="1" t="s">
        <v>5037</v>
      </c>
      <c r="AX149" s="1" t="s">
        <v>4719</v>
      </c>
      <c r="AY149" s="1">
        <v>4</v>
      </c>
      <c r="AZ149" s="1">
        <v>0</v>
      </c>
      <c r="BA149" s="1" t="s">
        <v>328</v>
      </c>
      <c r="BB149" s="1" t="s">
        <v>328</v>
      </c>
      <c r="BC149" s="1" t="s">
        <v>4720</v>
      </c>
      <c r="BD149" s="1">
        <v>10702</v>
      </c>
      <c r="BE149" s="1"/>
      <c r="BH149">
        <f>COUNTIF(Dropdowns!$I:$AF,C149)</f>
        <v>1</v>
      </c>
    </row>
    <row r="150" spans="1:60" x14ac:dyDescent="0.3">
      <c r="A150" s="1">
        <v>154</v>
      </c>
      <c r="B150" s="1" t="s">
        <v>3278</v>
      </c>
      <c r="C150" s="207" t="s">
        <v>148</v>
      </c>
      <c r="D150" s="1" t="s">
        <v>148</v>
      </c>
      <c r="E150" s="1"/>
      <c r="F150" s="1"/>
      <c r="G150" s="1" t="s">
        <v>3279</v>
      </c>
      <c r="H150" s="1" t="s">
        <v>3280</v>
      </c>
      <c r="I150" s="1" t="s">
        <v>3281</v>
      </c>
      <c r="J150" s="1">
        <v>6</v>
      </c>
      <c r="K150" s="1">
        <v>3</v>
      </c>
      <c r="L150" s="1">
        <v>26400</v>
      </c>
      <c r="M150" s="1">
        <v>30</v>
      </c>
      <c r="N150" s="1">
        <v>40</v>
      </c>
      <c r="O150" s="1">
        <v>15</v>
      </c>
      <c r="P150" s="1">
        <v>25</v>
      </c>
      <c r="Q150" s="1">
        <v>5</v>
      </c>
      <c r="R150" s="1">
        <v>2</v>
      </c>
      <c r="S150" s="1">
        <v>5</v>
      </c>
      <c r="T150" s="1">
        <v>5</v>
      </c>
      <c r="U150" s="1">
        <v>120</v>
      </c>
      <c r="V150" s="1">
        <v>110</v>
      </c>
      <c r="W150" s="1">
        <v>115</v>
      </c>
      <c r="X150" s="1">
        <v>100</v>
      </c>
      <c r="Y150" s="1">
        <v>105</v>
      </c>
      <c r="Z150" s="1">
        <v>90</v>
      </c>
      <c r="AA150" s="1">
        <v>115</v>
      </c>
      <c r="AB150" s="1">
        <v>15</v>
      </c>
      <c r="AC150" s="1">
        <v>40</v>
      </c>
      <c r="AD150" s="1">
        <v>4</v>
      </c>
      <c r="AE150" s="1">
        <v>95</v>
      </c>
      <c r="AF150" s="1">
        <v>100</v>
      </c>
      <c r="AG150" s="1">
        <v>105302</v>
      </c>
      <c r="AH150" s="1">
        <v>0</v>
      </c>
      <c r="AI150" s="1">
        <v>300106</v>
      </c>
      <c r="AJ150" s="1" t="s">
        <v>1203</v>
      </c>
      <c r="AK150" s="1" t="s">
        <v>328</v>
      </c>
      <c r="AL150" s="1">
        <v>7</v>
      </c>
      <c r="AM150" s="1" t="s">
        <v>4716</v>
      </c>
      <c r="AN150" s="1" t="s">
        <v>470</v>
      </c>
      <c r="AO150" s="1" t="s">
        <v>4824</v>
      </c>
      <c r="AP150" s="1">
        <v>0</v>
      </c>
      <c r="AQ150" s="1" t="s">
        <v>1200</v>
      </c>
      <c r="AR150" s="1" t="s">
        <v>1201</v>
      </c>
      <c r="AS150" s="1" t="s">
        <v>5062</v>
      </c>
      <c r="AT150" s="1" t="s">
        <v>328</v>
      </c>
      <c r="AU150" s="1">
        <v>154</v>
      </c>
      <c r="AV150" s="1">
        <v>0</v>
      </c>
      <c r="AW150" s="1" t="s">
        <v>5037</v>
      </c>
      <c r="AX150" s="1" t="s">
        <v>4719</v>
      </c>
      <c r="AY150" s="1">
        <v>3</v>
      </c>
      <c r="AZ150" s="1">
        <v>0</v>
      </c>
      <c r="BA150" s="1" t="s">
        <v>4765</v>
      </c>
      <c r="BB150" s="1" t="s">
        <v>328</v>
      </c>
      <c r="BC150" s="1" t="s">
        <v>4720</v>
      </c>
      <c r="BD150" s="1">
        <v>10802</v>
      </c>
      <c r="BE150" s="1"/>
      <c r="BH150">
        <f>COUNTIF(Dropdowns!$I:$AF,C150)</f>
        <v>1</v>
      </c>
    </row>
    <row r="151" spans="1:60" x14ac:dyDescent="0.3">
      <c r="A151" s="1">
        <v>155</v>
      </c>
      <c r="B151" s="1" t="s">
        <v>3282</v>
      </c>
      <c r="C151" s="207" t="s">
        <v>149</v>
      </c>
      <c r="D151" s="1" t="s">
        <v>149</v>
      </c>
      <c r="E151" s="1"/>
      <c r="F151" s="1"/>
      <c r="G151" s="1" t="s">
        <v>3283</v>
      </c>
      <c r="H151" s="1" t="s">
        <v>3284</v>
      </c>
      <c r="I151" s="1" t="s">
        <v>3285</v>
      </c>
      <c r="J151" s="1">
        <v>6</v>
      </c>
      <c r="K151" s="1">
        <v>4</v>
      </c>
      <c r="L151" s="1">
        <v>27600</v>
      </c>
      <c r="M151" s="1">
        <v>30</v>
      </c>
      <c r="N151" s="1">
        <v>40</v>
      </c>
      <c r="O151" s="1">
        <v>15</v>
      </c>
      <c r="P151" s="1">
        <v>25</v>
      </c>
      <c r="Q151" s="1">
        <v>5</v>
      </c>
      <c r="R151" s="1">
        <v>2</v>
      </c>
      <c r="S151" s="1">
        <v>5</v>
      </c>
      <c r="T151" s="1">
        <v>5</v>
      </c>
      <c r="U151" s="1">
        <v>120</v>
      </c>
      <c r="V151" s="1">
        <v>115</v>
      </c>
      <c r="W151" s="1">
        <v>120</v>
      </c>
      <c r="X151" s="1">
        <v>100</v>
      </c>
      <c r="Y151" s="1">
        <v>105</v>
      </c>
      <c r="Z151" s="1">
        <v>90</v>
      </c>
      <c r="AA151" s="1">
        <v>120</v>
      </c>
      <c r="AB151" s="1">
        <v>15</v>
      </c>
      <c r="AC151" s="1">
        <v>40</v>
      </c>
      <c r="AD151" s="1">
        <v>4</v>
      </c>
      <c r="AE151" s="1">
        <v>95</v>
      </c>
      <c r="AF151" s="1">
        <v>100</v>
      </c>
      <c r="AG151" s="1">
        <v>105303</v>
      </c>
      <c r="AH151" s="1">
        <v>0</v>
      </c>
      <c r="AI151" s="1">
        <v>300106</v>
      </c>
      <c r="AJ151" s="1" t="s">
        <v>1199</v>
      </c>
      <c r="AK151" s="1" t="s">
        <v>328</v>
      </c>
      <c r="AL151" s="1">
        <v>9</v>
      </c>
      <c r="AM151" s="1" t="s">
        <v>4716</v>
      </c>
      <c r="AN151" s="1" t="s">
        <v>335</v>
      </c>
      <c r="AO151" s="1" t="s">
        <v>5023</v>
      </c>
      <c r="AP151" s="1">
        <v>0</v>
      </c>
      <c r="AQ151" s="1" t="s">
        <v>1200</v>
      </c>
      <c r="AR151" s="1" t="s">
        <v>1201</v>
      </c>
      <c r="AS151" s="1" t="s">
        <v>1202</v>
      </c>
      <c r="AT151" s="1" t="s">
        <v>328</v>
      </c>
      <c r="AU151" s="1">
        <v>155</v>
      </c>
      <c r="AV151" s="1">
        <v>0</v>
      </c>
      <c r="AW151" s="1" t="s">
        <v>5037</v>
      </c>
      <c r="AX151" s="1" t="s">
        <v>4719</v>
      </c>
      <c r="AY151" s="1">
        <v>4</v>
      </c>
      <c r="AZ151" s="1">
        <v>0</v>
      </c>
      <c r="BA151" s="1" t="s">
        <v>328</v>
      </c>
      <c r="BB151" s="1" t="s">
        <v>4759</v>
      </c>
      <c r="BC151" s="1" t="s">
        <v>4720</v>
      </c>
      <c r="BD151" s="1">
        <v>10402</v>
      </c>
      <c r="BE151" s="1"/>
      <c r="BH151">
        <f>COUNTIF(Dropdowns!$I:$AF,C151)</f>
        <v>1</v>
      </c>
    </row>
    <row r="152" spans="1:60" x14ac:dyDescent="0.3">
      <c r="A152" s="1">
        <v>156</v>
      </c>
      <c r="B152" s="1" t="s">
        <v>3286</v>
      </c>
      <c r="C152" s="207" t="s">
        <v>1632</v>
      </c>
      <c r="D152" s="1" t="s">
        <v>1632</v>
      </c>
      <c r="E152" s="1"/>
      <c r="F152" s="1"/>
      <c r="G152" s="1" t="s">
        <v>3287</v>
      </c>
      <c r="H152" s="1" t="s">
        <v>3288</v>
      </c>
      <c r="I152" s="1" t="s">
        <v>3289</v>
      </c>
      <c r="J152" s="1">
        <v>6</v>
      </c>
      <c r="K152" s="1">
        <v>4</v>
      </c>
      <c r="L152" s="1">
        <v>28200</v>
      </c>
      <c r="M152" s="1">
        <v>30</v>
      </c>
      <c r="N152" s="1">
        <v>40</v>
      </c>
      <c r="O152" s="1">
        <v>15</v>
      </c>
      <c r="P152" s="1">
        <v>25</v>
      </c>
      <c r="Q152" s="1">
        <v>5</v>
      </c>
      <c r="R152" s="1">
        <v>2</v>
      </c>
      <c r="S152" s="1">
        <v>5</v>
      </c>
      <c r="T152" s="1">
        <v>5</v>
      </c>
      <c r="U152" s="1">
        <v>110</v>
      </c>
      <c r="V152" s="1">
        <v>85</v>
      </c>
      <c r="W152" s="1">
        <v>110</v>
      </c>
      <c r="X152" s="1">
        <v>100</v>
      </c>
      <c r="Y152" s="1">
        <v>105</v>
      </c>
      <c r="Z152" s="1">
        <v>135</v>
      </c>
      <c r="AA152" s="1">
        <v>110</v>
      </c>
      <c r="AB152" s="1">
        <v>15</v>
      </c>
      <c r="AC152" s="1">
        <v>40</v>
      </c>
      <c r="AD152" s="1">
        <v>3</v>
      </c>
      <c r="AE152" s="1">
        <v>125</v>
      </c>
      <c r="AF152" s="1">
        <v>100</v>
      </c>
      <c r="AG152" s="1">
        <v>105403</v>
      </c>
      <c r="AH152" s="1">
        <v>0</v>
      </c>
      <c r="AI152" s="1">
        <v>300106</v>
      </c>
      <c r="AJ152" s="1" t="s">
        <v>1204</v>
      </c>
      <c r="AK152" s="1" t="s">
        <v>328</v>
      </c>
      <c r="AL152" s="1">
        <v>8</v>
      </c>
      <c r="AM152" s="1" t="s">
        <v>4716</v>
      </c>
      <c r="AN152" s="1" t="s">
        <v>476</v>
      </c>
      <c r="AO152" s="1" t="s">
        <v>5063</v>
      </c>
      <c r="AP152" s="1">
        <v>0</v>
      </c>
      <c r="AQ152" s="1" t="s">
        <v>1200</v>
      </c>
      <c r="AR152" s="1" t="s">
        <v>1201</v>
      </c>
      <c r="AS152" s="1" t="s">
        <v>1202</v>
      </c>
      <c r="AT152" s="1" t="s">
        <v>328</v>
      </c>
      <c r="AU152" s="1">
        <v>156</v>
      </c>
      <c r="AV152" s="1">
        <v>0</v>
      </c>
      <c r="AW152" s="1" t="s">
        <v>5061</v>
      </c>
      <c r="AX152" s="1" t="s">
        <v>4719</v>
      </c>
      <c r="AY152" s="1">
        <v>4</v>
      </c>
      <c r="AZ152" s="1">
        <v>0</v>
      </c>
      <c r="BA152" s="1" t="s">
        <v>328</v>
      </c>
      <c r="BB152" s="1" t="s">
        <v>5064</v>
      </c>
      <c r="BC152" s="1" t="s">
        <v>4720</v>
      </c>
      <c r="BD152" s="1">
        <v>10203</v>
      </c>
      <c r="BE152" s="1"/>
      <c r="BH152">
        <f>COUNTIF(Dropdowns!$I:$AF,C152)</f>
        <v>1</v>
      </c>
    </row>
    <row r="153" spans="1:60" x14ac:dyDescent="0.3">
      <c r="A153" s="1">
        <v>157</v>
      </c>
      <c r="B153" s="1" t="s">
        <v>3290</v>
      </c>
      <c r="C153" s="207" t="s">
        <v>1205</v>
      </c>
      <c r="D153" s="1" t="s">
        <v>1205</v>
      </c>
      <c r="E153" s="1"/>
      <c r="F153" s="1"/>
      <c r="G153" s="1" t="s">
        <v>3291</v>
      </c>
      <c r="H153" s="1" t="s">
        <v>3292</v>
      </c>
      <c r="I153" s="1" t="s">
        <v>3293</v>
      </c>
      <c r="J153" s="1">
        <v>6</v>
      </c>
      <c r="K153" s="1">
        <v>5</v>
      </c>
      <c r="L153" s="1">
        <v>28800</v>
      </c>
      <c r="M153" s="1">
        <v>30</v>
      </c>
      <c r="N153" s="1">
        <v>40</v>
      </c>
      <c r="O153" s="1">
        <v>15</v>
      </c>
      <c r="P153" s="1">
        <v>25</v>
      </c>
      <c r="Q153" s="1">
        <v>5</v>
      </c>
      <c r="R153" s="1">
        <v>2</v>
      </c>
      <c r="S153" s="1">
        <v>5</v>
      </c>
      <c r="T153" s="1">
        <v>5</v>
      </c>
      <c r="U153" s="1">
        <v>115</v>
      </c>
      <c r="V153" s="1">
        <v>100</v>
      </c>
      <c r="W153" s="1">
        <v>115</v>
      </c>
      <c r="X153" s="1">
        <v>100</v>
      </c>
      <c r="Y153" s="1">
        <v>115</v>
      </c>
      <c r="Z153" s="1">
        <v>110</v>
      </c>
      <c r="AA153" s="1">
        <v>130</v>
      </c>
      <c r="AB153" s="1">
        <v>15</v>
      </c>
      <c r="AC153" s="1">
        <v>40</v>
      </c>
      <c r="AD153" s="1">
        <v>5</v>
      </c>
      <c r="AE153" s="1">
        <v>100</v>
      </c>
      <c r="AF153" s="1">
        <v>100</v>
      </c>
      <c r="AG153" s="1">
        <v>105404</v>
      </c>
      <c r="AH153" s="1">
        <v>0</v>
      </c>
      <c r="AI153" s="1">
        <v>300106</v>
      </c>
      <c r="AJ153" s="1" t="s">
        <v>5065</v>
      </c>
      <c r="AK153" s="1" t="s">
        <v>328</v>
      </c>
      <c r="AL153" s="1">
        <v>8</v>
      </c>
      <c r="AM153" s="1" t="s">
        <v>4716</v>
      </c>
      <c r="AN153" s="1" t="s">
        <v>398</v>
      </c>
      <c r="AO153" s="1" t="s">
        <v>4940</v>
      </c>
      <c r="AP153" s="1">
        <v>0</v>
      </c>
      <c r="AQ153" s="1" t="s">
        <v>1200</v>
      </c>
      <c r="AR153" s="1" t="s">
        <v>1201</v>
      </c>
      <c r="AS153" s="1" t="s">
        <v>1202</v>
      </c>
      <c r="AT153" s="1" t="s">
        <v>328</v>
      </c>
      <c r="AU153" s="1">
        <v>157</v>
      </c>
      <c r="AV153" s="1">
        <v>0</v>
      </c>
      <c r="AW153" s="1" t="s">
        <v>5037</v>
      </c>
      <c r="AX153" s="1" t="s">
        <v>4719</v>
      </c>
      <c r="AY153" s="1">
        <v>5</v>
      </c>
      <c r="AZ153" s="1">
        <v>0</v>
      </c>
      <c r="BA153" s="1" t="s">
        <v>328</v>
      </c>
      <c r="BB153" s="1" t="s">
        <v>328</v>
      </c>
      <c r="BC153" s="1" t="s">
        <v>4720</v>
      </c>
      <c r="BD153" s="1">
        <v>10202</v>
      </c>
      <c r="BE153" s="1"/>
      <c r="BH153">
        <f>COUNTIF(Dropdowns!$I:$AF,C153)</f>
        <v>1</v>
      </c>
    </row>
    <row r="154" spans="1:60" x14ac:dyDescent="0.3">
      <c r="A154" s="1">
        <v>158</v>
      </c>
      <c r="B154" s="1" t="s">
        <v>3294</v>
      </c>
      <c r="C154" s="207" t="s">
        <v>722</v>
      </c>
      <c r="D154" s="1" t="s">
        <v>722</v>
      </c>
      <c r="E154" s="1"/>
      <c r="F154" s="1"/>
      <c r="G154" s="1" t="s">
        <v>3295</v>
      </c>
      <c r="H154" s="1" t="s">
        <v>3296</v>
      </c>
      <c r="I154" s="1" t="s">
        <v>3297</v>
      </c>
      <c r="J154" s="1">
        <v>6</v>
      </c>
      <c r="K154" s="1">
        <v>3</v>
      </c>
      <c r="L154" s="1">
        <v>26700</v>
      </c>
      <c r="M154" s="1">
        <v>30</v>
      </c>
      <c r="N154" s="1">
        <v>40</v>
      </c>
      <c r="O154" s="1">
        <v>15</v>
      </c>
      <c r="P154" s="1">
        <v>25</v>
      </c>
      <c r="Q154" s="1">
        <v>5</v>
      </c>
      <c r="R154" s="1">
        <v>2</v>
      </c>
      <c r="S154" s="1">
        <v>5</v>
      </c>
      <c r="T154" s="1">
        <v>5</v>
      </c>
      <c r="U154" s="1">
        <v>125</v>
      </c>
      <c r="V154" s="1">
        <v>150</v>
      </c>
      <c r="W154" s="1">
        <v>95</v>
      </c>
      <c r="X154" s="1">
        <v>100</v>
      </c>
      <c r="Y154" s="1">
        <v>85</v>
      </c>
      <c r="Z154" s="1">
        <v>90</v>
      </c>
      <c r="AA154" s="1">
        <v>115</v>
      </c>
      <c r="AB154" s="1">
        <v>15</v>
      </c>
      <c r="AC154" s="1">
        <v>40</v>
      </c>
      <c r="AD154" s="1">
        <v>3</v>
      </c>
      <c r="AE154" s="1">
        <v>90</v>
      </c>
      <c r="AF154" s="1">
        <v>100</v>
      </c>
      <c r="AG154" s="1">
        <v>100122</v>
      </c>
      <c r="AH154" s="1">
        <v>0</v>
      </c>
      <c r="AI154" s="1">
        <v>300106</v>
      </c>
      <c r="AJ154" s="1" t="s">
        <v>1206</v>
      </c>
      <c r="AK154" s="1" t="s">
        <v>328</v>
      </c>
      <c r="AL154" s="1">
        <v>7</v>
      </c>
      <c r="AM154" s="1" t="s">
        <v>4716</v>
      </c>
      <c r="AN154" s="1" t="s">
        <v>4762</v>
      </c>
      <c r="AO154" s="1" t="s">
        <v>5066</v>
      </c>
      <c r="AP154" s="1">
        <v>0</v>
      </c>
      <c r="AQ154" s="1" t="s">
        <v>1200</v>
      </c>
      <c r="AR154" s="1" t="s">
        <v>5060</v>
      </c>
      <c r="AS154" s="1" t="s">
        <v>1202</v>
      </c>
      <c r="AT154" s="1" t="s">
        <v>328</v>
      </c>
      <c r="AU154" s="1">
        <v>158</v>
      </c>
      <c r="AV154" s="1">
        <v>0</v>
      </c>
      <c r="AW154" s="1" t="s">
        <v>5037</v>
      </c>
      <c r="AX154" s="1" t="s">
        <v>4719</v>
      </c>
      <c r="AY154" s="1">
        <v>3</v>
      </c>
      <c r="AZ154" s="1">
        <v>0</v>
      </c>
      <c r="BA154" s="1" t="s">
        <v>328</v>
      </c>
      <c r="BB154" s="1" t="s">
        <v>328</v>
      </c>
      <c r="BC154" s="1" t="s">
        <v>4757</v>
      </c>
      <c r="BD154" s="1">
        <v>10402</v>
      </c>
      <c r="BE154" s="1"/>
      <c r="BH154">
        <f>COUNTIF(Dropdowns!$I:$AF,C154)</f>
        <v>1</v>
      </c>
    </row>
    <row r="155" spans="1:60" x14ac:dyDescent="0.3">
      <c r="A155" s="1">
        <v>159</v>
      </c>
      <c r="B155" s="1" t="s">
        <v>3298</v>
      </c>
      <c r="C155" s="207" t="s">
        <v>1633</v>
      </c>
      <c r="D155" s="1" t="s">
        <v>1633</v>
      </c>
      <c r="E155" s="1"/>
      <c r="F155" s="1"/>
      <c r="G155" s="1" t="s">
        <v>3299</v>
      </c>
      <c r="H155" s="1" t="s">
        <v>3300</v>
      </c>
      <c r="I155" s="1" t="s">
        <v>3301</v>
      </c>
      <c r="J155" s="1">
        <v>6</v>
      </c>
      <c r="K155" s="1">
        <v>3</v>
      </c>
      <c r="L155" s="1">
        <v>27000</v>
      </c>
      <c r="M155" s="1">
        <v>30</v>
      </c>
      <c r="N155" s="1">
        <v>40</v>
      </c>
      <c r="O155" s="1">
        <v>15</v>
      </c>
      <c r="P155" s="1">
        <v>25</v>
      </c>
      <c r="Q155" s="1">
        <v>5</v>
      </c>
      <c r="R155" s="1">
        <v>2</v>
      </c>
      <c r="S155" s="1">
        <v>5</v>
      </c>
      <c r="T155" s="1">
        <v>5</v>
      </c>
      <c r="U155" s="1">
        <v>110</v>
      </c>
      <c r="V155" s="1">
        <v>105</v>
      </c>
      <c r="W155" s="1">
        <v>110</v>
      </c>
      <c r="X155" s="1">
        <v>100</v>
      </c>
      <c r="Y155" s="1">
        <v>95</v>
      </c>
      <c r="Z155" s="1">
        <v>120</v>
      </c>
      <c r="AA155" s="1">
        <v>120</v>
      </c>
      <c r="AB155" s="1">
        <v>15</v>
      </c>
      <c r="AC155" s="1">
        <v>40</v>
      </c>
      <c r="AD155" s="1">
        <v>4</v>
      </c>
      <c r="AE155" s="1">
        <v>100</v>
      </c>
      <c r="AF155" s="1">
        <v>100</v>
      </c>
      <c r="AG155" s="1">
        <v>103202</v>
      </c>
      <c r="AH155" s="1">
        <v>0</v>
      </c>
      <c r="AI155" s="1">
        <v>300106</v>
      </c>
      <c r="AJ155" s="1" t="s">
        <v>1203</v>
      </c>
      <c r="AK155" s="1" t="s">
        <v>328</v>
      </c>
      <c r="AL155" s="1">
        <v>9</v>
      </c>
      <c r="AM155" s="1" t="s">
        <v>4716</v>
      </c>
      <c r="AN155" s="1" t="s">
        <v>4716</v>
      </c>
      <c r="AO155" s="1" t="s">
        <v>5066</v>
      </c>
      <c r="AP155" s="1">
        <v>0</v>
      </c>
      <c r="AQ155" s="1" t="s">
        <v>5067</v>
      </c>
      <c r="AR155" s="1" t="s">
        <v>1201</v>
      </c>
      <c r="AS155" s="1" t="s">
        <v>1202</v>
      </c>
      <c r="AT155" s="1" t="s">
        <v>328</v>
      </c>
      <c r="AU155" s="1">
        <v>159</v>
      </c>
      <c r="AV155" s="1">
        <v>0</v>
      </c>
      <c r="AW155" s="1" t="s">
        <v>5037</v>
      </c>
      <c r="AX155" s="1" t="s">
        <v>4719</v>
      </c>
      <c r="AY155" s="1">
        <v>3</v>
      </c>
      <c r="AZ155" s="1">
        <v>0</v>
      </c>
      <c r="BA155" s="1" t="s">
        <v>4765</v>
      </c>
      <c r="BB155" s="1" t="s">
        <v>328</v>
      </c>
      <c r="BC155" s="1" t="s">
        <v>4757</v>
      </c>
      <c r="BD155" s="1">
        <v>10704</v>
      </c>
      <c r="BE155" s="1"/>
      <c r="BH155">
        <f>COUNTIF(Dropdowns!$I:$AF,C155)</f>
        <v>1</v>
      </c>
    </row>
    <row r="156" spans="1:60" x14ac:dyDescent="0.3">
      <c r="A156" s="1">
        <v>160</v>
      </c>
      <c r="B156" s="1" t="s">
        <v>3302</v>
      </c>
      <c r="C156" s="207" t="s">
        <v>1634</v>
      </c>
      <c r="D156" s="1" t="s">
        <v>1634</v>
      </c>
      <c r="E156" s="1"/>
      <c r="F156" s="1"/>
      <c r="G156" s="1" t="s">
        <v>3303</v>
      </c>
      <c r="H156" s="1" t="s">
        <v>3304</v>
      </c>
      <c r="I156" s="1" t="s">
        <v>3305</v>
      </c>
      <c r="J156" s="1">
        <v>6</v>
      </c>
      <c r="K156" s="1">
        <v>5</v>
      </c>
      <c r="L156" s="1">
        <v>29100</v>
      </c>
      <c r="M156" s="1">
        <v>30</v>
      </c>
      <c r="N156" s="1">
        <v>40</v>
      </c>
      <c r="O156" s="1">
        <v>15</v>
      </c>
      <c r="P156" s="1">
        <v>25</v>
      </c>
      <c r="Q156" s="1">
        <v>5</v>
      </c>
      <c r="R156" s="1">
        <v>2</v>
      </c>
      <c r="S156" s="1">
        <v>5</v>
      </c>
      <c r="T156" s="1">
        <v>5</v>
      </c>
      <c r="U156" s="1">
        <v>120</v>
      </c>
      <c r="V156" s="1">
        <v>100</v>
      </c>
      <c r="W156" s="1">
        <v>135</v>
      </c>
      <c r="X156" s="1">
        <v>100</v>
      </c>
      <c r="Y156" s="1">
        <v>110</v>
      </c>
      <c r="Z156" s="1">
        <v>95</v>
      </c>
      <c r="AA156" s="1">
        <v>125</v>
      </c>
      <c r="AB156" s="1">
        <v>15</v>
      </c>
      <c r="AC156" s="1">
        <v>40</v>
      </c>
      <c r="AD156" s="1">
        <v>5</v>
      </c>
      <c r="AE156" s="1">
        <v>100</v>
      </c>
      <c r="AF156" s="1">
        <v>100</v>
      </c>
      <c r="AG156" s="1">
        <v>106004</v>
      </c>
      <c r="AH156" s="1">
        <v>0</v>
      </c>
      <c r="AI156" s="1">
        <v>300106</v>
      </c>
      <c r="AJ156" s="1" t="s">
        <v>1199</v>
      </c>
      <c r="AK156" s="1" t="s">
        <v>328</v>
      </c>
      <c r="AL156" s="1">
        <v>8</v>
      </c>
      <c r="AM156" s="1" t="s">
        <v>4716</v>
      </c>
      <c r="AN156" s="1" t="s">
        <v>4728</v>
      </c>
      <c r="AO156" s="1" t="s">
        <v>5068</v>
      </c>
      <c r="AP156" s="1">
        <v>0</v>
      </c>
      <c r="AQ156" s="1" t="s">
        <v>1200</v>
      </c>
      <c r="AR156" s="1" t="s">
        <v>1201</v>
      </c>
      <c r="AS156" s="1" t="s">
        <v>1202</v>
      </c>
      <c r="AT156" s="1" t="s">
        <v>328</v>
      </c>
      <c r="AU156" s="1">
        <v>160</v>
      </c>
      <c r="AV156" s="1">
        <v>0</v>
      </c>
      <c r="AW156" s="1" t="s">
        <v>5061</v>
      </c>
      <c r="AX156" s="1" t="s">
        <v>4719</v>
      </c>
      <c r="AY156" s="1">
        <v>5</v>
      </c>
      <c r="AZ156" s="1">
        <v>0</v>
      </c>
      <c r="BA156" s="1" t="s">
        <v>328</v>
      </c>
      <c r="BB156" s="1" t="s">
        <v>472</v>
      </c>
      <c r="BC156" s="1" t="s">
        <v>4757</v>
      </c>
      <c r="BD156" s="1">
        <v>10802</v>
      </c>
      <c r="BE156" s="1"/>
      <c r="BH156">
        <f>COUNTIF(Dropdowns!$I:$AF,C156)</f>
        <v>1</v>
      </c>
    </row>
    <row r="157" spans="1:60" x14ac:dyDescent="0.3">
      <c r="A157" s="1">
        <v>161</v>
      </c>
      <c r="B157" s="1" t="s">
        <v>3306</v>
      </c>
      <c r="C157" s="207" t="s">
        <v>150</v>
      </c>
      <c r="D157" s="1" t="s">
        <v>3307</v>
      </c>
      <c r="E157" s="1"/>
      <c r="F157" s="1"/>
      <c r="G157" s="1" t="s">
        <v>3308</v>
      </c>
      <c r="H157" s="1" t="s">
        <v>3309</v>
      </c>
      <c r="I157" s="1" t="s">
        <v>3310</v>
      </c>
      <c r="J157" s="1">
        <v>6</v>
      </c>
      <c r="K157" s="1">
        <v>4</v>
      </c>
      <c r="L157" s="1">
        <v>27000</v>
      </c>
      <c r="M157" s="1">
        <v>30</v>
      </c>
      <c r="N157" s="1">
        <v>40</v>
      </c>
      <c r="O157" s="1">
        <v>15</v>
      </c>
      <c r="P157" s="1">
        <v>25</v>
      </c>
      <c r="Q157" s="1">
        <v>5</v>
      </c>
      <c r="R157" s="1">
        <v>2</v>
      </c>
      <c r="S157" s="1">
        <v>5</v>
      </c>
      <c r="T157" s="1">
        <v>5</v>
      </c>
      <c r="U157" s="1">
        <v>120</v>
      </c>
      <c r="V157" s="1">
        <v>110</v>
      </c>
      <c r="W157" s="1">
        <v>105</v>
      </c>
      <c r="X157" s="1">
        <v>100</v>
      </c>
      <c r="Y157" s="1">
        <v>100</v>
      </c>
      <c r="Z157" s="1">
        <v>115</v>
      </c>
      <c r="AA157" s="1">
        <v>110</v>
      </c>
      <c r="AB157" s="1">
        <v>15</v>
      </c>
      <c r="AC157" s="1">
        <v>40</v>
      </c>
      <c r="AD157" s="1">
        <v>3</v>
      </c>
      <c r="AE157" s="1">
        <v>105</v>
      </c>
      <c r="AF157" s="1">
        <v>100</v>
      </c>
      <c r="AG157" s="1">
        <v>100122</v>
      </c>
      <c r="AH157" s="1">
        <v>0</v>
      </c>
      <c r="AI157" s="1">
        <v>300106</v>
      </c>
      <c r="AJ157" s="1" t="s">
        <v>1207</v>
      </c>
      <c r="AK157" s="1" t="s">
        <v>328</v>
      </c>
      <c r="AL157" s="1">
        <v>8</v>
      </c>
      <c r="AM157" s="1" t="s">
        <v>4716</v>
      </c>
      <c r="AN157" s="1" t="s">
        <v>4728</v>
      </c>
      <c r="AO157" s="1" t="s">
        <v>4796</v>
      </c>
      <c r="AP157" s="1">
        <v>0</v>
      </c>
      <c r="AQ157" s="1" t="s">
        <v>5067</v>
      </c>
      <c r="AR157" s="1" t="s">
        <v>1201</v>
      </c>
      <c r="AS157" s="1" t="s">
        <v>1202</v>
      </c>
      <c r="AT157" s="1" t="s">
        <v>328</v>
      </c>
      <c r="AU157" s="1">
        <v>161</v>
      </c>
      <c r="AV157" s="1">
        <v>0</v>
      </c>
      <c r="AW157" s="1" t="s">
        <v>5037</v>
      </c>
      <c r="AX157" s="1" t="s">
        <v>5069</v>
      </c>
      <c r="AY157" s="1">
        <v>4</v>
      </c>
      <c r="AZ157" s="1">
        <v>0</v>
      </c>
      <c r="BA157" s="1" t="s">
        <v>4743</v>
      </c>
      <c r="BB157" s="1" t="s">
        <v>4952</v>
      </c>
      <c r="BC157" s="1" t="s">
        <v>4783</v>
      </c>
      <c r="BD157" s="1">
        <v>10302</v>
      </c>
      <c r="BE157" s="1"/>
      <c r="BH157">
        <f>COUNTIF(Dropdowns!$I:$AF,C157)</f>
        <v>1</v>
      </c>
    </row>
    <row r="158" spans="1:60" x14ac:dyDescent="0.3">
      <c r="A158" s="1">
        <v>162</v>
      </c>
      <c r="B158" s="1" t="s">
        <v>3311</v>
      </c>
      <c r="C158" s="207" t="s">
        <v>1635</v>
      </c>
      <c r="D158" s="1" t="s">
        <v>1635</v>
      </c>
      <c r="E158" s="1"/>
      <c r="F158" s="1"/>
      <c r="G158" s="1" t="s">
        <v>3312</v>
      </c>
      <c r="H158" s="1" t="s">
        <v>3313</v>
      </c>
      <c r="I158" s="1" t="s">
        <v>3314</v>
      </c>
      <c r="J158" s="1">
        <v>6</v>
      </c>
      <c r="K158" s="1">
        <v>4</v>
      </c>
      <c r="L158" s="1">
        <v>27600</v>
      </c>
      <c r="M158" s="1">
        <v>30</v>
      </c>
      <c r="N158" s="1">
        <v>40</v>
      </c>
      <c r="O158" s="1">
        <v>15</v>
      </c>
      <c r="P158" s="1">
        <v>25</v>
      </c>
      <c r="Q158" s="1">
        <v>5</v>
      </c>
      <c r="R158" s="1">
        <v>2</v>
      </c>
      <c r="S158" s="1">
        <v>5</v>
      </c>
      <c r="T158" s="1">
        <v>5</v>
      </c>
      <c r="U158" s="1">
        <v>125</v>
      </c>
      <c r="V158" s="1">
        <v>120</v>
      </c>
      <c r="W158" s="1">
        <v>125</v>
      </c>
      <c r="X158" s="1">
        <v>100</v>
      </c>
      <c r="Y158" s="1">
        <v>110</v>
      </c>
      <c r="Z158" s="1">
        <v>85</v>
      </c>
      <c r="AA158" s="1">
        <v>115</v>
      </c>
      <c r="AB158" s="1">
        <v>15</v>
      </c>
      <c r="AC158" s="1">
        <v>40</v>
      </c>
      <c r="AD158" s="1">
        <v>4</v>
      </c>
      <c r="AE158" s="1">
        <v>90</v>
      </c>
      <c r="AF158" s="1">
        <v>100</v>
      </c>
      <c r="AG158" s="1">
        <v>100122</v>
      </c>
      <c r="AH158" s="1">
        <v>0</v>
      </c>
      <c r="AI158" s="1">
        <v>300106</v>
      </c>
      <c r="AJ158" s="1" t="s">
        <v>5070</v>
      </c>
      <c r="AK158" s="1" t="s">
        <v>328</v>
      </c>
      <c r="AL158" s="1">
        <v>8</v>
      </c>
      <c r="AM158" s="1" t="s">
        <v>4716</v>
      </c>
      <c r="AN158" s="1" t="s">
        <v>354</v>
      </c>
      <c r="AO158" s="1" t="s">
        <v>4940</v>
      </c>
      <c r="AP158" s="1">
        <v>0</v>
      </c>
      <c r="AQ158" s="1" t="s">
        <v>1200</v>
      </c>
      <c r="AR158" s="1" t="s">
        <v>1201</v>
      </c>
      <c r="AS158" s="1" t="s">
        <v>1202</v>
      </c>
      <c r="AT158" s="1" t="s">
        <v>328</v>
      </c>
      <c r="AU158" s="1">
        <v>162</v>
      </c>
      <c r="AV158" s="1">
        <v>0</v>
      </c>
      <c r="AW158" s="1" t="s">
        <v>5061</v>
      </c>
      <c r="AX158" s="1" t="s">
        <v>4719</v>
      </c>
      <c r="AY158" s="1">
        <v>4</v>
      </c>
      <c r="AZ158" s="1">
        <v>0</v>
      </c>
      <c r="BA158" s="1" t="s">
        <v>328</v>
      </c>
      <c r="BB158" s="1" t="s">
        <v>4716</v>
      </c>
      <c r="BC158" s="1" t="s">
        <v>4739</v>
      </c>
      <c r="BD158" s="1">
        <v>10402</v>
      </c>
      <c r="BE158" s="1"/>
      <c r="BH158">
        <f>COUNTIF(Dropdowns!$I:$AF,C158)</f>
        <v>1</v>
      </c>
    </row>
    <row r="159" spans="1:60" x14ac:dyDescent="0.3">
      <c r="A159" s="1">
        <v>163</v>
      </c>
      <c r="B159" s="1" t="s">
        <v>3315</v>
      </c>
      <c r="C159" s="207" t="s">
        <v>723</v>
      </c>
      <c r="D159" s="1" t="s">
        <v>723</v>
      </c>
      <c r="E159" s="1"/>
      <c r="F159" s="1"/>
      <c r="G159" s="1" t="s">
        <v>3316</v>
      </c>
      <c r="H159" s="1" t="s">
        <v>3317</v>
      </c>
      <c r="I159" s="1" t="s">
        <v>3318</v>
      </c>
      <c r="J159" s="1">
        <v>6</v>
      </c>
      <c r="K159" s="1">
        <v>5</v>
      </c>
      <c r="L159" s="1">
        <v>29520</v>
      </c>
      <c r="M159" s="1">
        <v>30</v>
      </c>
      <c r="N159" s="1">
        <v>40</v>
      </c>
      <c r="O159" s="1">
        <v>15</v>
      </c>
      <c r="P159" s="1">
        <v>25</v>
      </c>
      <c r="Q159" s="1">
        <v>5</v>
      </c>
      <c r="R159" s="1">
        <v>2</v>
      </c>
      <c r="S159" s="1">
        <v>5</v>
      </c>
      <c r="T159" s="1">
        <v>5</v>
      </c>
      <c r="U159" s="1">
        <v>122</v>
      </c>
      <c r="V159" s="1">
        <v>100</v>
      </c>
      <c r="W159" s="1">
        <v>150</v>
      </c>
      <c r="X159" s="1">
        <v>100</v>
      </c>
      <c r="Y159" s="1">
        <v>102</v>
      </c>
      <c r="Z159" s="1">
        <v>88</v>
      </c>
      <c r="AA159" s="1">
        <v>122</v>
      </c>
      <c r="AB159" s="1">
        <v>15</v>
      </c>
      <c r="AC159" s="1">
        <v>40</v>
      </c>
      <c r="AD159" s="1">
        <v>5</v>
      </c>
      <c r="AE159" s="1">
        <v>106</v>
      </c>
      <c r="AF159" s="1">
        <v>100</v>
      </c>
      <c r="AG159" s="1">
        <v>110018</v>
      </c>
      <c r="AH159" s="1">
        <v>0</v>
      </c>
      <c r="AI159" s="1">
        <v>110020</v>
      </c>
      <c r="AJ159" s="1" t="s">
        <v>1208</v>
      </c>
      <c r="AK159" s="1" t="s">
        <v>1209</v>
      </c>
      <c r="AL159" s="1">
        <v>8</v>
      </c>
      <c r="AM159" s="1" t="s">
        <v>4716</v>
      </c>
      <c r="AN159" s="1" t="s">
        <v>354</v>
      </c>
      <c r="AO159" s="1" t="s">
        <v>4914</v>
      </c>
      <c r="AP159" s="1">
        <v>0</v>
      </c>
      <c r="AQ159" s="1" t="s">
        <v>1200</v>
      </c>
      <c r="AR159" s="1" t="s">
        <v>5060</v>
      </c>
      <c r="AS159" s="1" t="s">
        <v>1202</v>
      </c>
      <c r="AT159" s="1" t="s">
        <v>328</v>
      </c>
      <c r="AU159" s="1">
        <v>163</v>
      </c>
      <c r="AV159" s="1">
        <v>0</v>
      </c>
      <c r="AW159" s="1" t="s">
        <v>5071</v>
      </c>
      <c r="AX159" s="1" t="s">
        <v>4719</v>
      </c>
      <c r="AY159" s="1">
        <v>5</v>
      </c>
      <c r="AZ159" s="1">
        <v>0</v>
      </c>
      <c r="BA159" s="1" t="s">
        <v>328</v>
      </c>
      <c r="BB159" s="1" t="s">
        <v>5068</v>
      </c>
      <c r="BC159" s="1" t="s">
        <v>4720</v>
      </c>
      <c r="BD159" s="1">
        <v>10402</v>
      </c>
      <c r="BE159" s="1"/>
      <c r="BH159">
        <f>COUNTIF(Dropdowns!$I:$AF,C159)</f>
        <v>1</v>
      </c>
    </row>
    <row r="160" spans="1:60" x14ac:dyDescent="0.3">
      <c r="A160" s="1">
        <v>164</v>
      </c>
      <c r="B160" s="1" t="s">
        <v>3319</v>
      </c>
      <c r="C160" s="207" t="s">
        <v>1636</v>
      </c>
      <c r="D160" s="1" t="s">
        <v>1636</v>
      </c>
      <c r="E160" s="1"/>
      <c r="F160" s="1"/>
      <c r="G160" s="1" t="s">
        <v>3320</v>
      </c>
      <c r="H160" s="1" t="s">
        <v>3321</v>
      </c>
      <c r="I160" s="1" t="s">
        <v>3322</v>
      </c>
      <c r="J160" s="1">
        <v>6</v>
      </c>
      <c r="K160" s="1">
        <v>5</v>
      </c>
      <c r="L160" s="1">
        <v>29160</v>
      </c>
      <c r="M160" s="1">
        <v>30</v>
      </c>
      <c r="N160" s="1">
        <v>40</v>
      </c>
      <c r="O160" s="1">
        <v>15</v>
      </c>
      <c r="P160" s="1">
        <v>25</v>
      </c>
      <c r="Q160" s="1">
        <v>5</v>
      </c>
      <c r="R160" s="1">
        <v>2</v>
      </c>
      <c r="S160" s="1">
        <v>5</v>
      </c>
      <c r="T160" s="1">
        <v>5</v>
      </c>
      <c r="U160" s="1">
        <v>118</v>
      </c>
      <c r="V160" s="1">
        <v>109</v>
      </c>
      <c r="W160" s="1">
        <v>110</v>
      </c>
      <c r="X160" s="1">
        <v>100</v>
      </c>
      <c r="Y160" s="1">
        <v>118</v>
      </c>
      <c r="Z160" s="1">
        <v>108</v>
      </c>
      <c r="AA160" s="1">
        <v>130</v>
      </c>
      <c r="AB160" s="1">
        <v>15</v>
      </c>
      <c r="AC160" s="1">
        <v>40</v>
      </c>
      <c r="AD160" s="1">
        <v>4</v>
      </c>
      <c r="AE160" s="1">
        <v>96</v>
      </c>
      <c r="AF160" s="1">
        <v>100</v>
      </c>
      <c r="AG160" s="1">
        <v>110022</v>
      </c>
      <c r="AH160" s="1">
        <v>0</v>
      </c>
      <c r="AI160" s="1">
        <v>300106</v>
      </c>
      <c r="AJ160" s="1" t="s">
        <v>5072</v>
      </c>
      <c r="AK160" s="1" t="s">
        <v>1210</v>
      </c>
      <c r="AL160" s="1">
        <v>7</v>
      </c>
      <c r="AM160" s="1" t="s">
        <v>4716</v>
      </c>
      <c r="AN160" s="1" t="s">
        <v>5073</v>
      </c>
      <c r="AO160" s="1" t="s">
        <v>5074</v>
      </c>
      <c r="AP160" s="1">
        <v>0</v>
      </c>
      <c r="AQ160" s="1" t="s">
        <v>1200</v>
      </c>
      <c r="AR160" s="1" t="s">
        <v>1201</v>
      </c>
      <c r="AS160" s="1" t="s">
        <v>1202</v>
      </c>
      <c r="AT160" s="1" t="s">
        <v>328</v>
      </c>
      <c r="AU160" s="1">
        <v>164</v>
      </c>
      <c r="AV160" s="1">
        <v>0</v>
      </c>
      <c r="AW160" s="1" t="s">
        <v>5071</v>
      </c>
      <c r="AX160" s="1" t="s">
        <v>4719</v>
      </c>
      <c r="AY160" s="1">
        <v>5</v>
      </c>
      <c r="AZ160" s="1">
        <v>0</v>
      </c>
      <c r="BA160" s="1" t="s">
        <v>328</v>
      </c>
      <c r="BB160" s="1" t="s">
        <v>5075</v>
      </c>
      <c r="BC160" s="1" t="s">
        <v>4739</v>
      </c>
      <c r="BD160" s="1">
        <v>10202</v>
      </c>
      <c r="BE160" s="1"/>
      <c r="BH160">
        <f>COUNTIF(Dropdowns!$I:$AF,C160)</f>
        <v>1</v>
      </c>
    </row>
    <row r="161" spans="1:60" x14ac:dyDescent="0.3">
      <c r="A161" s="1">
        <v>165</v>
      </c>
      <c r="B161" s="1" t="s">
        <v>3323</v>
      </c>
      <c r="C161" s="207" t="s">
        <v>151</v>
      </c>
      <c r="D161" s="1" t="s">
        <v>151</v>
      </c>
      <c r="E161" s="1"/>
      <c r="F161" s="1"/>
      <c r="G161" s="1" t="s">
        <v>3324</v>
      </c>
      <c r="H161" s="1" t="s">
        <v>3325</v>
      </c>
      <c r="I161" s="1" t="s">
        <v>3326</v>
      </c>
      <c r="J161" s="1">
        <v>6</v>
      </c>
      <c r="K161" s="1">
        <v>4</v>
      </c>
      <c r="L161" s="1">
        <v>26040</v>
      </c>
      <c r="M161" s="1">
        <v>30</v>
      </c>
      <c r="N161" s="1">
        <v>40</v>
      </c>
      <c r="O161" s="1">
        <v>15</v>
      </c>
      <c r="P161" s="1">
        <v>25</v>
      </c>
      <c r="Q161" s="1">
        <v>5</v>
      </c>
      <c r="R161" s="1">
        <v>2</v>
      </c>
      <c r="S161" s="1">
        <v>5</v>
      </c>
      <c r="T161" s="1">
        <v>5</v>
      </c>
      <c r="U161" s="1">
        <v>125</v>
      </c>
      <c r="V161" s="1">
        <v>105</v>
      </c>
      <c r="W161" s="1">
        <v>120</v>
      </c>
      <c r="X161" s="1">
        <v>100</v>
      </c>
      <c r="Y161" s="1">
        <v>105</v>
      </c>
      <c r="Z161" s="1">
        <v>95</v>
      </c>
      <c r="AA161" s="1">
        <v>115</v>
      </c>
      <c r="AB161" s="1">
        <v>15</v>
      </c>
      <c r="AC161" s="1">
        <v>40</v>
      </c>
      <c r="AD161" s="1">
        <v>4</v>
      </c>
      <c r="AE161" s="1">
        <v>105</v>
      </c>
      <c r="AF161" s="1">
        <v>100</v>
      </c>
      <c r="AG161" s="1">
        <v>110021</v>
      </c>
      <c r="AH161" s="1">
        <v>0</v>
      </c>
      <c r="AI161" s="1">
        <v>300106</v>
      </c>
      <c r="AJ161" s="1" t="s">
        <v>1199</v>
      </c>
      <c r="AK161" s="1" t="s">
        <v>328</v>
      </c>
      <c r="AL161" s="1">
        <v>9</v>
      </c>
      <c r="AM161" s="1" t="s">
        <v>4716</v>
      </c>
      <c r="AN161" s="1" t="s">
        <v>335</v>
      </c>
      <c r="AO161" s="1" t="s">
        <v>4940</v>
      </c>
      <c r="AP161" s="1">
        <v>0</v>
      </c>
      <c r="AQ161" s="1" t="s">
        <v>1200</v>
      </c>
      <c r="AR161" s="1" t="s">
        <v>1201</v>
      </c>
      <c r="AS161" s="1" t="s">
        <v>1202</v>
      </c>
      <c r="AT161" s="1" t="s">
        <v>328</v>
      </c>
      <c r="AU161" s="1">
        <v>165</v>
      </c>
      <c r="AV161" s="1">
        <v>0</v>
      </c>
      <c r="AW161" s="1" t="s">
        <v>5071</v>
      </c>
      <c r="AX161" s="1" t="s">
        <v>4719</v>
      </c>
      <c r="AY161" s="1">
        <v>4</v>
      </c>
      <c r="AZ161" s="1">
        <v>0</v>
      </c>
      <c r="BA161" s="1" t="s">
        <v>328</v>
      </c>
      <c r="BB161" s="1" t="s">
        <v>5076</v>
      </c>
      <c r="BC161" s="1" t="s">
        <v>4739</v>
      </c>
      <c r="BD161" s="1">
        <v>10704</v>
      </c>
      <c r="BE161" s="1"/>
      <c r="BH161">
        <f>COUNTIF(Dropdowns!$I:$AF,C161)</f>
        <v>1</v>
      </c>
    </row>
    <row r="162" spans="1:60" x14ac:dyDescent="0.3">
      <c r="A162" s="1">
        <v>166</v>
      </c>
      <c r="B162" s="1" t="s">
        <v>3327</v>
      </c>
      <c r="C162" s="207" t="s">
        <v>152</v>
      </c>
      <c r="D162" s="1" t="s">
        <v>152</v>
      </c>
      <c r="E162" s="1"/>
      <c r="F162" s="1"/>
      <c r="G162" s="1" t="s">
        <v>3328</v>
      </c>
      <c r="H162" s="1" t="s">
        <v>3329</v>
      </c>
      <c r="I162" s="1" t="s">
        <v>3330</v>
      </c>
      <c r="J162" s="1">
        <v>1</v>
      </c>
      <c r="K162" s="1">
        <v>5</v>
      </c>
      <c r="L162" s="1">
        <v>3900</v>
      </c>
      <c r="M162" s="1">
        <v>10</v>
      </c>
      <c r="N162" s="1">
        <v>10</v>
      </c>
      <c r="O162" s="1">
        <v>5</v>
      </c>
      <c r="P162" s="1">
        <v>5</v>
      </c>
      <c r="Q162" s="1">
        <v>2</v>
      </c>
      <c r="R162" s="1">
        <v>2</v>
      </c>
      <c r="S162" s="1">
        <v>2</v>
      </c>
      <c r="T162" s="1">
        <v>0</v>
      </c>
      <c r="U162" s="1">
        <v>100</v>
      </c>
      <c r="V162" s="1">
        <v>120</v>
      </c>
      <c r="W162" s="1">
        <v>120</v>
      </c>
      <c r="X162" s="1">
        <v>100</v>
      </c>
      <c r="Y162" s="1">
        <v>120</v>
      </c>
      <c r="Z162" s="1">
        <v>95</v>
      </c>
      <c r="AA162" s="1">
        <v>0</v>
      </c>
      <c r="AB162" s="1">
        <v>15</v>
      </c>
      <c r="AC162" s="1">
        <v>20</v>
      </c>
      <c r="AD162" s="1">
        <v>0</v>
      </c>
      <c r="AE162" s="1">
        <v>125</v>
      </c>
      <c r="AF162" s="1">
        <v>100</v>
      </c>
      <c r="AG162" s="1">
        <v>105805</v>
      </c>
      <c r="AH162" s="1">
        <v>0</v>
      </c>
      <c r="AI162" s="1">
        <v>300101</v>
      </c>
      <c r="AJ162" s="1" t="s">
        <v>328</v>
      </c>
      <c r="AK162" s="1" t="s">
        <v>328</v>
      </c>
      <c r="AL162" s="1">
        <v>13</v>
      </c>
      <c r="AM162" s="1" t="s">
        <v>1806</v>
      </c>
      <c r="AN162" s="1" t="s">
        <v>4958</v>
      </c>
      <c r="AO162" s="1" t="s">
        <v>5077</v>
      </c>
      <c r="AP162" s="1">
        <v>0</v>
      </c>
      <c r="AQ162" s="1" t="s">
        <v>1118</v>
      </c>
      <c r="AR162" s="1" t="s">
        <v>1119</v>
      </c>
      <c r="AS162" s="1" t="s">
        <v>1120</v>
      </c>
      <c r="AT162" s="1" t="s">
        <v>328</v>
      </c>
      <c r="AU162" s="1">
        <v>166</v>
      </c>
      <c r="AV162" s="1">
        <v>0</v>
      </c>
      <c r="AW162" s="1" t="s">
        <v>5078</v>
      </c>
      <c r="AX162" s="1" t="s">
        <v>5058</v>
      </c>
      <c r="AY162" s="1">
        <v>5</v>
      </c>
      <c r="AZ162" s="1">
        <v>0</v>
      </c>
      <c r="BA162" s="1" t="s">
        <v>328</v>
      </c>
      <c r="BB162" s="1" t="s">
        <v>5079</v>
      </c>
      <c r="BC162" s="1" t="s">
        <v>328</v>
      </c>
      <c r="BD162" s="1">
        <v>10401</v>
      </c>
      <c r="BE162" s="1"/>
      <c r="BH162">
        <f>COUNTIF(Dropdowns!$I:$AF,C162)</f>
        <v>0</v>
      </c>
    </row>
    <row r="163" spans="1:60" x14ac:dyDescent="0.3">
      <c r="A163" s="1">
        <v>167</v>
      </c>
      <c r="B163" s="1" t="s">
        <v>3331</v>
      </c>
      <c r="C163" s="207" t="s">
        <v>227</v>
      </c>
      <c r="D163" s="1" t="s">
        <v>227</v>
      </c>
      <c r="E163" s="1"/>
      <c r="F163" s="1"/>
      <c r="G163" s="1" t="s">
        <v>3332</v>
      </c>
      <c r="H163" s="1" t="s">
        <v>3333</v>
      </c>
      <c r="I163" s="1" t="s">
        <v>3334</v>
      </c>
      <c r="J163" s="1">
        <v>1</v>
      </c>
      <c r="K163" s="1">
        <v>3</v>
      </c>
      <c r="L163" s="1">
        <v>2400</v>
      </c>
      <c r="M163" s="1">
        <v>10</v>
      </c>
      <c r="N163" s="1">
        <v>10</v>
      </c>
      <c r="O163" s="1">
        <v>5</v>
      </c>
      <c r="P163" s="1">
        <v>5</v>
      </c>
      <c r="Q163" s="1">
        <v>2</v>
      </c>
      <c r="R163" s="1">
        <v>2</v>
      </c>
      <c r="S163" s="1">
        <v>2</v>
      </c>
      <c r="T163" s="1">
        <v>0</v>
      </c>
      <c r="U163" s="1">
        <v>100</v>
      </c>
      <c r="V163" s="1">
        <v>130</v>
      </c>
      <c r="W163" s="1">
        <v>105</v>
      </c>
      <c r="X163" s="1">
        <v>100</v>
      </c>
      <c r="Y163" s="1">
        <v>125</v>
      </c>
      <c r="Z163" s="1">
        <v>115</v>
      </c>
      <c r="AA163" s="1">
        <v>0</v>
      </c>
      <c r="AB163" s="1">
        <v>15</v>
      </c>
      <c r="AC163" s="1">
        <v>20</v>
      </c>
      <c r="AD163" s="1">
        <v>0</v>
      </c>
      <c r="AE163" s="1">
        <v>110</v>
      </c>
      <c r="AF163" s="1">
        <v>100</v>
      </c>
      <c r="AG163" s="1">
        <v>106101</v>
      </c>
      <c r="AH163" s="1">
        <v>0</v>
      </c>
      <c r="AI163" s="1">
        <v>300101</v>
      </c>
      <c r="AJ163" s="1" t="s">
        <v>1125</v>
      </c>
      <c r="AK163" s="1" t="s">
        <v>328</v>
      </c>
      <c r="AL163" s="1">
        <v>13</v>
      </c>
      <c r="AM163" s="1" t="s">
        <v>1806</v>
      </c>
      <c r="AN163" s="1" t="s">
        <v>4784</v>
      </c>
      <c r="AO163" s="1" t="s">
        <v>5080</v>
      </c>
      <c r="AP163" s="1">
        <v>0</v>
      </c>
      <c r="AQ163" s="1" t="s">
        <v>1118</v>
      </c>
      <c r="AR163" s="1" t="s">
        <v>1119</v>
      </c>
      <c r="AS163" s="1" t="s">
        <v>1120</v>
      </c>
      <c r="AT163" s="1" t="s">
        <v>328</v>
      </c>
      <c r="AU163" s="1">
        <v>167</v>
      </c>
      <c r="AV163" s="1">
        <v>0</v>
      </c>
      <c r="AW163" s="1" t="s">
        <v>5081</v>
      </c>
      <c r="AX163" s="1" t="s">
        <v>485</v>
      </c>
      <c r="AY163" s="1">
        <v>3</v>
      </c>
      <c r="AZ163" s="1">
        <v>0</v>
      </c>
      <c r="BA163" s="1" t="s">
        <v>328</v>
      </c>
      <c r="BB163" s="1" t="s">
        <v>328</v>
      </c>
      <c r="BC163" s="1" t="s">
        <v>4769</v>
      </c>
      <c r="BD163" s="1">
        <v>10803</v>
      </c>
      <c r="BE163" s="1"/>
      <c r="BH163">
        <f>COUNTIF(Dropdowns!$I:$AF,C163)</f>
        <v>0</v>
      </c>
    </row>
    <row r="164" spans="1:60" x14ac:dyDescent="0.3">
      <c r="A164" s="1">
        <v>168</v>
      </c>
      <c r="B164" s="1" t="s">
        <v>3335</v>
      </c>
      <c r="C164" s="207" t="s">
        <v>153</v>
      </c>
      <c r="D164" s="1" t="s">
        <v>153</v>
      </c>
      <c r="E164" s="1"/>
      <c r="F164" s="1"/>
      <c r="G164" s="1" t="s">
        <v>3336</v>
      </c>
      <c r="H164" s="1" t="s">
        <v>3337</v>
      </c>
      <c r="I164" s="1" t="s">
        <v>3338</v>
      </c>
      <c r="J164" s="1">
        <v>1</v>
      </c>
      <c r="K164" s="1">
        <v>4</v>
      </c>
      <c r="L164" s="1">
        <v>3120</v>
      </c>
      <c r="M164" s="1">
        <v>10</v>
      </c>
      <c r="N164" s="1">
        <v>10</v>
      </c>
      <c r="O164" s="1">
        <v>5</v>
      </c>
      <c r="P164" s="1">
        <v>5</v>
      </c>
      <c r="Q164" s="1">
        <v>2</v>
      </c>
      <c r="R164" s="1">
        <v>2</v>
      </c>
      <c r="S164" s="1">
        <v>2</v>
      </c>
      <c r="T164" s="1">
        <v>0</v>
      </c>
      <c r="U164" s="1">
        <v>105</v>
      </c>
      <c r="V164" s="1">
        <v>120</v>
      </c>
      <c r="W164" s="1">
        <v>110</v>
      </c>
      <c r="X164" s="1">
        <v>100</v>
      </c>
      <c r="Y164" s="1">
        <v>120</v>
      </c>
      <c r="Z164" s="1">
        <v>95</v>
      </c>
      <c r="AA164" s="1">
        <v>0</v>
      </c>
      <c r="AB164" s="1">
        <v>15</v>
      </c>
      <c r="AC164" s="1">
        <v>20</v>
      </c>
      <c r="AD164" s="1">
        <v>0</v>
      </c>
      <c r="AE164" s="1">
        <v>120</v>
      </c>
      <c r="AF164" s="1">
        <v>100</v>
      </c>
      <c r="AG164" s="1">
        <v>101602</v>
      </c>
      <c r="AH164" s="1">
        <v>0</v>
      </c>
      <c r="AI164" s="1">
        <v>300101</v>
      </c>
      <c r="AJ164" s="1" t="s">
        <v>5082</v>
      </c>
      <c r="AK164" s="1" t="s">
        <v>328</v>
      </c>
      <c r="AL164" s="1">
        <v>18</v>
      </c>
      <c r="AM164" s="1" t="s">
        <v>1806</v>
      </c>
      <c r="AN164" s="1" t="s">
        <v>5083</v>
      </c>
      <c r="AO164" s="1" t="s">
        <v>5063</v>
      </c>
      <c r="AP164" s="1">
        <v>0</v>
      </c>
      <c r="AQ164" s="1" t="s">
        <v>1118</v>
      </c>
      <c r="AR164" s="1" t="s">
        <v>1119</v>
      </c>
      <c r="AS164" s="1" t="s">
        <v>1120</v>
      </c>
      <c r="AT164" s="1" t="s">
        <v>328</v>
      </c>
      <c r="AU164" s="1">
        <v>168</v>
      </c>
      <c r="AV164" s="1">
        <v>0</v>
      </c>
      <c r="AW164" s="1" t="s">
        <v>5084</v>
      </c>
      <c r="AX164" s="1" t="s">
        <v>4762</v>
      </c>
      <c r="AY164" s="1">
        <v>4</v>
      </c>
      <c r="AZ164" s="1">
        <v>0</v>
      </c>
      <c r="BA164" s="1" t="s">
        <v>328</v>
      </c>
      <c r="BB164" s="1" t="s">
        <v>5085</v>
      </c>
      <c r="BC164" s="1" t="s">
        <v>328</v>
      </c>
      <c r="BD164" s="1">
        <v>10401</v>
      </c>
      <c r="BE164" s="1"/>
      <c r="BH164">
        <f>COUNTIF(Dropdowns!$I:$AF,C164)</f>
        <v>0</v>
      </c>
    </row>
    <row r="165" spans="1:60" x14ac:dyDescent="0.3">
      <c r="A165" s="1">
        <v>169</v>
      </c>
      <c r="B165" s="1" t="s">
        <v>3339</v>
      </c>
      <c r="C165" s="207" t="s">
        <v>750</v>
      </c>
      <c r="D165" s="1" t="s">
        <v>3340</v>
      </c>
      <c r="E165" s="1"/>
      <c r="F165" s="1"/>
      <c r="G165" s="1" t="s">
        <v>3341</v>
      </c>
      <c r="H165" s="1" t="s">
        <v>3342</v>
      </c>
      <c r="I165" s="1" t="s">
        <v>3343</v>
      </c>
      <c r="J165" s="1">
        <v>2</v>
      </c>
      <c r="K165" s="1">
        <v>3</v>
      </c>
      <c r="L165" s="1">
        <v>7200</v>
      </c>
      <c r="M165" s="1">
        <v>25</v>
      </c>
      <c r="N165" s="1">
        <v>20</v>
      </c>
      <c r="O165" s="1">
        <v>15</v>
      </c>
      <c r="P165" s="1">
        <v>10</v>
      </c>
      <c r="Q165" s="1">
        <v>5</v>
      </c>
      <c r="R165" s="1">
        <v>5</v>
      </c>
      <c r="S165" s="1">
        <v>2</v>
      </c>
      <c r="T165" s="1">
        <v>0</v>
      </c>
      <c r="U165" s="1">
        <v>95</v>
      </c>
      <c r="V165" s="1">
        <v>125</v>
      </c>
      <c r="W165" s="1">
        <v>120</v>
      </c>
      <c r="X165" s="1">
        <v>100</v>
      </c>
      <c r="Y165" s="1">
        <v>110</v>
      </c>
      <c r="Z165" s="1">
        <v>120</v>
      </c>
      <c r="AA165" s="1">
        <v>0</v>
      </c>
      <c r="AB165" s="1">
        <v>15</v>
      </c>
      <c r="AC165" s="1">
        <v>5</v>
      </c>
      <c r="AD165" s="1">
        <v>0</v>
      </c>
      <c r="AE165" s="1">
        <v>100</v>
      </c>
      <c r="AF165" s="1">
        <v>100</v>
      </c>
      <c r="AG165" s="1">
        <v>101903</v>
      </c>
      <c r="AH165" s="1">
        <v>0</v>
      </c>
      <c r="AI165" s="1">
        <v>300102</v>
      </c>
      <c r="AJ165" s="1" t="s">
        <v>1125</v>
      </c>
      <c r="AK165" s="1" t="s">
        <v>328</v>
      </c>
      <c r="AL165" s="1">
        <v>13</v>
      </c>
      <c r="AM165" s="1" t="s">
        <v>4790</v>
      </c>
      <c r="AN165" s="1" t="s">
        <v>4793</v>
      </c>
      <c r="AO165" s="1" t="s">
        <v>5086</v>
      </c>
      <c r="AP165" s="1">
        <v>0</v>
      </c>
      <c r="AQ165" s="1" t="s">
        <v>1129</v>
      </c>
      <c r="AR165" s="1" t="s">
        <v>1119</v>
      </c>
      <c r="AS165" s="1" t="s">
        <v>1745</v>
      </c>
      <c r="AT165" s="1" t="s">
        <v>328</v>
      </c>
      <c r="AU165" s="1">
        <v>169</v>
      </c>
      <c r="AV165" s="1">
        <v>0</v>
      </c>
      <c r="AW165" s="1" t="s">
        <v>5084</v>
      </c>
      <c r="AX165" s="1" t="s">
        <v>4919</v>
      </c>
      <c r="AY165" s="1">
        <v>3</v>
      </c>
      <c r="AZ165" s="1">
        <v>0</v>
      </c>
      <c r="BA165" s="1" t="s">
        <v>328</v>
      </c>
      <c r="BB165" s="1" t="s">
        <v>357</v>
      </c>
      <c r="BC165" s="1" t="s">
        <v>4720</v>
      </c>
      <c r="BD165" s="1">
        <v>10703</v>
      </c>
      <c r="BE165" s="1"/>
      <c r="BH165">
        <f>COUNTIF(Dropdowns!$I:$AF,C165)</f>
        <v>1</v>
      </c>
    </row>
    <row r="166" spans="1:60" x14ac:dyDescent="0.3">
      <c r="A166" s="1">
        <v>170</v>
      </c>
      <c r="B166" s="1" t="s">
        <v>3344</v>
      </c>
      <c r="C166" s="207" t="s">
        <v>5490</v>
      </c>
      <c r="D166" s="1" t="s">
        <v>3345</v>
      </c>
      <c r="E166" s="1"/>
      <c r="F166" s="1"/>
      <c r="G166" s="1" t="s">
        <v>3346</v>
      </c>
      <c r="H166" s="1" t="s">
        <v>3347</v>
      </c>
      <c r="I166" s="1" t="s">
        <v>3348</v>
      </c>
      <c r="J166" s="1">
        <v>4</v>
      </c>
      <c r="K166" s="1">
        <v>3</v>
      </c>
      <c r="L166" s="1">
        <v>12000</v>
      </c>
      <c r="M166" s="1">
        <v>20</v>
      </c>
      <c r="N166" s="1">
        <v>20</v>
      </c>
      <c r="O166" s="1">
        <v>10</v>
      </c>
      <c r="P166" s="1">
        <v>10</v>
      </c>
      <c r="Q166" s="1">
        <v>2</v>
      </c>
      <c r="R166" s="1">
        <v>5</v>
      </c>
      <c r="S166" s="1">
        <v>5</v>
      </c>
      <c r="T166" s="1">
        <v>0</v>
      </c>
      <c r="U166" s="1">
        <v>100</v>
      </c>
      <c r="V166" s="1">
        <v>135</v>
      </c>
      <c r="W166" s="1">
        <v>85</v>
      </c>
      <c r="X166" s="1">
        <v>100</v>
      </c>
      <c r="Y166" s="1">
        <v>90</v>
      </c>
      <c r="Z166" s="1">
        <v>80</v>
      </c>
      <c r="AA166" s="1">
        <v>0</v>
      </c>
      <c r="AB166" s="1">
        <v>15</v>
      </c>
      <c r="AC166" s="1">
        <v>20</v>
      </c>
      <c r="AD166" s="1">
        <v>0</v>
      </c>
      <c r="AE166" s="1">
        <v>130</v>
      </c>
      <c r="AF166" s="1">
        <v>100</v>
      </c>
      <c r="AG166" s="1">
        <v>105903</v>
      </c>
      <c r="AH166" s="1">
        <v>0</v>
      </c>
      <c r="AI166" s="1">
        <v>300103</v>
      </c>
      <c r="AJ166" s="1" t="s">
        <v>1125</v>
      </c>
      <c r="AK166" s="1" t="s">
        <v>328</v>
      </c>
      <c r="AL166" s="1">
        <v>13</v>
      </c>
      <c r="AM166" s="1" t="s">
        <v>4719</v>
      </c>
      <c r="AN166" s="1" t="s">
        <v>4834</v>
      </c>
      <c r="AO166" s="1" t="s">
        <v>5087</v>
      </c>
      <c r="AP166" s="1">
        <v>0</v>
      </c>
      <c r="AQ166" s="1" t="s">
        <v>1130</v>
      </c>
      <c r="AR166" s="1" t="s">
        <v>1154</v>
      </c>
      <c r="AS166" s="1" t="s">
        <v>1129</v>
      </c>
      <c r="AT166" s="1" t="s">
        <v>328</v>
      </c>
      <c r="AU166" s="1">
        <v>170</v>
      </c>
      <c r="AV166" s="1">
        <v>0</v>
      </c>
      <c r="AW166" s="1" t="s">
        <v>5088</v>
      </c>
      <c r="AX166" s="1" t="s">
        <v>485</v>
      </c>
      <c r="AY166" s="1">
        <v>3</v>
      </c>
      <c r="AZ166" s="1">
        <v>0</v>
      </c>
      <c r="BA166" s="1" t="s">
        <v>328</v>
      </c>
      <c r="BB166" s="1" t="s">
        <v>328</v>
      </c>
      <c r="BC166" s="1" t="s">
        <v>4757</v>
      </c>
      <c r="BD166" s="1">
        <v>10402</v>
      </c>
      <c r="BE166" s="1"/>
      <c r="BH166">
        <f>COUNTIF(Dropdowns!$I:$AF,C166)</f>
        <v>1</v>
      </c>
    </row>
    <row r="167" spans="1:60" x14ac:dyDescent="0.3">
      <c r="A167" s="1">
        <v>171</v>
      </c>
      <c r="B167" s="1" t="s">
        <v>3349</v>
      </c>
      <c r="C167" s="207" t="s">
        <v>228</v>
      </c>
      <c r="D167" s="1" t="s">
        <v>3350</v>
      </c>
      <c r="E167" s="1"/>
      <c r="F167" s="1"/>
      <c r="G167" s="1" t="s">
        <v>3351</v>
      </c>
      <c r="H167" s="1" t="s">
        <v>3352</v>
      </c>
      <c r="I167" s="1" t="s">
        <v>3353</v>
      </c>
      <c r="J167" s="1">
        <v>4</v>
      </c>
      <c r="K167" s="1">
        <v>4</v>
      </c>
      <c r="L167" s="1">
        <v>13200</v>
      </c>
      <c r="M167" s="1">
        <v>20</v>
      </c>
      <c r="N167" s="1">
        <v>20</v>
      </c>
      <c r="O167" s="1">
        <v>10</v>
      </c>
      <c r="P167" s="1">
        <v>10</v>
      </c>
      <c r="Q167" s="1">
        <v>2</v>
      </c>
      <c r="R167" s="1">
        <v>5</v>
      </c>
      <c r="S167" s="1">
        <v>5</v>
      </c>
      <c r="T167" s="1">
        <v>0</v>
      </c>
      <c r="U167" s="1">
        <v>100</v>
      </c>
      <c r="V167" s="1">
        <v>130</v>
      </c>
      <c r="W167" s="1">
        <v>90</v>
      </c>
      <c r="X167" s="1">
        <v>100</v>
      </c>
      <c r="Y167" s="1">
        <v>95</v>
      </c>
      <c r="Z167" s="1">
        <v>85</v>
      </c>
      <c r="AA167" s="1">
        <v>0</v>
      </c>
      <c r="AB167" s="1">
        <v>15</v>
      </c>
      <c r="AC167" s="1">
        <v>20</v>
      </c>
      <c r="AD167" s="1">
        <v>0</v>
      </c>
      <c r="AE167" s="1">
        <v>135</v>
      </c>
      <c r="AF167" s="1">
        <v>100</v>
      </c>
      <c r="AG167" s="1">
        <v>106203</v>
      </c>
      <c r="AH167" s="1">
        <v>0</v>
      </c>
      <c r="AI167" s="1">
        <v>300103</v>
      </c>
      <c r="AJ167" s="1" t="s">
        <v>1747</v>
      </c>
      <c r="AK167" s="1" t="s">
        <v>328</v>
      </c>
      <c r="AL167" s="1">
        <v>13</v>
      </c>
      <c r="AM167" s="1" t="s">
        <v>4790</v>
      </c>
      <c r="AN167" s="1" t="s">
        <v>464</v>
      </c>
      <c r="AO167" s="1" t="s">
        <v>4940</v>
      </c>
      <c r="AP167" s="1">
        <v>0</v>
      </c>
      <c r="AQ167" s="1" t="s">
        <v>1745</v>
      </c>
      <c r="AR167" s="1" t="s">
        <v>1154</v>
      </c>
      <c r="AS167" s="1" t="s">
        <v>1129</v>
      </c>
      <c r="AT167" s="1" t="s">
        <v>328</v>
      </c>
      <c r="AU167" s="1">
        <v>171</v>
      </c>
      <c r="AV167" s="1">
        <v>0</v>
      </c>
      <c r="AW167" s="1" t="s">
        <v>5084</v>
      </c>
      <c r="AX167" s="1" t="s">
        <v>331</v>
      </c>
      <c r="AY167" s="1">
        <v>4</v>
      </c>
      <c r="AZ167" s="1">
        <v>0</v>
      </c>
      <c r="BA167" s="1" t="s">
        <v>4743</v>
      </c>
      <c r="BB167" s="1" t="s">
        <v>5089</v>
      </c>
      <c r="BC167" s="1" t="s">
        <v>328</v>
      </c>
      <c r="BD167" s="1">
        <v>10702</v>
      </c>
      <c r="BE167" s="1"/>
      <c r="BH167">
        <f>COUNTIF(Dropdowns!$I:$AF,C167)</f>
        <v>1</v>
      </c>
    </row>
    <row r="168" spans="1:60" x14ac:dyDescent="0.3">
      <c r="A168" s="1">
        <v>172</v>
      </c>
      <c r="B168" s="1" t="s">
        <v>3354</v>
      </c>
      <c r="C168" s="207" t="s">
        <v>229</v>
      </c>
      <c r="D168" s="1" t="s">
        <v>229</v>
      </c>
      <c r="E168" s="1"/>
      <c r="F168" s="1"/>
      <c r="G168" s="1" t="s">
        <v>3355</v>
      </c>
      <c r="H168" s="1" t="s">
        <v>3356</v>
      </c>
      <c r="I168" s="1" t="s">
        <v>3357</v>
      </c>
      <c r="J168" s="1">
        <v>4</v>
      </c>
      <c r="K168" s="1">
        <v>5</v>
      </c>
      <c r="L168" s="1">
        <v>14280</v>
      </c>
      <c r="M168" s="1">
        <v>20</v>
      </c>
      <c r="N168" s="1">
        <v>20</v>
      </c>
      <c r="O168" s="1">
        <v>10</v>
      </c>
      <c r="P168" s="1">
        <v>10</v>
      </c>
      <c r="Q168" s="1">
        <v>2</v>
      </c>
      <c r="R168" s="1">
        <v>5</v>
      </c>
      <c r="S168" s="1">
        <v>5</v>
      </c>
      <c r="T168" s="1">
        <v>0</v>
      </c>
      <c r="U168" s="1">
        <v>95</v>
      </c>
      <c r="V168" s="1">
        <v>135</v>
      </c>
      <c r="W168" s="1">
        <v>75</v>
      </c>
      <c r="X168" s="1">
        <v>100</v>
      </c>
      <c r="Y168" s="1">
        <v>140</v>
      </c>
      <c r="Z168" s="1">
        <v>100</v>
      </c>
      <c r="AA168" s="1">
        <v>0</v>
      </c>
      <c r="AB168" s="1">
        <v>15</v>
      </c>
      <c r="AC168" s="1">
        <v>30</v>
      </c>
      <c r="AD168" s="1">
        <v>0</v>
      </c>
      <c r="AE168" s="1">
        <v>145</v>
      </c>
      <c r="AF168" s="1">
        <v>100</v>
      </c>
      <c r="AG168" s="1">
        <v>106404</v>
      </c>
      <c r="AH168" s="1">
        <v>0</v>
      </c>
      <c r="AI168" s="1">
        <v>300802</v>
      </c>
      <c r="AJ168" s="1" t="s">
        <v>1211</v>
      </c>
      <c r="AK168" s="1" t="s">
        <v>328</v>
      </c>
      <c r="AL168" s="1">
        <v>13</v>
      </c>
      <c r="AM168" s="1" t="s">
        <v>4719</v>
      </c>
      <c r="AN168" s="1" t="s">
        <v>4864</v>
      </c>
      <c r="AO168" s="1" t="s">
        <v>5090</v>
      </c>
      <c r="AP168" s="1">
        <v>0</v>
      </c>
      <c r="AQ168" s="1" t="s">
        <v>1745</v>
      </c>
      <c r="AR168" s="1" t="s">
        <v>1154</v>
      </c>
      <c r="AS168" s="1" t="s">
        <v>1129</v>
      </c>
      <c r="AT168" s="1" t="s">
        <v>328</v>
      </c>
      <c r="AU168" s="1">
        <v>172</v>
      </c>
      <c r="AV168" s="1">
        <v>0</v>
      </c>
      <c r="AW168" s="1" t="s">
        <v>5084</v>
      </c>
      <c r="AX168" s="1" t="s">
        <v>331</v>
      </c>
      <c r="AY168" s="1">
        <v>5</v>
      </c>
      <c r="AZ168" s="1">
        <v>0</v>
      </c>
      <c r="BA168" s="1" t="s">
        <v>328</v>
      </c>
      <c r="BB168" s="1" t="s">
        <v>5091</v>
      </c>
      <c r="BC168" s="1" t="s">
        <v>4720</v>
      </c>
      <c r="BD168" s="1">
        <v>10802</v>
      </c>
      <c r="BE168" s="1"/>
      <c r="BH168">
        <f>COUNTIF(Dropdowns!$I:$AF,C168)</f>
        <v>1</v>
      </c>
    </row>
    <row r="169" spans="1:60" x14ac:dyDescent="0.3">
      <c r="A169" s="1">
        <v>173</v>
      </c>
      <c r="B169" s="1" t="s">
        <v>3358</v>
      </c>
      <c r="C169" s="207" t="s">
        <v>154</v>
      </c>
      <c r="D169" s="1" t="s">
        <v>154</v>
      </c>
      <c r="E169" s="1"/>
      <c r="F169" s="1"/>
      <c r="G169" s="1" t="s">
        <v>3359</v>
      </c>
      <c r="H169" s="1" t="s">
        <v>3360</v>
      </c>
      <c r="I169" s="1" t="s">
        <v>3361</v>
      </c>
      <c r="J169" s="1">
        <v>5</v>
      </c>
      <c r="K169" s="1">
        <v>5</v>
      </c>
      <c r="L169" s="1">
        <v>24600</v>
      </c>
      <c r="M169" s="1">
        <v>40</v>
      </c>
      <c r="N169" s="1">
        <v>30</v>
      </c>
      <c r="O169" s="1">
        <v>25</v>
      </c>
      <c r="P169" s="1">
        <v>15</v>
      </c>
      <c r="Q169" s="1">
        <v>5</v>
      </c>
      <c r="R169" s="1">
        <v>5</v>
      </c>
      <c r="S169" s="1">
        <v>2</v>
      </c>
      <c r="T169" s="1">
        <v>5</v>
      </c>
      <c r="U169" s="1">
        <v>100</v>
      </c>
      <c r="V169" s="1">
        <v>120</v>
      </c>
      <c r="W169" s="1">
        <v>120</v>
      </c>
      <c r="X169" s="1">
        <v>100</v>
      </c>
      <c r="Y169" s="1">
        <v>130</v>
      </c>
      <c r="Z169" s="1">
        <v>120</v>
      </c>
      <c r="AA169" s="1">
        <v>0</v>
      </c>
      <c r="AB169" s="1">
        <v>15</v>
      </c>
      <c r="AC169" s="1">
        <v>5</v>
      </c>
      <c r="AD169" s="1">
        <v>10</v>
      </c>
      <c r="AE169" s="1">
        <v>115</v>
      </c>
      <c r="AF169" s="1">
        <v>100</v>
      </c>
      <c r="AG169" s="1">
        <v>106304</v>
      </c>
      <c r="AH169" s="1">
        <v>0</v>
      </c>
      <c r="AI169" s="1">
        <v>106304</v>
      </c>
      <c r="AJ169" s="1" t="s">
        <v>5092</v>
      </c>
      <c r="AK169" s="1" t="s">
        <v>328</v>
      </c>
      <c r="AL169" s="1">
        <v>17</v>
      </c>
      <c r="AM169" s="1" t="s">
        <v>4858</v>
      </c>
      <c r="AN169" s="1" t="s">
        <v>5093</v>
      </c>
      <c r="AO169" s="1" t="s">
        <v>5094</v>
      </c>
      <c r="AP169" s="1">
        <v>0</v>
      </c>
      <c r="AQ169" s="1" t="s">
        <v>1167</v>
      </c>
      <c r="AR169" s="1" t="s">
        <v>1168</v>
      </c>
      <c r="AS169" s="1" t="s">
        <v>1169</v>
      </c>
      <c r="AT169" s="1" t="s">
        <v>328</v>
      </c>
      <c r="AU169" s="1">
        <v>173</v>
      </c>
      <c r="AV169" s="1">
        <v>0</v>
      </c>
      <c r="AW169" s="1" t="s">
        <v>5084</v>
      </c>
      <c r="AX169" s="1" t="s">
        <v>331</v>
      </c>
      <c r="AY169" s="1">
        <v>5</v>
      </c>
      <c r="AZ169" s="1">
        <v>0</v>
      </c>
      <c r="BA169" s="1" t="s">
        <v>328</v>
      </c>
      <c r="BB169" s="1" t="s">
        <v>5095</v>
      </c>
      <c r="BC169" s="1" t="s">
        <v>4757</v>
      </c>
      <c r="BD169" s="1">
        <v>10402</v>
      </c>
      <c r="BE169" s="1"/>
      <c r="BH169">
        <f>COUNTIF(Dropdowns!$I:$AF,C169)</f>
        <v>1</v>
      </c>
    </row>
    <row r="170" spans="1:60" x14ac:dyDescent="0.3">
      <c r="A170" s="1">
        <v>174</v>
      </c>
      <c r="B170" s="1" t="s">
        <v>3362</v>
      </c>
      <c r="C170" s="207" t="s">
        <v>1603</v>
      </c>
      <c r="D170" s="1" t="s">
        <v>3363</v>
      </c>
      <c r="E170" s="1"/>
      <c r="F170" s="1"/>
      <c r="G170" s="1" t="s">
        <v>3364</v>
      </c>
      <c r="H170" s="1" t="s">
        <v>3365</v>
      </c>
      <c r="I170" s="1" t="s">
        <v>3366</v>
      </c>
      <c r="J170" s="1">
        <v>3</v>
      </c>
      <c r="K170" s="1">
        <v>3</v>
      </c>
      <c r="L170" s="1">
        <v>13800</v>
      </c>
      <c r="M170" s="1">
        <v>15</v>
      </c>
      <c r="N170" s="1">
        <v>30</v>
      </c>
      <c r="O170" s="1">
        <v>10</v>
      </c>
      <c r="P170" s="1">
        <v>15</v>
      </c>
      <c r="Q170" s="1">
        <v>5</v>
      </c>
      <c r="R170" s="1">
        <v>2</v>
      </c>
      <c r="S170" s="1">
        <v>5</v>
      </c>
      <c r="T170" s="1">
        <v>0</v>
      </c>
      <c r="U170" s="1">
        <v>85</v>
      </c>
      <c r="V170" s="1">
        <v>110</v>
      </c>
      <c r="W170" s="1">
        <v>90</v>
      </c>
      <c r="X170" s="1">
        <v>100</v>
      </c>
      <c r="Y170" s="1">
        <v>115</v>
      </c>
      <c r="Z170" s="1">
        <v>120</v>
      </c>
      <c r="AA170" s="1">
        <v>0</v>
      </c>
      <c r="AB170" s="1">
        <v>15</v>
      </c>
      <c r="AC170" s="1">
        <v>40</v>
      </c>
      <c r="AD170" s="1">
        <v>0</v>
      </c>
      <c r="AE170" s="1">
        <v>125</v>
      </c>
      <c r="AF170" s="1">
        <v>100</v>
      </c>
      <c r="AG170" s="1">
        <v>100412</v>
      </c>
      <c r="AH170" s="1">
        <v>0</v>
      </c>
      <c r="AI170" s="1">
        <v>300104</v>
      </c>
      <c r="AJ170" s="1" t="s">
        <v>1125</v>
      </c>
      <c r="AK170" s="1" t="s">
        <v>328</v>
      </c>
      <c r="AL170" s="1">
        <v>13</v>
      </c>
      <c r="AM170" s="1" t="s">
        <v>4762</v>
      </c>
      <c r="AN170" s="1" t="s">
        <v>4831</v>
      </c>
      <c r="AO170" s="1" t="s">
        <v>4826</v>
      </c>
      <c r="AP170" s="1">
        <v>0</v>
      </c>
      <c r="AQ170" s="1" t="s">
        <v>1140</v>
      </c>
      <c r="AR170" s="1" t="s">
        <v>1141</v>
      </c>
      <c r="AS170" s="1" t="s">
        <v>1142</v>
      </c>
      <c r="AT170" s="1" t="s">
        <v>328</v>
      </c>
      <c r="AU170" s="1">
        <v>174</v>
      </c>
      <c r="AV170" s="1">
        <v>0</v>
      </c>
      <c r="AW170" s="1" t="s">
        <v>5096</v>
      </c>
      <c r="AX170" s="1" t="s">
        <v>485</v>
      </c>
      <c r="AY170" s="1">
        <v>3</v>
      </c>
      <c r="AZ170" s="1">
        <v>0</v>
      </c>
      <c r="BA170" s="1" t="s">
        <v>328</v>
      </c>
      <c r="BB170" s="1" t="s">
        <v>4952</v>
      </c>
      <c r="BC170" s="1" t="s">
        <v>4783</v>
      </c>
      <c r="BD170" s="1">
        <v>10701</v>
      </c>
      <c r="BE170" s="1"/>
      <c r="BH170">
        <f>COUNTIF(Dropdowns!$I:$AF,C170)</f>
        <v>1</v>
      </c>
    </row>
    <row r="171" spans="1:60" x14ac:dyDescent="0.3">
      <c r="A171" s="1">
        <v>175</v>
      </c>
      <c r="B171" s="1" t="s">
        <v>3367</v>
      </c>
      <c r="C171" s="207" t="s">
        <v>155</v>
      </c>
      <c r="D171" s="1" t="s">
        <v>155</v>
      </c>
      <c r="E171" s="1"/>
      <c r="F171" s="1"/>
      <c r="G171" s="1" t="s">
        <v>3368</v>
      </c>
      <c r="H171" s="1" t="s">
        <v>3369</v>
      </c>
      <c r="I171" s="1" t="s">
        <v>3370</v>
      </c>
      <c r="J171" s="1">
        <v>4</v>
      </c>
      <c r="K171" s="1">
        <v>5</v>
      </c>
      <c r="L171" s="1">
        <v>14100</v>
      </c>
      <c r="M171" s="1">
        <v>20</v>
      </c>
      <c r="N171" s="1">
        <v>20</v>
      </c>
      <c r="O171" s="1">
        <v>10</v>
      </c>
      <c r="P171" s="1">
        <v>10</v>
      </c>
      <c r="Q171" s="1">
        <v>2</v>
      </c>
      <c r="R171" s="1">
        <v>5</v>
      </c>
      <c r="S171" s="1">
        <v>5</v>
      </c>
      <c r="T171" s="1">
        <v>0</v>
      </c>
      <c r="U171" s="1">
        <v>105</v>
      </c>
      <c r="V171" s="1">
        <v>110</v>
      </c>
      <c r="W171" s="1">
        <v>100</v>
      </c>
      <c r="X171" s="1">
        <v>100</v>
      </c>
      <c r="Y171" s="1">
        <v>120</v>
      </c>
      <c r="Z171" s="1">
        <v>110</v>
      </c>
      <c r="AA171" s="1">
        <v>0</v>
      </c>
      <c r="AB171" s="1">
        <v>15</v>
      </c>
      <c r="AC171" s="1">
        <v>20</v>
      </c>
      <c r="AD171" s="1">
        <v>0</v>
      </c>
      <c r="AE171" s="1">
        <v>130</v>
      </c>
      <c r="AF171" s="1">
        <v>100</v>
      </c>
      <c r="AG171" s="1">
        <v>101704</v>
      </c>
      <c r="AH171" s="1">
        <v>0</v>
      </c>
      <c r="AI171" s="1">
        <v>300103</v>
      </c>
      <c r="AJ171" s="1" t="s">
        <v>328</v>
      </c>
      <c r="AK171" s="1" t="s">
        <v>328</v>
      </c>
      <c r="AL171" s="1">
        <v>13</v>
      </c>
      <c r="AM171" s="1" t="s">
        <v>4719</v>
      </c>
      <c r="AN171" s="1" t="s">
        <v>4834</v>
      </c>
      <c r="AO171" s="1" t="s">
        <v>4880</v>
      </c>
      <c r="AP171" s="1">
        <v>0</v>
      </c>
      <c r="AQ171" s="1" t="s">
        <v>1130</v>
      </c>
      <c r="AR171" s="1" t="s">
        <v>1154</v>
      </c>
      <c r="AS171" s="1" t="s">
        <v>1129</v>
      </c>
      <c r="AT171" s="1" t="s">
        <v>328</v>
      </c>
      <c r="AU171" s="1">
        <v>175</v>
      </c>
      <c r="AV171" s="1">
        <v>0</v>
      </c>
      <c r="AW171" s="1" t="s">
        <v>5097</v>
      </c>
      <c r="AX171" s="1" t="s">
        <v>5044</v>
      </c>
      <c r="AY171" s="1">
        <v>5</v>
      </c>
      <c r="AZ171" s="1">
        <v>0</v>
      </c>
      <c r="BA171" s="1" t="s">
        <v>328</v>
      </c>
      <c r="BB171" s="1" t="s">
        <v>5098</v>
      </c>
      <c r="BC171" s="1" t="s">
        <v>328</v>
      </c>
      <c r="BD171" s="1">
        <v>10203</v>
      </c>
      <c r="BE171" s="1"/>
      <c r="BH171">
        <f>COUNTIF(Dropdowns!$I:$AF,C171)</f>
        <v>1</v>
      </c>
    </row>
    <row r="172" spans="1:60" x14ac:dyDescent="0.3">
      <c r="A172" s="1">
        <v>176</v>
      </c>
      <c r="B172" s="1" t="s">
        <v>3371</v>
      </c>
      <c r="C172" s="207" t="s">
        <v>156</v>
      </c>
      <c r="D172" s="1" t="s">
        <v>156</v>
      </c>
      <c r="E172" s="1"/>
      <c r="F172" s="1"/>
      <c r="G172" s="1" t="s">
        <v>3372</v>
      </c>
      <c r="H172" s="1" t="s">
        <v>3373</v>
      </c>
      <c r="I172" s="1" t="s">
        <v>3374</v>
      </c>
      <c r="J172" s="1">
        <v>2</v>
      </c>
      <c r="K172" s="1">
        <v>3</v>
      </c>
      <c r="L172" s="1">
        <v>7800</v>
      </c>
      <c r="M172" s="1">
        <v>25</v>
      </c>
      <c r="N172" s="1">
        <v>20</v>
      </c>
      <c r="O172" s="1">
        <v>15</v>
      </c>
      <c r="P172" s="1">
        <v>10</v>
      </c>
      <c r="Q172" s="1">
        <v>5</v>
      </c>
      <c r="R172" s="1">
        <v>5</v>
      </c>
      <c r="S172" s="1">
        <v>2</v>
      </c>
      <c r="T172" s="1">
        <v>0</v>
      </c>
      <c r="U172" s="1">
        <v>85</v>
      </c>
      <c r="V172" s="1">
        <v>110</v>
      </c>
      <c r="W172" s="1">
        <v>120</v>
      </c>
      <c r="X172" s="1">
        <v>100</v>
      </c>
      <c r="Y172" s="1">
        <v>125</v>
      </c>
      <c r="Z172" s="1">
        <v>130</v>
      </c>
      <c r="AA172" s="1">
        <v>0</v>
      </c>
      <c r="AB172" s="1">
        <v>15</v>
      </c>
      <c r="AC172" s="1">
        <v>5</v>
      </c>
      <c r="AD172" s="1">
        <v>0</v>
      </c>
      <c r="AE172" s="1">
        <v>105</v>
      </c>
      <c r="AF172" s="1">
        <v>100</v>
      </c>
      <c r="AG172" s="1">
        <v>100202</v>
      </c>
      <c r="AH172" s="1">
        <v>0</v>
      </c>
      <c r="AI172" s="1">
        <v>300102</v>
      </c>
      <c r="AJ172" s="1" t="s">
        <v>5099</v>
      </c>
      <c r="AK172" s="1" t="s">
        <v>328</v>
      </c>
      <c r="AL172" s="1">
        <v>12</v>
      </c>
      <c r="AM172" s="1" t="s">
        <v>4790</v>
      </c>
      <c r="AN172" s="1" t="s">
        <v>358</v>
      </c>
      <c r="AO172" s="1" t="s">
        <v>5063</v>
      </c>
      <c r="AP172" s="1">
        <v>0</v>
      </c>
      <c r="AQ172" s="1" t="s">
        <v>1129</v>
      </c>
      <c r="AR172" s="1" t="s">
        <v>1119</v>
      </c>
      <c r="AS172" s="1" t="s">
        <v>1130</v>
      </c>
      <c r="AT172" s="1" t="s">
        <v>328</v>
      </c>
      <c r="AU172" s="1">
        <v>176</v>
      </c>
      <c r="AV172" s="1">
        <v>0</v>
      </c>
      <c r="AW172" s="1" t="s">
        <v>5100</v>
      </c>
      <c r="AX172" s="1" t="s">
        <v>5101</v>
      </c>
      <c r="AY172" s="1">
        <v>3</v>
      </c>
      <c r="AZ172" s="1">
        <v>0</v>
      </c>
      <c r="BA172" s="1" t="s">
        <v>328</v>
      </c>
      <c r="BB172" s="1" t="s">
        <v>328</v>
      </c>
      <c r="BC172" s="1" t="s">
        <v>328</v>
      </c>
      <c r="BD172" s="1">
        <v>10202</v>
      </c>
      <c r="BE172" s="1"/>
      <c r="BH172">
        <f>COUNTIF(Dropdowns!$I:$AF,C172)</f>
        <v>1</v>
      </c>
    </row>
    <row r="173" spans="1:60" x14ac:dyDescent="0.3">
      <c r="A173" s="1">
        <v>177</v>
      </c>
      <c r="B173" s="1" t="s">
        <v>3375</v>
      </c>
      <c r="C173" s="207" t="s">
        <v>157</v>
      </c>
      <c r="D173" s="1" t="s">
        <v>157</v>
      </c>
      <c r="E173" s="1"/>
      <c r="F173" s="1"/>
      <c r="G173" s="1" t="s">
        <v>3376</v>
      </c>
      <c r="H173" s="1" t="s">
        <v>3377</v>
      </c>
      <c r="I173" s="1" t="s">
        <v>3378</v>
      </c>
      <c r="J173" s="1">
        <v>2</v>
      </c>
      <c r="K173" s="1">
        <v>4</v>
      </c>
      <c r="L173" s="1">
        <v>8400</v>
      </c>
      <c r="M173" s="1">
        <v>25</v>
      </c>
      <c r="N173" s="1">
        <v>20</v>
      </c>
      <c r="O173" s="1">
        <v>15</v>
      </c>
      <c r="P173" s="1">
        <v>10</v>
      </c>
      <c r="Q173" s="1">
        <v>5</v>
      </c>
      <c r="R173" s="1">
        <v>5</v>
      </c>
      <c r="S173" s="1">
        <v>2</v>
      </c>
      <c r="T173" s="1">
        <v>0</v>
      </c>
      <c r="U173" s="1">
        <v>108</v>
      </c>
      <c r="V173" s="1">
        <v>100</v>
      </c>
      <c r="W173" s="1">
        <v>125</v>
      </c>
      <c r="X173" s="1">
        <v>100</v>
      </c>
      <c r="Y173" s="1">
        <v>95</v>
      </c>
      <c r="Z173" s="1">
        <v>130</v>
      </c>
      <c r="AA173" s="1">
        <v>0</v>
      </c>
      <c r="AB173" s="1">
        <v>15</v>
      </c>
      <c r="AC173" s="1">
        <v>5</v>
      </c>
      <c r="AD173" s="1">
        <v>0</v>
      </c>
      <c r="AE173" s="1">
        <v>100</v>
      </c>
      <c r="AF173" s="1">
        <v>100</v>
      </c>
      <c r="AG173" s="1">
        <v>102303</v>
      </c>
      <c r="AH173" s="1">
        <v>0</v>
      </c>
      <c r="AI173" s="1">
        <v>300102</v>
      </c>
      <c r="AJ173" s="1" t="s">
        <v>1164</v>
      </c>
      <c r="AK173" s="1" t="s">
        <v>328</v>
      </c>
      <c r="AL173" s="1">
        <v>13</v>
      </c>
      <c r="AM173" s="1" t="s">
        <v>4790</v>
      </c>
      <c r="AN173" s="1" t="s">
        <v>4793</v>
      </c>
      <c r="AO173" s="1" t="s">
        <v>4802</v>
      </c>
      <c r="AP173" s="1">
        <v>0</v>
      </c>
      <c r="AQ173" s="1" t="s">
        <v>1129</v>
      </c>
      <c r="AR173" s="1" t="s">
        <v>1119</v>
      </c>
      <c r="AS173" s="1" t="s">
        <v>1130</v>
      </c>
      <c r="AT173" s="1" t="s">
        <v>328</v>
      </c>
      <c r="AU173" s="1">
        <v>177</v>
      </c>
      <c r="AV173" s="1">
        <v>0</v>
      </c>
      <c r="AW173" s="1" t="s">
        <v>4967</v>
      </c>
      <c r="AX173" s="1" t="s">
        <v>1806</v>
      </c>
      <c r="AY173" s="1">
        <v>4</v>
      </c>
      <c r="AZ173" s="1">
        <v>0</v>
      </c>
      <c r="BA173" s="1" t="s">
        <v>328</v>
      </c>
      <c r="BB173" s="1" t="s">
        <v>472</v>
      </c>
      <c r="BC173" s="1" t="s">
        <v>4757</v>
      </c>
      <c r="BD173" s="1">
        <v>10704</v>
      </c>
      <c r="BE173" s="1"/>
      <c r="BH173">
        <f>COUNTIF(Dropdowns!$I:$AF,C173)</f>
        <v>1</v>
      </c>
    </row>
    <row r="174" spans="1:60" x14ac:dyDescent="0.3">
      <c r="A174" s="1">
        <v>178</v>
      </c>
      <c r="B174" s="1" t="s">
        <v>3379</v>
      </c>
      <c r="C174" s="207" t="s">
        <v>158</v>
      </c>
      <c r="D174" s="1" t="s">
        <v>158</v>
      </c>
      <c r="E174" s="1"/>
      <c r="F174" s="1"/>
      <c r="G174" s="1" t="s">
        <v>3380</v>
      </c>
      <c r="H174" s="1" t="s">
        <v>3381</v>
      </c>
      <c r="I174" s="1" t="s">
        <v>3382</v>
      </c>
      <c r="J174" s="1">
        <v>2</v>
      </c>
      <c r="K174" s="1">
        <v>3</v>
      </c>
      <c r="L174" s="1">
        <v>6600</v>
      </c>
      <c r="M174" s="1">
        <v>25</v>
      </c>
      <c r="N174" s="1">
        <v>20</v>
      </c>
      <c r="O174" s="1">
        <v>15</v>
      </c>
      <c r="P174" s="1">
        <v>10</v>
      </c>
      <c r="Q174" s="1">
        <v>5</v>
      </c>
      <c r="R174" s="1">
        <v>5</v>
      </c>
      <c r="S174" s="1">
        <v>2</v>
      </c>
      <c r="T174" s="1">
        <v>0</v>
      </c>
      <c r="U174" s="1">
        <v>120</v>
      </c>
      <c r="V174" s="1">
        <v>95</v>
      </c>
      <c r="W174" s="1">
        <v>100</v>
      </c>
      <c r="X174" s="1">
        <v>100</v>
      </c>
      <c r="Y174" s="1">
        <v>110</v>
      </c>
      <c r="Z174" s="1">
        <v>95</v>
      </c>
      <c r="AA174" s="1">
        <v>0</v>
      </c>
      <c r="AB174" s="1">
        <v>15</v>
      </c>
      <c r="AC174" s="1">
        <v>5</v>
      </c>
      <c r="AD174" s="1">
        <v>0</v>
      </c>
      <c r="AE174" s="1">
        <v>112</v>
      </c>
      <c r="AF174" s="1">
        <v>100</v>
      </c>
      <c r="AG174" s="1">
        <v>102402</v>
      </c>
      <c r="AH174" s="1">
        <v>0</v>
      </c>
      <c r="AI174" s="1">
        <v>300102</v>
      </c>
      <c r="AJ174" s="1" t="s">
        <v>1125</v>
      </c>
      <c r="AK174" s="1" t="s">
        <v>328</v>
      </c>
      <c r="AL174" s="1">
        <v>13</v>
      </c>
      <c r="AM174" s="1" t="s">
        <v>4790</v>
      </c>
      <c r="AN174" s="1" t="s">
        <v>388</v>
      </c>
      <c r="AO174" s="1" t="s">
        <v>5102</v>
      </c>
      <c r="AP174" s="1">
        <v>0</v>
      </c>
      <c r="AQ174" s="1" t="s">
        <v>1744</v>
      </c>
      <c r="AR174" s="1" t="s">
        <v>1119</v>
      </c>
      <c r="AS174" s="1" t="s">
        <v>1130</v>
      </c>
      <c r="AT174" s="1" t="s">
        <v>328</v>
      </c>
      <c r="AU174" s="1">
        <v>178</v>
      </c>
      <c r="AV174" s="1">
        <v>0</v>
      </c>
      <c r="AW174" s="1" t="s">
        <v>4967</v>
      </c>
      <c r="AX174" s="1" t="s">
        <v>5103</v>
      </c>
      <c r="AY174" s="1">
        <v>3</v>
      </c>
      <c r="AZ174" s="1">
        <v>0</v>
      </c>
      <c r="BA174" s="1" t="s">
        <v>4765</v>
      </c>
      <c r="BB174" s="1" t="s">
        <v>5104</v>
      </c>
      <c r="BC174" s="1" t="s">
        <v>328</v>
      </c>
      <c r="BD174" s="1">
        <v>10802</v>
      </c>
      <c r="BE174" s="1"/>
      <c r="BH174">
        <f>COUNTIF(Dropdowns!$I:$AF,C174)</f>
        <v>1</v>
      </c>
    </row>
    <row r="175" spans="1:60" x14ac:dyDescent="0.3">
      <c r="A175" s="1">
        <v>179</v>
      </c>
      <c r="B175" s="1" t="s">
        <v>3383</v>
      </c>
      <c r="C175" s="207" t="s">
        <v>1637</v>
      </c>
      <c r="D175" s="1" t="s">
        <v>1637</v>
      </c>
      <c r="E175" s="1"/>
      <c r="F175" s="1"/>
      <c r="G175" s="1" t="s">
        <v>3384</v>
      </c>
      <c r="H175" s="1" t="s">
        <v>3385</v>
      </c>
      <c r="I175" s="1" t="s">
        <v>3386</v>
      </c>
      <c r="J175" s="1">
        <v>3</v>
      </c>
      <c r="K175" s="1">
        <v>5</v>
      </c>
      <c r="L175" s="1">
        <v>17100</v>
      </c>
      <c r="M175" s="1">
        <v>15</v>
      </c>
      <c r="N175" s="1">
        <v>30</v>
      </c>
      <c r="O175" s="1">
        <v>10</v>
      </c>
      <c r="P175" s="1">
        <v>15</v>
      </c>
      <c r="Q175" s="1">
        <v>5</v>
      </c>
      <c r="R175" s="1">
        <v>2</v>
      </c>
      <c r="S175" s="1">
        <v>5</v>
      </c>
      <c r="T175" s="1">
        <v>0</v>
      </c>
      <c r="U175" s="1">
        <v>93</v>
      </c>
      <c r="V175" s="1">
        <v>138</v>
      </c>
      <c r="W175" s="1">
        <v>85</v>
      </c>
      <c r="X175" s="1">
        <v>100</v>
      </c>
      <c r="Y175" s="1">
        <v>115</v>
      </c>
      <c r="Z175" s="1">
        <v>85</v>
      </c>
      <c r="AA175" s="1">
        <v>0</v>
      </c>
      <c r="AB175" s="1">
        <v>15</v>
      </c>
      <c r="AC175" s="1">
        <v>40</v>
      </c>
      <c r="AD175" s="1">
        <v>0</v>
      </c>
      <c r="AE175" s="1">
        <v>138</v>
      </c>
      <c r="AF175" s="1">
        <v>100</v>
      </c>
      <c r="AG175" s="1">
        <v>105709</v>
      </c>
      <c r="AH175" s="1">
        <v>0</v>
      </c>
      <c r="AI175" s="1">
        <v>300104</v>
      </c>
      <c r="AJ175" s="1" t="s">
        <v>1146</v>
      </c>
      <c r="AK175" s="1" t="s">
        <v>328</v>
      </c>
      <c r="AL175" s="1">
        <v>18</v>
      </c>
      <c r="AM175" s="1" t="s">
        <v>4762</v>
      </c>
      <c r="AN175" s="1" t="s">
        <v>5105</v>
      </c>
      <c r="AO175" s="1" t="s">
        <v>4845</v>
      </c>
      <c r="AP175" s="1">
        <v>0</v>
      </c>
      <c r="AQ175" s="1" t="s">
        <v>1140</v>
      </c>
      <c r="AR175" s="1" t="s">
        <v>1141</v>
      </c>
      <c r="AS175" s="1" t="s">
        <v>1142</v>
      </c>
      <c r="AT175" s="1" t="s">
        <v>328</v>
      </c>
      <c r="AU175" s="1">
        <v>179</v>
      </c>
      <c r="AV175" s="1">
        <v>0</v>
      </c>
      <c r="AW175" s="1" t="s">
        <v>4967</v>
      </c>
      <c r="AX175" s="1" t="s">
        <v>1806</v>
      </c>
      <c r="AY175" s="1">
        <v>5</v>
      </c>
      <c r="AZ175" s="1">
        <v>0</v>
      </c>
      <c r="BA175" s="1" t="s">
        <v>328</v>
      </c>
      <c r="BB175" s="1" t="s">
        <v>5106</v>
      </c>
      <c r="BC175" s="1" t="s">
        <v>4769</v>
      </c>
      <c r="BD175" s="1">
        <v>10701</v>
      </c>
      <c r="BE175" s="1"/>
      <c r="BH175">
        <f>COUNTIF(Dropdowns!$I:$AF,C175)</f>
        <v>1</v>
      </c>
    </row>
    <row r="176" spans="1:60" x14ac:dyDescent="0.3">
      <c r="A176" s="1">
        <v>180</v>
      </c>
      <c r="B176" s="1" t="s">
        <v>3387</v>
      </c>
      <c r="C176" s="207" t="s">
        <v>159</v>
      </c>
      <c r="D176" s="1" t="s">
        <v>159</v>
      </c>
      <c r="E176" s="1"/>
      <c r="F176" s="1"/>
      <c r="G176" s="1" t="s">
        <v>3388</v>
      </c>
      <c r="H176" s="1" t="s">
        <v>3389</v>
      </c>
      <c r="I176" s="1" t="s">
        <v>3390</v>
      </c>
      <c r="J176" s="1">
        <v>3</v>
      </c>
      <c r="K176" s="1">
        <v>4</v>
      </c>
      <c r="L176" s="1">
        <v>16200</v>
      </c>
      <c r="M176" s="1">
        <v>15</v>
      </c>
      <c r="N176" s="1">
        <v>30</v>
      </c>
      <c r="O176" s="1">
        <v>10</v>
      </c>
      <c r="P176" s="1">
        <v>15</v>
      </c>
      <c r="Q176" s="1">
        <v>5</v>
      </c>
      <c r="R176" s="1">
        <v>2</v>
      </c>
      <c r="S176" s="1">
        <v>5</v>
      </c>
      <c r="T176" s="1">
        <v>0</v>
      </c>
      <c r="U176" s="1">
        <v>95</v>
      </c>
      <c r="V176" s="1">
        <v>130</v>
      </c>
      <c r="W176" s="1">
        <v>90</v>
      </c>
      <c r="X176" s="1">
        <v>100</v>
      </c>
      <c r="Y176" s="1">
        <v>100</v>
      </c>
      <c r="Z176" s="1">
        <v>85</v>
      </c>
      <c r="AA176" s="1">
        <v>0</v>
      </c>
      <c r="AB176" s="1">
        <v>15</v>
      </c>
      <c r="AC176" s="1">
        <v>40</v>
      </c>
      <c r="AD176" s="1">
        <v>0</v>
      </c>
      <c r="AE176" s="1">
        <v>130</v>
      </c>
      <c r="AF176" s="1">
        <v>100</v>
      </c>
      <c r="AG176" s="1">
        <v>900216</v>
      </c>
      <c r="AH176" s="1">
        <v>0</v>
      </c>
      <c r="AI176" s="1">
        <v>300104</v>
      </c>
      <c r="AJ176" s="1" t="s">
        <v>1212</v>
      </c>
      <c r="AK176" s="1" t="s">
        <v>328</v>
      </c>
      <c r="AL176" s="1">
        <v>13</v>
      </c>
      <c r="AM176" s="1" t="s">
        <v>4762</v>
      </c>
      <c r="AN176" s="1" t="s">
        <v>464</v>
      </c>
      <c r="AO176" s="1" t="s">
        <v>4832</v>
      </c>
      <c r="AP176" s="1">
        <v>0</v>
      </c>
      <c r="AQ176" s="1" t="s">
        <v>1746</v>
      </c>
      <c r="AR176" s="1" t="s">
        <v>1141</v>
      </c>
      <c r="AS176" s="1" t="s">
        <v>1142</v>
      </c>
      <c r="AT176" s="1" t="s">
        <v>328</v>
      </c>
      <c r="AU176" s="1">
        <v>180</v>
      </c>
      <c r="AV176" s="1">
        <v>0</v>
      </c>
      <c r="AW176" s="1" t="s">
        <v>4967</v>
      </c>
      <c r="AX176" s="1" t="s">
        <v>5103</v>
      </c>
      <c r="AY176" s="1">
        <v>4</v>
      </c>
      <c r="AZ176" s="1">
        <v>0</v>
      </c>
      <c r="BA176" s="1" t="s">
        <v>328</v>
      </c>
      <c r="BB176" s="1" t="s">
        <v>5107</v>
      </c>
      <c r="BC176" s="1" t="s">
        <v>4769</v>
      </c>
      <c r="BD176" s="1">
        <v>10402</v>
      </c>
      <c r="BE176" s="1"/>
      <c r="BH176">
        <f>COUNTIF(Dropdowns!$I:$AF,C176)</f>
        <v>1</v>
      </c>
    </row>
    <row r="177" spans="1:60" x14ac:dyDescent="0.3">
      <c r="A177" s="1">
        <v>181</v>
      </c>
      <c r="B177" s="1" t="s">
        <v>3391</v>
      </c>
      <c r="C177" s="207" t="s">
        <v>160</v>
      </c>
      <c r="D177" s="1" t="s">
        <v>160</v>
      </c>
      <c r="E177" s="1"/>
      <c r="F177" s="1"/>
      <c r="G177" s="1" t="s">
        <v>3392</v>
      </c>
      <c r="H177" s="1" t="s">
        <v>3393</v>
      </c>
      <c r="I177" s="1" t="s">
        <v>3394</v>
      </c>
      <c r="J177" s="1">
        <v>4</v>
      </c>
      <c r="K177" s="1">
        <v>5</v>
      </c>
      <c r="L177" s="1">
        <v>13680</v>
      </c>
      <c r="M177" s="1">
        <v>20</v>
      </c>
      <c r="N177" s="1">
        <v>20</v>
      </c>
      <c r="O177" s="1">
        <v>10</v>
      </c>
      <c r="P177" s="1">
        <v>10</v>
      </c>
      <c r="Q177" s="1">
        <v>2</v>
      </c>
      <c r="R177" s="1">
        <v>5</v>
      </c>
      <c r="S177" s="1">
        <v>5</v>
      </c>
      <c r="T177" s="1">
        <v>0</v>
      </c>
      <c r="U177" s="1">
        <v>112</v>
      </c>
      <c r="V177" s="1">
        <v>115</v>
      </c>
      <c r="W177" s="1">
        <v>115</v>
      </c>
      <c r="X177" s="1">
        <v>100</v>
      </c>
      <c r="Y177" s="1">
        <v>110</v>
      </c>
      <c r="Z177" s="1">
        <v>115</v>
      </c>
      <c r="AA177" s="1">
        <v>0</v>
      </c>
      <c r="AB177" s="1">
        <v>15</v>
      </c>
      <c r="AC177" s="1">
        <v>20</v>
      </c>
      <c r="AD177" s="1">
        <v>0</v>
      </c>
      <c r="AE177" s="1">
        <v>115</v>
      </c>
      <c r="AF177" s="1">
        <v>100</v>
      </c>
      <c r="AG177" s="1">
        <v>105904</v>
      </c>
      <c r="AH177" s="1">
        <v>0</v>
      </c>
      <c r="AI177" s="1">
        <v>300103</v>
      </c>
      <c r="AJ177" s="1" t="s">
        <v>328</v>
      </c>
      <c r="AK177" s="1" t="s">
        <v>328</v>
      </c>
      <c r="AL177" s="1">
        <v>12</v>
      </c>
      <c r="AM177" s="1" t="s">
        <v>4719</v>
      </c>
      <c r="AN177" s="1" t="s">
        <v>5108</v>
      </c>
      <c r="AO177" s="1" t="s">
        <v>5109</v>
      </c>
      <c r="AP177" s="1">
        <v>0</v>
      </c>
      <c r="AQ177" s="1" t="s">
        <v>1130</v>
      </c>
      <c r="AR177" s="1" t="s">
        <v>1154</v>
      </c>
      <c r="AS177" s="1" t="s">
        <v>1129</v>
      </c>
      <c r="AT177" s="1" t="s">
        <v>328</v>
      </c>
      <c r="AU177" s="1">
        <v>181</v>
      </c>
      <c r="AV177" s="1">
        <v>0</v>
      </c>
      <c r="AW177" s="1" t="s">
        <v>5110</v>
      </c>
      <c r="AX177" s="1" t="s">
        <v>331</v>
      </c>
      <c r="AY177" s="1">
        <v>5</v>
      </c>
      <c r="AZ177" s="1">
        <v>0</v>
      </c>
      <c r="BA177" s="1" t="s">
        <v>328</v>
      </c>
      <c r="BB177" s="1" t="s">
        <v>5111</v>
      </c>
      <c r="BC177" s="1" t="s">
        <v>4783</v>
      </c>
      <c r="BD177" s="1">
        <v>10203</v>
      </c>
      <c r="BE177" s="1"/>
      <c r="BH177">
        <f>COUNTIF(Dropdowns!$I:$AF,C177)</f>
        <v>1</v>
      </c>
    </row>
    <row r="178" spans="1:60" x14ac:dyDescent="0.3">
      <c r="A178" s="1">
        <v>182</v>
      </c>
      <c r="B178" s="1" t="s">
        <v>3395</v>
      </c>
      <c r="C178" s="207" t="s">
        <v>3396</v>
      </c>
      <c r="D178" s="1" t="s">
        <v>3396</v>
      </c>
      <c r="E178" s="1"/>
      <c r="F178" s="1"/>
      <c r="G178" s="1" t="s">
        <v>3397</v>
      </c>
      <c r="H178" s="1" t="s">
        <v>3398</v>
      </c>
      <c r="I178" s="1" t="s">
        <v>3399</v>
      </c>
      <c r="J178" s="1">
        <v>3</v>
      </c>
      <c r="K178" s="1">
        <v>3</v>
      </c>
      <c r="L178" s="1">
        <v>13800</v>
      </c>
      <c r="M178" s="1">
        <v>15</v>
      </c>
      <c r="N178" s="1">
        <v>30</v>
      </c>
      <c r="O178" s="1">
        <v>10</v>
      </c>
      <c r="P178" s="1">
        <v>15</v>
      </c>
      <c r="Q178" s="1">
        <v>5</v>
      </c>
      <c r="R178" s="1">
        <v>2</v>
      </c>
      <c r="S178" s="1">
        <v>5</v>
      </c>
      <c r="T178" s="1">
        <v>0</v>
      </c>
      <c r="U178" s="1">
        <v>110</v>
      </c>
      <c r="V178" s="1">
        <v>110</v>
      </c>
      <c r="W178" s="1">
        <v>95</v>
      </c>
      <c r="X178" s="1">
        <v>100</v>
      </c>
      <c r="Y178" s="1">
        <v>105</v>
      </c>
      <c r="Z178" s="1">
        <v>105</v>
      </c>
      <c r="AA178" s="1">
        <v>0</v>
      </c>
      <c r="AB178" s="1">
        <v>15</v>
      </c>
      <c r="AC178" s="1">
        <v>40</v>
      </c>
      <c r="AD178" s="1">
        <v>0</v>
      </c>
      <c r="AE178" s="1">
        <v>110</v>
      </c>
      <c r="AF178" s="1">
        <v>100</v>
      </c>
      <c r="AG178" s="1">
        <v>100402</v>
      </c>
      <c r="AH178" s="1">
        <v>0</v>
      </c>
      <c r="AI178" s="1">
        <v>300104</v>
      </c>
      <c r="AJ178" s="1" t="s">
        <v>1125</v>
      </c>
      <c r="AK178" s="1" t="s">
        <v>328</v>
      </c>
      <c r="AL178" s="1">
        <v>13</v>
      </c>
      <c r="AM178" s="1" t="s">
        <v>4762</v>
      </c>
      <c r="AN178" s="1" t="s">
        <v>465</v>
      </c>
      <c r="AO178" s="1" t="s">
        <v>4826</v>
      </c>
      <c r="AP178" s="1">
        <v>0</v>
      </c>
      <c r="AQ178" s="1" t="s">
        <v>1140</v>
      </c>
      <c r="AR178" s="1" t="s">
        <v>1141</v>
      </c>
      <c r="AS178" s="1" t="s">
        <v>1142</v>
      </c>
      <c r="AT178" s="1" t="s">
        <v>328</v>
      </c>
      <c r="AU178" s="1">
        <v>182</v>
      </c>
      <c r="AV178" s="1">
        <v>0</v>
      </c>
      <c r="AW178" s="1" t="s">
        <v>5112</v>
      </c>
      <c r="AX178" s="1" t="s">
        <v>5101</v>
      </c>
      <c r="AY178" s="1">
        <v>3</v>
      </c>
      <c r="AZ178" s="1">
        <v>0</v>
      </c>
      <c r="BA178" s="1" t="s">
        <v>328</v>
      </c>
      <c r="BB178" s="1" t="s">
        <v>475</v>
      </c>
      <c r="BC178" s="1" t="s">
        <v>328</v>
      </c>
      <c r="BD178" s="1">
        <v>10704</v>
      </c>
      <c r="BE178" s="1"/>
      <c r="BH178">
        <f>COUNTIF(Dropdowns!$I:$AF,C178)</f>
        <v>1</v>
      </c>
    </row>
    <row r="179" spans="1:60" x14ac:dyDescent="0.3">
      <c r="A179" s="1">
        <v>183</v>
      </c>
      <c r="B179" s="1" t="s">
        <v>3400</v>
      </c>
      <c r="C179" s="207" t="s">
        <v>161</v>
      </c>
      <c r="D179" s="1" t="s">
        <v>161</v>
      </c>
      <c r="E179" s="1"/>
      <c r="F179" s="1"/>
      <c r="G179" s="1" t="s">
        <v>3401</v>
      </c>
      <c r="H179" s="1" t="s">
        <v>3402</v>
      </c>
      <c r="I179" s="1" t="s">
        <v>3403</v>
      </c>
      <c r="J179" s="1">
        <v>1</v>
      </c>
      <c r="K179" s="1">
        <v>5</v>
      </c>
      <c r="L179" s="1">
        <v>3720</v>
      </c>
      <c r="M179" s="1">
        <v>10</v>
      </c>
      <c r="N179" s="1">
        <v>10</v>
      </c>
      <c r="O179" s="1">
        <v>5</v>
      </c>
      <c r="P179" s="1">
        <v>5</v>
      </c>
      <c r="Q179" s="1">
        <v>2</v>
      </c>
      <c r="R179" s="1">
        <v>2</v>
      </c>
      <c r="S179" s="1">
        <v>2</v>
      </c>
      <c r="T179" s="1">
        <v>0</v>
      </c>
      <c r="U179" s="1">
        <v>100</v>
      </c>
      <c r="V179" s="1">
        <v>145</v>
      </c>
      <c r="W179" s="1">
        <v>75</v>
      </c>
      <c r="X179" s="1">
        <v>100</v>
      </c>
      <c r="Y179" s="1">
        <v>140</v>
      </c>
      <c r="Z179" s="1">
        <v>90</v>
      </c>
      <c r="AA179" s="1">
        <v>0</v>
      </c>
      <c r="AB179" s="1">
        <v>15</v>
      </c>
      <c r="AC179" s="1">
        <v>40</v>
      </c>
      <c r="AD179" s="1">
        <v>0</v>
      </c>
      <c r="AE179" s="1">
        <v>150</v>
      </c>
      <c r="AF179" s="1">
        <v>100</v>
      </c>
      <c r="AG179" s="1">
        <v>106701</v>
      </c>
      <c r="AH179" s="1">
        <v>0</v>
      </c>
      <c r="AI179" s="1">
        <v>300114</v>
      </c>
      <c r="AJ179" s="1" t="s">
        <v>1213</v>
      </c>
      <c r="AK179" s="1" t="s">
        <v>1214</v>
      </c>
      <c r="AL179" s="1">
        <v>13</v>
      </c>
      <c r="AM179" s="1" t="s">
        <v>1806</v>
      </c>
      <c r="AN179" s="1" t="s">
        <v>4780</v>
      </c>
      <c r="AO179" s="1" t="s">
        <v>4751</v>
      </c>
      <c r="AP179" s="1">
        <v>0</v>
      </c>
      <c r="AQ179" s="1" t="s">
        <v>1118</v>
      </c>
      <c r="AR179" s="1" t="s">
        <v>1215</v>
      </c>
      <c r="AS179" s="1" t="s">
        <v>1120</v>
      </c>
      <c r="AT179" s="1" t="s">
        <v>328</v>
      </c>
      <c r="AU179" s="1">
        <v>183</v>
      </c>
      <c r="AV179" s="1">
        <v>0</v>
      </c>
      <c r="AW179" s="1" t="s">
        <v>5110</v>
      </c>
      <c r="AX179" s="1" t="s">
        <v>4762</v>
      </c>
      <c r="AY179" s="1">
        <v>5</v>
      </c>
      <c r="AZ179" s="1">
        <v>0</v>
      </c>
      <c r="BA179" s="1" t="s">
        <v>328</v>
      </c>
      <c r="BB179" s="1" t="s">
        <v>328</v>
      </c>
      <c r="BC179" s="1" t="s">
        <v>4720</v>
      </c>
      <c r="BD179" s="1">
        <v>10203</v>
      </c>
      <c r="BE179" s="1"/>
      <c r="BH179">
        <f>COUNTIF(Dropdowns!$I:$AF,C179)</f>
        <v>0</v>
      </c>
    </row>
    <row r="180" spans="1:60" x14ac:dyDescent="0.3">
      <c r="A180" s="1">
        <v>184</v>
      </c>
      <c r="B180" s="1" t="s">
        <v>3404</v>
      </c>
      <c r="C180" s="207" t="s">
        <v>1638</v>
      </c>
      <c r="D180" s="1" t="s">
        <v>1638</v>
      </c>
      <c r="E180" s="1"/>
      <c r="F180" s="1"/>
      <c r="G180" s="1" t="s">
        <v>3405</v>
      </c>
      <c r="H180" s="1" t="s">
        <v>3406</v>
      </c>
      <c r="I180" s="1" t="s">
        <v>3407</v>
      </c>
      <c r="J180" s="1">
        <v>3</v>
      </c>
      <c r="K180" s="1">
        <v>4</v>
      </c>
      <c r="L180" s="1">
        <v>15000</v>
      </c>
      <c r="M180" s="1">
        <v>15</v>
      </c>
      <c r="N180" s="1">
        <v>30</v>
      </c>
      <c r="O180" s="1">
        <v>10</v>
      </c>
      <c r="P180" s="1">
        <v>15</v>
      </c>
      <c r="Q180" s="1">
        <v>5</v>
      </c>
      <c r="R180" s="1">
        <v>2</v>
      </c>
      <c r="S180" s="1">
        <v>5</v>
      </c>
      <c r="T180" s="1">
        <v>0</v>
      </c>
      <c r="U180" s="1">
        <v>102</v>
      </c>
      <c r="V180" s="1">
        <v>118</v>
      </c>
      <c r="W180" s="1">
        <v>105</v>
      </c>
      <c r="X180" s="1">
        <v>100</v>
      </c>
      <c r="Y180" s="1">
        <v>130</v>
      </c>
      <c r="Z180" s="1">
        <v>85</v>
      </c>
      <c r="AA180" s="1">
        <v>0</v>
      </c>
      <c r="AB180" s="1">
        <v>15</v>
      </c>
      <c r="AC180" s="1">
        <v>40</v>
      </c>
      <c r="AD180" s="1">
        <v>0</v>
      </c>
      <c r="AE180" s="1">
        <v>117</v>
      </c>
      <c r="AF180" s="1">
        <v>100</v>
      </c>
      <c r="AG180" s="1">
        <v>106601</v>
      </c>
      <c r="AH180" s="1">
        <v>0</v>
      </c>
      <c r="AI180" s="1">
        <v>300104</v>
      </c>
      <c r="AJ180" s="1" t="s">
        <v>328</v>
      </c>
      <c r="AK180" s="1" t="s">
        <v>328</v>
      </c>
      <c r="AL180" s="1">
        <v>13</v>
      </c>
      <c r="AM180" s="1" t="s">
        <v>4762</v>
      </c>
      <c r="AN180" s="1" t="s">
        <v>5113</v>
      </c>
      <c r="AO180" s="1" t="s">
        <v>4832</v>
      </c>
      <c r="AP180" s="1">
        <v>0</v>
      </c>
      <c r="AQ180" s="1" t="s">
        <v>1140</v>
      </c>
      <c r="AR180" s="1" t="s">
        <v>1141</v>
      </c>
      <c r="AS180" s="1" t="s">
        <v>1142</v>
      </c>
      <c r="AT180" s="1" t="s">
        <v>328</v>
      </c>
      <c r="AU180" s="1">
        <v>184</v>
      </c>
      <c r="AV180" s="1">
        <v>0</v>
      </c>
      <c r="AW180" s="1" t="s">
        <v>5110</v>
      </c>
      <c r="AX180" s="1" t="s">
        <v>331</v>
      </c>
      <c r="AY180" s="1">
        <v>4</v>
      </c>
      <c r="AZ180" s="1">
        <v>0</v>
      </c>
      <c r="BA180" s="1" t="s">
        <v>328</v>
      </c>
      <c r="BB180" s="1" t="s">
        <v>1725</v>
      </c>
      <c r="BC180" s="1" t="s">
        <v>4757</v>
      </c>
      <c r="BD180" s="1">
        <v>10302</v>
      </c>
      <c r="BE180" s="1"/>
      <c r="BH180">
        <f>COUNTIF(Dropdowns!$I:$AF,C180)</f>
        <v>1</v>
      </c>
    </row>
    <row r="181" spans="1:60" x14ac:dyDescent="0.3">
      <c r="A181" s="1">
        <v>185</v>
      </c>
      <c r="B181" s="1" t="s">
        <v>3408</v>
      </c>
      <c r="C181" s="207" t="s">
        <v>162</v>
      </c>
      <c r="D181" s="1" t="s">
        <v>162</v>
      </c>
      <c r="E181" s="1"/>
      <c r="F181" s="1"/>
      <c r="G181" s="1" t="s">
        <v>3409</v>
      </c>
      <c r="H181" s="1" t="s">
        <v>3410</v>
      </c>
      <c r="I181" s="1" t="s">
        <v>3411</v>
      </c>
      <c r="J181" s="1">
        <v>5</v>
      </c>
      <c r="K181" s="1">
        <v>4</v>
      </c>
      <c r="L181" s="1">
        <v>23100</v>
      </c>
      <c r="M181" s="1">
        <v>40</v>
      </c>
      <c r="N181" s="1">
        <v>30</v>
      </c>
      <c r="O181" s="1">
        <v>25</v>
      </c>
      <c r="P181" s="1">
        <v>15</v>
      </c>
      <c r="Q181" s="1">
        <v>5</v>
      </c>
      <c r="R181" s="1">
        <v>5</v>
      </c>
      <c r="S181" s="1">
        <v>2</v>
      </c>
      <c r="T181" s="1">
        <v>5</v>
      </c>
      <c r="U181" s="1">
        <v>85</v>
      </c>
      <c r="V181" s="1">
        <v>90</v>
      </c>
      <c r="W181" s="1">
        <v>130</v>
      </c>
      <c r="X181" s="1">
        <v>100</v>
      </c>
      <c r="Y181" s="1">
        <v>130</v>
      </c>
      <c r="Z181" s="1">
        <v>140</v>
      </c>
      <c r="AA181" s="1">
        <v>0</v>
      </c>
      <c r="AB181" s="1">
        <v>15</v>
      </c>
      <c r="AC181" s="1">
        <v>5</v>
      </c>
      <c r="AD181" s="1">
        <v>8</v>
      </c>
      <c r="AE181" s="1">
        <v>145</v>
      </c>
      <c r="AF181" s="1">
        <v>100</v>
      </c>
      <c r="AG181" s="1">
        <v>105106</v>
      </c>
      <c r="AH181" s="1">
        <v>0</v>
      </c>
      <c r="AI181" s="1">
        <v>300105</v>
      </c>
      <c r="AJ181" s="1" t="s">
        <v>1216</v>
      </c>
      <c r="AK181" s="1" t="s">
        <v>328</v>
      </c>
      <c r="AL181" s="1">
        <v>18</v>
      </c>
      <c r="AM181" s="1" t="s">
        <v>4858</v>
      </c>
      <c r="AN181" s="1" t="s">
        <v>4984</v>
      </c>
      <c r="AO181" s="1" t="s">
        <v>5114</v>
      </c>
      <c r="AP181" s="1">
        <v>0</v>
      </c>
      <c r="AQ181" s="1" t="s">
        <v>1167</v>
      </c>
      <c r="AR181" s="1" t="s">
        <v>1168</v>
      </c>
      <c r="AS181" s="1" t="s">
        <v>4912</v>
      </c>
      <c r="AT181" s="1" t="s">
        <v>328</v>
      </c>
      <c r="AU181" s="1">
        <v>185</v>
      </c>
      <c r="AV181" s="1">
        <v>0</v>
      </c>
      <c r="AW181" s="1" t="s">
        <v>5110</v>
      </c>
      <c r="AX181" s="1" t="s">
        <v>331</v>
      </c>
      <c r="AY181" s="1">
        <v>4</v>
      </c>
      <c r="AZ181" s="1">
        <v>0</v>
      </c>
      <c r="BA181" s="1" t="s">
        <v>328</v>
      </c>
      <c r="BB181" s="1" t="s">
        <v>4923</v>
      </c>
      <c r="BC181" s="1" t="s">
        <v>328</v>
      </c>
      <c r="BD181" s="1">
        <v>10704</v>
      </c>
      <c r="BE181" s="1"/>
      <c r="BH181">
        <f>COUNTIF(Dropdowns!$I:$AF,C181)</f>
        <v>1</v>
      </c>
    </row>
    <row r="182" spans="1:60" x14ac:dyDescent="0.3">
      <c r="A182" s="1">
        <v>186</v>
      </c>
      <c r="B182" s="1" t="s">
        <v>3412</v>
      </c>
      <c r="C182" s="207" t="s">
        <v>163</v>
      </c>
      <c r="D182" s="1" t="s">
        <v>163</v>
      </c>
      <c r="E182" s="1"/>
      <c r="F182" s="1"/>
      <c r="G182" s="1" t="s">
        <v>3413</v>
      </c>
      <c r="H182" s="1" t="s">
        <v>3414</v>
      </c>
      <c r="I182" s="1" t="s">
        <v>3415</v>
      </c>
      <c r="J182" s="1">
        <v>1</v>
      </c>
      <c r="K182" s="1">
        <v>3</v>
      </c>
      <c r="L182" s="1">
        <v>2100</v>
      </c>
      <c r="M182" s="1">
        <v>10</v>
      </c>
      <c r="N182" s="1">
        <v>10</v>
      </c>
      <c r="O182" s="1">
        <v>5</v>
      </c>
      <c r="P182" s="1">
        <v>5</v>
      </c>
      <c r="Q182" s="1">
        <v>2</v>
      </c>
      <c r="R182" s="1">
        <v>2</v>
      </c>
      <c r="S182" s="1">
        <v>2</v>
      </c>
      <c r="T182" s="1">
        <v>0</v>
      </c>
      <c r="U182" s="1">
        <v>110</v>
      </c>
      <c r="V182" s="1">
        <v>110</v>
      </c>
      <c r="W182" s="1">
        <v>115</v>
      </c>
      <c r="X182" s="1">
        <v>100</v>
      </c>
      <c r="Y182" s="1">
        <v>125</v>
      </c>
      <c r="Z182" s="1">
        <v>90</v>
      </c>
      <c r="AA182" s="1">
        <v>0</v>
      </c>
      <c r="AB182" s="1">
        <v>15</v>
      </c>
      <c r="AC182" s="1">
        <v>20</v>
      </c>
      <c r="AD182" s="1">
        <v>0</v>
      </c>
      <c r="AE182" s="1">
        <v>110</v>
      </c>
      <c r="AF182" s="1">
        <v>100</v>
      </c>
      <c r="AG182" s="1">
        <v>101603</v>
      </c>
      <c r="AH182" s="1">
        <v>0</v>
      </c>
      <c r="AI182" s="1">
        <v>300101</v>
      </c>
      <c r="AJ182" s="1" t="s">
        <v>1125</v>
      </c>
      <c r="AK182" s="1" t="s">
        <v>328</v>
      </c>
      <c r="AL182" s="1">
        <v>13</v>
      </c>
      <c r="AM182" s="1" t="s">
        <v>1806</v>
      </c>
      <c r="AN182" s="1" t="s">
        <v>4773</v>
      </c>
      <c r="AO182" s="1" t="s">
        <v>4809</v>
      </c>
      <c r="AP182" s="1">
        <v>0</v>
      </c>
      <c r="AQ182" s="1" t="s">
        <v>1118</v>
      </c>
      <c r="AR182" s="1" t="s">
        <v>1119</v>
      </c>
      <c r="AS182" s="1" t="s">
        <v>1120</v>
      </c>
      <c r="AT182" s="1" t="s">
        <v>328</v>
      </c>
      <c r="AU182" s="1">
        <v>186</v>
      </c>
      <c r="AV182" s="1">
        <v>0</v>
      </c>
      <c r="AW182" s="1" t="s">
        <v>5115</v>
      </c>
      <c r="AX182" s="1" t="s">
        <v>5116</v>
      </c>
      <c r="AY182" s="1">
        <v>3</v>
      </c>
      <c r="AZ182" s="1">
        <v>0</v>
      </c>
      <c r="BA182" s="1" t="s">
        <v>328</v>
      </c>
      <c r="BB182" s="1" t="s">
        <v>328</v>
      </c>
      <c r="BC182" s="1" t="s">
        <v>4769</v>
      </c>
      <c r="BD182" s="1">
        <v>10703</v>
      </c>
      <c r="BE182" s="1"/>
      <c r="BH182">
        <f>COUNTIF(Dropdowns!$I:$AF,C182)</f>
        <v>0</v>
      </c>
    </row>
    <row r="183" spans="1:60" x14ac:dyDescent="0.3">
      <c r="A183" s="1">
        <v>187</v>
      </c>
      <c r="B183" s="1" t="s">
        <v>3416</v>
      </c>
      <c r="C183" s="207" t="s">
        <v>230</v>
      </c>
      <c r="D183" s="1" t="s">
        <v>230</v>
      </c>
      <c r="E183" s="1"/>
      <c r="F183" s="1"/>
      <c r="G183" s="1" t="s">
        <v>3417</v>
      </c>
      <c r="H183" s="1" t="s">
        <v>3418</v>
      </c>
      <c r="I183" s="1" t="s">
        <v>3419</v>
      </c>
      <c r="J183" s="1">
        <v>4</v>
      </c>
      <c r="K183" s="1">
        <v>4</v>
      </c>
      <c r="L183" s="1">
        <v>13200</v>
      </c>
      <c r="M183" s="1">
        <v>20</v>
      </c>
      <c r="N183" s="1">
        <v>20</v>
      </c>
      <c r="O183" s="1">
        <v>10</v>
      </c>
      <c r="P183" s="1">
        <v>10</v>
      </c>
      <c r="Q183" s="1">
        <v>2</v>
      </c>
      <c r="R183" s="1">
        <v>5</v>
      </c>
      <c r="S183" s="1">
        <v>5</v>
      </c>
      <c r="T183" s="1">
        <v>0</v>
      </c>
      <c r="U183" s="1">
        <v>105</v>
      </c>
      <c r="V183" s="1">
        <v>115</v>
      </c>
      <c r="W183" s="1">
        <v>112</v>
      </c>
      <c r="X183" s="1">
        <v>100</v>
      </c>
      <c r="Y183" s="1">
        <v>120</v>
      </c>
      <c r="Z183" s="1">
        <v>95</v>
      </c>
      <c r="AA183" s="1">
        <v>0</v>
      </c>
      <c r="AB183" s="1">
        <v>15</v>
      </c>
      <c r="AC183" s="1">
        <v>20</v>
      </c>
      <c r="AD183" s="1">
        <v>0</v>
      </c>
      <c r="AE183" s="1">
        <v>115</v>
      </c>
      <c r="AF183" s="1">
        <v>100</v>
      </c>
      <c r="AG183" s="1">
        <v>100103</v>
      </c>
      <c r="AH183" s="1">
        <v>0</v>
      </c>
      <c r="AI183" s="1">
        <v>300103</v>
      </c>
      <c r="AJ183" s="1" t="s">
        <v>5117</v>
      </c>
      <c r="AK183" s="1" t="s">
        <v>328</v>
      </c>
      <c r="AL183" s="1">
        <v>13</v>
      </c>
      <c r="AM183" s="1" t="s">
        <v>4719</v>
      </c>
      <c r="AN183" s="1" t="s">
        <v>4834</v>
      </c>
      <c r="AO183" s="1" t="s">
        <v>5118</v>
      </c>
      <c r="AP183" s="1">
        <v>0</v>
      </c>
      <c r="AQ183" s="1" t="s">
        <v>1130</v>
      </c>
      <c r="AR183" s="1" t="s">
        <v>1154</v>
      </c>
      <c r="AS183" s="1" t="s">
        <v>1129</v>
      </c>
      <c r="AT183" s="1" t="s">
        <v>328</v>
      </c>
      <c r="AU183" s="1">
        <v>187</v>
      </c>
      <c r="AV183" s="1">
        <v>0</v>
      </c>
      <c r="AW183" s="1" t="s">
        <v>5115</v>
      </c>
      <c r="AX183" s="1" t="s">
        <v>5119</v>
      </c>
      <c r="AY183" s="1">
        <v>4</v>
      </c>
      <c r="AZ183" s="1">
        <v>0</v>
      </c>
      <c r="BA183" s="1" t="s">
        <v>328</v>
      </c>
      <c r="BB183" s="1" t="s">
        <v>328</v>
      </c>
      <c r="BC183" s="1" t="s">
        <v>328</v>
      </c>
      <c r="BD183" s="1">
        <v>10303</v>
      </c>
      <c r="BE183" s="1"/>
      <c r="BH183">
        <f>COUNTIF(Dropdowns!$I:$AF,C183)</f>
        <v>1</v>
      </c>
    </row>
    <row r="184" spans="1:60" x14ac:dyDescent="0.3">
      <c r="A184" s="1">
        <v>188</v>
      </c>
      <c r="B184" s="1" t="s">
        <v>3420</v>
      </c>
      <c r="C184" s="207" t="s">
        <v>3421</v>
      </c>
      <c r="D184" s="1" t="s">
        <v>3421</v>
      </c>
      <c r="E184" s="1"/>
      <c r="F184" s="1"/>
      <c r="G184" s="1" t="s">
        <v>3422</v>
      </c>
      <c r="H184" s="1" t="s">
        <v>3423</v>
      </c>
      <c r="I184" s="1" t="s">
        <v>3424</v>
      </c>
      <c r="J184" s="1">
        <v>6</v>
      </c>
      <c r="K184" s="1">
        <v>5</v>
      </c>
      <c r="L184" s="1">
        <v>29400</v>
      </c>
      <c r="M184" s="1">
        <v>30</v>
      </c>
      <c r="N184" s="1">
        <v>40</v>
      </c>
      <c r="O184" s="1">
        <v>15</v>
      </c>
      <c r="P184" s="1">
        <v>25</v>
      </c>
      <c r="Q184" s="1">
        <v>5</v>
      </c>
      <c r="R184" s="1">
        <v>2</v>
      </c>
      <c r="S184" s="1">
        <v>5</v>
      </c>
      <c r="T184" s="1">
        <v>5</v>
      </c>
      <c r="U184" s="1">
        <v>128</v>
      </c>
      <c r="V184" s="1">
        <v>105</v>
      </c>
      <c r="W184" s="1">
        <v>130</v>
      </c>
      <c r="X184" s="1">
        <v>100</v>
      </c>
      <c r="Y184" s="1">
        <v>120</v>
      </c>
      <c r="Z184" s="1">
        <v>110</v>
      </c>
      <c r="AA184" s="1">
        <v>120</v>
      </c>
      <c r="AB184" s="1">
        <v>15</v>
      </c>
      <c r="AC184" s="1">
        <v>40</v>
      </c>
      <c r="AD184" s="1">
        <v>4</v>
      </c>
      <c r="AE184" s="1">
        <v>95</v>
      </c>
      <c r="AF184" s="1">
        <v>100</v>
      </c>
      <c r="AG184" s="1">
        <v>106801</v>
      </c>
      <c r="AH184" s="1">
        <v>0</v>
      </c>
      <c r="AI184" s="1">
        <v>300106</v>
      </c>
      <c r="AJ184" s="1" t="s">
        <v>1199</v>
      </c>
      <c r="AK184" s="1" t="s">
        <v>328</v>
      </c>
      <c r="AL184" s="1">
        <v>8</v>
      </c>
      <c r="AM184" s="1" t="s">
        <v>4716</v>
      </c>
      <c r="AN184" s="1" t="s">
        <v>4728</v>
      </c>
      <c r="AO184" s="1" t="s">
        <v>4942</v>
      </c>
      <c r="AP184" s="1">
        <v>0</v>
      </c>
      <c r="AQ184" s="1" t="s">
        <v>1200</v>
      </c>
      <c r="AR184" s="1" t="s">
        <v>1201</v>
      </c>
      <c r="AS184" s="1" t="s">
        <v>1202</v>
      </c>
      <c r="AT184" s="1" t="s">
        <v>328</v>
      </c>
      <c r="AU184" s="1">
        <v>188</v>
      </c>
      <c r="AV184" s="1">
        <v>0</v>
      </c>
      <c r="AW184" s="1" t="s">
        <v>5115</v>
      </c>
      <c r="AX184" s="1" t="s">
        <v>4719</v>
      </c>
      <c r="AY184" s="1">
        <v>5</v>
      </c>
      <c r="AZ184" s="1">
        <v>0</v>
      </c>
      <c r="BA184" s="1" t="s">
        <v>328</v>
      </c>
      <c r="BB184" s="1" t="s">
        <v>5120</v>
      </c>
      <c r="BC184" s="1" t="s">
        <v>4739</v>
      </c>
      <c r="BD184" s="1">
        <v>10705</v>
      </c>
      <c r="BE184" s="1"/>
      <c r="BH184">
        <f>COUNTIF(Dropdowns!$I:$AF,C184)</f>
        <v>1</v>
      </c>
    </row>
    <row r="185" spans="1:60" x14ac:dyDescent="0.3">
      <c r="A185" s="1">
        <v>189</v>
      </c>
      <c r="B185" s="1" t="s">
        <v>3425</v>
      </c>
      <c r="C185" s="207" t="s">
        <v>1639</v>
      </c>
      <c r="D185" s="1" t="s">
        <v>1639</v>
      </c>
      <c r="E185" s="1"/>
      <c r="F185" s="1"/>
      <c r="G185" s="1" t="s">
        <v>3426</v>
      </c>
      <c r="H185" s="1" t="s">
        <v>3427</v>
      </c>
      <c r="I185" s="1" t="s">
        <v>3428</v>
      </c>
      <c r="J185" s="1">
        <v>6</v>
      </c>
      <c r="K185" s="1">
        <v>4</v>
      </c>
      <c r="L185" s="1">
        <v>28500</v>
      </c>
      <c r="M185" s="1">
        <v>30</v>
      </c>
      <c r="N185" s="1">
        <v>40</v>
      </c>
      <c r="O185" s="1">
        <v>15</v>
      </c>
      <c r="P185" s="1">
        <v>25</v>
      </c>
      <c r="Q185" s="1">
        <v>5</v>
      </c>
      <c r="R185" s="1">
        <v>2</v>
      </c>
      <c r="S185" s="1">
        <v>5</v>
      </c>
      <c r="T185" s="1">
        <v>5</v>
      </c>
      <c r="U185" s="1">
        <v>118</v>
      </c>
      <c r="V185" s="1">
        <v>100</v>
      </c>
      <c r="W185" s="1">
        <v>140</v>
      </c>
      <c r="X185" s="1">
        <v>100</v>
      </c>
      <c r="Y185" s="1">
        <v>95</v>
      </c>
      <c r="Z185" s="1">
        <v>80</v>
      </c>
      <c r="AA185" s="1">
        <v>120</v>
      </c>
      <c r="AB185" s="1">
        <v>15</v>
      </c>
      <c r="AC185" s="1">
        <v>40</v>
      </c>
      <c r="AD185" s="1">
        <v>5</v>
      </c>
      <c r="AE185" s="1">
        <v>100</v>
      </c>
      <c r="AF185" s="1">
        <v>100</v>
      </c>
      <c r="AG185" s="1">
        <v>106901</v>
      </c>
      <c r="AH185" s="1">
        <v>0</v>
      </c>
      <c r="AI185" s="1">
        <v>300106</v>
      </c>
      <c r="AJ185" s="1" t="s">
        <v>1217</v>
      </c>
      <c r="AK185" s="1" t="s">
        <v>328</v>
      </c>
      <c r="AL185" s="1">
        <v>8</v>
      </c>
      <c r="AM185" s="1" t="s">
        <v>4716</v>
      </c>
      <c r="AN185" s="1" t="s">
        <v>4790</v>
      </c>
      <c r="AO185" s="1" t="s">
        <v>5063</v>
      </c>
      <c r="AP185" s="1">
        <v>0</v>
      </c>
      <c r="AQ185" s="1" t="s">
        <v>1200</v>
      </c>
      <c r="AR185" s="1" t="s">
        <v>1201</v>
      </c>
      <c r="AS185" s="1" t="s">
        <v>1202</v>
      </c>
      <c r="AT185" s="1" t="s">
        <v>328</v>
      </c>
      <c r="AU185" s="1">
        <v>189</v>
      </c>
      <c r="AV185" s="1">
        <v>0</v>
      </c>
      <c r="AW185" s="1" t="s">
        <v>5115</v>
      </c>
      <c r="AX185" s="1" t="s">
        <v>4719</v>
      </c>
      <c r="AY185" s="1">
        <v>4</v>
      </c>
      <c r="AZ185" s="1">
        <v>0</v>
      </c>
      <c r="BA185" s="1" t="s">
        <v>328</v>
      </c>
      <c r="BB185" s="1" t="s">
        <v>328</v>
      </c>
      <c r="BC185" s="1" t="s">
        <v>328</v>
      </c>
      <c r="BD185" s="1">
        <v>10704</v>
      </c>
      <c r="BE185" s="1"/>
      <c r="BH185">
        <f>COUNTIF(Dropdowns!$I:$AF,C185)</f>
        <v>1</v>
      </c>
    </row>
    <row r="186" spans="1:60" x14ac:dyDescent="0.3">
      <c r="A186" s="1">
        <v>190</v>
      </c>
      <c r="B186" s="1" t="s">
        <v>3429</v>
      </c>
      <c r="C186" s="207" t="s">
        <v>164</v>
      </c>
      <c r="D186" s="1" t="s">
        <v>164</v>
      </c>
      <c r="E186" s="1"/>
      <c r="F186" s="1"/>
      <c r="G186" s="1" t="s">
        <v>3430</v>
      </c>
      <c r="H186" s="1" t="s">
        <v>3431</v>
      </c>
      <c r="I186" s="1" t="s">
        <v>3432</v>
      </c>
      <c r="J186" s="1">
        <v>6</v>
      </c>
      <c r="K186" s="1">
        <v>3</v>
      </c>
      <c r="L186" s="1">
        <v>26100</v>
      </c>
      <c r="M186" s="1">
        <v>30</v>
      </c>
      <c r="N186" s="1">
        <v>40</v>
      </c>
      <c r="O186" s="1">
        <v>15</v>
      </c>
      <c r="P186" s="1">
        <v>25</v>
      </c>
      <c r="Q186" s="1">
        <v>5</v>
      </c>
      <c r="R186" s="1">
        <v>2</v>
      </c>
      <c r="S186" s="1">
        <v>5</v>
      </c>
      <c r="T186" s="1">
        <v>5</v>
      </c>
      <c r="U186" s="1">
        <v>115</v>
      </c>
      <c r="V186" s="1">
        <v>115</v>
      </c>
      <c r="W186" s="1">
        <v>105</v>
      </c>
      <c r="X186" s="1">
        <v>100</v>
      </c>
      <c r="Y186" s="1">
        <v>110</v>
      </c>
      <c r="Z186" s="1">
        <v>95</v>
      </c>
      <c r="AA186" s="1">
        <v>110</v>
      </c>
      <c r="AB186" s="1">
        <v>15</v>
      </c>
      <c r="AC186" s="1">
        <v>40</v>
      </c>
      <c r="AD186" s="1">
        <v>5</v>
      </c>
      <c r="AE186" s="1">
        <v>100</v>
      </c>
      <c r="AF186" s="1">
        <v>100</v>
      </c>
      <c r="AG186" s="1">
        <v>103202</v>
      </c>
      <c r="AH186" s="1">
        <v>0</v>
      </c>
      <c r="AI186" s="1">
        <v>300106</v>
      </c>
      <c r="AJ186" s="1" t="s">
        <v>5121</v>
      </c>
      <c r="AK186" s="1" t="s">
        <v>328</v>
      </c>
      <c r="AL186" s="1">
        <v>7</v>
      </c>
      <c r="AM186" s="1" t="s">
        <v>4716</v>
      </c>
      <c r="AN186" s="1" t="s">
        <v>470</v>
      </c>
      <c r="AO186" s="1" t="s">
        <v>5068</v>
      </c>
      <c r="AP186" s="1">
        <v>0</v>
      </c>
      <c r="AQ186" s="1" t="s">
        <v>1200</v>
      </c>
      <c r="AR186" s="1" t="s">
        <v>1201</v>
      </c>
      <c r="AS186" s="1" t="s">
        <v>1202</v>
      </c>
      <c r="AT186" s="1" t="s">
        <v>328</v>
      </c>
      <c r="AU186" s="1">
        <v>190</v>
      </c>
      <c r="AV186" s="1">
        <v>0</v>
      </c>
      <c r="AW186" s="1" t="s">
        <v>5115</v>
      </c>
      <c r="AX186" s="1" t="s">
        <v>4719</v>
      </c>
      <c r="AY186" s="1">
        <v>3</v>
      </c>
      <c r="AZ186" s="1">
        <v>0</v>
      </c>
      <c r="BA186" s="1" t="s">
        <v>328</v>
      </c>
      <c r="BB186" s="1" t="s">
        <v>328</v>
      </c>
      <c r="BC186" s="1" t="s">
        <v>328</v>
      </c>
      <c r="BD186" s="1">
        <v>10704</v>
      </c>
      <c r="BE186" s="1"/>
      <c r="BH186">
        <f>COUNTIF(Dropdowns!$I:$AF,C186)</f>
        <v>1</v>
      </c>
    </row>
    <row r="187" spans="1:60" x14ac:dyDescent="0.3">
      <c r="A187" s="1">
        <v>191</v>
      </c>
      <c r="B187" s="1" t="s">
        <v>3433</v>
      </c>
      <c r="C187" s="207" t="s">
        <v>165</v>
      </c>
      <c r="D187" s="1" t="s">
        <v>165</v>
      </c>
      <c r="E187" s="1"/>
      <c r="F187" s="1"/>
      <c r="G187" s="1" t="s">
        <v>3434</v>
      </c>
      <c r="H187" s="1" t="s">
        <v>3435</v>
      </c>
      <c r="I187" s="1" t="s">
        <v>3436</v>
      </c>
      <c r="J187" s="1">
        <v>2</v>
      </c>
      <c r="K187" s="1">
        <v>3</v>
      </c>
      <c r="L187" s="1">
        <v>6900</v>
      </c>
      <c r="M187" s="1">
        <v>25</v>
      </c>
      <c r="N187" s="1">
        <v>20</v>
      </c>
      <c r="O187" s="1">
        <v>15</v>
      </c>
      <c r="P187" s="1">
        <v>10</v>
      </c>
      <c r="Q187" s="1">
        <v>5</v>
      </c>
      <c r="R187" s="1">
        <v>5</v>
      </c>
      <c r="S187" s="1">
        <v>2</v>
      </c>
      <c r="T187" s="1">
        <v>0</v>
      </c>
      <c r="U187" s="1">
        <v>115</v>
      </c>
      <c r="V187" s="1">
        <v>95</v>
      </c>
      <c r="W187" s="1">
        <v>95</v>
      </c>
      <c r="X187" s="1">
        <v>100</v>
      </c>
      <c r="Y187" s="1">
        <v>120</v>
      </c>
      <c r="Z187" s="1">
        <v>100</v>
      </c>
      <c r="AA187" s="1">
        <v>0</v>
      </c>
      <c r="AB187" s="1">
        <v>15</v>
      </c>
      <c r="AC187" s="1">
        <v>5</v>
      </c>
      <c r="AD187" s="1">
        <v>0</v>
      </c>
      <c r="AE187" s="1">
        <v>115</v>
      </c>
      <c r="AF187" s="1">
        <v>100</v>
      </c>
      <c r="AG187" s="1">
        <v>102302</v>
      </c>
      <c r="AH187" s="1">
        <v>0</v>
      </c>
      <c r="AI187" s="1">
        <v>300102</v>
      </c>
      <c r="AJ187" s="1" t="s">
        <v>1121</v>
      </c>
      <c r="AK187" s="1" t="s">
        <v>328</v>
      </c>
      <c r="AL187" s="1">
        <v>13</v>
      </c>
      <c r="AM187" s="1" t="s">
        <v>4790</v>
      </c>
      <c r="AN187" s="1" t="s">
        <v>4795</v>
      </c>
      <c r="AO187" s="1" t="s">
        <v>5122</v>
      </c>
      <c r="AP187" s="1">
        <v>0</v>
      </c>
      <c r="AQ187" s="1" t="s">
        <v>1129</v>
      </c>
      <c r="AR187" s="1" t="s">
        <v>1119</v>
      </c>
      <c r="AS187" s="1" t="s">
        <v>1130</v>
      </c>
      <c r="AT187" s="1" t="s">
        <v>328</v>
      </c>
      <c r="AU187" s="1">
        <v>191</v>
      </c>
      <c r="AV187" s="1">
        <v>0</v>
      </c>
      <c r="AW187" s="1" t="s">
        <v>5123</v>
      </c>
      <c r="AX187" s="1" t="s">
        <v>5124</v>
      </c>
      <c r="AY187" s="1">
        <v>3</v>
      </c>
      <c r="AZ187" s="1">
        <v>0</v>
      </c>
      <c r="BA187" s="1" t="s">
        <v>328</v>
      </c>
      <c r="BB187" s="1" t="s">
        <v>370</v>
      </c>
      <c r="BC187" s="1" t="s">
        <v>4739</v>
      </c>
      <c r="BD187" s="1">
        <v>10704</v>
      </c>
      <c r="BE187" s="1"/>
      <c r="BH187">
        <f>COUNTIF(Dropdowns!$I:$AF,C187)</f>
        <v>1</v>
      </c>
    </row>
    <row r="188" spans="1:60" x14ac:dyDescent="0.3">
      <c r="A188" s="1">
        <v>192</v>
      </c>
      <c r="B188" s="1" t="s">
        <v>3437</v>
      </c>
      <c r="C188" s="207" t="s">
        <v>166</v>
      </c>
      <c r="D188" s="1" t="s">
        <v>3438</v>
      </c>
      <c r="E188" s="1"/>
      <c r="F188" s="1"/>
      <c r="G188" s="1" t="s">
        <v>3439</v>
      </c>
      <c r="H188" s="1" t="s">
        <v>3440</v>
      </c>
      <c r="I188" s="1" t="s">
        <v>3441</v>
      </c>
      <c r="J188" s="1">
        <v>3</v>
      </c>
      <c r="K188" s="1">
        <v>5</v>
      </c>
      <c r="L188" s="1">
        <v>17340</v>
      </c>
      <c r="M188" s="1">
        <v>15</v>
      </c>
      <c r="N188" s="1">
        <v>30</v>
      </c>
      <c r="O188" s="1">
        <v>10</v>
      </c>
      <c r="P188" s="1">
        <v>15</v>
      </c>
      <c r="Q188" s="1">
        <v>5</v>
      </c>
      <c r="R188" s="1">
        <v>2</v>
      </c>
      <c r="S188" s="1">
        <v>5</v>
      </c>
      <c r="T188" s="1">
        <v>0</v>
      </c>
      <c r="U188" s="1">
        <v>102</v>
      </c>
      <c r="V188" s="1">
        <v>135</v>
      </c>
      <c r="W188" s="1">
        <v>85</v>
      </c>
      <c r="X188" s="1">
        <v>100</v>
      </c>
      <c r="Y188" s="1">
        <v>118</v>
      </c>
      <c r="Z188" s="1">
        <v>85</v>
      </c>
      <c r="AA188" s="1">
        <v>0</v>
      </c>
      <c r="AB188" s="1">
        <v>15</v>
      </c>
      <c r="AC188" s="1">
        <v>40</v>
      </c>
      <c r="AD188" s="1">
        <v>0</v>
      </c>
      <c r="AE188" s="1">
        <v>136</v>
      </c>
      <c r="AF188" s="1">
        <v>100</v>
      </c>
      <c r="AG188" s="1">
        <v>900217</v>
      </c>
      <c r="AH188" s="1">
        <v>0</v>
      </c>
      <c r="AI188" s="1">
        <v>300104</v>
      </c>
      <c r="AJ188" s="1" t="s">
        <v>1212</v>
      </c>
      <c r="AK188" s="1" t="s">
        <v>328</v>
      </c>
      <c r="AL188" s="1">
        <v>13</v>
      </c>
      <c r="AM188" s="1" t="s">
        <v>4762</v>
      </c>
      <c r="AN188" s="1" t="s">
        <v>4834</v>
      </c>
      <c r="AO188" s="1" t="s">
        <v>4845</v>
      </c>
      <c r="AP188" s="1">
        <v>0</v>
      </c>
      <c r="AQ188" s="1" t="s">
        <v>1140</v>
      </c>
      <c r="AR188" s="1" t="s">
        <v>1141</v>
      </c>
      <c r="AS188" s="1" t="s">
        <v>1142</v>
      </c>
      <c r="AT188" s="1" t="s">
        <v>328</v>
      </c>
      <c r="AU188" s="1">
        <v>192</v>
      </c>
      <c r="AV188" s="1">
        <v>0</v>
      </c>
      <c r="AW188" s="1" t="s">
        <v>5123</v>
      </c>
      <c r="AX188" s="1" t="s">
        <v>5125</v>
      </c>
      <c r="AY188" s="1">
        <v>5</v>
      </c>
      <c r="AZ188" s="1">
        <v>0</v>
      </c>
      <c r="BA188" s="1" t="s">
        <v>328</v>
      </c>
      <c r="BB188" s="1" t="s">
        <v>5126</v>
      </c>
      <c r="BC188" s="1" t="s">
        <v>4783</v>
      </c>
      <c r="BD188" s="1">
        <v>10403</v>
      </c>
      <c r="BE188" s="1"/>
      <c r="BH188">
        <f>COUNTIF(Dropdowns!$I:$AF,C188)</f>
        <v>1</v>
      </c>
    </row>
    <row r="189" spans="1:60" x14ac:dyDescent="0.3">
      <c r="A189" s="1">
        <v>193</v>
      </c>
      <c r="B189" s="1" t="s">
        <v>3442</v>
      </c>
      <c r="C189" s="207" t="s">
        <v>167</v>
      </c>
      <c r="D189" s="1" t="s">
        <v>167</v>
      </c>
      <c r="E189" s="1"/>
      <c r="F189" s="1"/>
      <c r="G189" s="1" t="s">
        <v>3443</v>
      </c>
      <c r="H189" s="1" t="s">
        <v>3444</v>
      </c>
      <c r="I189" s="1" t="s">
        <v>3445</v>
      </c>
      <c r="J189" s="1">
        <v>4</v>
      </c>
      <c r="K189" s="1">
        <v>3</v>
      </c>
      <c r="L189" s="1">
        <v>11100</v>
      </c>
      <c r="M189" s="1">
        <v>20</v>
      </c>
      <c r="N189" s="1">
        <v>20</v>
      </c>
      <c r="O189" s="1">
        <v>10</v>
      </c>
      <c r="P189" s="1">
        <v>10</v>
      </c>
      <c r="Q189" s="1">
        <v>2</v>
      </c>
      <c r="R189" s="1">
        <v>5</v>
      </c>
      <c r="S189" s="1">
        <v>5</v>
      </c>
      <c r="T189" s="1">
        <v>0</v>
      </c>
      <c r="U189" s="1">
        <v>112</v>
      </c>
      <c r="V189" s="1">
        <v>120</v>
      </c>
      <c r="W189" s="1">
        <v>115</v>
      </c>
      <c r="X189" s="1">
        <v>100</v>
      </c>
      <c r="Y189" s="1">
        <v>110</v>
      </c>
      <c r="Z189" s="1">
        <v>100</v>
      </c>
      <c r="AA189" s="1">
        <v>0</v>
      </c>
      <c r="AB189" s="1">
        <v>15</v>
      </c>
      <c r="AC189" s="1">
        <v>20</v>
      </c>
      <c r="AD189" s="1">
        <v>0</v>
      </c>
      <c r="AE189" s="1">
        <v>115</v>
      </c>
      <c r="AF189" s="1">
        <v>100</v>
      </c>
      <c r="AG189" s="1">
        <v>105902</v>
      </c>
      <c r="AH189" s="1">
        <v>0</v>
      </c>
      <c r="AI189" s="1">
        <v>300103</v>
      </c>
      <c r="AJ189" s="1" t="s">
        <v>1125</v>
      </c>
      <c r="AK189" s="1" t="s">
        <v>328</v>
      </c>
      <c r="AL189" s="1">
        <v>13</v>
      </c>
      <c r="AM189" s="1" t="s">
        <v>4719</v>
      </c>
      <c r="AN189" s="1" t="s">
        <v>4829</v>
      </c>
      <c r="AO189" s="1" t="s">
        <v>4875</v>
      </c>
      <c r="AP189" s="1">
        <v>0</v>
      </c>
      <c r="AQ189" s="1" t="s">
        <v>1130</v>
      </c>
      <c r="AR189" s="1" t="s">
        <v>1154</v>
      </c>
      <c r="AS189" s="1" t="s">
        <v>1129</v>
      </c>
      <c r="AT189" s="1" t="s">
        <v>328</v>
      </c>
      <c r="AU189" s="1">
        <v>193</v>
      </c>
      <c r="AV189" s="1">
        <v>0</v>
      </c>
      <c r="AW189" s="1" t="s">
        <v>5127</v>
      </c>
      <c r="AX189" s="1" t="s">
        <v>5128</v>
      </c>
      <c r="AY189" s="1">
        <v>3</v>
      </c>
      <c r="AZ189" s="1">
        <v>0</v>
      </c>
      <c r="BA189" s="1" t="s">
        <v>328</v>
      </c>
      <c r="BB189" s="1" t="s">
        <v>4952</v>
      </c>
      <c r="BC189" s="1" t="s">
        <v>4783</v>
      </c>
      <c r="BD189" s="1">
        <v>10704</v>
      </c>
      <c r="BE189" s="1"/>
      <c r="BH189">
        <f>COUNTIF(Dropdowns!$I:$AF,C189)</f>
        <v>1</v>
      </c>
    </row>
    <row r="190" spans="1:60" x14ac:dyDescent="0.3">
      <c r="A190" s="1">
        <v>194</v>
      </c>
      <c r="B190" s="1" t="s">
        <v>3446</v>
      </c>
      <c r="C190" s="207" t="s">
        <v>168</v>
      </c>
      <c r="D190" s="1" t="s">
        <v>168</v>
      </c>
      <c r="E190" s="1"/>
      <c r="F190" s="1"/>
      <c r="G190" s="1" t="s">
        <v>3447</v>
      </c>
      <c r="H190" s="1" t="s">
        <v>3448</v>
      </c>
      <c r="I190" s="1" t="s">
        <v>3449</v>
      </c>
      <c r="J190" s="1">
        <v>4</v>
      </c>
      <c r="K190" s="1">
        <v>5</v>
      </c>
      <c r="L190" s="1">
        <v>13920</v>
      </c>
      <c r="M190" s="1">
        <v>20</v>
      </c>
      <c r="N190" s="1">
        <v>20</v>
      </c>
      <c r="O190" s="1">
        <v>10</v>
      </c>
      <c r="P190" s="1">
        <v>10</v>
      </c>
      <c r="Q190" s="1">
        <v>2</v>
      </c>
      <c r="R190" s="1">
        <v>5</v>
      </c>
      <c r="S190" s="1">
        <v>5</v>
      </c>
      <c r="T190" s="1">
        <v>0</v>
      </c>
      <c r="U190" s="1">
        <v>115</v>
      </c>
      <c r="V190" s="1">
        <v>115</v>
      </c>
      <c r="W190" s="1">
        <v>120</v>
      </c>
      <c r="X190" s="1">
        <v>100</v>
      </c>
      <c r="Y190" s="1">
        <v>130</v>
      </c>
      <c r="Z190" s="1">
        <v>108</v>
      </c>
      <c r="AA190" s="1">
        <v>0</v>
      </c>
      <c r="AB190" s="1">
        <v>15</v>
      </c>
      <c r="AC190" s="1">
        <v>20</v>
      </c>
      <c r="AD190" s="1">
        <v>0</v>
      </c>
      <c r="AE190" s="1">
        <v>111</v>
      </c>
      <c r="AF190" s="1">
        <v>100</v>
      </c>
      <c r="AG190" s="1">
        <v>107701</v>
      </c>
      <c r="AH190" s="1">
        <v>0</v>
      </c>
      <c r="AI190" s="1">
        <v>300118</v>
      </c>
      <c r="AJ190" s="1" t="s">
        <v>1218</v>
      </c>
      <c r="AK190" s="1" t="s">
        <v>1219</v>
      </c>
      <c r="AL190" s="1">
        <v>13</v>
      </c>
      <c r="AM190" s="1" t="s">
        <v>4719</v>
      </c>
      <c r="AN190" s="1" t="s">
        <v>4834</v>
      </c>
      <c r="AO190" s="1" t="s">
        <v>5002</v>
      </c>
      <c r="AP190" s="1">
        <v>0</v>
      </c>
      <c r="AQ190" s="1" t="s">
        <v>1130</v>
      </c>
      <c r="AR190" s="1" t="s">
        <v>1154</v>
      </c>
      <c r="AS190" s="1" t="s">
        <v>1129</v>
      </c>
      <c r="AT190" s="1" t="s">
        <v>328</v>
      </c>
      <c r="AU190" s="1">
        <v>194</v>
      </c>
      <c r="AV190" s="1">
        <v>0</v>
      </c>
      <c r="AW190" s="1" t="s">
        <v>5129</v>
      </c>
      <c r="AX190" s="1" t="s">
        <v>331</v>
      </c>
      <c r="AY190" s="1">
        <v>5</v>
      </c>
      <c r="AZ190" s="1">
        <v>0</v>
      </c>
      <c r="BA190" s="1" t="s">
        <v>328</v>
      </c>
      <c r="BB190" s="1" t="s">
        <v>328</v>
      </c>
      <c r="BC190" s="1" t="s">
        <v>328</v>
      </c>
      <c r="BD190" s="1">
        <v>10202</v>
      </c>
      <c r="BE190" s="1"/>
      <c r="BH190">
        <f>COUNTIF(Dropdowns!$I:$AF,C190)</f>
        <v>1</v>
      </c>
    </row>
    <row r="191" spans="1:60" x14ac:dyDescent="0.3">
      <c r="A191" s="1">
        <v>195</v>
      </c>
      <c r="B191" s="1" t="s">
        <v>3450</v>
      </c>
      <c r="C191" s="207" t="s">
        <v>231</v>
      </c>
      <c r="D191" s="1" t="s">
        <v>231</v>
      </c>
      <c r="E191" s="1"/>
      <c r="F191" s="1"/>
      <c r="G191" s="1" t="s">
        <v>3451</v>
      </c>
      <c r="H191" s="1" t="s">
        <v>3452</v>
      </c>
      <c r="I191" s="1" t="s">
        <v>3453</v>
      </c>
      <c r="J191" s="1">
        <v>5</v>
      </c>
      <c r="K191" s="1">
        <v>3</v>
      </c>
      <c r="L191" s="1">
        <v>19500</v>
      </c>
      <c r="M191" s="1">
        <v>40</v>
      </c>
      <c r="N191" s="1">
        <v>30</v>
      </c>
      <c r="O191" s="1">
        <v>25</v>
      </c>
      <c r="P191" s="1">
        <v>15</v>
      </c>
      <c r="Q191" s="1">
        <v>5</v>
      </c>
      <c r="R191" s="1">
        <v>5</v>
      </c>
      <c r="S191" s="1">
        <v>2</v>
      </c>
      <c r="T191" s="1">
        <v>5</v>
      </c>
      <c r="U191" s="1">
        <v>90</v>
      </c>
      <c r="V191" s="1">
        <v>95</v>
      </c>
      <c r="W191" s="1">
        <v>125</v>
      </c>
      <c r="X191" s="1">
        <v>100</v>
      </c>
      <c r="Y191" s="1">
        <v>130</v>
      </c>
      <c r="Z191" s="1">
        <v>132</v>
      </c>
      <c r="AA191" s="1">
        <v>0</v>
      </c>
      <c r="AB191" s="1">
        <v>15</v>
      </c>
      <c r="AC191" s="1">
        <v>5</v>
      </c>
      <c r="AD191" s="1">
        <v>9</v>
      </c>
      <c r="AE191" s="1">
        <v>125</v>
      </c>
      <c r="AF191" s="1">
        <v>100</v>
      </c>
      <c r="AG191" s="1">
        <v>105103</v>
      </c>
      <c r="AH191" s="1">
        <v>0</v>
      </c>
      <c r="AI191" s="1">
        <v>300105</v>
      </c>
      <c r="AJ191" s="1" t="s">
        <v>1170</v>
      </c>
      <c r="AK191" s="1" t="s">
        <v>328</v>
      </c>
      <c r="AL191" s="1">
        <v>18</v>
      </c>
      <c r="AM191" s="1" t="s">
        <v>4858</v>
      </c>
      <c r="AN191" s="1" t="s">
        <v>4937</v>
      </c>
      <c r="AO191" s="1" t="s">
        <v>5130</v>
      </c>
      <c r="AP191" s="1">
        <v>0</v>
      </c>
      <c r="AQ191" s="1" t="s">
        <v>1167</v>
      </c>
      <c r="AR191" s="1" t="s">
        <v>1168</v>
      </c>
      <c r="AS191" s="1" t="s">
        <v>1169</v>
      </c>
      <c r="AT191" s="1" t="s">
        <v>328</v>
      </c>
      <c r="AU191" s="1">
        <v>195</v>
      </c>
      <c r="AV191" s="1">
        <v>0</v>
      </c>
      <c r="AW191" s="1" t="s">
        <v>5131</v>
      </c>
      <c r="AX191" s="1" t="s">
        <v>5132</v>
      </c>
      <c r="AY191" s="1">
        <v>3</v>
      </c>
      <c r="AZ191" s="1">
        <v>0</v>
      </c>
      <c r="BA191" s="1" t="s">
        <v>328</v>
      </c>
      <c r="BB191" s="1" t="s">
        <v>4793</v>
      </c>
      <c r="BC191" s="1" t="s">
        <v>4769</v>
      </c>
      <c r="BD191" s="1">
        <v>10704</v>
      </c>
      <c r="BE191" s="1"/>
      <c r="BH191">
        <f>COUNTIF(Dropdowns!$I:$AF,C191)</f>
        <v>1</v>
      </c>
    </row>
    <row r="192" spans="1:60" x14ac:dyDescent="0.3">
      <c r="A192" s="1">
        <v>196</v>
      </c>
      <c r="B192" s="1" t="s">
        <v>3454</v>
      </c>
      <c r="C192" s="207" t="s">
        <v>169</v>
      </c>
      <c r="D192" s="1" t="s">
        <v>3455</v>
      </c>
      <c r="E192" s="1"/>
      <c r="F192" s="1"/>
      <c r="G192" s="1" t="s">
        <v>3456</v>
      </c>
      <c r="H192" s="1" t="s">
        <v>3457</v>
      </c>
      <c r="I192" s="1" t="s">
        <v>3458</v>
      </c>
      <c r="J192" s="1">
        <v>4</v>
      </c>
      <c r="K192" s="1">
        <v>5</v>
      </c>
      <c r="L192" s="1">
        <v>14700</v>
      </c>
      <c r="M192" s="1">
        <v>20</v>
      </c>
      <c r="N192" s="1">
        <v>20</v>
      </c>
      <c r="O192" s="1">
        <v>10</v>
      </c>
      <c r="P192" s="1">
        <v>10</v>
      </c>
      <c r="Q192" s="1">
        <v>2</v>
      </c>
      <c r="R192" s="1">
        <v>5</v>
      </c>
      <c r="S192" s="1">
        <v>5</v>
      </c>
      <c r="T192" s="1">
        <v>0</v>
      </c>
      <c r="U192" s="1">
        <v>110</v>
      </c>
      <c r="V192" s="1">
        <v>118</v>
      </c>
      <c r="W192" s="1">
        <v>108</v>
      </c>
      <c r="X192" s="1">
        <v>100</v>
      </c>
      <c r="Y192" s="1">
        <v>112</v>
      </c>
      <c r="Z192" s="1">
        <v>95</v>
      </c>
      <c r="AA192" s="1">
        <v>0</v>
      </c>
      <c r="AB192" s="1">
        <v>15</v>
      </c>
      <c r="AC192" s="1">
        <v>20</v>
      </c>
      <c r="AD192" s="1">
        <v>0</v>
      </c>
      <c r="AE192" s="1">
        <v>125</v>
      </c>
      <c r="AF192" s="1">
        <v>100</v>
      </c>
      <c r="AG192" s="1">
        <v>108001</v>
      </c>
      <c r="AH192" s="1">
        <v>0</v>
      </c>
      <c r="AI192" s="1">
        <v>300103</v>
      </c>
      <c r="AJ192" s="1" t="s">
        <v>1220</v>
      </c>
      <c r="AK192" s="1" t="s">
        <v>1221</v>
      </c>
      <c r="AL192" s="1">
        <v>13</v>
      </c>
      <c r="AM192" s="1" t="s">
        <v>4719</v>
      </c>
      <c r="AN192" s="1" t="s">
        <v>4834</v>
      </c>
      <c r="AO192" s="1" t="s">
        <v>5133</v>
      </c>
      <c r="AP192" s="1">
        <v>0</v>
      </c>
      <c r="AQ192" s="1" t="s">
        <v>1130</v>
      </c>
      <c r="AR192" s="1" t="s">
        <v>1154</v>
      </c>
      <c r="AS192" s="1" t="s">
        <v>1129</v>
      </c>
      <c r="AT192" s="1" t="s">
        <v>328</v>
      </c>
      <c r="AU192" s="1">
        <v>196</v>
      </c>
      <c r="AV192" s="1">
        <v>0</v>
      </c>
      <c r="AW192" s="1" t="s">
        <v>5033</v>
      </c>
      <c r="AX192" s="1" t="s">
        <v>331</v>
      </c>
      <c r="AY192" s="1">
        <v>5</v>
      </c>
      <c r="AZ192" s="1">
        <v>0</v>
      </c>
      <c r="BA192" s="1" t="s">
        <v>328</v>
      </c>
      <c r="BB192" s="1" t="s">
        <v>4881</v>
      </c>
      <c r="BC192" s="1" t="s">
        <v>328</v>
      </c>
      <c r="BD192" s="1">
        <v>10802</v>
      </c>
      <c r="BE192" s="1"/>
      <c r="BH192">
        <f>COUNTIF(Dropdowns!$I:$AF,C192)</f>
        <v>1</v>
      </c>
    </row>
    <row r="193" spans="1:60" x14ac:dyDescent="0.3">
      <c r="A193" s="1">
        <v>197</v>
      </c>
      <c r="B193" s="1" t="s">
        <v>3459</v>
      </c>
      <c r="C193" s="207" t="s">
        <v>170</v>
      </c>
      <c r="D193" s="1" t="s">
        <v>3460</v>
      </c>
      <c r="E193" s="1"/>
      <c r="F193" s="1"/>
      <c r="G193" s="1" t="s">
        <v>3461</v>
      </c>
      <c r="H193" s="1" t="s">
        <v>3462</v>
      </c>
      <c r="I193" s="1" t="s">
        <v>3463</v>
      </c>
      <c r="J193" s="1">
        <v>3</v>
      </c>
      <c r="K193" s="1">
        <v>5</v>
      </c>
      <c r="L193" s="1">
        <v>16680</v>
      </c>
      <c r="M193" s="1">
        <v>15</v>
      </c>
      <c r="N193" s="1">
        <v>30</v>
      </c>
      <c r="O193" s="1">
        <v>10</v>
      </c>
      <c r="P193" s="1">
        <v>15</v>
      </c>
      <c r="Q193" s="1">
        <v>5</v>
      </c>
      <c r="R193" s="1">
        <v>2</v>
      </c>
      <c r="S193" s="1">
        <v>5</v>
      </c>
      <c r="T193" s="1">
        <v>0</v>
      </c>
      <c r="U193" s="1">
        <v>90</v>
      </c>
      <c r="V193" s="1">
        <v>115</v>
      </c>
      <c r="W193" s="1">
        <v>95</v>
      </c>
      <c r="X193" s="1">
        <v>100</v>
      </c>
      <c r="Y193" s="1">
        <v>112</v>
      </c>
      <c r="Z193" s="1">
        <v>108</v>
      </c>
      <c r="AA193" s="1">
        <v>0</v>
      </c>
      <c r="AB193" s="1">
        <v>15</v>
      </c>
      <c r="AC193" s="1">
        <v>40</v>
      </c>
      <c r="AD193" s="1">
        <v>0</v>
      </c>
      <c r="AE193" s="1">
        <v>140</v>
      </c>
      <c r="AF193" s="1">
        <v>100</v>
      </c>
      <c r="AG193" s="1">
        <v>107801</v>
      </c>
      <c r="AH193" s="1">
        <v>0</v>
      </c>
      <c r="AI193" s="1">
        <v>107805</v>
      </c>
      <c r="AJ193" s="1" t="s">
        <v>1222</v>
      </c>
      <c r="AK193" s="1" t="s">
        <v>1223</v>
      </c>
      <c r="AL193" s="1">
        <v>17</v>
      </c>
      <c r="AM193" s="1" t="s">
        <v>476</v>
      </c>
      <c r="AN193" s="1" t="s">
        <v>5134</v>
      </c>
      <c r="AO193" s="1" t="s">
        <v>338</v>
      </c>
      <c r="AP193" s="1">
        <v>0</v>
      </c>
      <c r="AQ193" s="1" t="s">
        <v>1140</v>
      </c>
      <c r="AR193" s="1" t="s">
        <v>1141</v>
      </c>
      <c r="AS193" s="1" t="s">
        <v>1142</v>
      </c>
      <c r="AT193" s="1" t="s">
        <v>328</v>
      </c>
      <c r="AU193" s="1">
        <v>197</v>
      </c>
      <c r="AV193" s="1">
        <v>0</v>
      </c>
      <c r="AW193" s="1" t="s">
        <v>5033</v>
      </c>
      <c r="AX193" s="1" t="s">
        <v>331</v>
      </c>
      <c r="AY193" s="1">
        <v>5</v>
      </c>
      <c r="AZ193" s="1">
        <v>0</v>
      </c>
      <c r="BA193" s="1" t="s">
        <v>328</v>
      </c>
      <c r="BB193" s="1" t="s">
        <v>328</v>
      </c>
      <c r="BC193" s="1" t="s">
        <v>4739</v>
      </c>
      <c r="BD193" s="1">
        <v>10203</v>
      </c>
      <c r="BE193" s="1"/>
      <c r="BH193">
        <f>COUNTIF(Dropdowns!$I:$AF,C193)</f>
        <v>1</v>
      </c>
    </row>
    <row r="194" spans="1:60" x14ac:dyDescent="0.3">
      <c r="A194" s="1">
        <v>198</v>
      </c>
      <c r="B194" s="1" t="s">
        <v>3464</v>
      </c>
      <c r="C194" s="207" t="s">
        <v>171</v>
      </c>
      <c r="D194" s="1" t="s">
        <v>3465</v>
      </c>
      <c r="E194" s="1"/>
      <c r="F194" s="1"/>
      <c r="G194" s="1" t="s">
        <v>3466</v>
      </c>
      <c r="H194" s="1" t="s">
        <v>3467</v>
      </c>
      <c r="I194" s="1" t="s">
        <v>3468</v>
      </c>
      <c r="J194" s="1">
        <v>3</v>
      </c>
      <c r="K194" s="1">
        <v>5</v>
      </c>
      <c r="L194" s="1">
        <v>16920</v>
      </c>
      <c r="M194" s="1">
        <v>15</v>
      </c>
      <c r="N194" s="1">
        <v>30</v>
      </c>
      <c r="O194" s="1">
        <v>10</v>
      </c>
      <c r="P194" s="1">
        <v>15</v>
      </c>
      <c r="Q194" s="1">
        <v>5</v>
      </c>
      <c r="R194" s="1">
        <v>2</v>
      </c>
      <c r="S194" s="1">
        <v>5</v>
      </c>
      <c r="T194" s="1">
        <v>0</v>
      </c>
      <c r="U194" s="1">
        <v>82</v>
      </c>
      <c r="V194" s="1">
        <v>122</v>
      </c>
      <c r="W194" s="1">
        <v>95</v>
      </c>
      <c r="X194" s="1">
        <v>100</v>
      </c>
      <c r="Y194" s="1">
        <v>118</v>
      </c>
      <c r="Z194" s="1">
        <v>115</v>
      </c>
      <c r="AA194" s="1">
        <v>0</v>
      </c>
      <c r="AB194" s="1">
        <v>15</v>
      </c>
      <c r="AC194" s="1">
        <v>40</v>
      </c>
      <c r="AD194" s="1">
        <v>0</v>
      </c>
      <c r="AE194" s="1">
        <v>140</v>
      </c>
      <c r="AF194" s="1">
        <v>100</v>
      </c>
      <c r="AG194" s="1">
        <v>107907</v>
      </c>
      <c r="AH194" s="1">
        <v>0</v>
      </c>
      <c r="AI194" s="1">
        <v>107901</v>
      </c>
      <c r="AJ194" s="1" t="s">
        <v>1224</v>
      </c>
      <c r="AK194" s="1" t="s">
        <v>1225</v>
      </c>
      <c r="AL194" s="1">
        <v>19</v>
      </c>
      <c r="AM194" s="1" t="s">
        <v>476</v>
      </c>
      <c r="AN194" s="1" t="s">
        <v>4837</v>
      </c>
      <c r="AO194" s="1" t="s">
        <v>338</v>
      </c>
      <c r="AP194" s="1">
        <v>0</v>
      </c>
      <c r="AQ194" s="1" t="s">
        <v>1140</v>
      </c>
      <c r="AR194" s="1" t="s">
        <v>1141</v>
      </c>
      <c r="AS194" s="1" t="s">
        <v>1142</v>
      </c>
      <c r="AT194" s="1" t="s">
        <v>328</v>
      </c>
      <c r="AU194" s="1">
        <v>198</v>
      </c>
      <c r="AV194" s="1">
        <v>0</v>
      </c>
      <c r="AW194" s="1" t="s">
        <v>5033</v>
      </c>
      <c r="AX194" s="1" t="s">
        <v>331</v>
      </c>
      <c r="AY194" s="1">
        <v>5</v>
      </c>
      <c r="AZ194" s="1">
        <v>0</v>
      </c>
      <c r="BA194" s="1" t="s">
        <v>328</v>
      </c>
      <c r="BB194" s="1" t="s">
        <v>5135</v>
      </c>
      <c r="BC194" s="1" t="s">
        <v>4739</v>
      </c>
      <c r="BD194" s="1">
        <v>10203</v>
      </c>
      <c r="BE194" s="1"/>
      <c r="BH194">
        <f>COUNTIF(Dropdowns!$I:$AF,C194)</f>
        <v>1</v>
      </c>
    </row>
    <row r="195" spans="1:60" x14ac:dyDescent="0.3">
      <c r="A195" s="1">
        <v>199</v>
      </c>
      <c r="B195" s="1" t="s">
        <v>3469</v>
      </c>
      <c r="C195" s="207" t="s">
        <v>786</v>
      </c>
      <c r="D195" s="1" t="s">
        <v>3470</v>
      </c>
      <c r="E195" s="1"/>
      <c r="F195" s="1"/>
      <c r="G195" s="1" t="s">
        <v>3471</v>
      </c>
      <c r="H195" s="1" t="s">
        <v>3472</v>
      </c>
      <c r="I195" s="1" t="s">
        <v>3473</v>
      </c>
      <c r="J195" s="1">
        <v>5</v>
      </c>
      <c r="K195" s="1">
        <v>4</v>
      </c>
      <c r="L195" s="1">
        <v>22500</v>
      </c>
      <c r="M195" s="1">
        <v>40</v>
      </c>
      <c r="N195" s="1">
        <v>30</v>
      </c>
      <c r="O195" s="1">
        <v>25</v>
      </c>
      <c r="P195" s="1">
        <v>15</v>
      </c>
      <c r="Q195" s="1">
        <v>5</v>
      </c>
      <c r="R195" s="1">
        <v>5</v>
      </c>
      <c r="S195" s="1">
        <v>2</v>
      </c>
      <c r="T195" s="1">
        <v>5</v>
      </c>
      <c r="U195" s="1">
        <v>105</v>
      </c>
      <c r="V195" s="1">
        <v>125</v>
      </c>
      <c r="W195" s="1">
        <v>115</v>
      </c>
      <c r="X195" s="1">
        <v>100</v>
      </c>
      <c r="Y195" s="1">
        <v>115</v>
      </c>
      <c r="Z195" s="1">
        <v>105</v>
      </c>
      <c r="AA195" s="1">
        <v>0</v>
      </c>
      <c r="AB195" s="1">
        <v>15</v>
      </c>
      <c r="AC195" s="1">
        <v>5</v>
      </c>
      <c r="AD195" s="1">
        <v>10</v>
      </c>
      <c r="AE195" s="1">
        <v>105</v>
      </c>
      <c r="AF195" s="1">
        <v>100</v>
      </c>
      <c r="AG195" s="1">
        <v>100111</v>
      </c>
      <c r="AH195" s="1">
        <v>0</v>
      </c>
      <c r="AI195" s="1">
        <v>300105</v>
      </c>
      <c r="AJ195" s="1" t="s">
        <v>1166</v>
      </c>
      <c r="AK195" s="1" t="s">
        <v>1226</v>
      </c>
      <c r="AL195" s="1">
        <v>19</v>
      </c>
      <c r="AM195" s="1" t="s">
        <v>4858</v>
      </c>
      <c r="AN195" s="1" t="s">
        <v>5136</v>
      </c>
      <c r="AO195" s="1" t="s">
        <v>4942</v>
      </c>
      <c r="AP195" s="1">
        <v>0</v>
      </c>
      <c r="AQ195" s="1" t="s">
        <v>5012</v>
      </c>
      <c r="AR195" s="1" t="s">
        <v>1168</v>
      </c>
      <c r="AS195" s="1" t="s">
        <v>1169</v>
      </c>
      <c r="AT195" s="1" t="s">
        <v>328</v>
      </c>
      <c r="AU195" s="1">
        <v>199</v>
      </c>
      <c r="AV195" s="1">
        <v>0</v>
      </c>
      <c r="AW195" s="1" t="s">
        <v>5033</v>
      </c>
      <c r="AX195" s="1" t="s">
        <v>331</v>
      </c>
      <c r="AY195" s="1">
        <v>4</v>
      </c>
      <c r="AZ195" s="1">
        <v>0</v>
      </c>
      <c r="BA195" s="1" t="s">
        <v>4743</v>
      </c>
      <c r="BB195" s="1" t="s">
        <v>5137</v>
      </c>
      <c r="BC195" s="1" t="s">
        <v>4783</v>
      </c>
      <c r="BD195" s="1">
        <v>10704</v>
      </c>
      <c r="BE195" s="1"/>
      <c r="BH195">
        <f>COUNTIF(Dropdowns!$I:$AF,C195)</f>
        <v>1</v>
      </c>
    </row>
    <row r="196" spans="1:60" x14ac:dyDescent="0.3">
      <c r="A196" s="1">
        <v>200</v>
      </c>
      <c r="B196" s="1" t="s">
        <v>3474</v>
      </c>
      <c r="C196" s="207" t="s">
        <v>172</v>
      </c>
      <c r="D196" s="1" t="s">
        <v>3475</v>
      </c>
      <c r="E196" s="1"/>
      <c r="F196" s="1"/>
      <c r="G196" s="1" t="s">
        <v>3476</v>
      </c>
      <c r="H196" s="1" t="s">
        <v>3477</v>
      </c>
      <c r="I196" s="1" t="s">
        <v>3478</v>
      </c>
      <c r="J196" s="1">
        <v>3</v>
      </c>
      <c r="K196" s="1">
        <v>4</v>
      </c>
      <c r="L196" s="1">
        <v>15600</v>
      </c>
      <c r="M196" s="1">
        <v>15</v>
      </c>
      <c r="N196" s="1">
        <v>30</v>
      </c>
      <c r="O196" s="1">
        <v>10</v>
      </c>
      <c r="P196" s="1">
        <v>15</v>
      </c>
      <c r="Q196" s="1">
        <v>5</v>
      </c>
      <c r="R196" s="1">
        <v>2</v>
      </c>
      <c r="S196" s="1">
        <v>5</v>
      </c>
      <c r="T196" s="1">
        <v>0</v>
      </c>
      <c r="U196" s="1">
        <v>93</v>
      </c>
      <c r="V196" s="1">
        <v>115</v>
      </c>
      <c r="W196" s="1">
        <v>100</v>
      </c>
      <c r="X196" s="1">
        <v>100</v>
      </c>
      <c r="Y196" s="1">
        <v>128</v>
      </c>
      <c r="Z196" s="1">
        <v>88</v>
      </c>
      <c r="AA196" s="1">
        <v>0</v>
      </c>
      <c r="AB196" s="1">
        <v>15</v>
      </c>
      <c r="AC196" s="1">
        <v>40</v>
      </c>
      <c r="AD196" s="1">
        <v>0</v>
      </c>
      <c r="AE196" s="1">
        <v>128</v>
      </c>
      <c r="AF196" s="1">
        <v>100</v>
      </c>
      <c r="AG196" s="1">
        <v>100414</v>
      </c>
      <c r="AH196" s="1">
        <v>0</v>
      </c>
      <c r="AI196" s="1">
        <v>300104</v>
      </c>
      <c r="AJ196" s="1" t="s">
        <v>1227</v>
      </c>
      <c r="AK196" s="1" t="s">
        <v>328</v>
      </c>
      <c r="AL196" s="1">
        <v>13</v>
      </c>
      <c r="AM196" s="1" t="s">
        <v>4762</v>
      </c>
      <c r="AN196" s="1" t="s">
        <v>4829</v>
      </c>
      <c r="AO196" s="1" t="s">
        <v>4832</v>
      </c>
      <c r="AP196" s="1">
        <v>0</v>
      </c>
      <c r="AQ196" s="1" t="s">
        <v>1746</v>
      </c>
      <c r="AR196" s="1" t="s">
        <v>1141</v>
      </c>
      <c r="AS196" s="1" t="s">
        <v>1142</v>
      </c>
      <c r="AT196" s="1" t="s">
        <v>328</v>
      </c>
      <c r="AU196" s="1">
        <v>200</v>
      </c>
      <c r="AV196" s="1">
        <v>0</v>
      </c>
      <c r="AW196" s="1" t="s">
        <v>5131</v>
      </c>
      <c r="AX196" s="1" t="s">
        <v>5138</v>
      </c>
      <c r="AY196" s="1">
        <v>4</v>
      </c>
      <c r="AZ196" s="1">
        <v>0</v>
      </c>
      <c r="BA196" s="1" t="s">
        <v>4743</v>
      </c>
      <c r="BB196" s="1" t="s">
        <v>328</v>
      </c>
      <c r="BC196" s="1" t="s">
        <v>4720</v>
      </c>
      <c r="BD196" s="1">
        <v>10302</v>
      </c>
      <c r="BE196" s="1"/>
      <c r="BH196">
        <f>COUNTIF(Dropdowns!$I:$AF,C196)</f>
        <v>1</v>
      </c>
    </row>
    <row r="197" spans="1:60" x14ac:dyDescent="0.3">
      <c r="A197" s="1">
        <v>201</v>
      </c>
      <c r="B197" s="1" t="s">
        <v>3479</v>
      </c>
      <c r="C197" s="207" t="s">
        <v>173</v>
      </c>
      <c r="D197" s="1" t="s">
        <v>3480</v>
      </c>
      <c r="E197" s="1"/>
      <c r="F197" s="1"/>
      <c r="G197" s="1" t="s">
        <v>3481</v>
      </c>
      <c r="H197" s="1" t="s">
        <v>3482</v>
      </c>
      <c r="I197" s="1" t="s">
        <v>3483</v>
      </c>
      <c r="J197" s="1">
        <v>3</v>
      </c>
      <c r="K197" s="1">
        <v>3</v>
      </c>
      <c r="L197" s="1">
        <v>15600</v>
      </c>
      <c r="M197" s="1">
        <v>15</v>
      </c>
      <c r="N197" s="1">
        <v>30</v>
      </c>
      <c r="O197" s="1">
        <v>10</v>
      </c>
      <c r="P197" s="1">
        <v>15</v>
      </c>
      <c r="Q197" s="1">
        <v>5</v>
      </c>
      <c r="R197" s="1">
        <v>2</v>
      </c>
      <c r="S197" s="1">
        <v>5</v>
      </c>
      <c r="T197" s="1">
        <v>0</v>
      </c>
      <c r="U197" s="1">
        <v>100</v>
      </c>
      <c r="V197" s="1">
        <v>132</v>
      </c>
      <c r="W197" s="1">
        <v>85</v>
      </c>
      <c r="X197" s="1">
        <v>100</v>
      </c>
      <c r="Y197" s="1">
        <v>115</v>
      </c>
      <c r="Z197" s="1">
        <v>82</v>
      </c>
      <c r="AA197" s="1">
        <v>0</v>
      </c>
      <c r="AB197" s="1">
        <v>15</v>
      </c>
      <c r="AC197" s="1">
        <v>40</v>
      </c>
      <c r="AD197" s="1">
        <v>0</v>
      </c>
      <c r="AE197" s="1">
        <v>120</v>
      </c>
      <c r="AF197" s="1">
        <v>100</v>
      </c>
      <c r="AG197" s="1">
        <v>102708</v>
      </c>
      <c r="AH197" s="1">
        <v>0</v>
      </c>
      <c r="AI197" s="1">
        <v>300104</v>
      </c>
      <c r="AJ197" s="1" t="s">
        <v>1195</v>
      </c>
      <c r="AK197" s="1" t="s">
        <v>328</v>
      </c>
      <c r="AL197" s="1">
        <v>13</v>
      </c>
      <c r="AM197" s="1" t="s">
        <v>4762</v>
      </c>
      <c r="AN197" s="1" t="s">
        <v>4884</v>
      </c>
      <c r="AO197" s="1" t="s">
        <v>4826</v>
      </c>
      <c r="AP197" s="1">
        <v>0</v>
      </c>
      <c r="AQ197" s="1" t="s">
        <v>1746</v>
      </c>
      <c r="AR197" s="1" t="s">
        <v>1141</v>
      </c>
      <c r="AS197" s="1" t="s">
        <v>1142</v>
      </c>
      <c r="AT197" s="1" t="s">
        <v>328</v>
      </c>
      <c r="AU197" s="1">
        <v>201</v>
      </c>
      <c r="AV197" s="1">
        <v>0</v>
      </c>
      <c r="AW197" s="1" t="s">
        <v>5139</v>
      </c>
      <c r="AX197" s="1" t="s">
        <v>4753</v>
      </c>
      <c r="AY197" s="1">
        <v>3</v>
      </c>
      <c r="AZ197" s="1">
        <v>0</v>
      </c>
      <c r="BA197" s="1" t="s">
        <v>4765</v>
      </c>
      <c r="BB197" s="1" t="s">
        <v>353</v>
      </c>
      <c r="BC197" s="1" t="s">
        <v>328</v>
      </c>
      <c r="BD197" s="1">
        <v>10701</v>
      </c>
      <c r="BE197" s="1"/>
      <c r="BH197">
        <f>COUNTIF(Dropdowns!$I:$AF,C197)</f>
        <v>1</v>
      </c>
    </row>
    <row r="198" spans="1:60" x14ac:dyDescent="0.3">
      <c r="A198" s="1">
        <v>202</v>
      </c>
      <c r="B198" s="1" t="s">
        <v>3484</v>
      </c>
      <c r="C198" s="207" t="s">
        <v>5492</v>
      </c>
      <c r="D198" s="1" t="s">
        <v>3485</v>
      </c>
      <c r="E198" s="1"/>
      <c r="F198" s="1"/>
      <c r="G198" s="1" t="s">
        <v>3486</v>
      </c>
      <c r="H198" s="1" t="s">
        <v>3487</v>
      </c>
      <c r="I198" s="1" t="s">
        <v>3488</v>
      </c>
      <c r="J198" s="1">
        <v>1</v>
      </c>
      <c r="K198" s="1">
        <v>4</v>
      </c>
      <c r="L198" s="1">
        <v>3600</v>
      </c>
      <c r="M198" s="1">
        <v>10</v>
      </c>
      <c r="N198" s="1">
        <v>10</v>
      </c>
      <c r="O198" s="1">
        <v>5</v>
      </c>
      <c r="P198" s="1">
        <v>5</v>
      </c>
      <c r="Q198" s="1">
        <v>2</v>
      </c>
      <c r="R198" s="1">
        <v>2</v>
      </c>
      <c r="S198" s="1">
        <v>2</v>
      </c>
      <c r="T198" s="1">
        <v>0</v>
      </c>
      <c r="U198" s="1">
        <v>130</v>
      </c>
      <c r="V198" s="1">
        <v>160</v>
      </c>
      <c r="W198" s="1">
        <v>65</v>
      </c>
      <c r="X198" s="1">
        <v>100</v>
      </c>
      <c r="Y198" s="1">
        <v>105</v>
      </c>
      <c r="Z198" s="1">
        <v>75</v>
      </c>
      <c r="AA198" s="1">
        <v>0</v>
      </c>
      <c r="AB198" s="1">
        <v>15</v>
      </c>
      <c r="AC198" s="1">
        <v>40</v>
      </c>
      <c r="AD198" s="1">
        <v>0</v>
      </c>
      <c r="AE198" s="1">
        <v>130</v>
      </c>
      <c r="AF198" s="1">
        <v>100</v>
      </c>
      <c r="AG198" s="1">
        <v>108101</v>
      </c>
      <c r="AH198" s="1">
        <v>0</v>
      </c>
      <c r="AI198" s="1">
        <v>300101</v>
      </c>
      <c r="AJ198" s="1" t="s">
        <v>5140</v>
      </c>
      <c r="AK198" s="1" t="s">
        <v>328</v>
      </c>
      <c r="AL198" s="1">
        <v>13</v>
      </c>
      <c r="AM198" s="1" t="s">
        <v>1806</v>
      </c>
      <c r="AN198" s="1" t="s">
        <v>4776</v>
      </c>
      <c r="AO198" s="1" t="s">
        <v>4824</v>
      </c>
      <c r="AP198" s="1">
        <v>0</v>
      </c>
      <c r="AQ198" s="1" t="s">
        <v>1118</v>
      </c>
      <c r="AR198" s="1" t="s">
        <v>1119</v>
      </c>
      <c r="AS198" s="1" t="s">
        <v>1120</v>
      </c>
      <c r="AT198" s="1" t="s">
        <v>328</v>
      </c>
      <c r="AU198" s="1">
        <v>202</v>
      </c>
      <c r="AV198" s="1">
        <v>0</v>
      </c>
      <c r="AW198" s="1" t="s">
        <v>4818</v>
      </c>
      <c r="AX198" s="1" t="s">
        <v>5101</v>
      </c>
      <c r="AY198" s="1">
        <v>4</v>
      </c>
      <c r="AZ198" s="1">
        <v>0</v>
      </c>
      <c r="BA198" s="1" t="s">
        <v>328</v>
      </c>
      <c r="BB198" s="1" t="s">
        <v>5141</v>
      </c>
      <c r="BC198" s="1" t="s">
        <v>4720</v>
      </c>
      <c r="BD198" s="1">
        <v>10202</v>
      </c>
      <c r="BE198" s="1"/>
      <c r="BH198">
        <f>COUNTIF(Dropdowns!$I:$AF,C198)</f>
        <v>0</v>
      </c>
    </row>
    <row r="199" spans="1:60" x14ac:dyDescent="0.3">
      <c r="A199" s="1">
        <v>203</v>
      </c>
      <c r="B199" s="1" t="s">
        <v>3489</v>
      </c>
      <c r="C199" s="207" t="s">
        <v>1719</v>
      </c>
      <c r="D199" s="1" t="s">
        <v>3490</v>
      </c>
      <c r="E199" s="1"/>
      <c r="F199" s="1"/>
      <c r="G199" s="1" t="s">
        <v>3491</v>
      </c>
      <c r="H199" s="1" t="s">
        <v>3492</v>
      </c>
      <c r="I199" s="1" t="s">
        <v>3493</v>
      </c>
      <c r="J199" s="1">
        <v>2</v>
      </c>
      <c r="K199" s="1">
        <v>4</v>
      </c>
      <c r="L199" s="1">
        <v>8280</v>
      </c>
      <c r="M199" s="1">
        <v>25</v>
      </c>
      <c r="N199" s="1">
        <v>20</v>
      </c>
      <c r="O199" s="1">
        <v>15</v>
      </c>
      <c r="P199" s="1">
        <v>10</v>
      </c>
      <c r="Q199" s="1">
        <v>5</v>
      </c>
      <c r="R199" s="1">
        <v>5</v>
      </c>
      <c r="S199" s="1">
        <v>2</v>
      </c>
      <c r="T199" s="1">
        <v>0</v>
      </c>
      <c r="U199" s="1">
        <v>112</v>
      </c>
      <c r="V199" s="1">
        <v>140</v>
      </c>
      <c r="W199" s="1">
        <v>110</v>
      </c>
      <c r="X199" s="1">
        <v>100</v>
      </c>
      <c r="Y199" s="1">
        <v>125</v>
      </c>
      <c r="Z199" s="1">
        <v>115</v>
      </c>
      <c r="AA199" s="1">
        <v>0</v>
      </c>
      <c r="AB199" s="1">
        <v>15</v>
      </c>
      <c r="AC199" s="1">
        <v>5</v>
      </c>
      <c r="AD199" s="1">
        <v>0</v>
      </c>
      <c r="AE199" s="1">
        <v>90</v>
      </c>
      <c r="AF199" s="1">
        <v>100</v>
      </c>
      <c r="AG199" s="1">
        <v>101904</v>
      </c>
      <c r="AH199" s="1">
        <v>0</v>
      </c>
      <c r="AI199" s="1">
        <v>300102</v>
      </c>
      <c r="AJ199" s="1" t="s">
        <v>5142</v>
      </c>
      <c r="AK199" s="1" t="s">
        <v>5143</v>
      </c>
      <c r="AL199" s="1">
        <v>12</v>
      </c>
      <c r="AM199" s="1" t="s">
        <v>4790</v>
      </c>
      <c r="AN199" s="1" t="s">
        <v>358</v>
      </c>
      <c r="AO199" s="1" t="s">
        <v>5144</v>
      </c>
      <c r="AP199" s="1">
        <v>0</v>
      </c>
      <c r="AQ199" s="1" t="s">
        <v>1744</v>
      </c>
      <c r="AR199" s="1" t="s">
        <v>1119</v>
      </c>
      <c r="AS199" s="1" t="s">
        <v>1130</v>
      </c>
      <c r="AT199" s="1" t="s">
        <v>328</v>
      </c>
      <c r="AU199" s="1">
        <v>203</v>
      </c>
      <c r="AV199" s="1">
        <v>0</v>
      </c>
      <c r="AW199" s="1" t="s">
        <v>4818</v>
      </c>
      <c r="AX199" s="1" t="s">
        <v>5145</v>
      </c>
      <c r="AY199" s="1">
        <v>4</v>
      </c>
      <c r="AZ199" s="1">
        <v>0</v>
      </c>
      <c r="BA199" s="1" t="s">
        <v>328</v>
      </c>
      <c r="BB199" s="1" t="s">
        <v>328</v>
      </c>
      <c r="BC199" s="1" t="s">
        <v>4720</v>
      </c>
      <c r="BD199" s="1">
        <v>10703</v>
      </c>
      <c r="BE199" s="1"/>
      <c r="BH199">
        <f>COUNTIF(Dropdowns!$I:$AF,C199)</f>
        <v>1</v>
      </c>
    </row>
    <row r="200" spans="1:60" x14ac:dyDescent="0.3">
      <c r="A200" s="1">
        <v>204</v>
      </c>
      <c r="B200" s="1" t="s">
        <v>3494</v>
      </c>
      <c r="C200" s="207" t="s">
        <v>174</v>
      </c>
      <c r="D200" s="1" t="s">
        <v>174</v>
      </c>
      <c r="E200" s="1"/>
      <c r="F200" s="1"/>
      <c r="G200" s="1" t="s">
        <v>3495</v>
      </c>
      <c r="H200" s="1" t="s">
        <v>3496</v>
      </c>
      <c r="I200" s="1" t="s">
        <v>3497</v>
      </c>
      <c r="J200" s="1">
        <v>3</v>
      </c>
      <c r="K200" s="1">
        <v>5</v>
      </c>
      <c r="L200" s="1">
        <v>15600</v>
      </c>
      <c r="M200" s="1">
        <v>15</v>
      </c>
      <c r="N200" s="1">
        <v>30</v>
      </c>
      <c r="O200" s="1">
        <v>10</v>
      </c>
      <c r="P200" s="1">
        <v>15</v>
      </c>
      <c r="Q200" s="1">
        <v>5</v>
      </c>
      <c r="R200" s="1">
        <v>2</v>
      </c>
      <c r="S200" s="1">
        <v>5</v>
      </c>
      <c r="T200" s="1">
        <v>0</v>
      </c>
      <c r="U200" s="1">
        <v>93</v>
      </c>
      <c r="V200" s="1">
        <v>115</v>
      </c>
      <c r="W200" s="1">
        <v>100</v>
      </c>
      <c r="X200" s="1">
        <v>100</v>
      </c>
      <c r="Y200" s="1">
        <v>120</v>
      </c>
      <c r="Z200" s="1">
        <v>90</v>
      </c>
      <c r="AA200" s="1">
        <v>0</v>
      </c>
      <c r="AB200" s="1">
        <v>15</v>
      </c>
      <c r="AC200" s="1">
        <v>40</v>
      </c>
      <c r="AD200" s="1">
        <v>0</v>
      </c>
      <c r="AE200" s="1">
        <v>142</v>
      </c>
      <c r="AF200" s="1">
        <v>100</v>
      </c>
      <c r="AG200" s="1">
        <v>108803</v>
      </c>
      <c r="AH200" s="1">
        <v>0</v>
      </c>
      <c r="AI200" s="1">
        <v>108802</v>
      </c>
      <c r="AJ200" s="1" t="s">
        <v>1228</v>
      </c>
      <c r="AK200" s="1" t="s">
        <v>1229</v>
      </c>
      <c r="AL200" s="1">
        <v>13</v>
      </c>
      <c r="AM200" s="1" t="s">
        <v>4762</v>
      </c>
      <c r="AN200" s="1" t="s">
        <v>4834</v>
      </c>
      <c r="AO200" s="1" t="s">
        <v>4845</v>
      </c>
      <c r="AP200" s="1">
        <v>0</v>
      </c>
      <c r="AQ200" s="1" t="s">
        <v>1140</v>
      </c>
      <c r="AR200" s="1" t="s">
        <v>1141</v>
      </c>
      <c r="AS200" s="1" t="s">
        <v>1142</v>
      </c>
      <c r="AT200" s="1" t="s">
        <v>328</v>
      </c>
      <c r="AU200" s="1">
        <v>204</v>
      </c>
      <c r="AV200" s="1">
        <v>0</v>
      </c>
      <c r="AW200" s="1" t="s">
        <v>4818</v>
      </c>
      <c r="AX200" s="1" t="s">
        <v>5146</v>
      </c>
      <c r="AY200" s="1">
        <v>5</v>
      </c>
      <c r="AZ200" s="1">
        <v>0</v>
      </c>
      <c r="BA200" s="1" t="s">
        <v>328</v>
      </c>
      <c r="BB200" s="1" t="s">
        <v>328</v>
      </c>
      <c r="BC200" s="1" t="s">
        <v>4853</v>
      </c>
      <c r="BD200" s="1">
        <v>10202</v>
      </c>
      <c r="BE200" s="1"/>
      <c r="BH200">
        <f>COUNTIF(Dropdowns!$I:$AF,C200)</f>
        <v>1</v>
      </c>
    </row>
    <row r="201" spans="1:60" x14ac:dyDescent="0.3">
      <c r="A201" s="1">
        <v>205</v>
      </c>
      <c r="B201" s="1" t="s">
        <v>3498</v>
      </c>
      <c r="C201" s="207" t="s">
        <v>232</v>
      </c>
      <c r="D201" s="1" t="s">
        <v>232</v>
      </c>
      <c r="E201" s="1"/>
      <c r="F201" s="1"/>
      <c r="G201" s="1" t="s">
        <v>3499</v>
      </c>
      <c r="H201" s="1" t="s">
        <v>3500</v>
      </c>
      <c r="I201" s="1" t="s">
        <v>3501</v>
      </c>
      <c r="J201" s="1">
        <v>4</v>
      </c>
      <c r="K201" s="1">
        <v>5</v>
      </c>
      <c r="L201" s="1">
        <v>14940</v>
      </c>
      <c r="M201" s="1">
        <v>20</v>
      </c>
      <c r="N201" s="1">
        <v>20</v>
      </c>
      <c r="O201" s="1">
        <v>10</v>
      </c>
      <c r="P201" s="1">
        <v>10</v>
      </c>
      <c r="Q201" s="1">
        <v>2</v>
      </c>
      <c r="R201" s="1">
        <v>5</v>
      </c>
      <c r="S201" s="1">
        <v>5</v>
      </c>
      <c r="T201" s="1">
        <v>0</v>
      </c>
      <c r="U201" s="1">
        <v>105</v>
      </c>
      <c r="V201" s="1">
        <v>105</v>
      </c>
      <c r="W201" s="1">
        <v>105</v>
      </c>
      <c r="X201" s="1">
        <v>100</v>
      </c>
      <c r="Y201" s="1">
        <v>135</v>
      </c>
      <c r="Z201" s="1">
        <v>95</v>
      </c>
      <c r="AA201" s="1">
        <v>0</v>
      </c>
      <c r="AB201" s="1">
        <v>15</v>
      </c>
      <c r="AC201" s="1">
        <v>20</v>
      </c>
      <c r="AD201" s="1">
        <v>0</v>
      </c>
      <c r="AE201" s="1">
        <v>148</v>
      </c>
      <c r="AF201" s="1">
        <v>100</v>
      </c>
      <c r="AG201" s="1">
        <v>108607</v>
      </c>
      <c r="AH201" s="1">
        <v>0</v>
      </c>
      <c r="AI201" s="1">
        <v>108612</v>
      </c>
      <c r="AJ201" s="1" t="s">
        <v>1230</v>
      </c>
      <c r="AK201" s="1" t="s">
        <v>328</v>
      </c>
      <c r="AL201" s="1">
        <v>12</v>
      </c>
      <c r="AM201" s="1" t="s">
        <v>4719</v>
      </c>
      <c r="AN201" s="1" t="s">
        <v>5147</v>
      </c>
      <c r="AO201" s="1" t="s">
        <v>5148</v>
      </c>
      <c r="AP201" s="1">
        <v>0</v>
      </c>
      <c r="AQ201" s="1" t="s">
        <v>1130</v>
      </c>
      <c r="AR201" s="1" t="s">
        <v>1154</v>
      </c>
      <c r="AS201" s="1" t="s">
        <v>1129</v>
      </c>
      <c r="AT201" s="1" t="s">
        <v>328</v>
      </c>
      <c r="AU201" s="1">
        <v>205</v>
      </c>
      <c r="AV201" s="1">
        <v>0</v>
      </c>
      <c r="AW201" s="1" t="s">
        <v>4818</v>
      </c>
      <c r="AX201" s="1" t="s">
        <v>331</v>
      </c>
      <c r="AY201" s="1">
        <v>5</v>
      </c>
      <c r="AZ201" s="1">
        <v>0</v>
      </c>
      <c r="BA201" s="1" t="s">
        <v>328</v>
      </c>
      <c r="BB201" s="1" t="s">
        <v>353</v>
      </c>
      <c r="BC201" s="1" t="s">
        <v>5149</v>
      </c>
      <c r="BD201" s="1">
        <v>10104</v>
      </c>
      <c r="BE201" s="1"/>
      <c r="BH201">
        <f>COUNTIF(Dropdowns!$I:$AF,C201)</f>
        <v>1</v>
      </c>
    </row>
    <row r="202" spans="1:60" x14ac:dyDescent="0.3">
      <c r="A202" s="1">
        <v>206</v>
      </c>
      <c r="B202" s="1" t="s">
        <v>3502</v>
      </c>
      <c r="C202" s="207" t="s">
        <v>233</v>
      </c>
      <c r="D202" s="1" t="s">
        <v>233</v>
      </c>
      <c r="E202" s="1"/>
      <c r="F202" s="1"/>
      <c r="G202" s="1" t="s">
        <v>3503</v>
      </c>
      <c r="H202" s="1" t="s">
        <v>3504</v>
      </c>
      <c r="I202" s="1" t="s">
        <v>3505</v>
      </c>
      <c r="J202" s="1">
        <v>4</v>
      </c>
      <c r="K202" s="1">
        <v>5</v>
      </c>
      <c r="L202" s="1">
        <v>15120</v>
      </c>
      <c r="M202" s="1">
        <v>20</v>
      </c>
      <c r="N202" s="1">
        <v>20</v>
      </c>
      <c r="O202" s="1">
        <v>10</v>
      </c>
      <c r="P202" s="1">
        <v>10</v>
      </c>
      <c r="Q202" s="1">
        <v>2</v>
      </c>
      <c r="R202" s="1">
        <v>5</v>
      </c>
      <c r="S202" s="1">
        <v>5</v>
      </c>
      <c r="T202" s="1">
        <v>0</v>
      </c>
      <c r="U202" s="1">
        <v>100</v>
      </c>
      <c r="V202" s="1">
        <v>112</v>
      </c>
      <c r="W202" s="1">
        <v>110</v>
      </c>
      <c r="X202" s="1">
        <v>100</v>
      </c>
      <c r="Y202" s="1">
        <v>130</v>
      </c>
      <c r="Z202" s="1">
        <v>110</v>
      </c>
      <c r="AA202" s="1">
        <v>0</v>
      </c>
      <c r="AB202" s="1">
        <v>15</v>
      </c>
      <c r="AC202" s="1">
        <v>20</v>
      </c>
      <c r="AD202" s="1">
        <v>0</v>
      </c>
      <c r="AE202" s="1">
        <v>139</v>
      </c>
      <c r="AF202" s="1">
        <v>100</v>
      </c>
      <c r="AG202" s="1">
        <v>118003</v>
      </c>
      <c r="AH202" s="1">
        <v>0</v>
      </c>
      <c r="AI202" s="1">
        <v>108502</v>
      </c>
      <c r="AJ202" s="1" t="s">
        <v>5150</v>
      </c>
      <c r="AK202" s="1" t="s">
        <v>328</v>
      </c>
      <c r="AL202" s="1">
        <v>14</v>
      </c>
      <c r="AM202" s="1" t="s">
        <v>4719</v>
      </c>
      <c r="AN202" s="1" t="s">
        <v>5151</v>
      </c>
      <c r="AO202" s="1" t="s">
        <v>5152</v>
      </c>
      <c r="AP202" s="1">
        <v>0</v>
      </c>
      <c r="AQ202" s="1" t="s">
        <v>1130</v>
      </c>
      <c r="AR202" s="1" t="s">
        <v>1154</v>
      </c>
      <c r="AS202" s="1" t="s">
        <v>1129</v>
      </c>
      <c r="AT202" s="1" t="s">
        <v>328</v>
      </c>
      <c r="AU202" s="1">
        <v>206</v>
      </c>
      <c r="AV202" s="1">
        <v>0</v>
      </c>
      <c r="AW202" s="1" t="s">
        <v>4818</v>
      </c>
      <c r="AX202" s="1" t="s">
        <v>331</v>
      </c>
      <c r="AY202" s="1">
        <v>5</v>
      </c>
      <c r="AZ202" s="1">
        <v>0</v>
      </c>
      <c r="BA202" s="1" t="s">
        <v>328</v>
      </c>
      <c r="BB202" s="1" t="s">
        <v>5153</v>
      </c>
      <c r="BC202" s="1" t="s">
        <v>5149</v>
      </c>
      <c r="BD202" s="1">
        <v>10104</v>
      </c>
      <c r="BE202" s="1"/>
      <c r="BH202">
        <f>COUNTIF(Dropdowns!$I:$AF,C202)</f>
        <v>1</v>
      </c>
    </row>
    <row r="203" spans="1:60" x14ac:dyDescent="0.3">
      <c r="A203" s="1">
        <v>207</v>
      </c>
      <c r="B203" s="1" t="s">
        <v>3506</v>
      </c>
      <c r="C203" s="207" t="s">
        <v>175</v>
      </c>
      <c r="D203" s="1" t="s">
        <v>175</v>
      </c>
      <c r="E203" s="1"/>
      <c r="F203" s="1"/>
      <c r="G203" s="1" t="s">
        <v>3507</v>
      </c>
      <c r="H203" s="1" t="s">
        <v>3508</v>
      </c>
      <c r="I203" s="1" t="s">
        <v>3509</v>
      </c>
      <c r="J203" s="1">
        <v>4</v>
      </c>
      <c r="K203" s="1">
        <v>4</v>
      </c>
      <c r="L203" s="1">
        <v>14100</v>
      </c>
      <c r="M203" s="1">
        <v>20</v>
      </c>
      <c r="N203" s="1">
        <v>20</v>
      </c>
      <c r="O203" s="1">
        <v>10</v>
      </c>
      <c r="P203" s="1">
        <v>10</v>
      </c>
      <c r="Q203" s="1">
        <v>2</v>
      </c>
      <c r="R203" s="1">
        <v>5</v>
      </c>
      <c r="S203" s="1">
        <v>5</v>
      </c>
      <c r="T203" s="1">
        <v>0</v>
      </c>
      <c r="U203" s="1">
        <v>100</v>
      </c>
      <c r="V203" s="1">
        <v>112</v>
      </c>
      <c r="W203" s="1">
        <v>118</v>
      </c>
      <c r="X203" s="1">
        <v>100</v>
      </c>
      <c r="Y203" s="1">
        <v>115</v>
      </c>
      <c r="Z203" s="1">
        <v>120</v>
      </c>
      <c r="AA203" s="1">
        <v>0</v>
      </c>
      <c r="AB203" s="1">
        <v>15</v>
      </c>
      <c r="AC203" s="1">
        <v>20</v>
      </c>
      <c r="AD203" s="1">
        <v>0</v>
      </c>
      <c r="AE203" s="1">
        <v>110</v>
      </c>
      <c r="AF203" s="1">
        <v>100</v>
      </c>
      <c r="AG203" s="1">
        <v>108201</v>
      </c>
      <c r="AH203" s="1">
        <v>0</v>
      </c>
      <c r="AI203" s="1">
        <v>300103</v>
      </c>
      <c r="AJ203" s="1" t="s">
        <v>328</v>
      </c>
      <c r="AK203" s="1" t="s">
        <v>328</v>
      </c>
      <c r="AL203" s="1">
        <v>13</v>
      </c>
      <c r="AM203" s="1" t="s">
        <v>4719</v>
      </c>
      <c r="AN203" s="1" t="s">
        <v>475</v>
      </c>
      <c r="AO203" s="1" t="s">
        <v>4998</v>
      </c>
      <c r="AP203" s="1">
        <v>0</v>
      </c>
      <c r="AQ203" s="1" t="s">
        <v>1130</v>
      </c>
      <c r="AR203" s="1" t="s">
        <v>1154</v>
      </c>
      <c r="AS203" s="1" t="s">
        <v>1129</v>
      </c>
      <c r="AT203" s="1" t="s">
        <v>328</v>
      </c>
      <c r="AU203" s="1">
        <v>207</v>
      </c>
      <c r="AV203" s="1">
        <v>0</v>
      </c>
      <c r="AW203" s="1" t="s">
        <v>4818</v>
      </c>
      <c r="AX203" s="1" t="s">
        <v>5154</v>
      </c>
      <c r="AY203" s="1">
        <v>4</v>
      </c>
      <c r="AZ203" s="1">
        <v>0</v>
      </c>
      <c r="BA203" s="1" t="s">
        <v>328</v>
      </c>
      <c r="BB203" s="1" t="s">
        <v>328</v>
      </c>
      <c r="BC203" s="1" t="s">
        <v>328</v>
      </c>
      <c r="BD203" s="1">
        <v>10703</v>
      </c>
      <c r="BE203" s="1"/>
      <c r="BH203">
        <f>COUNTIF(Dropdowns!$I:$AF,C203)</f>
        <v>1</v>
      </c>
    </row>
    <row r="204" spans="1:60" x14ac:dyDescent="0.3">
      <c r="A204" s="1">
        <v>208</v>
      </c>
      <c r="B204" s="1" t="s">
        <v>3510</v>
      </c>
      <c r="C204" s="207" t="s">
        <v>176</v>
      </c>
      <c r="D204" s="1" t="s">
        <v>176</v>
      </c>
      <c r="E204" s="1"/>
      <c r="F204" s="1"/>
      <c r="G204" s="1" t="s">
        <v>3511</v>
      </c>
      <c r="H204" s="1" t="s">
        <v>3512</v>
      </c>
      <c r="I204" s="1" t="s">
        <v>3513</v>
      </c>
      <c r="J204" s="1">
        <v>5</v>
      </c>
      <c r="K204" s="1">
        <v>5</v>
      </c>
      <c r="L204" s="1">
        <v>22500</v>
      </c>
      <c r="M204" s="1">
        <v>40</v>
      </c>
      <c r="N204" s="1">
        <v>30</v>
      </c>
      <c r="O204" s="1">
        <v>25</v>
      </c>
      <c r="P204" s="1">
        <v>15</v>
      </c>
      <c r="Q204" s="1">
        <v>5</v>
      </c>
      <c r="R204" s="1">
        <v>5</v>
      </c>
      <c r="S204" s="1">
        <v>2</v>
      </c>
      <c r="T204" s="1">
        <v>5</v>
      </c>
      <c r="U204" s="1">
        <v>102</v>
      </c>
      <c r="V204" s="1">
        <v>110</v>
      </c>
      <c r="W204" s="1">
        <v>125</v>
      </c>
      <c r="X204" s="1">
        <v>100</v>
      </c>
      <c r="Y204" s="1">
        <v>110</v>
      </c>
      <c r="Z204" s="1">
        <v>125</v>
      </c>
      <c r="AA204" s="1">
        <v>0</v>
      </c>
      <c r="AB204" s="1">
        <v>15</v>
      </c>
      <c r="AC204" s="1">
        <v>5</v>
      </c>
      <c r="AD204" s="1">
        <v>10</v>
      </c>
      <c r="AE204" s="1">
        <v>125</v>
      </c>
      <c r="AF204" s="1">
        <v>100</v>
      </c>
      <c r="AG204" s="1">
        <v>108701</v>
      </c>
      <c r="AH204" s="1">
        <v>0</v>
      </c>
      <c r="AI204" s="1">
        <v>108702</v>
      </c>
      <c r="AJ204" s="1" t="s">
        <v>1231</v>
      </c>
      <c r="AK204" s="1" t="s">
        <v>328</v>
      </c>
      <c r="AL204" s="1">
        <v>18</v>
      </c>
      <c r="AM204" s="1" t="s">
        <v>4858</v>
      </c>
      <c r="AN204" s="1" t="s">
        <v>4919</v>
      </c>
      <c r="AO204" s="1" t="s">
        <v>5155</v>
      </c>
      <c r="AP204" s="1">
        <v>0</v>
      </c>
      <c r="AQ204" s="1" t="s">
        <v>1167</v>
      </c>
      <c r="AR204" s="1" t="s">
        <v>1168</v>
      </c>
      <c r="AS204" s="1" t="s">
        <v>1169</v>
      </c>
      <c r="AT204" s="1" t="s">
        <v>328</v>
      </c>
      <c r="AU204" s="1">
        <v>208</v>
      </c>
      <c r="AV204" s="1">
        <v>0</v>
      </c>
      <c r="AW204" s="1" t="s">
        <v>4818</v>
      </c>
      <c r="AX204" s="1" t="s">
        <v>5154</v>
      </c>
      <c r="AY204" s="1">
        <v>5</v>
      </c>
      <c r="AZ204" s="1">
        <v>0</v>
      </c>
      <c r="BA204" s="1" t="s">
        <v>328</v>
      </c>
      <c r="BB204" s="1" t="s">
        <v>328</v>
      </c>
      <c r="BC204" s="1" t="s">
        <v>4769</v>
      </c>
      <c r="BD204" s="1">
        <v>10501</v>
      </c>
      <c r="BE204" s="1"/>
      <c r="BH204">
        <f>COUNTIF(Dropdowns!$I:$AF,C204)</f>
        <v>1</v>
      </c>
    </row>
    <row r="205" spans="1:60" x14ac:dyDescent="0.3">
      <c r="A205" s="1">
        <v>209</v>
      </c>
      <c r="B205" s="1" t="s">
        <v>3514</v>
      </c>
      <c r="C205" s="207" t="s">
        <v>1640</v>
      </c>
      <c r="D205" s="1" t="s">
        <v>1640</v>
      </c>
      <c r="E205" s="1"/>
      <c r="F205" s="1"/>
      <c r="G205" s="1" t="s">
        <v>3515</v>
      </c>
      <c r="H205" s="1" t="s">
        <v>3516</v>
      </c>
      <c r="I205" s="1" t="s">
        <v>3517</v>
      </c>
      <c r="J205" s="1">
        <v>2</v>
      </c>
      <c r="K205" s="1">
        <v>3</v>
      </c>
      <c r="L205" s="1">
        <v>6600</v>
      </c>
      <c r="M205" s="1">
        <v>25</v>
      </c>
      <c r="N205" s="1">
        <v>20</v>
      </c>
      <c r="O205" s="1">
        <v>15</v>
      </c>
      <c r="P205" s="1">
        <v>10</v>
      </c>
      <c r="Q205" s="1">
        <v>5</v>
      </c>
      <c r="R205" s="1">
        <v>5</v>
      </c>
      <c r="S205" s="1">
        <v>2</v>
      </c>
      <c r="T205" s="1">
        <v>0</v>
      </c>
      <c r="U205" s="1">
        <v>108</v>
      </c>
      <c r="V205" s="1">
        <v>105</v>
      </c>
      <c r="W205" s="1">
        <v>95</v>
      </c>
      <c r="X205" s="1">
        <v>100</v>
      </c>
      <c r="Y205" s="1">
        <v>118</v>
      </c>
      <c r="Z205" s="1">
        <v>122</v>
      </c>
      <c r="AA205" s="1">
        <v>0</v>
      </c>
      <c r="AB205" s="1">
        <v>15</v>
      </c>
      <c r="AC205" s="1">
        <v>5</v>
      </c>
      <c r="AD205" s="1">
        <v>0</v>
      </c>
      <c r="AE205" s="1">
        <v>105</v>
      </c>
      <c r="AF205" s="1">
        <v>100</v>
      </c>
      <c r="AG205" s="1">
        <v>102205</v>
      </c>
      <c r="AH205" s="1">
        <v>0</v>
      </c>
      <c r="AI205" s="1">
        <v>300102</v>
      </c>
      <c r="AJ205" s="1" t="s">
        <v>5156</v>
      </c>
      <c r="AK205" s="1" t="s">
        <v>328</v>
      </c>
      <c r="AL205" s="1">
        <v>13</v>
      </c>
      <c r="AM205" s="1" t="s">
        <v>4790</v>
      </c>
      <c r="AN205" s="1" t="s">
        <v>4788</v>
      </c>
      <c r="AO205" s="1" t="s">
        <v>5080</v>
      </c>
      <c r="AP205" s="1">
        <v>0</v>
      </c>
      <c r="AQ205" s="1" t="s">
        <v>1129</v>
      </c>
      <c r="AR205" s="1" t="s">
        <v>1119</v>
      </c>
      <c r="AS205" s="1" t="s">
        <v>1130</v>
      </c>
      <c r="AT205" s="1" t="s">
        <v>328</v>
      </c>
      <c r="AU205" s="1">
        <v>209</v>
      </c>
      <c r="AV205" s="1">
        <v>0</v>
      </c>
      <c r="AW205" s="1" t="s">
        <v>5157</v>
      </c>
      <c r="AX205" s="1" t="s">
        <v>4753</v>
      </c>
      <c r="AY205" s="1">
        <v>3</v>
      </c>
      <c r="AZ205" s="1">
        <v>0</v>
      </c>
      <c r="BA205" s="1" t="s">
        <v>328</v>
      </c>
      <c r="BB205" s="1" t="s">
        <v>328</v>
      </c>
      <c r="BC205" s="1" t="s">
        <v>4757</v>
      </c>
      <c r="BD205" s="1">
        <v>10704</v>
      </c>
      <c r="BE205" s="1"/>
      <c r="BH205">
        <f>COUNTIF(Dropdowns!$I:$AF,C205)</f>
        <v>1</v>
      </c>
    </row>
    <row r="206" spans="1:60" x14ac:dyDescent="0.3">
      <c r="A206" s="1">
        <v>210</v>
      </c>
      <c r="B206" s="1" t="s">
        <v>3518</v>
      </c>
      <c r="C206" s="207" t="s">
        <v>177</v>
      </c>
      <c r="D206" s="1" t="s">
        <v>177</v>
      </c>
      <c r="E206" s="1"/>
      <c r="F206" s="1"/>
      <c r="G206" s="1" t="s">
        <v>3519</v>
      </c>
      <c r="H206" s="1" t="s">
        <v>3520</v>
      </c>
      <c r="I206" s="1" t="s">
        <v>3521</v>
      </c>
      <c r="J206" s="1">
        <v>1</v>
      </c>
      <c r="K206" s="1">
        <v>3</v>
      </c>
      <c r="L206" s="1">
        <v>2700</v>
      </c>
      <c r="M206" s="1">
        <v>10</v>
      </c>
      <c r="N206" s="1">
        <v>10</v>
      </c>
      <c r="O206" s="1">
        <v>5</v>
      </c>
      <c r="P206" s="1">
        <v>5</v>
      </c>
      <c r="Q206" s="1">
        <v>2</v>
      </c>
      <c r="R206" s="1">
        <v>2</v>
      </c>
      <c r="S206" s="1">
        <v>2</v>
      </c>
      <c r="T206" s="1">
        <v>0</v>
      </c>
      <c r="U206" s="1">
        <v>115</v>
      </c>
      <c r="V206" s="1">
        <v>125</v>
      </c>
      <c r="W206" s="1">
        <v>100</v>
      </c>
      <c r="X206" s="1">
        <v>100</v>
      </c>
      <c r="Y206" s="1">
        <v>102</v>
      </c>
      <c r="Z206" s="1">
        <v>95</v>
      </c>
      <c r="AA206" s="1">
        <v>0</v>
      </c>
      <c r="AB206" s="1">
        <v>15</v>
      </c>
      <c r="AC206" s="1">
        <v>20</v>
      </c>
      <c r="AD206" s="1">
        <v>0</v>
      </c>
      <c r="AE206" s="1">
        <v>115</v>
      </c>
      <c r="AF206" s="1">
        <v>100</v>
      </c>
      <c r="AG206" s="1">
        <v>100502</v>
      </c>
      <c r="AH206" s="1">
        <v>0</v>
      </c>
      <c r="AI206" s="1">
        <v>300101</v>
      </c>
      <c r="AJ206" s="1" t="s">
        <v>1125</v>
      </c>
      <c r="AK206" s="1" t="s">
        <v>328</v>
      </c>
      <c r="AL206" s="1">
        <v>13</v>
      </c>
      <c r="AM206" s="1" t="s">
        <v>1806</v>
      </c>
      <c r="AN206" s="1" t="s">
        <v>4747</v>
      </c>
      <c r="AO206" s="1" t="s">
        <v>4748</v>
      </c>
      <c r="AP206" s="1">
        <v>0</v>
      </c>
      <c r="AQ206" s="1" t="s">
        <v>1118</v>
      </c>
      <c r="AR206" s="1" t="s">
        <v>1119</v>
      </c>
      <c r="AS206" s="1" t="s">
        <v>1120</v>
      </c>
      <c r="AT206" s="1" t="s">
        <v>328</v>
      </c>
      <c r="AU206" s="1">
        <v>210</v>
      </c>
      <c r="AV206" s="1">
        <v>0</v>
      </c>
      <c r="AW206" s="1" t="s">
        <v>5158</v>
      </c>
      <c r="AX206" s="1" t="s">
        <v>4753</v>
      </c>
      <c r="AY206" s="1">
        <v>3</v>
      </c>
      <c r="AZ206" s="1">
        <v>0</v>
      </c>
      <c r="BA206" s="1" t="s">
        <v>328</v>
      </c>
      <c r="BB206" s="1" t="s">
        <v>475</v>
      </c>
      <c r="BC206" s="1" t="s">
        <v>328</v>
      </c>
      <c r="BD206" s="1">
        <v>10402</v>
      </c>
      <c r="BE206" s="1"/>
      <c r="BH206">
        <f>COUNTIF(Dropdowns!$I:$AF,C206)</f>
        <v>0</v>
      </c>
    </row>
    <row r="207" spans="1:60" x14ac:dyDescent="0.3">
      <c r="A207" s="1">
        <v>211</v>
      </c>
      <c r="B207" s="1" t="s">
        <v>3522</v>
      </c>
      <c r="C207" s="207" t="s">
        <v>234</v>
      </c>
      <c r="D207" s="1" t="s">
        <v>234</v>
      </c>
      <c r="E207" s="1"/>
      <c r="F207" s="1"/>
      <c r="G207" s="1" t="s">
        <v>3523</v>
      </c>
      <c r="H207" s="1" t="s">
        <v>3524</v>
      </c>
      <c r="I207" s="1" t="s">
        <v>3525</v>
      </c>
      <c r="J207" s="1">
        <v>3</v>
      </c>
      <c r="K207" s="1">
        <v>5</v>
      </c>
      <c r="L207" s="1">
        <v>15600</v>
      </c>
      <c r="M207" s="1">
        <v>15</v>
      </c>
      <c r="N207" s="1">
        <v>30</v>
      </c>
      <c r="O207" s="1">
        <v>10</v>
      </c>
      <c r="P207" s="1">
        <v>15</v>
      </c>
      <c r="Q207" s="1">
        <v>5</v>
      </c>
      <c r="R207" s="1">
        <v>2</v>
      </c>
      <c r="S207" s="1">
        <v>5</v>
      </c>
      <c r="T207" s="1">
        <v>0</v>
      </c>
      <c r="U207" s="1">
        <v>98</v>
      </c>
      <c r="V207" s="1">
        <v>118</v>
      </c>
      <c r="W207" s="1">
        <v>98</v>
      </c>
      <c r="X207" s="1">
        <v>100</v>
      </c>
      <c r="Y207" s="1">
        <v>115</v>
      </c>
      <c r="Z207" s="1">
        <v>98</v>
      </c>
      <c r="AA207" s="1">
        <v>0</v>
      </c>
      <c r="AB207" s="1">
        <v>15</v>
      </c>
      <c r="AC207" s="1">
        <v>40</v>
      </c>
      <c r="AD207" s="1">
        <v>0</v>
      </c>
      <c r="AE207" s="1">
        <v>130</v>
      </c>
      <c r="AF207" s="1">
        <v>100</v>
      </c>
      <c r="AG207" s="1">
        <v>101803</v>
      </c>
      <c r="AH207" s="1">
        <v>0</v>
      </c>
      <c r="AI207" s="1">
        <v>300104</v>
      </c>
      <c r="AJ207" s="1" t="s">
        <v>328</v>
      </c>
      <c r="AK207" s="1" t="s">
        <v>328</v>
      </c>
      <c r="AL207" s="1">
        <v>13</v>
      </c>
      <c r="AM207" s="1" t="s">
        <v>4762</v>
      </c>
      <c r="AN207" s="1" t="s">
        <v>4884</v>
      </c>
      <c r="AO207" s="1" t="s">
        <v>4845</v>
      </c>
      <c r="AP207" s="1">
        <v>0</v>
      </c>
      <c r="AQ207" s="1" t="s">
        <v>1140</v>
      </c>
      <c r="AR207" s="1" t="s">
        <v>1141</v>
      </c>
      <c r="AS207" s="1" t="s">
        <v>1142</v>
      </c>
      <c r="AT207" s="1" t="s">
        <v>328</v>
      </c>
      <c r="AU207" s="1">
        <v>211</v>
      </c>
      <c r="AV207" s="1">
        <v>0</v>
      </c>
      <c r="AW207" s="1" t="s">
        <v>5159</v>
      </c>
      <c r="AX207" s="1" t="s">
        <v>5160</v>
      </c>
      <c r="AY207" s="1">
        <v>5</v>
      </c>
      <c r="AZ207" s="1">
        <v>0</v>
      </c>
      <c r="BA207" s="1" t="s">
        <v>328</v>
      </c>
      <c r="BB207" s="1" t="s">
        <v>4844</v>
      </c>
      <c r="BC207" s="1" t="s">
        <v>4720</v>
      </c>
      <c r="BD207" s="1">
        <v>10303</v>
      </c>
      <c r="BE207" s="1"/>
      <c r="BH207">
        <f>COUNTIF(Dropdowns!$I:$AF,C207)</f>
        <v>1</v>
      </c>
    </row>
    <row r="208" spans="1:60" x14ac:dyDescent="0.3">
      <c r="A208" s="1">
        <v>212</v>
      </c>
      <c r="B208" s="1" t="s">
        <v>3526</v>
      </c>
      <c r="C208" s="207" t="s">
        <v>178</v>
      </c>
      <c r="D208" s="1" t="s">
        <v>178</v>
      </c>
      <c r="E208" s="1"/>
      <c r="F208" s="1"/>
      <c r="G208" s="1" t="s">
        <v>3527</v>
      </c>
      <c r="H208" s="1" t="s">
        <v>3528</v>
      </c>
      <c r="I208" s="1" t="s">
        <v>3529</v>
      </c>
      <c r="J208" s="1">
        <v>1</v>
      </c>
      <c r="K208" s="1">
        <v>4</v>
      </c>
      <c r="L208" s="1">
        <v>3180</v>
      </c>
      <c r="M208" s="1">
        <v>10</v>
      </c>
      <c r="N208" s="1">
        <v>10</v>
      </c>
      <c r="O208" s="1">
        <v>5</v>
      </c>
      <c r="P208" s="1">
        <v>5</v>
      </c>
      <c r="Q208" s="1">
        <v>2</v>
      </c>
      <c r="R208" s="1">
        <v>2</v>
      </c>
      <c r="S208" s="1">
        <v>2</v>
      </c>
      <c r="T208" s="1">
        <v>0</v>
      </c>
      <c r="U208" s="1">
        <v>100</v>
      </c>
      <c r="V208" s="1">
        <v>112</v>
      </c>
      <c r="W208" s="1">
        <v>118</v>
      </c>
      <c r="X208" s="1">
        <v>100</v>
      </c>
      <c r="Y208" s="1">
        <v>115</v>
      </c>
      <c r="Z208" s="1">
        <v>120</v>
      </c>
      <c r="AA208" s="1">
        <v>0</v>
      </c>
      <c r="AB208" s="1">
        <v>15</v>
      </c>
      <c r="AC208" s="1">
        <v>40</v>
      </c>
      <c r="AD208" s="1">
        <v>0</v>
      </c>
      <c r="AE208" s="1">
        <v>108</v>
      </c>
      <c r="AF208" s="1">
        <v>100</v>
      </c>
      <c r="AG208" s="1">
        <v>108901</v>
      </c>
      <c r="AH208" s="1">
        <v>0</v>
      </c>
      <c r="AI208" s="1">
        <v>300101</v>
      </c>
      <c r="AJ208" s="1" t="s">
        <v>328</v>
      </c>
      <c r="AK208" s="1" t="s">
        <v>328</v>
      </c>
      <c r="AL208" s="1">
        <v>13</v>
      </c>
      <c r="AM208" s="1" t="s">
        <v>1806</v>
      </c>
      <c r="AN208" s="1" t="s">
        <v>5161</v>
      </c>
      <c r="AO208" s="1" t="s">
        <v>5063</v>
      </c>
      <c r="AP208" s="1">
        <v>0</v>
      </c>
      <c r="AQ208" s="1" t="s">
        <v>1118</v>
      </c>
      <c r="AR208" s="1" t="s">
        <v>1119</v>
      </c>
      <c r="AS208" s="1" t="s">
        <v>1120</v>
      </c>
      <c r="AT208" s="1" t="s">
        <v>328</v>
      </c>
      <c r="AU208" s="1">
        <v>212</v>
      </c>
      <c r="AV208" s="1">
        <v>0</v>
      </c>
      <c r="AW208" s="1" t="s">
        <v>5162</v>
      </c>
      <c r="AX208" s="1" t="s">
        <v>4762</v>
      </c>
      <c r="AY208" s="1">
        <v>4</v>
      </c>
      <c r="AZ208" s="1">
        <v>0</v>
      </c>
      <c r="BA208" s="1" t="s">
        <v>328</v>
      </c>
      <c r="BB208" s="1" t="s">
        <v>5163</v>
      </c>
      <c r="BC208" s="1" t="s">
        <v>328</v>
      </c>
      <c r="BD208" s="1">
        <v>10802</v>
      </c>
      <c r="BE208" s="1"/>
      <c r="BH208">
        <f>COUNTIF(Dropdowns!$I:$AF,C208)</f>
        <v>0</v>
      </c>
    </row>
    <row r="209" spans="1:60" x14ac:dyDescent="0.3">
      <c r="A209" s="1">
        <v>213</v>
      </c>
      <c r="B209" s="1" t="s">
        <v>3530</v>
      </c>
      <c r="C209" s="207" t="s">
        <v>1641</v>
      </c>
      <c r="D209" s="1" t="s">
        <v>3531</v>
      </c>
      <c r="E209" s="1"/>
      <c r="F209" s="1"/>
      <c r="G209" s="1" t="s">
        <v>3532</v>
      </c>
      <c r="H209" s="1" t="s">
        <v>3533</v>
      </c>
      <c r="I209" s="1" t="s">
        <v>3534</v>
      </c>
      <c r="J209" s="1">
        <v>2</v>
      </c>
      <c r="K209" s="1">
        <v>5</v>
      </c>
      <c r="L209" s="1">
        <v>8880</v>
      </c>
      <c r="M209" s="1">
        <v>25</v>
      </c>
      <c r="N209" s="1">
        <v>20</v>
      </c>
      <c r="O209" s="1">
        <v>15</v>
      </c>
      <c r="P209" s="1">
        <v>10</v>
      </c>
      <c r="Q209" s="1">
        <v>5</v>
      </c>
      <c r="R209" s="1">
        <v>5</v>
      </c>
      <c r="S209" s="1">
        <v>2</v>
      </c>
      <c r="T209" s="1">
        <v>0</v>
      </c>
      <c r="U209" s="1">
        <v>105</v>
      </c>
      <c r="V209" s="1">
        <v>125</v>
      </c>
      <c r="W209" s="1">
        <v>110</v>
      </c>
      <c r="X209" s="1">
        <v>100</v>
      </c>
      <c r="Y209" s="1">
        <v>130</v>
      </c>
      <c r="Z209" s="1">
        <v>122</v>
      </c>
      <c r="AA209" s="1">
        <v>0</v>
      </c>
      <c r="AB209" s="1">
        <v>15</v>
      </c>
      <c r="AC209" s="1">
        <v>5</v>
      </c>
      <c r="AD209" s="1">
        <v>0</v>
      </c>
      <c r="AE209" s="1">
        <v>110</v>
      </c>
      <c r="AF209" s="1">
        <v>100</v>
      </c>
      <c r="AG209" s="1">
        <v>109001</v>
      </c>
      <c r="AH209" s="1">
        <v>0</v>
      </c>
      <c r="AI209" s="1">
        <v>300102</v>
      </c>
      <c r="AJ209" s="1" t="s">
        <v>328</v>
      </c>
      <c r="AK209" s="1" t="s">
        <v>1232</v>
      </c>
      <c r="AL209" s="1">
        <v>13</v>
      </c>
      <c r="AM209" s="1" t="s">
        <v>4790</v>
      </c>
      <c r="AN209" s="1" t="s">
        <v>4795</v>
      </c>
      <c r="AO209" s="1" t="s">
        <v>5164</v>
      </c>
      <c r="AP209" s="1">
        <v>0</v>
      </c>
      <c r="AQ209" s="1" t="s">
        <v>1129</v>
      </c>
      <c r="AR209" s="1" t="s">
        <v>1215</v>
      </c>
      <c r="AS209" s="1" t="s">
        <v>1130</v>
      </c>
      <c r="AT209" s="1" t="s">
        <v>328</v>
      </c>
      <c r="AU209" s="1">
        <v>213</v>
      </c>
      <c r="AV209" s="1">
        <v>0</v>
      </c>
      <c r="AW209" s="1" t="s">
        <v>5162</v>
      </c>
      <c r="AX209" s="1" t="s">
        <v>5165</v>
      </c>
      <c r="AY209" s="1">
        <v>5</v>
      </c>
      <c r="AZ209" s="1">
        <v>0</v>
      </c>
      <c r="BA209" s="1" t="s">
        <v>328</v>
      </c>
      <c r="BB209" s="1" t="s">
        <v>5166</v>
      </c>
      <c r="BC209" s="1" t="s">
        <v>328</v>
      </c>
      <c r="BD209" s="1">
        <v>10203</v>
      </c>
      <c r="BE209" s="1"/>
      <c r="BH209">
        <f>COUNTIF(Dropdowns!$I:$AF,C209)</f>
        <v>1</v>
      </c>
    </row>
    <row r="210" spans="1:60" x14ac:dyDescent="0.3">
      <c r="A210" s="1">
        <v>214</v>
      </c>
      <c r="B210" s="1" t="s">
        <v>3535</v>
      </c>
      <c r="C210" s="207" t="s">
        <v>210</v>
      </c>
      <c r="D210" s="1" t="s">
        <v>210</v>
      </c>
      <c r="E210" s="1"/>
      <c r="F210" s="1"/>
      <c r="G210" s="1" t="s">
        <v>3536</v>
      </c>
      <c r="H210" s="1" t="s">
        <v>3537</v>
      </c>
      <c r="I210" s="1" t="s">
        <v>3538</v>
      </c>
      <c r="J210" s="1">
        <v>4</v>
      </c>
      <c r="K210" s="1">
        <v>5</v>
      </c>
      <c r="L210" s="1">
        <v>14100</v>
      </c>
      <c r="M210" s="1">
        <v>20</v>
      </c>
      <c r="N210" s="1">
        <v>20</v>
      </c>
      <c r="O210" s="1">
        <v>10</v>
      </c>
      <c r="P210" s="1">
        <v>10</v>
      </c>
      <c r="Q210" s="1">
        <v>2</v>
      </c>
      <c r="R210" s="1">
        <v>5</v>
      </c>
      <c r="S210" s="1">
        <v>5</v>
      </c>
      <c r="T210" s="1">
        <v>0</v>
      </c>
      <c r="U210" s="1">
        <v>110</v>
      </c>
      <c r="V210" s="1">
        <v>100</v>
      </c>
      <c r="W210" s="1">
        <v>110</v>
      </c>
      <c r="X210" s="1">
        <v>100</v>
      </c>
      <c r="Y210" s="1">
        <v>115</v>
      </c>
      <c r="Z210" s="1">
        <v>95</v>
      </c>
      <c r="AA210" s="1">
        <v>0</v>
      </c>
      <c r="AB210" s="1">
        <v>15</v>
      </c>
      <c r="AC210" s="1">
        <v>20</v>
      </c>
      <c r="AD210" s="1">
        <v>0</v>
      </c>
      <c r="AE210" s="1">
        <v>138</v>
      </c>
      <c r="AF210" s="1">
        <v>100</v>
      </c>
      <c r="AG210" s="1">
        <v>112601</v>
      </c>
      <c r="AH210" s="1">
        <v>0</v>
      </c>
      <c r="AI210" s="1">
        <v>112609</v>
      </c>
      <c r="AJ210" s="1" t="s">
        <v>1233</v>
      </c>
      <c r="AK210" s="1" t="s">
        <v>1234</v>
      </c>
      <c r="AL210" s="1">
        <v>13</v>
      </c>
      <c r="AM210" s="1" t="s">
        <v>4719</v>
      </c>
      <c r="AN210" s="1" t="s">
        <v>4864</v>
      </c>
      <c r="AO210" s="1" t="s">
        <v>5090</v>
      </c>
      <c r="AP210" s="1">
        <v>0</v>
      </c>
      <c r="AQ210" s="1" t="s">
        <v>1130</v>
      </c>
      <c r="AR210" s="1" t="s">
        <v>1154</v>
      </c>
      <c r="AS210" s="1" t="s">
        <v>1129</v>
      </c>
      <c r="AT210" s="1" t="s">
        <v>328</v>
      </c>
      <c r="AU210" s="1">
        <v>215</v>
      </c>
      <c r="AV210" s="1">
        <v>0</v>
      </c>
      <c r="AW210" s="1" t="s">
        <v>5167</v>
      </c>
      <c r="AX210" s="1" t="s">
        <v>331</v>
      </c>
      <c r="AY210" s="1">
        <v>5</v>
      </c>
      <c r="AZ210" s="1">
        <v>0</v>
      </c>
      <c r="BA210" s="1" t="s">
        <v>328</v>
      </c>
      <c r="BB210" s="1" t="s">
        <v>328</v>
      </c>
      <c r="BC210" s="1" t="s">
        <v>4757</v>
      </c>
      <c r="BD210" s="1">
        <v>10802</v>
      </c>
      <c r="BE210" s="1"/>
      <c r="BH210">
        <f>COUNTIF(Dropdowns!$I:$AF,C210)</f>
        <v>1</v>
      </c>
    </row>
    <row r="211" spans="1:60" x14ac:dyDescent="0.3">
      <c r="A211" s="1">
        <v>215</v>
      </c>
      <c r="B211" s="1" t="s">
        <v>3539</v>
      </c>
      <c r="C211" s="207" t="s">
        <v>179</v>
      </c>
      <c r="D211" s="1" t="s">
        <v>179</v>
      </c>
      <c r="E211" s="1"/>
      <c r="F211" s="1"/>
      <c r="G211" s="1" t="s">
        <v>3540</v>
      </c>
      <c r="H211" s="1" t="s">
        <v>3541</v>
      </c>
      <c r="I211" s="1" t="s">
        <v>3542</v>
      </c>
      <c r="J211" s="1">
        <v>4</v>
      </c>
      <c r="K211" s="1">
        <v>5</v>
      </c>
      <c r="L211" s="1">
        <v>13980</v>
      </c>
      <c r="M211" s="1">
        <v>20</v>
      </c>
      <c r="N211" s="1">
        <v>20</v>
      </c>
      <c r="O211" s="1">
        <v>10</v>
      </c>
      <c r="P211" s="1">
        <v>10</v>
      </c>
      <c r="Q211" s="1">
        <v>2</v>
      </c>
      <c r="R211" s="1">
        <v>5</v>
      </c>
      <c r="S211" s="1">
        <v>5</v>
      </c>
      <c r="T211" s="1">
        <v>0</v>
      </c>
      <c r="U211" s="1">
        <v>108</v>
      </c>
      <c r="V211" s="1">
        <v>120</v>
      </c>
      <c r="W211" s="1">
        <v>112</v>
      </c>
      <c r="X211" s="1">
        <v>100</v>
      </c>
      <c r="Y211" s="1">
        <v>120</v>
      </c>
      <c r="Z211" s="1">
        <v>98</v>
      </c>
      <c r="AA211" s="1">
        <v>0</v>
      </c>
      <c r="AB211" s="1">
        <v>15</v>
      </c>
      <c r="AC211" s="1">
        <v>20</v>
      </c>
      <c r="AD211" s="1">
        <v>0</v>
      </c>
      <c r="AE211" s="1">
        <v>122</v>
      </c>
      <c r="AF211" s="1">
        <v>100</v>
      </c>
      <c r="AG211" s="1">
        <v>109101</v>
      </c>
      <c r="AH211" s="1">
        <v>0</v>
      </c>
      <c r="AI211" s="1">
        <v>300103</v>
      </c>
      <c r="AJ211" s="1" t="s">
        <v>328</v>
      </c>
      <c r="AK211" s="1" t="s">
        <v>1235</v>
      </c>
      <c r="AL211" s="1">
        <v>13</v>
      </c>
      <c r="AM211" s="1" t="s">
        <v>4719</v>
      </c>
      <c r="AN211" s="1" t="s">
        <v>4884</v>
      </c>
      <c r="AO211" s="1" t="s">
        <v>5168</v>
      </c>
      <c r="AP211" s="1">
        <v>0</v>
      </c>
      <c r="AQ211" s="1" t="s">
        <v>1745</v>
      </c>
      <c r="AR211" s="1" t="s">
        <v>1154</v>
      </c>
      <c r="AS211" s="1" t="s">
        <v>1129</v>
      </c>
      <c r="AT211" s="1" t="s">
        <v>328</v>
      </c>
      <c r="AU211" s="1">
        <v>215</v>
      </c>
      <c r="AV211" s="1">
        <v>0</v>
      </c>
      <c r="AW211" s="1" t="s">
        <v>5162</v>
      </c>
      <c r="AX211" s="1" t="s">
        <v>331</v>
      </c>
      <c r="AY211" s="1">
        <v>5</v>
      </c>
      <c r="AZ211" s="1">
        <v>0</v>
      </c>
      <c r="BA211" s="1" t="s">
        <v>328</v>
      </c>
      <c r="BB211" s="1" t="s">
        <v>4915</v>
      </c>
      <c r="BC211" s="1" t="s">
        <v>4720</v>
      </c>
      <c r="BD211" s="1">
        <v>10802</v>
      </c>
      <c r="BE211" s="1"/>
      <c r="BH211">
        <f>COUNTIF(Dropdowns!$I:$AF,C211)</f>
        <v>1</v>
      </c>
    </row>
    <row r="212" spans="1:60" x14ac:dyDescent="0.3">
      <c r="A212" s="1">
        <v>216</v>
      </c>
      <c r="B212" s="1" t="s">
        <v>3543</v>
      </c>
      <c r="C212" s="207" t="s">
        <v>180</v>
      </c>
      <c r="D212" s="1" t="s">
        <v>180</v>
      </c>
      <c r="E212" s="1"/>
      <c r="F212" s="1"/>
      <c r="G212" s="1" t="s">
        <v>3544</v>
      </c>
      <c r="H212" s="1" t="s">
        <v>3545</v>
      </c>
      <c r="I212" s="1" t="s">
        <v>3546</v>
      </c>
      <c r="J212" s="1">
        <v>4</v>
      </c>
      <c r="K212" s="1">
        <v>4</v>
      </c>
      <c r="L212" s="1">
        <v>12300</v>
      </c>
      <c r="M212" s="1">
        <v>20</v>
      </c>
      <c r="N212" s="1">
        <v>20</v>
      </c>
      <c r="O212" s="1">
        <v>10</v>
      </c>
      <c r="P212" s="1">
        <v>10</v>
      </c>
      <c r="Q212" s="1">
        <v>2</v>
      </c>
      <c r="R212" s="1">
        <v>5</v>
      </c>
      <c r="S212" s="1">
        <v>5</v>
      </c>
      <c r="T212" s="1">
        <v>0</v>
      </c>
      <c r="U212" s="1">
        <v>98</v>
      </c>
      <c r="V212" s="1">
        <v>110</v>
      </c>
      <c r="W212" s="1">
        <v>120</v>
      </c>
      <c r="X212" s="1">
        <v>100</v>
      </c>
      <c r="Y212" s="1">
        <v>118</v>
      </c>
      <c r="Z212" s="1">
        <v>105</v>
      </c>
      <c r="AA212" s="1">
        <v>0</v>
      </c>
      <c r="AB212" s="1">
        <v>15</v>
      </c>
      <c r="AC212" s="1">
        <v>20</v>
      </c>
      <c r="AD212" s="1">
        <v>0</v>
      </c>
      <c r="AE212" s="1">
        <v>112</v>
      </c>
      <c r="AF212" s="1">
        <v>100</v>
      </c>
      <c r="AG212" s="1">
        <v>102113</v>
      </c>
      <c r="AH212" s="1">
        <v>0</v>
      </c>
      <c r="AI212" s="1">
        <v>300103</v>
      </c>
      <c r="AJ212" s="1" t="s">
        <v>1164</v>
      </c>
      <c r="AK212" s="1" t="s">
        <v>328</v>
      </c>
      <c r="AL212" s="1">
        <v>13</v>
      </c>
      <c r="AM212" s="1" t="s">
        <v>4719</v>
      </c>
      <c r="AN212" s="1" t="s">
        <v>4831</v>
      </c>
      <c r="AO212" s="1" t="s">
        <v>5169</v>
      </c>
      <c r="AP212" s="1">
        <v>0</v>
      </c>
      <c r="AQ212" s="1" t="s">
        <v>1130</v>
      </c>
      <c r="AR212" s="1" t="s">
        <v>1154</v>
      </c>
      <c r="AS212" s="1" t="s">
        <v>1129</v>
      </c>
      <c r="AT212" s="1" t="s">
        <v>328</v>
      </c>
      <c r="AU212" s="1">
        <v>216</v>
      </c>
      <c r="AV212" s="1">
        <v>0</v>
      </c>
      <c r="AW212" s="1" t="s">
        <v>5162</v>
      </c>
      <c r="AX212" s="1" t="s">
        <v>331</v>
      </c>
      <c r="AY212" s="1">
        <v>4</v>
      </c>
      <c r="AZ212" s="1">
        <v>0</v>
      </c>
      <c r="BA212" s="1" t="s">
        <v>328</v>
      </c>
      <c r="BB212" s="1" t="s">
        <v>5170</v>
      </c>
      <c r="BC212" s="1" t="s">
        <v>4769</v>
      </c>
      <c r="BD212" s="1">
        <v>10802</v>
      </c>
      <c r="BE212" s="1"/>
      <c r="BH212">
        <f>COUNTIF(Dropdowns!$I:$AF,C212)</f>
        <v>1</v>
      </c>
    </row>
    <row r="213" spans="1:60" x14ac:dyDescent="0.3">
      <c r="A213" s="1">
        <v>217</v>
      </c>
      <c r="B213" s="1" t="s">
        <v>3547</v>
      </c>
      <c r="C213" s="207" t="s">
        <v>1642</v>
      </c>
      <c r="D213" s="1" t="s">
        <v>3548</v>
      </c>
      <c r="E213" s="1"/>
      <c r="F213" s="1"/>
      <c r="G213" s="1" t="s">
        <v>3549</v>
      </c>
      <c r="H213" s="1" t="s">
        <v>3550</v>
      </c>
      <c r="I213" s="1" t="s">
        <v>3551</v>
      </c>
      <c r="J213" s="1">
        <v>3</v>
      </c>
      <c r="K213" s="1">
        <v>3</v>
      </c>
      <c r="L213" s="1">
        <v>15600</v>
      </c>
      <c r="M213" s="1">
        <v>15</v>
      </c>
      <c r="N213" s="1">
        <v>30</v>
      </c>
      <c r="O213" s="1">
        <v>10</v>
      </c>
      <c r="P213" s="1">
        <v>15</v>
      </c>
      <c r="Q213" s="1">
        <v>5</v>
      </c>
      <c r="R213" s="1">
        <v>2</v>
      </c>
      <c r="S213" s="1">
        <v>5</v>
      </c>
      <c r="T213" s="1">
        <v>0</v>
      </c>
      <c r="U213" s="1">
        <v>92</v>
      </c>
      <c r="V213" s="1">
        <v>90</v>
      </c>
      <c r="W213" s="1">
        <v>120</v>
      </c>
      <c r="X213" s="1">
        <v>100</v>
      </c>
      <c r="Y213" s="1">
        <v>125</v>
      </c>
      <c r="Z213" s="1">
        <v>125</v>
      </c>
      <c r="AA213" s="1">
        <v>0</v>
      </c>
      <c r="AB213" s="1">
        <v>15</v>
      </c>
      <c r="AC213" s="1">
        <v>40</v>
      </c>
      <c r="AD213" s="1">
        <v>0</v>
      </c>
      <c r="AE213" s="1">
        <v>115</v>
      </c>
      <c r="AF213" s="1">
        <v>100</v>
      </c>
      <c r="AG213" s="1">
        <v>100417</v>
      </c>
      <c r="AH213" s="1">
        <v>0</v>
      </c>
      <c r="AI213" s="1">
        <v>300104</v>
      </c>
      <c r="AJ213" s="1" t="s">
        <v>1125</v>
      </c>
      <c r="AK213" s="1" t="s">
        <v>328</v>
      </c>
      <c r="AL213" s="1">
        <v>13</v>
      </c>
      <c r="AM213" s="1" t="s">
        <v>4762</v>
      </c>
      <c r="AN213" s="1" t="s">
        <v>464</v>
      </c>
      <c r="AO213" s="1" t="s">
        <v>4826</v>
      </c>
      <c r="AP213" s="1">
        <v>0</v>
      </c>
      <c r="AQ213" s="1" t="s">
        <v>1140</v>
      </c>
      <c r="AR213" s="1" t="s">
        <v>1141</v>
      </c>
      <c r="AS213" s="1" t="s">
        <v>1142</v>
      </c>
      <c r="AT213" s="1" t="s">
        <v>328</v>
      </c>
      <c r="AU213" s="1">
        <v>217</v>
      </c>
      <c r="AV213" s="1">
        <v>0</v>
      </c>
      <c r="AW213" s="1" t="s">
        <v>5162</v>
      </c>
      <c r="AX213" s="1" t="s">
        <v>4753</v>
      </c>
      <c r="AY213" s="1">
        <v>3</v>
      </c>
      <c r="AZ213" s="1">
        <v>0</v>
      </c>
      <c r="BA213" s="1" t="s">
        <v>328</v>
      </c>
      <c r="BB213" s="1" t="s">
        <v>328</v>
      </c>
      <c r="BC213" s="1" t="s">
        <v>328</v>
      </c>
      <c r="BD213" s="1">
        <v>10303</v>
      </c>
      <c r="BE213" s="1"/>
      <c r="BH213">
        <f>COUNTIF(Dropdowns!$I:$AF,C213)</f>
        <v>1</v>
      </c>
    </row>
    <row r="214" spans="1:60" x14ac:dyDescent="0.3">
      <c r="A214" s="1">
        <v>218</v>
      </c>
      <c r="B214" s="1" t="s">
        <v>3552</v>
      </c>
      <c r="C214" s="207" t="s">
        <v>181</v>
      </c>
      <c r="D214" s="1" t="s">
        <v>181</v>
      </c>
      <c r="E214" s="1"/>
      <c r="F214" s="1"/>
      <c r="G214" s="1" t="s">
        <v>3553</v>
      </c>
      <c r="H214" s="1" t="s">
        <v>3554</v>
      </c>
      <c r="I214" s="1" t="s">
        <v>3555</v>
      </c>
      <c r="J214" s="1">
        <v>2</v>
      </c>
      <c r="K214" s="1">
        <v>3</v>
      </c>
      <c r="L214" s="1">
        <v>6600</v>
      </c>
      <c r="M214" s="1">
        <v>25</v>
      </c>
      <c r="N214" s="1">
        <v>20</v>
      </c>
      <c r="O214" s="1">
        <v>15</v>
      </c>
      <c r="P214" s="1">
        <v>10</v>
      </c>
      <c r="Q214" s="1">
        <v>5</v>
      </c>
      <c r="R214" s="1">
        <v>5</v>
      </c>
      <c r="S214" s="1">
        <v>2</v>
      </c>
      <c r="T214" s="1">
        <v>0</v>
      </c>
      <c r="U214" s="1">
        <v>105</v>
      </c>
      <c r="V214" s="1">
        <v>98</v>
      </c>
      <c r="W214" s="1">
        <v>122</v>
      </c>
      <c r="X214" s="1">
        <v>100</v>
      </c>
      <c r="Y214" s="1">
        <v>102</v>
      </c>
      <c r="Z214" s="1">
        <v>125</v>
      </c>
      <c r="AA214" s="1">
        <v>0</v>
      </c>
      <c r="AB214" s="1">
        <v>15</v>
      </c>
      <c r="AC214" s="1">
        <v>5</v>
      </c>
      <c r="AD214" s="1">
        <v>0</v>
      </c>
      <c r="AE214" s="1">
        <v>98</v>
      </c>
      <c r="AF214" s="1">
        <v>100</v>
      </c>
      <c r="AG214" s="1">
        <v>100206</v>
      </c>
      <c r="AH214" s="1">
        <v>0</v>
      </c>
      <c r="AI214" s="1">
        <v>300102</v>
      </c>
      <c r="AJ214" s="1" t="s">
        <v>1125</v>
      </c>
      <c r="AK214" s="1" t="s">
        <v>328</v>
      </c>
      <c r="AL214" s="1">
        <v>13</v>
      </c>
      <c r="AM214" s="1" t="s">
        <v>4790</v>
      </c>
      <c r="AN214" s="1" t="s">
        <v>4795</v>
      </c>
      <c r="AO214" s="1" t="s">
        <v>5171</v>
      </c>
      <c r="AP214" s="1">
        <v>0</v>
      </c>
      <c r="AQ214" s="1" t="s">
        <v>1129</v>
      </c>
      <c r="AR214" s="1" t="s">
        <v>1119</v>
      </c>
      <c r="AS214" s="1" t="s">
        <v>1130</v>
      </c>
      <c r="AT214" s="1" t="s">
        <v>328</v>
      </c>
      <c r="AU214" s="1">
        <v>218</v>
      </c>
      <c r="AV214" s="1">
        <v>0</v>
      </c>
      <c r="AW214" s="1" t="s">
        <v>5172</v>
      </c>
      <c r="AX214" s="1" t="s">
        <v>4753</v>
      </c>
      <c r="AY214" s="1">
        <v>3</v>
      </c>
      <c r="AZ214" s="1">
        <v>0</v>
      </c>
      <c r="BA214" s="1" t="s">
        <v>328</v>
      </c>
      <c r="BB214" s="1" t="s">
        <v>5173</v>
      </c>
      <c r="BC214" s="1" t="s">
        <v>4783</v>
      </c>
      <c r="BD214" s="1">
        <v>10703</v>
      </c>
      <c r="BE214" s="1"/>
      <c r="BH214">
        <f>COUNTIF(Dropdowns!$I:$AF,C214)</f>
        <v>1</v>
      </c>
    </row>
    <row r="215" spans="1:60" x14ac:dyDescent="0.3">
      <c r="A215" s="1">
        <v>220</v>
      </c>
      <c r="B215" s="1" t="s">
        <v>3556</v>
      </c>
      <c r="C215" s="207" t="s">
        <v>1643</v>
      </c>
      <c r="D215" s="1" t="s">
        <v>1643</v>
      </c>
      <c r="E215" s="1"/>
      <c r="F215" s="1"/>
      <c r="G215" s="1" t="s">
        <v>3557</v>
      </c>
      <c r="H215" s="1" t="s">
        <v>3558</v>
      </c>
      <c r="I215" s="1" t="s">
        <v>3559</v>
      </c>
      <c r="J215" s="1">
        <v>1</v>
      </c>
      <c r="K215" s="1">
        <v>3</v>
      </c>
      <c r="L215" s="1">
        <v>2700</v>
      </c>
      <c r="M215" s="1">
        <v>10</v>
      </c>
      <c r="N215" s="1">
        <v>10</v>
      </c>
      <c r="O215" s="1">
        <v>5</v>
      </c>
      <c r="P215" s="1">
        <v>5</v>
      </c>
      <c r="Q215" s="1">
        <v>2</v>
      </c>
      <c r="R215" s="1">
        <v>2</v>
      </c>
      <c r="S215" s="1">
        <v>2</v>
      </c>
      <c r="T215" s="1">
        <v>0</v>
      </c>
      <c r="U215" s="1">
        <v>105</v>
      </c>
      <c r="V215" s="1">
        <v>120</v>
      </c>
      <c r="W215" s="1">
        <v>110</v>
      </c>
      <c r="X215" s="1">
        <v>100</v>
      </c>
      <c r="Y215" s="1">
        <v>105</v>
      </c>
      <c r="Z215" s="1">
        <v>95</v>
      </c>
      <c r="AA215" s="1">
        <v>0</v>
      </c>
      <c r="AB215" s="1">
        <v>15</v>
      </c>
      <c r="AC215" s="1">
        <v>20</v>
      </c>
      <c r="AD215" s="1">
        <v>0</v>
      </c>
      <c r="AE215" s="1">
        <v>120</v>
      </c>
      <c r="AF215" s="1">
        <v>100</v>
      </c>
      <c r="AG215" s="1">
        <v>101302</v>
      </c>
      <c r="AH215" s="1">
        <v>0</v>
      </c>
      <c r="AI215" s="1">
        <v>300101</v>
      </c>
      <c r="AJ215" s="1" t="s">
        <v>1125</v>
      </c>
      <c r="AK215" s="1" t="s">
        <v>328</v>
      </c>
      <c r="AL215" s="1">
        <v>13</v>
      </c>
      <c r="AM215" s="1" t="s">
        <v>1806</v>
      </c>
      <c r="AN215" s="1" t="s">
        <v>4861</v>
      </c>
      <c r="AO215" s="1" t="s">
        <v>4748</v>
      </c>
      <c r="AP215" s="1">
        <v>0</v>
      </c>
      <c r="AQ215" s="1" t="s">
        <v>1118</v>
      </c>
      <c r="AR215" s="1" t="s">
        <v>1743</v>
      </c>
      <c r="AS215" s="1" t="s">
        <v>1120</v>
      </c>
      <c r="AT215" s="1" t="s">
        <v>328</v>
      </c>
      <c r="AU215" s="1">
        <v>220</v>
      </c>
      <c r="AV215" s="1">
        <v>0</v>
      </c>
      <c r="AW215" s="1" t="s">
        <v>5174</v>
      </c>
      <c r="AX215" s="1" t="s">
        <v>4753</v>
      </c>
      <c r="AY215" s="1">
        <v>3</v>
      </c>
      <c r="AZ215" s="1">
        <v>0</v>
      </c>
      <c r="BA215" s="1" t="s">
        <v>4765</v>
      </c>
      <c r="BB215" s="1" t="s">
        <v>467</v>
      </c>
      <c r="BC215" s="1" t="s">
        <v>4757</v>
      </c>
      <c r="BD215" s="1">
        <v>10802</v>
      </c>
      <c r="BE215" s="1"/>
      <c r="BH215">
        <f>COUNTIF(Dropdowns!$I:$AF,C215)</f>
        <v>0</v>
      </c>
    </row>
    <row r="216" spans="1:60" x14ac:dyDescent="0.3">
      <c r="A216" s="1">
        <v>221</v>
      </c>
      <c r="B216" s="1" t="s">
        <v>3560</v>
      </c>
      <c r="C216" s="207" t="s">
        <v>1644</v>
      </c>
      <c r="D216" s="1" t="s">
        <v>3561</v>
      </c>
      <c r="E216" s="1"/>
      <c r="F216" s="1"/>
      <c r="G216" s="1" t="s">
        <v>3562</v>
      </c>
      <c r="H216" s="1" t="s">
        <v>3563</v>
      </c>
      <c r="I216" s="1" t="s">
        <v>3564</v>
      </c>
      <c r="J216" s="1">
        <v>1</v>
      </c>
      <c r="K216" s="1">
        <v>3</v>
      </c>
      <c r="L216" s="1">
        <v>2700</v>
      </c>
      <c r="M216" s="1">
        <v>10</v>
      </c>
      <c r="N216" s="1">
        <v>10</v>
      </c>
      <c r="O216" s="1">
        <v>5</v>
      </c>
      <c r="P216" s="1">
        <v>5</v>
      </c>
      <c r="Q216" s="1">
        <v>2</v>
      </c>
      <c r="R216" s="1">
        <v>2</v>
      </c>
      <c r="S216" s="1">
        <v>2</v>
      </c>
      <c r="T216" s="1">
        <v>0</v>
      </c>
      <c r="U216" s="1">
        <v>105</v>
      </c>
      <c r="V216" s="1">
        <v>130</v>
      </c>
      <c r="W216" s="1">
        <v>100</v>
      </c>
      <c r="X216" s="1">
        <v>100</v>
      </c>
      <c r="Y216" s="1">
        <v>108</v>
      </c>
      <c r="Z216" s="1">
        <v>130</v>
      </c>
      <c r="AA216" s="1">
        <v>0</v>
      </c>
      <c r="AB216" s="1">
        <v>15</v>
      </c>
      <c r="AC216" s="1">
        <v>20</v>
      </c>
      <c r="AD216" s="1">
        <v>0</v>
      </c>
      <c r="AE216" s="1">
        <v>105</v>
      </c>
      <c r="AF216" s="1">
        <v>100</v>
      </c>
      <c r="AG216" s="1">
        <v>110001</v>
      </c>
      <c r="AH216" s="1">
        <v>0</v>
      </c>
      <c r="AI216" s="1">
        <v>110002</v>
      </c>
      <c r="AJ216" s="1" t="s">
        <v>1236</v>
      </c>
      <c r="AK216" s="1" t="s">
        <v>328</v>
      </c>
      <c r="AL216" s="1">
        <v>13</v>
      </c>
      <c r="AM216" s="1" t="s">
        <v>1806</v>
      </c>
      <c r="AN216" s="1" t="s">
        <v>5175</v>
      </c>
      <c r="AO216" s="1" t="s">
        <v>4903</v>
      </c>
      <c r="AP216" s="1">
        <v>0</v>
      </c>
      <c r="AQ216" s="1" t="s">
        <v>1118</v>
      </c>
      <c r="AR216" s="1" t="s">
        <v>1743</v>
      </c>
      <c r="AS216" s="1" t="s">
        <v>1120</v>
      </c>
      <c r="AT216" s="1" t="s">
        <v>328</v>
      </c>
      <c r="AU216" s="1">
        <v>221</v>
      </c>
      <c r="AV216" s="1">
        <v>0</v>
      </c>
      <c r="AW216" s="1" t="s">
        <v>5176</v>
      </c>
      <c r="AX216" s="1" t="s">
        <v>2237</v>
      </c>
      <c r="AY216" s="1">
        <v>3</v>
      </c>
      <c r="AZ216" s="1">
        <v>0</v>
      </c>
      <c r="BA216" s="1" t="s">
        <v>4765</v>
      </c>
      <c r="BB216" s="1" t="s">
        <v>5177</v>
      </c>
      <c r="BC216" s="1" t="s">
        <v>4757</v>
      </c>
      <c r="BD216" s="1">
        <v>10802</v>
      </c>
      <c r="BE216" s="1"/>
      <c r="BH216">
        <f>COUNTIF(Dropdowns!$I:$AF,C216)</f>
        <v>0</v>
      </c>
    </row>
    <row r="217" spans="1:60" x14ac:dyDescent="0.3">
      <c r="A217" s="1">
        <v>222</v>
      </c>
      <c r="B217" s="1" t="s">
        <v>3565</v>
      </c>
      <c r="C217" s="207" t="s">
        <v>1237</v>
      </c>
      <c r="D217" s="1" t="s">
        <v>1237</v>
      </c>
      <c r="E217" s="1"/>
      <c r="F217" s="1"/>
      <c r="G217" s="1" t="s">
        <v>3566</v>
      </c>
      <c r="H217" s="1" t="s">
        <v>3567</v>
      </c>
      <c r="I217" s="1" t="s">
        <v>3568</v>
      </c>
      <c r="J217" s="1">
        <v>3</v>
      </c>
      <c r="K217" s="1">
        <v>5</v>
      </c>
      <c r="L217" s="1">
        <v>15600</v>
      </c>
      <c r="M217" s="1">
        <v>15</v>
      </c>
      <c r="N217" s="1">
        <v>30</v>
      </c>
      <c r="O217" s="1">
        <v>10</v>
      </c>
      <c r="P217" s="1">
        <v>15</v>
      </c>
      <c r="Q217" s="1">
        <v>5</v>
      </c>
      <c r="R217" s="1">
        <v>2</v>
      </c>
      <c r="S217" s="1">
        <v>5</v>
      </c>
      <c r="T217" s="1">
        <v>0</v>
      </c>
      <c r="U217" s="1">
        <v>98</v>
      </c>
      <c r="V217" s="1">
        <v>135</v>
      </c>
      <c r="W217" s="1">
        <v>90</v>
      </c>
      <c r="X217" s="1">
        <v>100</v>
      </c>
      <c r="Y217" s="1">
        <v>115</v>
      </c>
      <c r="Z217" s="1">
        <v>85</v>
      </c>
      <c r="AA217" s="1">
        <v>0</v>
      </c>
      <c r="AB217" s="1">
        <v>15</v>
      </c>
      <c r="AC217" s="1">
        <v>40</v>
      </c>
      <c r="AD217" s="1">
        <v>0</v>
      </c>
      <c r="AE217" s="1">
        <v>132</v>
      </c>
      <c r="AF217" s="1">
        <v>100</v>
      </c>
      <c r="AG217" s="1">
        <v>900218</v>
      </c>
      <c r="AH217" s="1">
        <v>0</v>
      </c>
      <c r="AI217" s="1">
        <v>301704</v>
      </c>
      <c r="AJ217" s="1" t="s">
        <v>1238</v>
      </c>
      <c r="AK217" s="1" t="s">
        <v>328</v>
      </c>
      <c r="AL217" s="1">
        <v>13</v>
      </c>
      <c r="AM217" s="1" t="s">
        <v>4762</v>
      </c>
      <c r="AN217" s="1" t="s">
        <v>4884</v>
      </c>
      <c r="AO217" s="1" t="s">
        <v>4845</v>
      </c>
      <c r="AP217" s="1">
        <v>0</v>
      </c>
      <c r="AQ217" s="1" t="s">
        <v>1140</v>
      </c>
      <c r="AR217" s="1" t="s">
        <v>4835</v>
      </c>
      <c r="AS217" s="1" t="s">
        <v>1142</v>
      </c>
      <c r="AT217" s="1" t="s">
        <v>328</v>
      </c>
      <c r="AU217" s="1">
        <v>222</v>
      </c>
      <c r="AV217" s="1">
        <v>0</v>
      </c>
      <c r="AW217" s="1" t="s">
        <v>5178</v>
      </c>
      <c r="AX217" s="1" t="s">
        <v>5179</v>
      </c>
      <c r="AY217" s="1">
        <v>5</v>
      </c>
      <c r="AZ217" s="1">
        <v>0</v>
      </c>
      <c r="BA217" s="1" t="s">
        <v>328</v>
      </c>
      <c r="BB217" s="1" t="s">
        <v>5180</v>
      </c>
      <c r="BC217" s="1" t="s">
        <v>4720</v>
      </c>
      <c r="BD217" s="1">
        <v>10802</v>
      </c>
      <c r="BE217" s="1"/>
      <c r="BH217">
        <f>COUNTIF(Dropdowns!$I:$AF,C217)</f>
        <v>1</v>
      </c>
    </row>
    <row r="218" spans="1:60" x14ac:dyDescent="0.3">
      <c r="A218" s="1">
        <v>223</v>
      </c>
      <c r="B218" s="1" t="s">
        <v>3569</v>
      </c>
      <c r="C218" s="207" t="s">
        <v>182</v>
      </c>
      <c r="D218" s="1" t="s">
        <v>3570</v>
      </c>
      <c r="E218" s="1"/>
      <c r="F218" s="1"/>
      <c r="G218" s="1" t="s">
        <v>3571</v>
      </c>
      <c r="H218" s="1" t="s">
        <v>3572</v>
      </c>
      <c r="I218" s="1" t="s">
        <v>3573</v>
      </c>
      <c r="J218" s="1">
        <v>4</v>
      </c>
      <c r="K218" s="1">
        <v>3</v>
      </c>
      <c r="L218" s="1">
        <v>12000</v>
      </c>
      <c r="M218" s="1">
        <v>20</v>
      </c>
      <c r="N218" s="1">
        <v>20</v>
      </c>
      <c r="O218" s="1">
        <v>10</v>
      </c>
      <c r="P218" s="1">
        <v>10</v>
      </c>
      <c r="Q218" s="1">
        <v>2</v>
      </c>
      <c r="R218" s="1">
        <v>5</v>
      </c>
      <c r="S218" s="1">
        <v>5</v>
      </c>
      <c r="T218" s="1">
        <v>0</v>
      </c>
      <c r="U218" s="1">
        <v>100</v>
      </c>
      <c r="V218" s="1">
        <v>115</v>
      </c>
      <c r="W218" s="1">
        <v>110</v>
      </c>
      <c r="X218" s="1">
        <v>100</v>
      </c>
      <c r="Y218" s="1">
        <v>115</v>
      </c>
      <c r="Z218" s="1">
        <v>102</v>
      </c>
      <c r="AA218" s="1">
        <v>0</v>
      </c>
      <c r="AB218" s="1">
        <v>15</v>
      </c>
      <c r="AC218" s="1">
        <v>20</v>
      </c>
      <c r="AD218" s="1">
        <v>0</v>
      </c>
      <c r="AE218" s="1">
        <v>112</v>
      </c>
      <c r="AF218" s="1">
        <v>100</v>
      </c>
      <c r="AG218" s="1">
        <v>110028</v>
      </c>
      <c r="AH218" s="1">
        <v>0</v>
      </c>
      <c r="AI218" s="1">
        <v>300103</v>
      </c>
      <c r="AJ218" s="1" t="s">
        <v>5181</v>
      </c>
      <c r="AK218" s="1" t="s">
        <v>328</v>
      </c>
      <c r="AL218" s="1">
        <v>13</v>
      </c>
      <c r="AM218" s="1" t="s">
        <v>4719</v>
      </c>
      <c r="AN218" s="1" t="s">
        <v>4884</v>
      </c>
      <c r="AO218" s="1" t="s">
        <v>4875</v>
      </c>
      <c r="AP218" s="1">
        <v>0</v>
      </c>
      <c r="AQ218" s="1" t="s">
        <v>1130</v>
      </c>
      <c r="AR218" s="1" t="s">
        <v>1154</v>
      </c>
      <c r="AS218" s="1" t="s">
        <v>1129</v>
      </c>
      <c r="AT218" s="1" t="s">
        <v>328</v>
      </c>
      <c r="AU218" s="1">
        <v>223</v>
      </c>
      <c r="AV218" s="1">
        <v>0</v>
      </c>
      <c r="AW218" s="1" t="s">
        <v>5182</v>
      </c>
      <c r="AX218" s="1" t="s">
        <v>5183</v>
      </c>
      <c r="AY218" s="1">
        <v>3</v>
      </c>
      <c r="AZ218" s="1">
        <v>0</v>
      </c>
      <c r="BA218" s="1" t="s">
        <v>328</v>
      </c>
      <c r="BB218" s="1" t="s">
        <v>328</v>
      </c>
      <c r="BC218" s="1" t="s">
        <v>328</v>
      </c>
      <c r="BD218" s="1">
        <v>10301</v>
      </c>
      <c r="BE218" s="1"/>
      <c r="BH218">
        <f>COUNTIF(Dropdowns!$I:$AF,C218)</f>
        <v>1</v>
      </c>
    </row>
    <row r="219" spans="1:60" x14ac:dyDescent="0.3">
      <c r="A219" s="1">
        <v>224</v>
      </c>
      <c r="B219" s="1" t="s">
        <v>3574</v>
      </c>
      <c r="C219" s="207" t="s">
        <v>1645</v>
      </c>
      <c r="D219" s="1" t="s">
        <v>1645</v>
      </c>
      <c r="E219" s="1"/>
      <c r="F219" s="1"/>
      <c r="G219" s="1" t="s">
        <v>3575</v>
      </c>
      <c r="H219" s="1" t="s">
        <v>3576</v>
      </c>
      <c r="I219" s="1" t="s">
        <v>3577</v>
      </c>
      <c r="J219" s="1">
        <v>2</v>
      </c>
      <c r="K219" s="1">
        <v>5</v>
      </c>
      <c r="L219" s="1">
        <v>8880</v>
      </c>
      <c r="M219" s="1">
        <v>25</v>
      </c>
      <c r="N219" s="1">
        <v>20</v>
      </c>
      <c r="O219" s="1">
        <v>15</v>
      </c>
      <c r="P219" s="1">
        <v>10</v>
      </c>
      <c r="Q219" s="1">
        <v>5</v>
      </c>
      <c r="R219" s="1">
        <v>5</v>
      </c>
      <c r="S219" s="1">
        <v>2</v>
      </c>
      <c r="T219" s="1">
        <v>0</v>
      </c>
      <c r="U219" s="1">
        <v>108</v>
      </c>
      <c r="V219" s="1">
        <v>108</v>
      </c>
      <c r="W219" s="1">
        <v>105</v>
      </c>
      <c r="X219" s="1">
        <v>100</v>
      </c>
      <c r="Y219" s="1">
        <v>120</v>
      </c>
      <c r="Z219" s="1">
        <v>118</v>
      </c>
      <c r="AA219" s="1">
        <v>0</v>
      </c>
      <c r="AB219" s="1">
        <v>15</v>
      </c>
      <c r="AC219" s="1">
        <v>5</v>
      </c>
      <c r="AD219" s="1">
        <v>0</v>
      </c>
      <c r="AE219" s="1">
        <v>114</v>
      </c>
      <c r="AF219" s="1">
        <v>100</v>
      </c>
      <c r="AG219" s="1">
        <v>110045</v>
      </c>
      <c r="AH219" s="1">
        <v>0</v>
      </c>
      <c r="AI219" s="1">
        <v>300102</v>
      </c>
      <c r="AJ219" s="1" t="s">
        <v>328</v>
      </c>
      <c r="AK219" s="1" t="s">
        <v>328</v>
      </c>
      <c r="AL219" s="1">
        <v>13</v>
      </c>
      <c r="AM219" s="1" t="s">
        <v>4790</v>
      </c>
      <c r="AN219" s="1" t="s">
        <v>388</v>
      </c>
      <c r="AO219" s="1" t="s">
        <v>5184</v>
      </c>
      <c r="AP219" s="1">
        <v>0</v>
      </c>
      <c r="AQ219" s="1" t="s">
        <v>1129</v>
      </c>
      <c r="AR219" s="1" t="s">
        <v>1119</v>
      </c>
      <c r="AS219" s="1" t="s">
        <v>1130</v>
      </c>
      <c r="AT219" s="1" t="s">
        <v>328</v>
      </c>
      <c r="AU219" s="1">
        <v>224</v>
      </c>
      <c r="AV219" s="1">
        <v>0</v>
      </c>
      <c r="AW219" s="1" t="s">
        <v>5185</v>
      </c>
      <c r="AX219" s="1" t="s">
        <v>5186</v>
      </c>
      <c r="AY219" s="1">
        <v>5</v>
      </c>
      <c r="AZ219" s="1">
        <v>0</v>
      </c>
      <c r="BA219" s="1" t="s">
        <v>328</v>
      </c>
      <c r="BB219" s="1" t="s">
        <v>370</v>
      </c>
      <c r="BC219" s="1" t="s">
        <v>328</v>
      </c>
      <c r="BD219" s="1">
        <v>10403</v>
      </c>
      <c r="BE219" s="1"/>
      <c r="BH219">
        <f>COUNTIF(Dropdowns!$I:$AF,C219)</f>
        <v>1</v>
      </c>
    </row>
    <row r="220" spans="1:60" x14ac:dyDescent="0.3">
      <c r="A220" s="1">
        <v>225</v>
      </c>
      <c r="B220" s="1" t="s">
        <v>3578</v>
      </c>
      <c r="C220" s="207" t="s">
        <v>183</v>
      </c>
      <c r="D220" s="1" t="s">
        <v>3579</v>
      </c>
      <c r="E220" s="1"/>
      <c r="F220" s="1"/>
      <c r="G220" s="1" t="s">
        <v>3580</v>
      </c>
      <c r="H220" s="1" t="s">
        <v>3581</v>
      </c>
      <c r="I220" s="1" t="s">
        <v>3582</v>
      </c>
      <c r="J220" s="1">
        <v>2</v>
      </c>
      <c r="K220" s="1">
        <v>4</v>
      </c>
      <c r="L220" s="1">
        <v>8280</v>
      </c>
      <c r="M220" s="1">
        <v>25</v>
      </c>
      <c r="N220" s="1">
        <v>20</v>
      </c>
      <c r="O220" s="1">
        <v>15</v>
      </c>
      <c r="P220" s="1">
        <v>10</v>
      </c>
      <c r="Q220" s="1">
        <v>5</v>
      </c>
      <c r="R220" s="1">
        <v>5</v>
      </c>
      <c r="S220" s="1">
        <v>2</v>
      </c>
      <c r="T220" s="1">
        <v>0</v>
      </c>
      <c r="U220" s="1">
        <v>102</v>
      </c>
      <c r="V220" s="1">
        <v>128</v>
      </c>
      <c r="W220" s="1">
        <v>80</v>
      </c>
      <c r="X220" s="1">
        <v>100</v>
      </c>
      <c r="Y220" s="1">
        <v>132</v>
      </c>
      <c r="Z220" s="1">
        <v>118</v>
      </c>
      <c r="AA220" s="1">
        <v>0</v>
      </c>
      <c r="AB220" s="1">
        <v>15</v>
      </c>
      <c r="AC220" s="1">
        <v>5</v>
      </c>
      <c r="AD220" s="1">
        <v>0</v>
      </c>
      <c r="AE220" s="1">
        <v>112</v>
      </c>
      <c r="AF220" s="1">
        <v>100</v>
      </c>
      <c r="AG220" s="1">
        <v>110047</v>
      </c>
      <c r="AH220" s="1">
        <v>0</v>
      </c>
      <c r="AI220" s="1">
        <v>300102</v>
      </c>
      <c r="AJ220" s="1" t="s">
        <v>1239</v>
      </c>
      <c r="AK220" s="1" t="s">
        <v>328</v>
      </c>
      <c r="AL220" s="1">
        <v>13</v>
      </c>
      <c r="AM220" s="1" t="s">
        <v>4790</v>
      </c>
      <c r="AN220" s="1" t="s">
        <v>388</v>
      </c>
      <c r="AO220" s="1" t="s">
        <v>5056</v>
      </c>
      <c r="AP220" s="1">
        <v>0</v>
      </c>
      <c r="AQ220" s="1" t="s">
        <v>1129</v>
      </c>
      <c r="AR220" s="1" t="s">
        <v>1119</v>
      </c>
      <c r="AS220" s="1" t="s">
        <v>1130</v>
      </c>
      <c r="AT220" s="1" t="s">
        <v>328</v>
      </c>
      <c r="AU220" s="1">
        <v>225</v>
      </c>
      <c r="AV220" s="1">
        <v>0</v>
      </c>
      <c r="AW220" s="1" t="s">
        <v>5033</v>
      </c>
      <c r="AX220" s="1" t="s">
        <v>5187</v>
      </c>
      <c r="AY220" s="1">
        <v>4</v>
      </c>
      <c r="AZ220" s="1">
        <v>0</v>
      </c>
      <c r="BA220" s="1" t="s">
        <v>328</v>
      </c>
      <c r="BB220" s="1" t="s">
        <v>328</v>
      </c>
      <c r="BC220" s="1" t="s">
        <v>4739</v>
      </c>
      <c r="BD220" s="1">
        <v>10301</v>
      </c>
      <c r="BE220" s="1"/>
      <c r="BH220">
        <f>COUNTIF(Dropdowns!$I:$AF,C220)</f>
        <v>1</v>
      </c>
    </row>
    <row r="221" spans="1:60" x14ac:dyDescent="0.3">
      <c r="A221" s="1">
        <v>226</v>
      </c>
      <c r="B221" s="1" t="s">
        <v>3583</v>
      </c>
      <c r="C221" s="207" t="s">
        <v>787</v>
      </c>
      <c r="D221" s="1" t="s">
        <v>787</v>
      </c>
      <c r="E221" s="1"/>
      <c r="F221" s="1"/>
      <c r="G221" s="1" t="s">
        <v>3584</v>
      </c>
      <c r="H221" s="1" t="s">
        <v>3585</v>
      </c>
      <c r="I221" s="1" t="s">
        <v>3586</v>
      </c>
      <c r="J221" s="1">
        <v>3</v>
      </c>
      <c r="K221" s="1">
        <v>4</v>
      </c>
      <c r="L221" s="1">
        <v>15600</v>
      </c>
      <c r="M221" s="1">
        <v>15</v>
      </c>
      <c r="N221" s="1">
        <v>30</v>
      </c>
      <c r="O221" s="1">
        <v>10</v>
      </c>
      <c r="P221" s="1">
        <v>15</v>
      </c>
      <c r="Q221" s="1">
        <v>5</v>
      </c>
      <c r="R221" s="1">
        <v>2</v>
      </c>
      <c r="S221" s="1">
        <v>5</v>
      </c>
      <c r="T221" s="1">
        <v>0</v>
      </c>
      <c r="U221" s="1">
        <v>92</v>
      </c>
      <c r="V221" s="1">
        <v>92</v>
      </c>
      <c r="W221" s="1">
        <v>135</v>
      </c>
      <c r="X221" s="1">
        <v>100</v>
      </c>
      <c r="Y221" s="1">
        <v>122</v>
      </c>
      <c r="Z221" s="1">
        <v>95</v>
      </c>
      <c r="AA221" s="1">
        <v>0</v>
      </c>
      <c r="AB221" s="1">
        <v>15</v>
      </c>
      <c r="AC221" s="1">
        <v>40</v>
      </c>
      <c r="AD221" s="1">
        <v>0</v>
      </c>
      <c r="AE221" s="1">
        <v>122</v>
      </c>
      <c r="AF221" s="1">
        <v>100</v>
      </c>
      <c r="AG221" s="1">
        <v>110048</v>
      </c>
      <c r="AH221" s="1">
        <v>0</v>
      </c>
      <c r="AI221" s="1">
        <v>300104</v>
      </c>
      <c r="AJ221" s="1" t="s">
        <v>1240</v>
      </c>
      <c r="AK221" s="1" t="s">
        <v>328</v>
      </c>
      <c r="AL221" s="1">
        <v>13</v>
      </c>
      <c r="AM221" s="1" t="s">
        <v>4762</v>
      </c>
      <c r="AN221" s="1" t="s">
        <v>4884</v>
      </c>
      <c r="AO221" s="1" t="s">
        <v>4832</v>
      </c>
      <c r="AP221" s="1">
        <v>0</v>
      </c>
      <c r="AQ221" s="1" t="s">
        <v>1140</v>
      </c>
      <c r="AR221" s="1" t="s">
        <v>1141</v>
      </c>
      <c r="AS221" s="1" t="s">
        <v>1142</v>
      </c>
      <c r="AT221" s="1" t="s">
        <v>328</v>
      </c>
      <c r="AU221" s="1">
        <v>226</v>
      </c>
      <c r="AV221" s="1">
        <v>0</v>
      </c>
      <c r="AW221" s="1" t="s">
        <v>5131</v>
      </c>
      <c r="AX221" s="1" t="s">
        <v>4753</v>
      </c>
      <c r="AY221" s="1">
        <v>4</v>
      </c>
      <c r="AZ221" s="1">
        <v>0</v>
      </c>
      <c r="BA221" s="1" t="s">
        <v>328</v>
      </c>
      <c r="BB221" s="1" t="s">
        <v>328</v>
      </c>
      <c r="BC221" s="1" t="s">
        <v>4720</v>
      </c>
      <c r="BD221" s="1">
        <v>10301</v>
      </c>
      <c r="BE221" s="1"/>
      <c r="BH221">
        <f>COUNTIF(Dropdowns!$I:$AF,C221)</f>
        <v>1</v>
      </c>
    </row>
    <row r="222" spans="1:60" x14ac:dyDescent="0.3">
      <c r="A222" s="1">
        <v>227</v>
      </c>
      <c r="B222" s="1" t="s">
        <v>3587</v>
      </c>
      <c r="C222" s="207" t="s">
        <v>1646</v>
      </c>
      <c r="D222" s="1" t="s">
        <v>1646</v>
      </c>
      <c r="E222" s="1"/>
      <c r="F222" s="1"/>
      <c r="G222" s="1" t="s">
        <v>3588</v>
      </c>
      <c r="H222" s="1" t="s">
        <v>3589</v>
      </c>
      <c r="I222" s="1" t="s">
        <v>3590</v>
      </c>
      <c r="J222" s="1">
        <v>4</v>
      </c>
      <c r="K222" s="1">
        <v>4</v>
      </c>
      <c r="L222" s="1">
        <v>12300</v>
      </c>
      <c r="M222" s="1">
        <v>20</v>
      </c>
      <c r="N222" s="1">
        <v>20</v>
      </c>
      <c r="O222" s="1">
        <v>10</v>
      </c>
      <c r="P222" s="1">
        <v>10</v>
      </c>
      <c r="Q222" s="1">
        <v>2</v>
      </c>
      <c r="R222" s="1">
        <v>5</v>
      </c>
      <c r="S222" s="1">
        <v>5</v>
      </c>
      <c r="T222" s="1">
        <v>0</v>
      </c>
      <c r="U222" s="1">
        <v>102</v>
      </c>
      <c r="V222" s="1">
        <v>118</v>
      </c>
      <c r="W222" s="1">
        <v>112</v>
      </c>
      <c r="X222" s="1">
        <v>100</v>
      </c>
      <c r="Y222" s="1">
        <v>122</v>
      </c>
      <c r="Z222" s="1">
        <v>92</v>
      </c>
      <c r="AA222" s="1">
        <v>0</v>
      </c>
      <c r="AB222" s="1">
        <v>15</v>
      </c>
      <c r="AC222" s="1">
        <v>20</v>
      </c>
      <c r="AD222" s="1">
        <v>0</v>
      </c>
      <c r="AE222" s="1">
        <v>115</v>
      </c>
      <c r="AF222" s="1">
        <v>100</v>
      </c>
      <c r="AG222" s="1">
        <v>110046</v>
      </c>
      <c r="AH222" s="1">
        <v>0</v>
      </c>
      <c r="AI222" s="1">
        <v>300103</v>
      </c>
      <c r="AJ222" s="1" t="s">
        <v>1240</v>
      </c>
      <c r="AK222" s="1" t="s">
        <v>328</v>
      </c>
      <c r="AL222" s="1">
        <v>12</v>
      </c>
      <c r="AM222" s="1" t="s">
        <v>4719</v>
      </c>
      <c r="AN222" s="1" t="s">
        <v>5188</v>
      </c>
      <c r="AO222" s="1" t="s">
        <v>5014</v>
      </c>
      <c r="AP222" s="1">
        <v>0</v>
      </c>
      <c r="AQ222" s="1" t="s">
        <v>1130</v>
      </c>
      <c r="AR222" s="1" t="s">
        <v>1154</v>
      </c>
      <c r="AS222" s="1" t="s">
        <v>1129</v>
      </c>
      <c r="AT222" s="1" t="s">
        <v>328</v>
      </c>
      <c r="AU222" s="1">
        <v>227</v>
      </c>
      <c r="AV222" s="1">
        <v>0</v>
      </c>
      <c r="AW222" s="1" t="s">
        <v>5162</v>
      </c>
      <c r="AX222" s="1" t="s">
        <v>4753</v>
      </c>
      <c r="AY222" s="1">
        <v>4</v>
      </c>
      <c r="AZ222" s="1">
        <v>0</v>
      </c>
      <c r="BA222" s="1" t="s">
        <v>328</v>
      </c>
      <c r="BB222" s="1" t="s">
        <v>472</v>
      </c>
      <c r="BC222" s="1" t="s">
        <v>4757</v>
      </c>
      <c r="BD222" s="1">
        <v>10802</v>
      </c>
      <c r="BE222" s="1"/>
      <c r="BH222">
        <f>COUNTIF(Dropdowns!$I:$AF,C222)</f>
        <v>1</v>
      </c>
    </row>
    <row r="223" spans="1:60" x14ac:dyDescent="0.3">
      <c r="A223" s="1">
        <v>228</v>
      </c>
      <c r="B223" s="1" t="s">
        <v>3591</v>
      </c>
      <c r="C223" s="207" t="s">
        <v>751</v>
      </c>
      <c r="D223" s="1" t="s">
        <v>3592</v>
      </c>
      <c r="E223" s="1"/>
      <c r="F223" s="1"/>
      <c r="G223" s="1" t="s">
        <v>3593</v>
      </c>
      <c r="H223" s="1" t="s">
        <v>3594</v>
      </c>
      <c r="I223" s="1" t="s">
        <v>3595</v>
      </c>
      <c r="J223" s="1">
        <v>2</v>
      </c>
      <c r="K223" s="1">
        <v>5</v>
      </c>
      <c r="L223" s="1">
        <v>8340</v>
      </c>
      <c r="M223" s="1">
        <v>25</v>
      </c>
      <c r="N223" s="1">
        <v>20</v>
      </c>
      <c r="O223" s="1">
        <v>15</v>
      </c>
      <c r="P223" s="1">
        <v>10</v>
      </c>
      <c r="Q223" s="1">
        <v>5</v>
      </c>
      <c r="R223" s="1">
        <v>5</v>
      </c>
      <c r="S223" s="1">
        <v>2</v>
      </c>
      <c r="T223" s="1">
        <v>0</v>
      </c>
      <c r="U223" s="1">
        <v>120</v>
      </c>
      <c r="V223" s="1">
        <v>105</v>
      </c>
      <c r="W223" s="1">
        <v>95</v>
      </c>
      <c r="X223" s="1">
        <v>100</v>
      </c>
      <c r="Y223" s="1">
        <v>115</v>
      </c>
      <c r="Z223" s="1">
        <v>105</v>
      </c>
      <c r="AA223" s="1">
        <v>0</v>
      </c>
      <c r="AB223" s="1">
        <v>15</v>
      </c>
      <c r="AC223" s="1">
        <v>5</v>
      </c>
      <c r="AD223" s="1">
        <v>0</v>
      </c>
      <c r="AE223" s="1">
        <v>115</v>
      </c>
      <c r="AF223" s="1">
        <v>100</v>
      </c>
      <c r="AG223" s="1">
        <v>110029</v>
      </c>
      <c r="AH223" s="1">
        <v>0</v>
      </c>
      <c r="AI223" s="1">
        <v>300102</v>
      </c>
      <c r="AJ223" s="1" t="s">
        <v>1241</v>
      </c>
      <c r="AK223" s="1" t="s">
        <v>1242</v>
      </c>
      <c r="AL223" s="1">
        <v>13</v>
      </c>
      <c r="AM223" s="1" t="s">
        <v>4790</v>
      </c>
      <c r="AN223" s="1" t="s">
        <v>388</v>
      </c>
      <c r="AO223" s="1" t="s">
        <v>5184</v>
      </c>
      <c r="AP223" s="1">
        <v>0</v>
      </c>
      <c r="AQ223" s="1" t="s">
        <v>1129</v>
      </c>
      <c r="AR223" s="1" t="s">
        <v>1119</v>
      </c>
      <c r="AS223" s="1" t="s">
        <v>1745</v>
      </c>
      <c r="AT223" s="1" t="s">
        <v>328</v>
      </c>
      <c r="AU223" s="1">
        <v>228</v>
      </c>
      <c r="AV223" s="1">
        <v>0</v>
      </c>
      <c r="AW223" s="1" t="s">
        <v>5189</v>
      </c>
      <c r="AX223" s="1" t="s">
        <v>331</v>
      </c>
      <c r="AY223" s="1">
        <v>5</v>
      </c>
      <c r="AZ223" s="1">
        <v>0</v>
      </c>
      <c r="BA223" s="1" t="s">
        <v>328</v>
      </c>
      <c r="BB223" s="1" t="s">
        <v>328</v>
      </c>
      <c r="BC223" s="1" t="s">
        <v>328</v>
      </c>
      <c r="BD223" s="1">
        <v>10203</v>
      </c>
      <c r="BE223" s="1"/>
      <c r="BH223">
        <f>COUNTIF(Dropdowns!$I:$AF,C223)</f>
        <v>1</v>
      </c>
    </row>
    <row r="224" spans="1:60" x14ac:dyDescent="0.3">
      <c r="A224" s="1">
        <v>229</v>
      </c>
      <c r="B224" s="1" t="s">
        <v>3596</v>
      </c>
      <c r="C224" s="207" t="s">
        <v>5631</v>
      </c>
      <c r="D224" s="1" t="s">
        <v>236</v>
      </c>
      <c r="E224" s="1"/>
      <c r="F224" s="1"/>
      <c r="G224" s="1" t="s">
        <v>3597</v>
      </c>
      <c r="H224" s="1" t="s">
        <v>3598</v>
      </c>
      <c r="I224" s="1" t="s">
        <v>3599</v>
      </c>
      <c r="J224" s="1">
        <v>6</v>
      </c>
      <c r="K224" s="1">
        <v>5</v>
      </c>
      <c r="L224" s="1">
        <v>29160</v>
      </c>
      <c r="M224" s="1">
        <v>30</v>
      </c>
      <c r="N224" s="1">
        <v>40</v>
      </c>
      <c r="O224" s="1">
        <v>15</v>
      </c>
      <c r="P224" s="1">
        <v>25</v>
      </c>
      <c r="Q224" s="1">
        <v>5</v>
      </c>
      <c r="R224" s="1">
        <v>2</v>
      </c>
      <c r="S224" s="1">
        <v>5</v>
      </c>
      <c r="T224" s="1">
        <v>5</v>
      </c>
      <c r="U224" s="1">
        <v>120</v>
      </c>
      <c r="V224" s="1">
        <v>112</v>
      </c>
      <c r="W224" s="1">
        <v>110</v>
      </c>
      <c r="X224" s="1">
        <v>100</v>
      </c>
      <c r="Y224" s="1">
        <v>115</v>
      </c>
      <c r="Z224" s="1">
        <v>105</v>
      </c>
      <c r="AA224" s="1">
        <v>125</v>
      </c>
      <c r="AB224" s="1">
        <v>15</v>
      </c>
      <c r="AC224" s="1">
        <v>40</v>
      </c>
      <c r="AD224" s="1">
        <v>4</v>
      </c>
      <c r="AE224" s="1">
        <v>105</v>
      </c>
      <c r="AF224" s="1">
        <v>100</v>
      </c>
      <c r="AG224" s="1">
        <v>110041</v>
      </c>
      <c r="AH224" s="1">
        <v>0</v>
      </c>
      <c r="AI224" s="1">
        <v>300106</v>
      </c>
      <c r="AJ224" s="1" t="s">
        <v>1243</v>
      </c>
      <c r="AK224" s="1" t="s">
        <v>1244</v>
      </c>
      <c r="AL224" s="1">
        <v>9</v>
      </c>
      <c r="AM224" s="1" t="s">
        <v>4716</v>
      </c>
      <c r="AN224" s="1" t="s">
        <v>354</v>
      </c>
      <c r="AO224" s="1" t="s">
        <v>5190</v>
      </c>
      <c r="AP224" s="1">
        <v>0</v>
      </c>
      <c r="AQ224" s="1" t="s">
        <v>1200</v>
      </c>
      <c r="AR224" s="1" t="s">
        <v>1201</v>
      </c>
      <c r="AS224" s="1" t="s">
        <v>1202</v>
      </c>
      <c r="AT224" s="1" t="s">
        <v>328</v>
      </c>
      <c r="AU224" s="1">
        <v>229</v>
      </c>
      <c r="AV224" s="1">
        <v>0</v>
      </c>
      <c r="AW224" s="1" t="s">
        <v>5071</v>
      </c>
      <c r="AX224" s="1" t="s">
        <v>4753</v>
      </c>
      <c r="AY224" s="1">
        <v>5</v>
      </c>
      <c r="AZ224" s="1">
        <v>0</v>
      </c>
      <c r="BA224" s="1" t="s">
        <v>328</v>
      </c>
      <c r="BB224" s="1" t="s">
        <v>328</v>
      </c>
      <c r="BC224" s="1" t="s">
        <v>4720</v>
      </c>
      <c r="BD224" s="1">
        <v>10402</v>
      </c>
      <c r="BE224" s="1"/>
      <c r="BH224">
        <f>COUNTIF(Dropdowns!$I:$AF,C224)</f>
        <v>1</v>
      </c>
    </row>
    <row r="225" spans="1:60" x14ac:dyDescent="0.3">
      <c r="A225" s="1">
        <v>230</v>
      </c>
      <c r="B225" s="1" t="s">
        <v>3600</v>
      </c>
      <c r="C225" s="207" t="s">
        <v>184</v>
      </c>
      <c r="D225" s="1" t="s">
        <v>184</v>
      </c>
      <c r="E225" s="1"/>
      <c r="F225" s="1"/>
      <c r="G225" s="1" t="s">
        <v>3601</v>
      </c>
      <c r="H225" s="1" t="s">
        <v>3602</v>
      </c>
      <c r="I225" s="1" t="s">
        <v>3603</v>
      </c>
      <c r="J225" s="1">
        <v>3</v>
      </c>
      <c r="K225" s="1">
        <v>3</v>
      </c>
      <c r="L225" s="1">
        <v>15600</v>
      </c>
      <c r="M225" s="1">
        <v>15</v>
      </c>
      <c r="N225" s="1">
        <v>30</v>
      </c>
      <c r="O225" s="1">
        <v>10</v>
      </c>
      <c r="P225" s="1">
        <v>15</v>
      </c>
      <c r="Q225" s="1">
        <v>5</v>
      </c>
      <c r="R225" s="1">
        <v>2</v>
      </c>
      <c r="S225" s="1">
        <v>5</v>
      </c>
      <c r="T225" s="1">
        <v>0</v>
      </c>
      <c r="U225" s="1">
        <v>92</v>
      </c>
      <c r="V225" s="1">
        <v>108</v>
      </c>
      <c r="W225" s="1">
        <v>110</v>
      </c>
      <c r="X225" s="1">
        <v>100</v>
      </c>
      <c r="Y225" s="1">
        <v>120</v>
      </c>
      <c r="Z225" s="1">
        <v>95</v>
      </c>
      <c r="AA225" s="1">
        <v>0</v>
      </c>
      <c r="AB225" s="1">
        <v>15</v>
      </c>
      <c r="AC225" s="1">
        <v>40</v>
      </c>
      <c r="AD225" s="1">
        <v>0</v>
      </c>
      <c r="AE225" s="1">
        <v>120</v>
      </c>
      <c r="AF225" s="1">
        <v>100</v>
      </c>
      <c r="AG225" s="1">
        <v>110049</v>
      </c>
      <c r="AH225" s="1">
        <v>0</v>
      </c>
      <c r="AI225" s="1">
        <v>300104</v>
      </c>
      <c r="AJ225" s="1" t="s">
        <v>1125</v>
      </c>
      <c r="AK225" s="1" t="s">
        <v>328</v>
      </c>
      <c r="AL225" s="1">
        <v>13</v>
      </c>
      <c r="AM225" s="1" t="s">
        <v>4762</v>
      </c>
      <c r="AN225" s="1" t="s">
        <v>4834</v>
      </c>
      <c r="AO225" s="1" t="s">
        <v>4826</v>
      </c>
      <c r="AP225" s="1">
        <v>0</v>
      </c>
      <c r="AQ225" s="1" t="s">
        <v>1140</v>
      </c>
      <c r="AR225" s="1" t="s">
        <v>1141</v>
      </c>
      <c r="AS225" s="1" t="s">
        <v>1142</v>
      </c>
      <c r="AT225" s="1" t="s">
        <v>328</v>
      </c>
      <c r="AU225" s="1">
        <v>230</v>
      </c>
      <c r="AV225" s="1">
        <v>0</v>
      </c>
      <c r="AW225" s="1" t="s">
        <v>5191</v>
      </c>
      <c r="AX225" s="1" t="s">
        <v>5183</v>
      </c>
      <c r="AY225" s="1">
        <v>3</v>
      </c>
      <c r="AZ225" s="1">
        <v>0</v>
      </c>
      <c r="BA225" s="1" t="s">
        <v>328</v>
      </c>
      <c r="BB225" s="1" t="s">
        <v>5192</v>
      </c>
      <c r="BC225" s="1" t="s">
        <v>4720</v>
      </c>
      <c r="BD225" s="1">
        <v>10704</v>
      </c>
      <c r="BE225" s="1"/>
      <c r="BH225">
        <f>COUNTIF(Dropdowns!$I:$AF,C225)</f>
        <v>1</v>
      </c>
    </row>
    <row r="226" spans="1:60" x14ac:dyDescent="0.3">
      <c r="A226" s="1">
        <v>231</v>
      </c>
      <c r="B226" s="1" t="s">
        <v>3604</v>
      </c>
      <c r="C226" s="207" t="s">
        <v>185</v>
      </c>
      <c r="D226" s="1" t="s">
        <v>185</v>
      </c>
      <c r="E226" s="1"/>
      <c r="F226" s="1"/>
      <c r="G226" s="1" t="s">
        <v>3605</v>
      </c>
      <c r="H226" s="1" t="s">
        <v>3606</v>
      </c>
      <c r="I226" s="1" t="s">
        <v>3607</v>
      </c>
      <c r="J226" s="1">
        <v>3</v>
      </c>
      <c r="K226" s="1">
        <v>5</v>
      </c>
      <c r="L226" s="1">
        <v>15600</v>
      </c>
      <c r="M226" s="1">
        <v>15</v>
      </c>
      <c r="N226" s="1">
        <v>30</v>
      </c>
      <c r="O226" s="1">
        <v>10</v>
      </c>
      <c r="P226" s="1">
        <v>15</v>
      </c>
      <c r="Q226" s="1">
        <v>5</v>
      </c>
      <c r="R226" s="1">
        <v>2</v>
      </c>
      <c r="S226" s="1">
        <v>5</v>
      </c>
      <c r="T226" s="1">
        <v>0</v>
      </c>
      <c r="U226" s="1">
        <v>100</v>
      </c>
      <c r="V226" s="1">
        <v>140</v>
      </c>
      <c r="W226" s="1">
        <v>96</v>
      </c>
      <c r="X226" s="1">
        <v>100</v>
      </c>
      <c r="Y226" s="1">
        <v>110</v>
      </c>
      <c r="Z226" s="1">
        <v>82</v>
      </c>
      <c r="AA226" s="1">
        <v>0</v>
      </c>
      <c r="AB226" s="1">
        <v>15</v>
      </c>
      <c r="AC226" s="1">
        <v>40</v>
      </c>
      <c r="AD226" s="1">
        <v>0</v>
      </c>
      <c r="AE226" s="1">
        <v>128</v>
      </c>
      <c r="AF226" s="1">
        <v>100</v>
      </c>
      <c r="AG226" s="1">
        <v>120106</v>
      </c>
      <c r="AH226" s="1">
        <v>0</v>
      </c>
      <c r="AI226" s="1">
        <v>301704</v>
      </c>
      <c r="AJ226" s="1" t="s">
        <v>1245</v>
      </c>
      <c r="AK226" s="1" t="s">
        <v>1246</v>
      </c>
      <c r="AL226" s="1">
        <v>13</v>
      </c>
      <c r="AM226" s="1" t="s">
        <v>4762</v>
      </c>
      <c r="AN226" s="1" t="s">
        <v>4884</v>
      </c>
      <c r="AO226" s="1" t="s">
        <v>4845</v>
      </c>
      <c r="AP226" s="1">
        <v>0</v>
      </c>
      <c r="AQ226" s="1" t="s">
        <v>1140</v>
      </c>
      <c r="AR226" s="1" t="s">
        <v>1141</v>
      </c>
      <c r="AS226" s="1" t="s">
        <v>1142</v>
      </c>
      <c r="AT226" s="1" t="s">
        <v>328</v>
      </c>
      <c r="AU226" s="1">
        <v>231</v>
      </c>
      <c r="AV226" s="1">
        <v>0</v>
      </c>
      <c r="AW226" s="1" t="s">
        <v>5178</v>
      </c>
      <c r="AX226" s="1" t="s">
        <v>5193</v>
      </c>
      <c r="AY226" s="1">
        <v>5</v>
      </c>
      <c r="AZ226" s="1">
        <v>0</v>
      </c>
      <c r="BA226" s="1" t="s">
        <v>328</v>
      </c>
      <c r="BB226" s="1" t="s">
        <v>328</v>
      </c>
      <c r="BC226" s="1" t="s">
        <v>4720</v>
      </c>
      <c r="BD226" s="1">
        <v>10402</v>
      </c>
      <c r="BE226" s="1"/>
      <c r="BH226">
        <f>COUNTIF(Dropdowns!$I:$AF,C226)</f>
        <v>1</v>
      </c>
    </row>
    <row r="227" spans="1:60" x14ac:dyDescent="0.3">
      <c r="A227" s="1">
        <v>232</v>
      </c>
      <c r="B227" s="1" t="s">
        <v>3608</v>
      </c>
      <c r="C227" s="207" t="s">
        <v>1647</v>
      </c>
      <c r="D227" s="1" t="s">
        <v>1647</v>
      </c>
      <c r="E227" s="1"/>
      <c r="F227" s="1"/>
      <c r="G227" s="1" t="s">
        <v>3609</v>
      </c>
      <c r="H227" s="1" t="s">
        <v>3610</v>
      </c>
      <c r="I227" s="1" t="s">
        <v>3611</v>
      </c>
      <c r="J227" s="1">
        <v>1</v>
      </c>
      <c r="K227" s="1">
        <v>3</v>
      </c>
      <c r="L227" s="1">
        <v>2700</v>
      </c>
      <c r="M227" s="1">
        <v>10</v>
      </c>
      <c r="N227" s="1">
        <v>10</v>
      </c>
      <c r="O227" s="1">
        <v>5</v>
      </c>
      <c r="P227" s="1">
        <v>5</v>
      </c>
      <c r="Q227" s="1">
        <v>2</v>
      </c>
      <c r="R227" s="1">
        <v>2</v>
      </c>
      <c r="S227" s="1">
        <v>2</v>
      </c>
      <c r="T227" s="1">
        <v>0</v>
      </c>
      <c r="U227" s="1">
        <v>96</v>
      </c>
      <c r="V227" s="1">
        <v>90</v>
      </c>
      <c r="W227" s="1">
        <v>110</v>
      </c>
      <c r="X227" s="1">
        <v>100</v>
      </c>
      <c r="Y227" s="1">
        <v>118</v>
      </c>
      <c r="Z227" s="1">
        <v>128</v>
      </c>
      <c r="AA227" s="1">
        <v>0</v>
      </c>
      <c r="AB227" s="1">
        <v>15</v>
      </c>
      <c r="AC227" s="1">
        <v>20</v>
      </c>
      <c r="AD227" s="1">
        <v>0</v>
      </c>
      <c r="AE227" s="1">
        <v>125</v>
      </c>
      <c r="AF227" s="1">
        <v>100</v>
      </c>
      <c r="AG227" s="1">
        <v>110051</v>
      </c>
      <c r="AH227" s="1">
        <v>0</v>
      </c>
      <c r="AI227" s="1">
        <v>300101</v>
      </c>
      <c r="AJ227" s="1" t="s">
        <v>5194</v>
      </c>
      <c r="AK227" s="1" t="s">
        <v>328</v>
      </c>
      <c r="AL227" s="1">
        <v>13</v>
      </c>
      <c r="AM227" s="1" t="s">
        <v>1806</v>
      </c>
      <c r="AN227" s="1" t="s">
        <v>5175</v>
      </c>
      <c r="AO227" s="1" t="s">
        <v>5086</v>
      </c>
      <c r="AP227" s="1">
        <v>0</v>
      </c>
      <c r="AQ227" s="1" t="s">
        <v>1118</v>
      </c>
      <c r="AR227" s="1" t="s">
        <v>1119</v>
      </c>
      <c r="AS227" s="1" t="s">
        <v>1120</v>
      </c>
      <c r="AT227" s="1" t="s">
        <v>328</v>
      </c>
      <c r="AU227" s="1">
        <v>232</v>
      </c>
      <c r="AV227" s="1">
        <v>0</v>
      </c>
      <c r="AW227" s="1" t="s">
        <v>5195</v>
      </c>
      <c r="AX227" s="1" t="s">
        <v>5183</v>
      </c>
      <c r="AY227" s="1">
        <v>3</v>
      </c>
      <c r="AZ227" s="1">
        <v>0</v>
      </c>
      <c r="BA227" s="1" t="s">
        <v>328</v>
      </c>
      <c r="BB227" s="1" t="s">
        <v>4844</v>
      </c>
      <c r="BC227" s="1" t="s">
        <v>4757</v>
      </c>
      <c r="BD227" s="1">
        <v>10301</v>
      </c>
      <c r="BE227" s="1"/>
      <c r="BH227">
        <f>COUNTIF(Dropdowns!$I:$AF,C227)</f>
        <v>0</v>
      </c>
    </row>
    <row r="228" spans="1:60" x14ac:dyDescent="0.3">
      <c r="A228" s="1">
        <v>233</v>
      </c>
      <c r="B228" s="1" t="s">
        <v>3612</v>
      </c>
      <c r="C228" s="207" t="s">
        <v>186</v>
      </c>
      <c r="D228" s="1" t="s">
        <v>3613</v>
      </c>
      <c r="E228" s="1"/>
      <c r="F228" s="1"/>
      <c r="G228" s="1" t="s">
        <v>3614</v>
      </c>
      <c r="H228" s="1" t="s">
        <v>3615</v>
      </c>
      <c r="I228" s="1" t="s">
        <v>3616</v>
      </c>
      <c r="J228" s="1">
        <v>1</v>
      </c>
      <c r="K228" s="1">
        <v>5</v>
      </c>
      <c r="L228" s="1">
        <v>3840</v>
      </c>
      <c r="M228" s="1">
        <v>10</v>
      </c>
      <c r="N228" s="1">
        <v>10</v>
      </c>
      <c r="O228" s="1">
        <v>5</v>
      </c>
      <c r="P228" s="1">
        <v>5</v>
      </c>
      <c r="Q228" s="1">
        <v>2</v>
      </c>
      <c r="R228" s="1">
        <v>2</v>
      </c>
      <c r="S228" s="1">
        <v>2</v>
      </c>
      <c r="T228" s="1">
        <v>0</v>
      </c>
      <c r="U228" s="1">
        <v>102</v>
      </c>
      <c r="V228" s="1">
        <v>118</v>
      </c>
      <c r="W228" s="1">
        <v>102</v>
      </c>
      <c r="X228" s="1">
        <v>100</v>
      </c>
      <c r="Y228" s="1">
        <v>128</v>
      </c>
      <c r="Z228" s="1">
        <v>115</v>
      </c>
      <c r="AA228" s="1">
        <v>0</v>
      </c>
      <c r="AB228" s="1">
        <v>15</v>
      </c>
      <c r="AC228" s="1">
        <v>20</v>
      </c>
      <c r="AD228" s="1">
        <v>0</v>
      </c>
      <c r="AE228" s="1">
        <v>132</v>
      </c>
      <c r="AF228" s="1">
        <v>100</v>
      </c>
      <c r="AG228" s="1">
        <v>110066</v>
      </c>
      <c r="AH228" s="1">
        <v>0</v>
      </c>
      <c r="AI228" s="1">
        <v>300101</v>
      </c>
      <c r="AJ228" s="1" t="s">
        <v>328</v>
      </c>
      <c r="AK228" s="1" t="s">
        <v>328</v>
      </c>
      <c r="AL228" s="1">
        <v>12</v>
      </c>
      <c r="AM228" s="1" t="s">
        <v>1806</v>
      </c>
      <c r="AN228" s="1" t="s">
        <v>5196</v>
      </c>
      <c r="AO228" s="1" t="s">
        <v>5066</v>
      </c>
      <c r="AP228" s="1">
        <v>0</v>
      </c>
      <c r="AQ228" s="1" t="s">
        <v>1118</v>
      </c>
      <c r="AR228" s="1" t="s">
        <v>1119</v>
      </c>
      <c r="AS228" s="1" t="s">
        <v>1120</v>
      </c>
      <c r="AT228" s="1" t="s">
        <v>328</v>
      </c>
      <c r="AU228" s="1">
        <v>233</v>
      </c>
      <c r="AV228" s="1">
        <v>0</v>
      </c>
      <c r="AW228" s="1" t="s">
        <v>5197</v>
      </c>
      <c r="AX228" s="1" t="s">
        <v>4762</v>
      </c>
      <c r="AY228" s="1">
        <v>5</v>
      </c>
      <c r="AZ228" s="1">
        <v>0</v>
      </c>
      <c r="BA228" s="1" t="s">
        <v>328</v>
      </c>
      <c r="BB228" s="1" t="s">
        <v>328</v>
      </c>
      <c r="BC228" s="1" t="s">
        <v>4739</v>
      </c>
      <c r="BD228" s="1">
        <v>10203</v>
      </c>
      <c r="BE228" s="1"/>
      <c r="BH228">
        <f>COUNTIF(Dropdowns!$I:$AF,C228)</f>
        <v>0</v>
      </c>
    </row>
    <row r="229" spans="1:60" x14ac:dyDescent="0.3">
      <c r="A229" s="1">
        <v>234</v>
      </c>
      <c r="B229" s="1" t="s">
        <v>3617</v>
      </c>
      <c r="C229" s="207" t="s">
        <v>237</v>
      </c>
      <c r="D229" s="1" t="s">
        <v>3618</v>
      </c>
      <c r="E229" s="1"/>
      <c r="F229" s="1"/>
      <c r="G229" s="1" t="s">
        <v>3619</v>
      </c>
      <c r="H229" s="1" t="s">
        <v>3620</v>
      </c>
      <c r="I229" s="1" t="s">
        <v>3621</v>
      </c>
      <c r="J229" s="1">
        <v>2</v>
      </c>
      <c r="K229" s="1">
        <v>5</v>
      </c>
      <c r="L229" s="1">
        <v>8280</v>
      </c>
      <c r="M229" s="1">
        <v>25</v>
      </c>
      <c r="N229" s="1">
        <v>20</v>
      </c>
      <c r="O229" s="1">
        <v>15</v>
      </c>
      <c r="P229" s="1">
        <v>10</v>
      </c>
      <c r="Q229" s="1">
        <v>5</v>
      </c>
      <c r="R229" s="1">
        <v>5</v>
      </c>
      <c r="S229" s="1">
        <v>2</v>
      </c>
      <c r="T229" s="1">
        <v>0</v>
      </c>
      <c r="U229" s="1">
        <v>102</v>
      </c>
      <c r="V229" s="1">
        <v>95</v>
      </c>
      <c r="W229" s="1">
        <v>110</v>
      </c>
      <c r="X229" s="1">
        <v>100</v>
      </c>
      <c r="Y229" s="1">
        <v>112</v>
      </c>
      <c r="Z229" s="1">
        <v>128</v>
      </c>
      <c r="AA229" s="1">
        <v>0</v>
      </c>
      <c r="AB229" s="1">
        <v>15</v>
      </c>
      <c r="AC229" s="1">
        <v>5</v>
      </c>
      <c r="AD229" s="1">
        <v>0</v>
      </c>
      <c r="AE229" s="1">
        <v>122</v>
      </c>
      <c r="AF229" s="1">
        <v>100</v>
      </c>
      <c r="AG229" s="1">
        <v>110054</v>
      </c>
      <c r="AH229" s="1">
        <v>0</v>
      </c>
      <c r="AI229" s="1">
        <v>300102</v>
      </c>
      <c r="AJ229" s="1" t="s">
        <v>1247</v>
      </c>
      <c r="AK229" s="1" t="s">
        <v>1248</v>
      </c>
      <c r="AL229" s="1">
        <v>12</v>
      </c>
      <c r="AM229" s="1" t="s">
        <v>4790</v>
      </c>
      <c r="AN229" s="1" t="s">
        <v>5198</v>
      </c>
      <c r="AO229" s="1" t="s">
        <v>5030</v>
      </c>
      <c r="AP229" s="1">
        <v>0</v>
      </c>
      <c r="AQ229" s="1" t="s">
        <v>1129</v>
      </c>
      <c r="AR229" s="1" t="s">
        <v>1119</v>
      </c>
      <c r="AS229" s="1" t="s">
        <v>1130</v>
      </c>
      <c r="AT229" s="1" t="s">
        <v>328</v>
      </c>
      <c r="AU229" s="1">
        <v>234</v>
      </c>
      <c r="AV229" s="1">
        <v>0</v>
      </c>
      <c r="AW229" s="1" t="s">
        <v>5199</v>
      </c>
      <c r="AX229" s="1" t="s">
        <v>5200</v>
      </c>
      <c r="AY229" s="1">
        <v>5</v>
      </c>
      <c r="AZ229" s="1">
        <v>0</v>
      </c>
      <c r="BA229" s="1" t="s">
        <v>328</v>
      </c>
      <c r="BB229" s="1" t="s">
        <v>5201</v>
      </c>
      <c r="BC229" s="1" t="s">
        <v>4783</v>
      </c>
      <c r="BD229" s="1">
        <v>10203</v>
      </c>
      <c r="BE229" s="1"/>
      <c r="BH229">
        <f>COUNTIF(Dropdowns!$I:$AF,C229)</f>
        <v>1</v>
      </c>
    </row>
    <row r="230" spans="1:60" x14ac:dyDescent="0.3">
      <c r="A230" s="1">
        <v>235</v>
      </c>
      <c r="B230" s="1" t="s">
        <v>3622</v>
      </c>
      <c r="C230" s="207" t="s">
        <v>187</v>
      </c>
      <c r="D230" s="1" t="s">
        <v>3623</v>
      </c>
      <c r="E230" s="1"/>
      <c r="F230" s="1"/>
      <c r="G230" s="1" t="s">
        <v>3624</v>
      </c>
      <c r="H230" s="1" t="s">
        <v>3625</v>
      </c>
      <c r="I230" s="1" t="s">
        <v>3626</v>
      </c>
      <c r="J230" s="1">
        <v>3</v>
      </c>
      <c r="K230" s="1">
        <v>4</v>
      </c>
      <c r="L230" s="1">
        <v>15300</v>
      </c>
      <c r="M230" s="1">
        <v>15</v>
      </c>
      <c r="N230" s="1">
        <v>30</v>
      </c>
      <c r="O230" s="1">
        <v>10</v>
      </c>
      <c r="P230" s="1">
        <v>15</v>
      </c>
      <c r="Q230" s="1">
        <v>5</v>
      </c>
      <c r="R230" s="1">
        <v>2</v>
      </c>
      <c r="S230" s="1">
        <v>5</v>
      </c>
      <c r="T230" s="1">
        <v>0</v>
      </c>
      <c r="U230" s="1">
        <v>98</v>
      </c>
      <c r="V230" s="1">
        <v>115</v>
      </c>
      <c r="W230" s="1">
        <v>98</v>
      </c>
      <c r="X230" s="1">
        <v>100</v>
      </c>
      <c r="Y230" s="1">
        <v>118</v>
      </c>
      <c r="Z230" s="1">
        <v>85</v>
      </c>
      <c r="AA230" s="1">
        <v>0</v>
      </c>
      <c r="AB230" s="1">
        <v>15</v>
      </c>
      <c r="AC230" s="1">
        <v>40</v>
      </c>
      <c r="AD230" s="1">
        <v>0</v>
      </c>
      <c r="AE230" s="1">
        <v>128</v>
      </c>
      <c r="AF230" s="1">
        <v>100</v>
      </c>
      <c r="AG230" s="1">
        <v>110062</v>
      </c>
      <c r="AH230" s="1">
        <v>0</v>
      </c>
      <c r="AI230" s="1">
        <v>110065</v>
      </c>
      <c r="AJ230" s="1" t="s">
        <v>1249</v>
      </c>
      <c r="AK230" s="1" t="s">
        <v>1250</v>
      </c>
      <c r="AL230" s="1">
        <v>13</v>
      </c>
      <c r="AM230" s="1" t="s">
        <v>4762</v>
      </c>
      <c r="AN230" s="1" t="s">
        <v>4834</v>
      </c>
      <c r="AO230" s="1" t="s">
        <v>4832</v>
      </c>
      <c r="AP230" s="1">
        <v>0</v>
      </c>
      <c r="AQ230" s="1" t="s">
        <v>1140</v>
      </c>
      <c r="AR230" s="1" t="s">
        <v>1141</v>
      </c>
      <c r="AS230" s="1" t="s">
        <v>1142</v>
      </c>
      <c r="AT230" s="1" t="s">
        <v>328</v>
      </c>
      <c r="AU230" s="1">
        <v>235</v>
      </c>
      <c r="AV230" s="1">
        <v>0</v>
      </c>
      <c r="AW230" s="1" t="s">
        <v>5197</v>
      </c>
      <c r="AX230" s="1" t="s">
        <v>331</v>
      </c>
      <c r="AY230" s="1">
        <v>4</v>
      </c>
      <c r="AZ230" s="1">
        <v>0</v>
      </c>
      <c r="BA230" s="1" t="s">
        <v>328</v>
      </c>
      <c r="BB230" s="1" t="s">
        <v>328</v>
      </c>
      <c r="BC230" s="1" t="s">
        <v>4853</v>
      </c>
      <c r="BD230" s="1">
        <v>10704</v>
      </c>
      <c r="BE230" s="1"/>
      <c r="BH230">
        <f>COUNTIF(Dropdowns!$I:$AF,C230)</f>
        <v>1</v>
      </c>
    </row>
    <row r="231" spans="1:60" x14ac:dyDescent="0.3">
      <c r="A231" s="1">
        <v>236</v>
      </c>
      <c r="B231" s="1" t="s">
        <v>3627</v>
      </c>
      <c r="C231" s="207" t="s">
        <v>188</v>
      </c>
      <c r="D231" s="1" t="s">
        <v>188</v>
      </c>
      <c r="E231" s="1"/>
      <c r="F231" s="1"/>
      <c r="G231" s="1" t="s">
        <v>3628</v>
      </c>
      <c r="H231" s="1" t="s">
        <v>3629</v>
      </c>
      <c r="I231" s="1" t="s">
        <v>3630</v>
      </c>
      <c r="J231" s="1">
        <v>4</v>
      </c>
      <c r="K231" s="1">
        <v>5</v>
      </c>
      <c r="L231" s="1">
        <v>15060</v>
      </c>
      <c r="M231" s="1">
        <v>20</v>
      </c>
      <c r="N231" s="1">
        <v>20</v>
      </c>
      <c r="O231" s="1">
        <v>10</v>
      </c>
      <c r="P231" s="1">
        <v>10</v>
      </c>
      <c r="Q231" s="1">
        <v>2</v>
      </c>
      <c r="R231" s="1">
        <v>5</v>
      </c>
      <c r="S231" s="1">
        <v>5</v>
      </c>
      <c r="T231" s="1">
        <v>0</v>
      </c>
      <c r="U231" s="1">
        <v>122</v>
      </c>
      <c r="V231" s="1">
        <v>112</v>
      </c>
      <c r="W231" s="1">
        <v>110</v>
      </c>
      <c r="X231" s="1">
        <v>100</v>
      </c>
      <c r="Y231" s="1">
        <v>122</v>
      </c>
      <c r="Z231" s="1">
        <v>82</v>
      </c>
      <c r="AA231" s="1">
        <v>0</v>
      </c>
      <c r="AB231" s="1">
        <v>15</v>
      </c>
      <c r="AC231" s="1">
        <v>20</v>
      </c>
      <c r="AD231" s="1">
        <v>0</v>
      </c>
      <c r="AE231" s="1">
        <v>128</v>
      </c>
      <c r="AF231" s="1">
        <v>100</v>
      </c>
      <c r="AG231" s="1">
        <v>110067</v>
      </c>
      <c r="AH231" s="1">
        <v>0</v>
      </c>
      <c r="AI231" s="1">
        <v>300103</v>
      </c>
      <c r="AJ231" s="1" t="s">
        <v>1251</v>
      </c>
      <c r="AK231" s="1" t="s">
        <v>1252</v>
      </c>
      <c r="AL231" s="1">
        <v>13</v>
      </c>
      <c r="AM231" s="1" t="s">
        <v>4719</v>
      </c>
      <c r="AN231" s="1" t="s">
        <v>4864</v>
      </c>
      <c r="AO231" s="1" t="s">
        <v>5169</v>
      </c>
      <c r="AP231" s="1">
        <v>0</v>
      </c>
      <c r="AQ231" s="1" t="s">
        <v>1130</v>
      </c>
      <c r="AR231" s="1" t="s">
        <v>1154</v>
      </c>
      <c r="AS231" s="1" t="s">
        <v>1129</v>
      </c>
      <c r="AT231" s="1" t="s">
        <v>328</v>
      </c>
      <c r="AU231" s="1">
        <v>236</v>
      </c>
      <c r="AV231" s="1">
        <v>0</v>
      </c>
      <c r="AW231" s="1" t="s">
        <v>5197</v>
      </c>
      <c r="AX231" s="1" t="s">
        <v>331</v>
      </c>
      <c r="AY231" s="1">
        <v>5</v>
      </c>
      <c r="AZ231" s="1">
        <v>0</v>
      </c>
      <c r="BA231" s="1" t="s">
        <v>328</v>
      </c>
      <c r="BB231" s="1" t="s">
        <v>328</v>
      </c>
      <c r="BC231" s="1" t="s">
        <v>328</v>
      </c>
      <c r="BD231" s="1">
        <v>10402</v>
      </c>
      <c r="BE231" s="1"/>
      <c r="BH231">
        <f>COUNTIF(Dropdowns!$I:$AF,C231)</f>
        <v>1</v>
      </c>
    </row>
    <row r="232" spans="1:60" x14ac:dyDescent="0.3">
      <c r="A232" s="1">
        <v>237</v>
      </c>
      <c r="B232" s="1" t="s">
        <v>3631</v>
      </c>
      <c r="C232" s="207" t="s">
        <v>1648</v>
      </c>
      <c r="D232" s="1" t="s">
        <v>1648</v>
      </c>
      <c r="E232" s="1"/>
      <c r="F232" s="1"/>
      <c r="G232" s="1" t="s">
        <v>3632</v>
      </c>
      <c r="H232" s="1" t="s">
        <v>3633</v>
      </c>
      <c r="I232" s="1" t="s">
        <v>3634</v>
      </c>
      <c r="J232" s="1">
        <v>4</v>
      </c>
      <c r="K232" s="1">
        <v>4</v>
      </c>
      <c r="L232" s="1">
        <v>12300</v>
      </c>
      <c r="M232" s="1">
        <v>20</v>
      </c>
      <c r="N232" s="1">
        <v>20</v>
      </c>
      <c r="O232" s="1">
        <v>10</v>
      </c>
      <c r="P232" s="1">
        <v>10</v>
      </c>
      <c r="Q232" s="1">
        <v>2</v>
      </c>
      <c r="R232" s="1">
        <v>5</v>
      </c>
      <c r="S232" s="1">
        <v>5</v>
      </c>
      <c r="T232" s="1">
        <v>0</v>
      </c>
      <c r="U232" s="1">
        <v>105</v>
      </c>
      <c r="V232" s="1">
        <v>108</v>
      </c>
      <c r="W232" s="1">
        <v>125</v>
      </c>
      <c r="X232" s="1">
        <v>100</v>
      </c>
      <c r="Y232" s="1">
        <v>130</v>
      </c>
      <c r="Z232" s="1">
        <v>105</v>
      </c>
      <c r="AA232" s="1">
        <v>0</v>
      </c>
      <c r="AB232" s="1">
        <v>15</v>
      </c>
      <c r="AC232" s="1">
        <v>20</v>
      </c>
      <c r="AD232" s="1">
        <v>0</v>
      </c>
      <c r="AE232" s="1">
        <v>100</v>
      </c>
      <c r="AF232" s="1">
        <v>100</v>
      </c>
      <c r="AG232" s="1">
        <v>110052</v>
      </c>
      <c r="AH232" s="1">
        <v>0</v>
      </c>
      <c r="AI232" s="1">
        <v>300103</v>
      </c>
      <c r="AJ232" s="1" t="s">
        <v>1253</v>
      </c>
      <c r="AK232" s="1" t="s">
        <v>328</v>
      </c>
      <c r="AL232" s="1">
        <v>13</v>
      </c>
      <c r="AM232" s="1" t="s">
        <v>4719</v>
      </c>
      <c r="AN232" s="1" t="s">
        <v>4864</v>
      </c>
      <c r="AO232" s="1" t="s">
        <v>5202</v>
      </c>
      <c r="AP232" s="1">
        <v>0</v>
      </c>
      <c r="AQ232" s="1" t="s">
        <v>1130</v>
      </c>
      <c r="AR232" s="1" t="s">
        <v>1154</v>
      </c>
      <c r="AS232" s="1" t="s">
        <v>1129</v>
      </c>
      <c r="AT232" s="1" t="s">
        <v>328</v>
      </c>
      <c r="AU232" s="1">
        <v>237</v>
      </c>
      <c r="AV232" s="1">
        <v>0</v>
      </c>
      <c r="AW232" s="1" t="s">
        <v>5197</v>
      </c>
      <c r="AX232" s="1" t="s">
        <v>331</v>
      </c>
      <c r="AY232" s="1">
        <v>4</v>
      </c>
      <c r="AZ232" s="1">
        <v>0</v>
      </c>
      <c r="BA232" s="1" t="s">
        <v>328</v>
      </c>
      <c r="BB232" s="1" t="s">
        <v>328</v>
      </c>
      <c r="BC232" s="1" t="s">
        <v>328</v>
      </c>
      <c r="BD232" s="1">
        <v>10802</v>
      </c>
      <c r="BE232" s="1"/>
      <c r="BH232">
        <f>COUNTIF(Dropdowns!$I:$AF,C232)</f>
        <v>1</v>
      </c>
    </row>
    <row r="233" spans="1:60" x14ac:dyDescent="0.3">
      <c r="A233" s="1">
        <v>238</v>
      </c>
      <c r="B233" s="1" t="s">
        <v>3635</v>
      </c>
      <c r="C233" s="207" t="s">
        <v>785</v>
      </c>
      <c r="D233" s="1" t="s">
        <v>119</v>
      </c>
      <c r="E233" s="1"/>
      <c r="F233" s="1"/>
      <c r="G233" s="1" t="s">
        <v>3636</v>
      </c>
      <c r="H233" s="1" t="s">
        <v>3637</v>
      </c>
      <c r="I233" s="1" t="s">
        <v>3638</v>
      </c>
      <c r="J233" s="1">
        <v>5</v>
      </c>
      <c r="K233" s="1">
        <v>5</v>
      </c>
      <c r="L233" s="1">
        <v>23280</v>
      </c>
      <c r="M233" s="1">
        <v>40</v>
      </c>
      <c r="N233" s="1">
        <v>30</v>
      </c>
      <c r="O233" s="1">
        <v>25</v>
      </c>
      <c r="P233" s="1">
        <v>15</v>
      </c>
      <c r="Q233" s="1">
        <v>5</v>
      </c>
      <c r="R233" s="1">
        <v>5</v>
      </c>
      <c r="S233" s="1">
        <v>2</v>
      </c>
      <c r="T233" s="1">
        <v>5</v>
      </c>
      <c r="U233" s="1">
        <v>100</v>
      </c>
      <c r="V233" s="1">
        <v>100</v>
      </c>
      <c r="W233" s="1">
        <v>115</v>
      </c>
      <c r="X233" s="1">
        <v>100</v>
      </c>
      <c r="Y233" s="1">
        <v>122</v>
      </c>
      <c r="Z233" s="1">
        <v>130</v>
      </c>
      <c r="AA233" s="1">
        <v>0</v>
      </c>
      <c r="AB233" s="1">
        <v>15</v>
      </c>
      <c r="AC233" s="1">
        <v>5</v>
      </c>
      <c r="AD233" s="1">
        <v>10</v>
      </c>
      <c r="AE233" s="1">
        <v>130</v>
      </c>
      <c r="AF233" s="1">
        <v>100</v>
      </c>
      <c r="AG233" s="1">
        <v>110059</v>
      </c>
      <c r="AH233" s="1">
        <v>0</v>
      </c>
      <c r="AI233" s="1">
        <v>110078</v>
      </c>
      <c r="AJ233" s="1" t="s">
        <v>5203</v>
      </c>
      <c r="AK233" s="1" t="s">
        <v>1254</v>
      </c>
      <c r="AL233" s="1">
        <v>19</v>
      </c>
      <c r="AM233" s="1" t="s">
        <v>4858</v>
      </c>
      <c r="AN233" s="1" t="s">
        <v>5204</v>
      </c>
      <c r="AO233" s="1" t="s">
        <v>5205</v>
      </c>
      <c r="AP233" s="1">
        <v>0</v>
      </c>
      <c r="AQ233" s="1" t="s">
        <v>1167</v>
      </c>
      <c r="AR233" s="1" t="s">
        <v>1168</v>
      </c>
      <c r="AS233" s="1" t="s">
        <v>1169</v>
      </c>
      <c r="AT233" s="1" t="s">
        <v>328</v>
      </c>
      <c r="AU233" s="1">
        <v>238</v>
      </c>
      <c r="AV233" s="1">
        <v>0</v>
      </c>
      <c r="AW233" s="1" t="s">
        <v>5197</v>
      </c>
      <c r="AX233" s="1" t="s">
        <v>331</v>
      </c>
      <c r="AY233" s="1">
        <v>5</v>
      </c>
      <c r="AZ233" s="1">
        <v>0</v>
      </c>
      <c r="BA233" s="1" t="s">
        <v>328</v>
      </c>
      <c r="BB233" s="1" t="s">
        <v>5206</v>
      </c>
      <c r="BC233" s="1" t="s">
        <v>4783</v>
      </c>
      <c r="BD233" s="1">
        <v>10802</v>
      </c>
      <c r="BE233" s="1"/>
      <c r="BH233">
        <f>COUNTIF(Dropdowns!$I:$AF,C233)</f>
        <v>1</v>
      </c>
    </row>
    <row r="234" spans="1:60" x14ac:dyDescent="0.3">
      <c r="A234" s="1">
        <v>239</v>
      </c>
      <c r="B234" s="1" t="s">
        <v>3639</v>
      </c>
      <c r="C234" s="207" t="s">
        <v>238</v>
      </c>
      <c r="D234" s="1" t="s">
        <v>238</v>
      </c>
      <c r="E234" s="1"/>
      <c r="F234" s="1"/>
      <c r="G234" s="1" t="s">
        <v>3640</v>
      </c>
      <c r="H234" s="1" t="s">
        <v>3641</v>
      </c>
      <c r="I234" s="1" t="s">
        <v>3642</v>
      </c>
      <c r="J234" s="1">
        <v>4</v>
      </c>
      <c r="K234" s="1">
        <v>3</v>
      </c>
      <c r="L234" s="1">
        <v>12000</v>
      </c>
      <c r="M234" s="1">
        <v>20</v>
      </c>
      <c r="N234" s="1">
        <v>20</v>
      </c>
      <c r="O234" s="1">
        <v>10</v>
      </c>
      <c r="P234" s="1">
        <v>10</v>
      </c>
      <c r="Q234" s="1">
        <v>2</v>
      </c>
      <c r="R234" s="1">
        <v>5</v>
      </c>
      <c r="S234" s="1">
        <v>5</v>
      </c>
      <c r="T234" s="1">
        <v>0</v>
      </c>
      <c r="U234" s="1">
        <v>105</v>
      </c>
      <c r="V234" s="1">
        <v>120</v>
      </c>
      <c r="W234" s="1">
        <v>110</v>
      </c>
      <c r="X234" s="1">
        <v>100</v>
      </c>
      <c r="Y234" s="1">
        <v>125</v>
      </c>
      <c r="Z234" s="1">
        <v>102</v>
      </c>
      <c r="AA234" s="1">
        <v>0</v>
      </c>
      <c r="AB234" s="1">
        <v>15</v>
      </c>
      <c r="AC234" s="1">
        <v>20</v>
      </c>
      <c r="AD234" s="1">
        <v>0</v>
      </c>
      <c r="AE234" s="1">
        <v>105</v>
      </c>
      <c r="AF234" s="1">
        <v>100</v>
      </c>
      <c r="AG234" s="1">
        <v>105903</v>
      </c>
      <c r="AH234" s="1">
        <v>0</v>
      </c>
      <c r="AI234" s="1">
        <v>300103</v>
      </c>
      <c r="AJ234" s="1" t="s">
        <v>1125</v>
      </c>
      <c r="AK234" s="1" t="s">
        <v>328</v>
      </c>
      <c r="AL234" s="1">
        <v>13</v>
      </c>
      <c r="AM234" s="1" t="s">
        <v>4719</v>
      </c>
      <c r="AN234" s="1" t="s">
        <v>475</v>
      </c>
      <c r="AO234" s="1" t="s">
        <v>5207</v>
      </c>
      <c r="AP234" s="1">
        <v>0</v>
      </c>
      <c r="AQ234" s="1" t="s">
        <v>1130</v>
      </c>
      <c r="AR234" s="1" t="s">
        <v>1154</v>
      </c>
      <c r="AS234" s="1" t="s">
        <v>1129</v>
      </c>
      <c r="AT234" s="1" t="s">
        <v>328</v>
      </c>
      <c r="AU234" s="1">
        <v>239</v>
      </c>
      <c r="AV234" s="1">
        <v>0</v>
      </c>
      <c r="AW234" s="1" t="s">
        <v>5208</v>
      </c>
      <c r="AX234" s="1" t="s">
        <v>5183</v>
      </c>
      <c r="AY234" s="1">
        <v>3</v>
      </c>
      <c r="AZ234" s="1">
        <v>0</v>
      </c>
      <c r="BA234" s="1" t="s">
        <v>328</v>
      </c>
      <c r="BB234" s="1" t="s">
        <v>4952</v>
      </c>
      <c r="BC234" s="1" t="s">
        <v>4783</v>
      </c>
      <c r="BD234" s="1">
        <v>10704</v>
      </c>
      <c r="BE234" s="1"/>
      <c r="BH234">
        <f>COUNTIF(Dropdowns!$I:$AF,C234)</f>
        <v>1</v>
      </c>
    </row>
    <row r="235" spans="1:60" x14ac:dyDescent="0.3">
      <c r="A235" s="1">
        <v>240</v>
      </c>
      <c r="B235" s="1" t="s">
        <v>3643</v>
      </c>
      <c r="C235" s="207" t="s">
        <v>189</v>
      </c>
      <c r="D235" s="1" t="s">
        <v>189</v>
      </c>
      <c r="E235" s="1"/>
      <c r="F235" s="1"/>
      <c r="G235" s="1" t="s">
        <v>3644</v>
      </c>
      <c r="H235" s="1" t="s">
        <v>3645</v>
      </c>
      <c r="I235" s="1" t="s">
        <v>3646</v>
      </c>
      <c r="J235" s="1">
        <v>5</v>
      </c>
      <c r="K235" s="1">
        <v>4</v>
      </c>
      <c r="L235" s="1">
        <v>22800</v>
      </c>
      <c r="M235" s="1">
        <v>40</v>
      </c>
      <c r="N235" s="1">
        <v>30</v>
      </c>
      <c r="O235" s="1">
        <v>25</v>
      </c>
      <c r="P235" s="1">
        <v>15</v>
      </c>
      <c r="Q235" s="1">
        <v>5</v>
      </c>
      <c r="R235" s="1">
        <v>5</v>
      </c>
      <c r="S235" s="1">
        <v>2</v>
      </c>
      <c r="T235" s="1">
        <v>5</v>
      </c>
      <c r="U235" s="1">
        <v>98</v>
      </c>
      <c r="V235" s="1">
        <v>90</v>
      </c>
      <c r="W235" s="1">
        <v>128</v>
      </c>
      <c r="X235" s="1">
        <v>100</v>
      </c>
      <c r="Y235" s="1">
        <v>125</v>
      </c>
      <c r="Z235" s="1">
        <v>132</v>
      </c>
      <c r="AA235" s="1">
        <v>0</v>
      </c>
      <c r="AB235" s="1">
        <v>15</v>
      </c>
      <c r="AC235" s="1">
        <v>5</v>
      </c>
      <c r="AD235" s="1">
        <v>9</v>
      </c>
      <c r="AE235" s="1">
        <v>132</v>
      </c>
      <c r="AF235" s="1">
        <v>100</v>
      </c>
      <c r="AG235" s="1">
        <v>110094</v>
      </c>
      <c r="AH235" s="1">
        <v>0</v>
      </c>
      <c r="AI235" s="1">
        <v>300105</v>
      </c>
      <c r="AJ235" s="1" t="s">
        <v>1166</v>
      </c>
      <c r="AK235" s="1" t="s">
        <v>328</v>
      </c>
      <c r="AL235" s="1">
        <v>17</v>
      </c>
      <c r="AM235" s="1" t="s">
        <v>4858</v>
      </c>
      <c r="AN235" s="1" t="s">
        <v>4916</v>
      </c>
      <c r="AO235" s="1" t="s">
        <v>5209</v>
      </c>
      <c r="AP235" s="1">
        <v>0</v>
      </c>
      <c r="AQ235" s="1" t="s">
        <v>1167</v>
      </c>
      <c r="AR235" s="1" t="s">
        <v>1168</v>
      </c>
      <c r="AS235" s="1" t="s">
        <v>1169</v>
      </c>
      <c r="AT235" s="1" t="s">
        <v>328</v>
      </c>
      <c r="AU235" s="1">
        <v>240</v>
      </c>
      <c r="AV235" s="1">
        <v>0</v>
      </c>
      <c r="AW235" s="1" t="s">
        <v>4969</v>
      </c>
      <c r="AX235" s="1" t="s">
        <v>5210</v>
      </c>
      <c r="AY235" s="1">
        <v>4</v>
      </c>
      <c r="AZ235" s="1">
        <v>0</v>
      </c>
      <c r="BA235" s="1" t="s">
        <v>328</v>
      </c>
      <c r="BB235" s="1" t="s">
        <v>328</v>
      </c>
      <c r="BC235" s="1" t="s">
        <v>4720</v>
      </c>
      <c r="BD235" s="1">
        <v>10402</v>
      </c>
      <c r="BE235" s="1"/>
      <c r="BH235">
        <f>COUNTIF(Dropdowns!$I:$AF,C235)</f>
        <v>1</v>
      </c>
    </row>
    <row r="236" spans="1:60" x14ac:dyDescent="0.3">
      <c r="A236" s="1">
        <v>241</v>
      </c>
      <c r="B236" s="1" t="s">
        <v>3647</v>
      </c>
      <c r="C236" s="207" t="s">
        <v>1649</v>
      </c>
      <c r="D236" s="1" t="s">
        <v>1649</v>
      </c>
      <c r="E236" s="1"/>
      <c r="F236" s="1"/>
      <c r="G236" s="1" t="s">
        <v>3648</v>
      </c>
      <c r="H236" s="1" t="s">
        <v>3649</v>
      </c>
      <c r="I236" s="1" t="s">
        <v>3650</v>
      </c>
      <c r="J236" s="1">
        <v>3</v>
      </c>
      <c r="K236" s="1">
        <v>3</v>
      </c>
      <c r="L236" s="1">
        <v>15600</v>
      </c>
      <c r="M236" s="1">
        <v>15</v>
      </c>
      <c r="N236" s="1">
        <v>30</v>
      </c>
      <c r="O236" s="1">
        <v>10</v>
      </c>
      <c r="P236" s="1">
        <v>15</v>
      </c>
      <c r="Q236" s="1">
        <v>5</v>
      </c>
      <c r="R236" s="1">
        <v>2</v>
      </c>
      <c r="S236" s="1">
        <v>5</v>
      </c>
      <c r="T236" s="1">
        <v>0</v>
      </c>
      <c r="U236" s="1">
        <v>102</v>
      </c>
      <c r="V236" s="1">
        <v>145</v>
      </c>
      <c r="W236" s="1">
        <v>80</v>
      </c>
      <c r="X236" s="1">
        <v>100</v>
      </c>
      <c r="Y236" s="1">
        <v>115</v>
      </c>
      <c r="Z236" s="1">
        <v>80</v>
      </c>
      <c r="AA236" s="1">
        <v>0</v>
      </c>
      <c r="AB236" s="1">
        <v>15</v>
      </c>
      <c r="AC236" s="1">
        <v>40</v>
      </c>
      <c r="AD236" s="1">
        <v>0</v>
      </c>
      <c r="AE236" s="1">
        <v>122</v>
      </c>
      <c r="AF236" s="1">
        <v>100</v>
      </c>
      <c r="AG236" s="1">
        <v>102708</v>
      </c>
      <c r="AH236" s="1">
        <v>0</v>
      </c>
      <c r="AI236" s="1">
        <v>300104</v>
      </c>
      <c r="AJ236" s="1" t="s">
        <v>1195</v>
      </c>
      <c r="AK236" s="1" t="s">
        <v>328</v>
      </c>
      <c r="AL236" s="1">
        <v>13</v>
      </c>
      <c r="AM236" s="1" t="s">
        <v>4762</v>
      </c>
      <c r="AN236" s="1" t="s">
        <v>4829</v>
      </c>
      <c r="AO236" s="1" t="s">
        <v>4826</v>
      </c>
      <c r="AP236" s="1">
        <v>0</v>
      </c>
      <c r="AQ236" s="1" t="s">
        <v>1140</v>
      </c>
      <c r="AR236" s="1" t="s">
        <v>1141</v>
      </c>
      <c r="AS236" s="1" t="s">
        <v>1142</v>
      </c>
      <c r="AT236" s="1" t="s">
        <v>328</v>
      </c>
      <c r="AU236" s="1">
        <v>241</v>
      </c>
      <c r="AV236" s="1">
        <v>0</v>
      </c>
      <c r="AW236" s="1" t="s">
        <v>5211</v>
      </c>
      <c r="AX236" s="1" t="s">
        <v>5183</v>
      </c>
      <c r="AY236" s="1">
        <v>3</v>
      </c>
      <c r="AZ236" s="1">
        <v>0</v>
      </c>
      <c r="BA236" s="1" t="s">
        <v>328</v>
      </c>
      <c r="BB236" s="1" t="s">
        <v>328</v>
      </c>
      <c r="BC236" s="1" t="s">
        <v>328</v>
      </c>
      <c r="BD236" s="1">
        <v>10802</v>
      </c>
      <c r="BE236" s="1"/>
      <c r="BH236">
        <f>COUNTIF(Dropdowns!$I:$AF,C236)</f>
        <v>1</v>
      </c>
    </row>
    <row r="237" spans="1:60" x14ac:dyDescent="0.3">
      <c r="A237" s="1">
        <v>242</v>
      </c>
      <c r="B237" s="1" t="s">
        <v>3651</v>
      </c>
      <c r="C237" s="207" t="s">
        <v>197</v>
      </c>
      <c r="D237" s="1" t="s">
        <v>197</v>
      </c>
      <c r="E237" s="1"/>
      <c r="F237" s="1"/>
      <c r="G237" s="1" t="s">
        <v>3652</v>
      </c>
      <c r="H237" s="1" t="s">
        <v>3653</v>
      </c>
      <c r="I237" s="1" t="s">
        <v>3654</v>
      </c>
      <c r="J237" s="1">
        <v>1</v>
      </c>
      <c r="K237" s="1">
        <v>5</v>
      </c>
      <c r="L237" s="1">
        <v>4200</v>
      </c>
      <c r="M237" s="1">
        <v>10</v>
      </c>
      <c r="N237" s="1">
        <v>10</v>
      </c>
      <c r="O237" s="1">
        <v>5</v>
      </c>
      <c r="P237" s="1">
        <v>5</v>
      </c>
      <c r="Q237" s="1">
        <v>2</v>
      </c>
      <c r="R237" s="1">
        <v>2</v>
      </c>
      <c r="S237" s="1">
        <v>2</v>
      </c>
      <c r="T237" s="1">
        <v>0</v>
      </c>
      <c r="U237" s="1">
        <v>105</v>
      </c>
      <c r="V237" s="1">
        <v>95</v>
      </c>
      <c r="W237" s="1">
        <v>112</v>
      </c>
      <c r="X237" s="1">
        <v>100</v>
      </c>
      <c r="Y237" s="1">
        <v>122</v>
      </c>
      <c r="Z237" s="1">
        <v>138</v>
      </c>
      <c r="AA237" s="1">
        <v>0</v>
      </c>
      <c r="AB237" s="1">
        <v>15</v>
      </c>
      <c r="AC237" s="1">
        <v>20</v>
      </c>
      <c r="AD237" s="1">
        <v>0</v>
      </c>
      <c r="AE237" s="1">
        <v>130</v>
      </c>
      <c r="AF237" s="1">
        <v>100</v>
      </c>
      <c r="AG237" s="1">
        <v>111001</v>
      </c>
      <c r="AH237" s="1">
        <v>0</v>
      </c>
      <c r="AI237" s="1">
        <v>300101</v>
      </c>
      <c r="AJ237" s="1" t="s">
        <v>328</v>
      </c>
      <c r="AK237" s="1" t="s">
        <v>328</v>
      </c>
      <c r="AL237" s="1">
        <v>14</v>
      </c>
      <c r="AM237" s="1" t="s">
        <v>1806</v>
      </c>
      <c r="AN237" s="1" t="s">
        <v>5212</v>
      </c>
      <c r="AO237" s="1" t="s">
        <v>4875</v>
      </c>
      <c r="AP237" s="1">
        <v>0</v>
      </c>
      <c r="AQ237" s="1" t="s">
        <v>1118</v>
      </c>
      <c r="AR237" s="1" t="s">
        <v>1119</v>
      </c>
      <c r="AS237" s="1" t="s">
        <v>1120</v>
      </c>
      <c r="AT237" s="1" t="s">
        <v>328</v>
      </c>
      <c r="AU237" s="1">
        <v>96</v>
      </c>
      <c r="AV237" s="1">
        <v>0</v>
      </c>
      <c r="AW237" s="1" t="s">
        <v>5189</v>
      </c>
      <c r="AX237" s="1" t="s">
        <v>5183</v>
      </c>
      <c r="AY237" s="1">
        <v>5</v>
      </c>
      <c r="AZ237" s="1">
        <v>0</v>
      </c>
      <c r="BA237" s="1" t="s">
        <v>328</v>
      </c>
      <c r="BB237" s="1" t="s">
        <v>328</v>
      </c>
      <c r="BC237" s="1" t="s">
        <v>4769</v>
      </c>
      <c r="BD237" s="1">
        <v>10203</v>
      </c>
      <c r="BE237" s="1"/>
      <c r="BH237">
        <f>COUNTIF(Dropdowns!$I:$AF,C237)</f>
        <v>0</v>
      </c>
    </row>
    <row r="238" spans="1:60" x14ac:dyDescent="0.3">
      <c r="A238" s="1">
        <v>243</v>
      </c>
      <c r="B238" s="1" t="s">
        <v>3655</v>
      </c>
      <c r="C238" s="207" t="s">
        <v>837</v>
      </c>
      <c r="D238" s="1" t="s">
        <v>3656</v>
      </c>
      <c r="E238" s="1"/>
      <c r="F238" s="1"/>
      <c r="G238" s="1" t="s">
        <v>3657</v>
      </c>
      <c r="H238" s="1" t="s">
        <v>3658</v>
      </c>
      <c r="I238" s="1" t="s">
        <v>3659</v>
      </c>
      <c r="J238" s="1">
        <v>4</v>
      </c>
      <c r="K238" s="1">
        <v>5</v>
      </c>
      <c r="L238" s="1">
        <v>14760</v>
      </c>
      <c r="M238" s="1">
        <v>20</v>
      </c>
      <c r="N238" s="1">
        <v>20</v>
      </c>
      <c r="O238" s="1">
        <v>10</v>
      </c>
      <c r="P238" s="1">
        <v>10</v>
      </c>
      <c r="Q238" s="1">
        <v>2</v>
      </c>
      <c r="R238" s="1">
        <v>5</v>
      </c>
      <c r="S238" s="1">
        <v>5</v>
      </c>
      <c r="T238" s="1">
        <v>0</v>
      </c>
      <c r="U238" s="1">
        <v>113</v>
      </c>
      <c r="V238" s="1">
        <v>132</v>
      </c>
      <c r="W238" s="1">
        <v>88</v>
      </c>
      <c r="X238" s="1">
        <v>100</v>
      </c>
      <c r="Y238" s="1">
        <v>130</v>
      </c>
      <c r="Z238" s="1">
        <v>90</v>
      </c>
      <c r="AA238" s="1">
        <v>0</v>
      </c>
      <c r="AB238" s="1">
        <v>15</v>
      </c>
      <c r="AC238" s="1">
        <v>20</v>
      </c>
      <c r="AD238" s="1">
        <v>0</v>
      </c>
      <c r="AE238" s="1">
        <v>140</v>
      </c>
      <c r="AF238" s="1">
        <v>100</v>
      </c>
      <c r="AG238" s="1">
        <v>110501</v>
      </c>
      <c r="AH238" s="1">
        <v>0</v>
      </c>
      <c r="AI238" s="1">
        <v>300103</v>
      </c>
      <c r="AJ238" s="1" t="s">
        <v>1255</v>
      </c>
      <c r="AK238" s="1" t="s">
        <v>1256</v>
      </c>
      <c r="AL238" s="1">
        <v>13</v>
      </c>
      <c r="AM238" s="1" t="s">
        <v>4719</v>
      </c>
      <c r="AN238" s="1" t="s">
        <v>4884</v>
      </c>
      <c r="AO238" s="1" t="s">
        <v>5213</v>
      </c>
      <c r="AP238" s="1">
        <v>0</v>
      </c>
      <c r="AQ238" s="1" t="s">
        <v>1130</v>
      </c>
      <c r="AR238" s="1" t="s">
        <v>1154</v>
      </c>
      <c r="AS238" s="1" t="s">
        <v>1129</v>
      </c>
      <c r="AT238" s="1" t="s">
        <v>328</v>
      </c>
      <c r="AU238" s="1">
        <v>215</v>
      </c>
      <c r="AV238" s="1">
        <v>0</v>
      </c>
      <c r="AW238" s="1" t="s">
        <v>5189</v>
      </c>
      <c r="AX238" s="1" t="s">
        <v>331</v>
      </c>
      <c r="AY238" s="1">
        <v>5</v>
      </c>
      <c r="AZ238" s="1">
        <v>0</v>
      </c>
      <c r="BA238" s="1" t="s">
        <v>328</v>
      </c>
      <c r="BB238" s="1" t="s">
        <v>328</v>
      </c>
      <c r="BC238" s="1" t="s">
        <v>328</v>
      </c>
      <c r="BD238" s="1">
        <v>10403</v>
      </c>
      <c r="BE238" s="1"/>
      <c r="BH238">
        <f>COUNTIF(Dropdowns!$I:$AF,C238)</f>
        <v>1</v>
      </c>
    </row>
    <row r="239" spans="1:60" x14ac:dyDescent="0.3">
      <c r="A239" s="1">
        <v>244</v>
      </c>
      <c r="B239" s="1" t="s">
        <v>3660</v>
      </c>
      <c r="C239" s="207" t="s">
        <v>1650</v>
      </c>
      <c r="D239" s="1" t="s">
        <v>1650</v>
      </c>
      <c r="E239" s="1"/>
      <c r="F239" s="1"/>
      <c r="G239" s="1" t="s">
        <v>3661</v>
      </c>
      <c r="H239" s="1" t="s">
        <v>3662</v>
      </c>
      <c r="I239" s="1" t="s">
        <v>3663</v>
      </c>
      <c r="J239" s="1">
        <v>1</v>
      </c>
      <c r="K239" s="1">
        <v>3</v>
      </c>
      <c r="L239" s="1">
        <v>2700</v>
      </c>
      <c r="M239" s="1">
        <v>10</v>
      </c>
      <c r="N239" s="1">
        <v>10</v>
      </c>
      <c r="O239" s="1">
        <v>5</v>
      </c>
      <c r="P239" s="1">
        <v>5</v>
      </c>
      <c r="Q239" s="1">
        <v>2</v>
      </c>
      <c r="R239" s="1">
        <v>2</v>
      </c>
      <c r="S239" s="1">
        <v>2</v>
      </c>
      <c r="T239" s="1">
        <v>0</v>
      </c>
      <c r="U239" s="1">
        <v>125</v>
      </c>
      <c r="V239" s="1">
        <v>112</v>
      </c>
      <c r="W239" s="1">
        <v>120</v>
      </c>
      <c r="X239" s="1">
        <v>100</v>
      </c>
      <c r="Y239" s="1">
        <v>102</v>
      </c>
      <c r="Z239" s="1">
        <v>95</v>
      </c>
      <c r="AA239" s="1">
        <v>0</v>
      </c>
      <c r="AB239" s="1">
        <v>15</v>
      </c>
      <c r="AC239" s="1">
        <v>20</v>
      </c>
      <c r="AD239" s="1">
        <v>0</v>
      </c>
      <c r="AE239" s="1">
        <v>105</v>
      </c>
      <c r="AF239" s="1">
        <v>100</v>
      </c>
      <c r="AG239" s="1">
        <v>111301</v>
      </c>
      <c r="AH239" s="1">
        <v>0</v>
      </c>
      <c r="AI239" s="1">
        <v>300101</v>
      </c>
      <c r="AJ239" s="1" t="s">
        <v>1125</v>
      </c>
      <c r="AK239" s="1" t="s">
        <v>328</v>
      </c>
      <c r="AL239" s="1">
        <v>13</v>
      </c>
      <c r="AM239" s="1" t="s">
        <v>1806</v>
      </c>
      <c r="AN239" s="1" t="s">
        <v>5214</v>
      </c>
      <c r="AO239" s="1" t="s">
        <v>4932</v>
      </c>
      <c r="AP239" s="1">
        <v>0</v>
      </c>
      <c r="AQ239" s="1" t="s">
        <v>1118</v>
      </c>
      <c r="AR239" s="1" t="s">
        <v>1119</v>
      </c>
      <c r="AS239" s="1" t="s">
        <v>1120</v>
      </c>
      <c r="AT239" s="1" t="s">
        <v>328</v>
      </c>
      <c r="AU239" s="1">
        <v>220</v>
      </c>
      <c r="AV239" s="1">
        <v>0</v>
      </c>
      <c r="AW239" s="1" t="s">
        <v>5215</v>
      </c>
      <c r="AX239" s="1" t="s">
        <v>5216</v>
      </c>
      <c r="AY239" s="1">
        <v>3</v>
      </c>
      <c r="AZ239" s="1">
        <v>0</v>
      </c>
      <c r="BA239" s="1" t="s">
        <v>328</v>
      </c>
      <c r="BB239" s="1" t="s">
        <v>328</v>
      </c>
      <c r="BC239" s="1" t="s">
        <v>4720</v>
      </c>
      <c r="BD239" s="1">
        <v>10704</v>
      </c>
      <c r="BE239" s="1"/>
      <c r="BH239">
        <f>COUNTIF(Dropdowns!$I:$AF,C239)</f>
        <v>0</v>
      </c>
    </row>
    <row r="240" spans="1:60" x14ac:dyDescent="0.3">
      <c r="A240" s="1">
        <v>245</v>
      </c>
      <c r="B240" s="1" t="s">
        <v>3664</v>
      </c>
      <c r="C240" s="207" t="s">
        <v>190</v>
      </c>
      <c r="D240" s="1" t="s">
        <v>190</v>
      </c>
      <c r="E240" s="1"/>
      <c r="F240" s="1"/>
      <c r="G240" s="1" t="s">
        <v>3665</v>
      </c>
      <c r="H240" s="1" t="s">
        <v>3666</v>
      </c>
      <c r="I240" s="1" t="s">
        <v>3667</v>
      </c>
      <c r="J240" s="1">
        <v>2</v>
      </c>
      <c r="K240" s="1">
        <v>5</v>
      </c>
      <c r="L240" s="1">
        <v>8940</v>
      </c>
      <c r="M240" s="1">
        <v>25</v>
      </c>
      <c r="N240" s="1">
        <v>20</v>
      </c>
      <c r="O240" s="1">
        <v>15</v>
      </c>
      <c r="P240" s="1">
        <v>10</v>
      </c>
      <c r="Q240" s="1">
        <v>5</v>
      </c>
      <c r="R240" s="1">
        <v>5</v>
      </c>
      <c r="S240" s="1">
        <v>2</v>
      </c>
      <c r="T240" s="1">
        <v>0</v>
      </c>
      <c r="U240" s="1">
        <v>108</v>
      </c>
      <c r="V240" s="1">
        <v>112</v>
      </c>
      <c r="W240" s="1">
        <v>115</v>
      </c>
      <c r="X240" s="1">
        <v>100</v>
      </c>
      <c r="Y240" s="1">
        <v>120</v>
      </c>
      <c r="Z240" s="1">
        <v>126</v>
      </c>
      <c r="AA240" s="1">
        <v>0</v>
      </c>
      <c r="AB240" s="1">
        <v>15</v>
      </c>
      <c r="AC240" s="1">
        <v>5</v>
      </c>
      <c r="AD240" s="1">
        <v>0</v>
      </c>
      <c r="AE240" s="1">
        <v>118</v>
      </c>
      <c r="AF240" s="1">
        <v>100</v>
      </c>
      <c r="AG240" s="1">
        <v>110301</v>
      </c>
      <c r="AH240" s="1">
        <v>0</v>
      </c>
      <c r="AI240" s="1">
        <v>110306</v>
      </c>
      <c r="AJ240" s="1" t="s">
        <v>1257</v>
      </c>
      <c r="AK240" s="1" t="s">
        <v>1258</v>
      </c>
      <c r="AL240" s="1">
        <v>13</v>
      </c>
      <c r="AM240" s="1" t="s">
        <v>4790</v>
      </c>
      <c r="AN240" s="1" t="s">
        <v>4795</v>
      </c>
      <c r="AO240" s="1" t="s">
        <v>5066</v>
      </c>
      <c r="AP240" s="1">
        <v>0</v>
      </c>
      <c r="AQ240" s="1" t="s">
        <v>1129</v>
      </c>
      <c r="AR240" s="1" t="s">
        <v>1119</v>
      </c>
      <c r="AS240" s="1" t="s">
        <v>1130</v>
      </c>
      <c r="AT240" s="1" t="s">
        <v>328</v>
      </c>
      <c r="AU240" s="1">
        <v>28</v>
      </c>
      <c r="AV240" s="1">
        <v>0</v>
      </c>
      <c r="AW240" s="1" t="s">
        <v>5189</v>
      </c>
      <c r="AX240" s="1" t="s">
        <v>331</v>
      </c>
      <c r="AY240" s="1">
        <v>5</v>
      </c>
      <c r="AZ240" s="1">
        <v>0</v>
      </c>
      <c r="BA240" s="1" t="s">
        <v>328</v>
      </c>
      <c r="BB240" s="1" t="s">
        <v>5217</v>
      </c>
      <c r="BC240" s="1" t="s">
        <v>4853</v>
      </c>
      <c r="BD240" s="1">
        <v>10802</v>
      </c>
      <c r="BE240" s="1"/>
      <c r="BH240">
        <f>COUNTIF(Dropdowns!$I:$AF,C240)</f>
        <v>1</v>
      </c>
    </row>
    <row r="241" spans="1:60" x14ac:dyDescent="0.3">
      <c r="A241" s="1">
        <v>247</v>
      </c>
      <c r="B241" s="1" t="s">
        <v>3668</v>
      </c>
      <c r="C241" s="207" t="s">
        <v>191</v>
      </c>
      <c r="D241" s="1" t="s">
        <v>191</v>
      </c>
      <c r="E241" s="1"/>
      <c r="F241" s="1"/>
      <c r="G241" s="1" t="s">
        <v>3669</v>
      </c>
      <c r="H241" s="1" t="s">
        <v>3670</v>
      </c>
      <c r="I241" s="1" t="s">
        <v>3671</v>
      </c>
      <c r="J241" s="1">
        <v>3</v>
      </c>
      <c r="K241" s="1">
        <v>4</v>
      </c>
      <c r="L241" s="1">
        <v>15300</v>
      </c>
      <c r="M241" s="1">
        <v>15</v>
      </c>
      <c r="N241" s="1">
        <v>30</v>
      </c>
      <c r="O241" s="1">
        <v>10</v>
      </c>
      <c r="P241" s="1">
        <v>15</v>
      </c>
      <c r="Q241" s="1">
        <v>5</v>
      </c>
      <c r="R241" s="1">
        <v>2</v>
      </c>
      <c r="S241" s="1">
        <v>5</v>
      </c>
      <c r="T241" s="1">
        <v>0</v>
      </c>
      <c r="U241" s="1">
        <v>88</v>
      </c>
      <c r="V241" s="1">
        <v>115</v>
      </c>
      <c r="W241" s="1">
        <v>112</v>
      </c>
      <c r="X241" s="1">
        <v>100</v>
      </c>
      <c r="Y241" s="1">
        <v>115</v>
      </c>
      <c r="Z241" s="1">
        <v>108</v>
      </c>
      <c r="AA241" s="1">
        <v>0</v>
      </c>
      <c r="AB241" s="1">
        <v>15</v>
      </c>
      <c r="AC241" s="1">
        <v>40</v>
      </c>
      <c r="AD241" s="1">
        <v>0</v>
      </c>
      <c r="AE241" s="1">
        <v>122</v>
      </c>
      <c r="AF241" s="1">
        <v>100</v>
      </c>
      <c r="AG241" s="1">
        <v>110201</v>
      </c>
      <c r="AH241" s="1">
        <v>0</v>
      </c>
      <c r="AI241" s="1">
        <v>300104</v>
      </c>
      <c r="AJ241" s="1" t="s">
        <v>1259</v>
      </c>
      <c r="AK241" s="1" t="s">
        <v>328</v>
      </c>
      <c r="AL241" s="1">
        <v>13</v>
      </c>
      <c r="AM241" s="1" t="s">
        <v>4762</v>
      </c>
      <c r="AN241" s="1" t="s">
        <v>4829</v>
      </c>
      <c r="AO241" s="1" t="s">
        <v>4832</v>
      </c>
      <c r="AP241" s="1">
        <v>0</v>
      </c>
      <c r="AQ241" s="1" t="s">
        <v>1140</v>
      </c>
      <c r="AR241" s="1" t="s">
        <v>1141</v>
      </c>
      <c r="AS241" s="1" t="s">
        <v>1142</v>
      </c>
      <c r="AT241" s="1" t="s">
        <v>328</v>
      </c>
      <c r="AU241" s="1">
        <v>200</v>
      </c>
      <c r="AV241" s="1">
        <v>0</v>
      </c>
      <c r="AW241" s="1" t="s">
        <v>5189</v>
      </c>
      <c r="AX241" s="1" t="s">
        <v>331</v>
      </c>
      <c r="AY241" s="1">
        <v>4</v>
      </c>
      <c r="AZ241" s="1">
        <v>0</v>
      </c>
      <c r="BA241" s="1" t="s">
        <v>328</v>
      </c>
      <c r="BB241" s="1" t="s">
        <v>328</v>
      </c>
      <c r="BC241" s="1" t="s">
        <v>328</v>
      </c>
      <c r="BD241" s="1">
        <v>10303</v>
      </c>
      <c r="BE241" s="1"/>
      <c r="BH241">
        <f>COUNTIF(Dropdowns!$I:$AF,C241)</f>
        <v>1</v>
      </c>
    </row>
    <row r="242" spans="1:60" x14ac:dyDescent="0.3">
      <c r="A242" s="1">
        <v>248</v>
      </c>
      <c r="B242" s="1" t="s">
        <v>3672</v>
      </c>
      <c r="C242" s="207" t="s">
        <v>192</v>
      </c>
      <c r="D242" s="1" t="s">
        <v>192</v>
      </c>
      <c r="E242" s="1"/>
      <c r="F242" s="1"/>
      <c r="G242" s="1" t="s">
        <v>3673</v>
      </c>
      <c r="H242" s="1" t="s">
        <v>3674</v>
      </c>
      <c r="I242" s="1" t="s">
        <v>3675</v>
      </c>
      <c r="J242" s="1">
        <v>1</v>
      </c>
      <c r="K242" s="1">
        <v>4</v>
      </c>
      <c r="L242" s="1">
        <v>2940</v>
      </c>
      <c r="M242" s="1">
        <v>10</v>
      </c>
      <c r="N242" s="1">
        <v>10</v>
      </c>
      <c r="O242" s="1">
        <v>5</v>
      </c>
      <c r="P242" s="1">
        <v>5</v>
      </c>
      <c r="Q242" s="1">
        <v>2</v>
      </c>
      <c r="R242" s="1">
        <v>2</v>
      </c>
      <c r="S242" s="1">
        <v>2</v>
      </c>
      <c r="T242" s="1">
        <v>0</v>
      </c>
      <c r="U242" s="1">
        <v>115</v>
      </c>
      <c r="V242" s="1">
        <v>122</v>
      </c>
      <c r="W242" s="1">
        <v>115</v>
      </c>
      <c r="X242" s="1">
        <v>100</v>
      </c>
      <c r="Y242" s="1">
        <v>112</v>
      </c>
      <c r="Z242" s="1">
        <v>95</v>
      </c>
      <c r="AA242" s="1">
        <v>0</v>
      </c>
      <c r="AB242" s="1">
        <v>15</v>
      </c>
      <c r="AC242" s="1">
        <v>20</v>
      </c>
      <c r="AD242" s="1">
        <v>0</v>
      </c>
      <c r="AE242" s="1">
        <v>106</v>
      </c>
      <c r="AF242" s="1">
        <v>100</v>
      </c>
      <c r="AG242" s="1">
        <v>110401</v>
      </c>
      <c r="AH242" s="1">
        <v>0</v>
      </c>
      <c r="AI242" s="1">
        <v>300101</v>
      </c>
      <c r="AJ242" s="1" t="s">
        <v>1260</v>
      </c>
      <c r="AK242" s="1" t="s">
        <v>328</v>
      </c>
      <c r="AL242" s="1">
        <v>13</v>
      </c>
      <c r="AM242" s="1" t="s">
        <v>1806</v>
      </c>
      <c r="AN242" s="1" t="s">
        <v>5218</v>
      </c>
      <c r="AO242" s="1" t="s">
        <v>4741</v>
      </c>
      <c r="AP242" s="1">
        <v>0</v>
      </c>
      <c r="AQ242" s="1" t="s">
        <v>4742</v>
      </c>
      <c r="AR242" s="1" t="s">
        <v>1119</v>
      </c>
      <c r="AS242" s="1" t="s">
        <v>1120</v>
      </c>
      <c r="AT242" s="1" t="s">
        <v>328</v>
      </c>
      <c r="AU242" s="1">
        <v>212</v>
      </c>
      <c r="AV242" s="1">
        <v>0</v>
      </c>
      <c r="AW242" s="1" t="s">
        <v>5189</v>
      </c>
      <c r="AX242" s="1" t="s">
        <v>4762</v>
      </c>
      <c r="AY242" s="1">
        <v>4</v>
      </c>
      <c r="AZ242" s="1">
        <v>0</v>
      </c>
      <c r="BA242" s="1" t="s">
        <v>328</v>
      </c>
      <c r="BB242" s="1" t="s">
        <v>4986</v>
      </c>
      <c r="BC242" s="1" t="s">
        <v>328</v>
      </c>
      <c r="BD242" s="1">
        <v>10202</v>
      </c>
      <c r="BE242" s="1"/>
      <c r="BH242">
        <f>COUNTIF(Dropdowns!$I:$AF,C242)</f>
        <v>0</v>
      </c>
    </row>
    <row r="243" spans="1:60" x14ac:dyDescent="0.3">
      <c r="A243" s="1">
        <v>249</v>
      </c>
      <c r="B243" s="1" t="s">
        <v>3676</v>
      </c>
      <c r="C243" s="207" t="s">
        <v>239</v>
      </c>
      <c r="D243" s="1" t="s">
        <v>239</v>
      </c>
      <c r="E243" s="1"/>
      <c r="F243" s="1"/>
      <c r="G243" s="1" t="s">
        <v>3677</v>
      </c>
      <c r="H243" s="1" t="s">
        <v>3678</v>
      </c>
      <c r="I243" s="1" t="s">
        <v>3679</v>
      </c>
      <c r="J243" s="1">
        <v>5</v>
      </c>
      <c r="K243" s="1">
        <v>3</v>
      </c>
      <c r="L243" s="1">
        <v>19500</v>
      </c>
      <c r="M243" s="1">
        <v>40</v>
      </c>
      <c r="N243" s="1">
        <v>30</v>
      </c>
      <c r="O243" s="1">
        <v>25</v>
      </c>
      <c r="P243" s="1">
        <v>15</v>
      </c>
      <c r="Q243" s="1">
        <v>5</v>
      </c>
      <c r="R243" s="1">
        <v>5</v>
      </c>
      <c r="S243" s="1">
        <v>2</v>
      </c>
      <c r="T243" s="1">
        <v>5</v>
      </c>
      <c r="U243" s="1">
        <v>102</v>
      </c>
      <c r="V243" s="1">
        <v>108</v>
      </c>
      <c r="W243" s="1">
        <v>115</v>
      </c>
      <c r="X243" s="1">
        <v>100</v>
      </c>
      <c r="Y243" s="1">
        <v>125</v>
      </c>
      <c r="Z243" s="1">
        <v>110</v>
      </c>
      <c r="AA243" s="1">
        <v>0</v>
      </c>
      <c r="AB243" s="1">
        <v>15</v>
      </c>
      <c r="AC243" s="1">
        <v>5</v>
      </c>
      <c r="AD243" s="1">
        <v>9</v>
      </c>
      <c r="AE243" s="1">
        <v>118</v>
      </c>
      <c r="AF243" s="1">
        <v>100</v>
      </c>
      <c r="AG243" s="1">
        <v>110104</v>
      </c>
      <c r="AH243" s="1">
        <v>0</v>
      </c>
      <c r="AI243" s="1">
        <v>300105</v>
      </c>
      <c r="AJ243" s="1" t="s">
        <v>1170</v>
      </c>
      <c r="AK243" s="1" t="s">
        <v>328</v>
      </c>
      <c r="AL243" s="1">
        <v>19</v>
      </c>
      <c r="AM243" s="1" t="s">
        <v>4858</v>
      </c>
      <c r="AN243" s="1" t="s">
        <v>5136</v>
      </c>
      <c r="AO243" s="1" t="s">
        <v>5219</v>
      </c>
      <c r="AP243" s="1">
        <v>0</v>
      </c>
      <c r="AQ243" s="1" t="s">
        <v>1167</v>
      </c>
      <c r="AR243" s="1" t="s">
        <v>1168</v>
      </c>
      <c r="AS243" s="1" t="s">
        <v>1169</v>
      </c>
      <c r="AT243" s="1" t="s">
        <v>328</v>
      </c>
      <c r="AU243" s="1">
        <v>195</v>
      </c>
      <c r="AV243" s="1">
        <v>0</v>
      </c>
      <c r="AW243" s="1" t="s">
        <v>5220</v>
      </c>
      <c r="AX243" s="1" t="s">
        <v>5183</v>
      </c>
      <c r="AY243" s="1">
        <v>3</v>
      </c>
      <c r="AZ243" s="1">
        <v>0</v>
      </c>
      <c r="BA243" s="1" t="s">
        <v>328</v>
      </c>
      <c r="BB243" s="1" t="s">
        <v>328</v>
      </c>
      <c r="BC243" s="1" t="s">
        <v>328</v>
      </c>
      <c r="BD243" s="1">
        <v>10802</v>
      </c>
      <c r="BE243" s="1"/>
      <c r="BH243">
        <f>COUNTIF(Dropdowns!$I:$AF,C243)</f>
        <v>1</v>
      </c>
    </row>
    <row r="244" spans="1:60" x14ac:dyDescent="0.3">
      <c r="A244" s="1">
        <v>250</v>
      </c>
      <c r="B244" s="1" t="s">
        <v>3680</v>
      </c>
      <c r="C244" s="207" t="s">
        <v>200</v>
      </c>
      <c r="D244" s="1" t="s">
        <v>200</v>
      </c>
      <c r="E244" s="1"/>
      <c r="F244" s="1"/>
      <c r="G244" s="1" t="s">
        <v>3681</v>
      </c>
      <c r="H244" s="1" t="s">
        <v>3682</v>
      </c>
      <c r="I244" s="1" t="s">
        <v>3683</v>
      </c>
      <c r="J244" s="1">
        <v>1</v>
      </c>
      <c r="K244" s="1">
        <v>5</v>
      </c>
      <c r="L244" s="1">
        <v>4200</v>
      </c>
      <c r="M244" s="1">
        <v>10</v>
      </c>
      <c r="N244" s="1">
        <v>10</v>
      </c>
      <c r="O244" s="1">
        <v>5</v>
      </c>
      <c r="P244" s="1">
        <v>5</v>
      </c>
      <c r="Q244" s="1">
        <v>2</v>
      </c>
      <c r="R244" s="1">
        <v>2</v>
      </c>
      <c r="S244" s="1">
        <v>2</v>
      </c>
      <c r="T244" s="1">
        <v>0</v>
      </c>
      <c r="U244" s="1">
        <v>108</v>
      </c>
      <c r="V244" s="1">
        <v>125</v>
      </c>
      <c r="W244" s="1">
        <v>115</v>
      </c>
      <c r="X244" s="1">
        <v>100</v>
      </c>
      <c r="Y244" s="1">
        <v>125</v>
      </c>
      <c r="Z244" s="1">
        <v>120</v>
      </c>
      <c r="AA244" s="1">
        <v>0</v>
      </c>
      <c r="AB244" s="1">
        <v>15</v>
      </c>
      <c r="AC244" s="1">
        <v>20</v>
      </c>
      <c r="AD244" s="1">
        <v>0</v>
      </c>
      <c r="AE244" s="1">
        <v>116</v>
      </c>
      <c r="AF244" s="1">
        <v>100</v>
      </c>
      <c r="AG244" s="1">
        <v>110701</v>
      </c>
      <c r="AH244" s="1">
        <v>0</v>
      </c>
      <c r="AI244" s="1">
        <v>300101</v>
      </c>
      <c r="AJ244" s="1" t="s">
        <v>328</v>
      </c>
      <c r="AK244" s="1" t="s">
        <v>328</v>
      </c>
      <c r="AL244" s="1">
        <v>14</v>
      </c>
      <c r="AM244" s="1" t="s">
        <v>1806</v>
      </c>
      <c r="AN244" s="1" t="s">
        <v>5221</v>
      </c>
      <c r="AO244" s="1" t="s">
        <v>5056</v>
      </c>
      <c r="AP244" s="1">
        <v>0</v>
      </c>
      <c r="AQ244" s="1" t="s">
        <v>1118</v>
      </c>
      <c r="AR244" s="1" t="s">
        <v>1119</v>
      </c>
      <c r="AS244" s="1" t="s">
        <v>1120</v>
      </c>
      <c r="AT244" s="1" t="s">
        <v>328</v>
      </c>
      <c r="AU244" s="1">
        <v>96</v>
      </c>
      <c r="AV244" s="1">
        <v>0</v>
      </c>
      <c r="AW244" s="1" t="s">
        <v>5189</v>
      </c>
      <c r="AX244" s="1" t="s">
        <v>5222</v>
      </c>
      <c r="AY244" s="1">
        <v>5</v>
      </c>
      <c r="AZ244" s="1">
        <v>0</v>
      </c>
      <c r="BA244" s="1" t="s">
        <v>328</v>
      </c>
      <c r="BB244" s="1" t="s">
        <v>328</v>
      </c>
      <c r="BC244" s="1" t="s">
        <v>328</v>
      </c>
      <c r="BD244" s="1">
        <v>10203</v>
      </c>
      <c r="BE244" s="1"/>
      <c r="BH244">
        <f>COUNTIF(Dropdowns!$I:$AF,C244)</f>
        <v>0</v>
      </c>
    </row>
    <row r="245" spans="1:60" x14ac:dyDescent="0.3">
      <c r="A245" s="1">
        <v>251</v>
      </c>
      <c r="B245" s="1" t="s">
        <v>3684</v>
      </c>
      <c r="C245" s="207" t="s">
        <v>198</v>
      </c>
      <c r="D245" s="1" t="s">
        <v>198</v>
      </c>
      <c r="E245" s="1"/>
      <c r="F245" s="1"/>
      <c r="G245" s="1" t="s">
        <v>3685</v>
      </c>
      <c r="H245" s="1" t="s">
        <v>3686</v>
      </c>
      <c r="I245" s="1" t="s">
        <v>3687</v>
      </c>
      <c r="J245" s="1">
        <v>2</v>
      </c>
      <c r="K245" s="1">
        <v>5</v>
      </c>
      <c r="L245" s="1">
        <v>14760</v>
      </c>
      <c r="M245" s="1">
        <v>25</v>
      </c>
      <c r="N245" s="1">
        <v>20</v>
      </c>
      <c r="O245" s="1">
        <v>15</v>
      </c>
      <c r="P245" s="1">
        <v>10</v>
      </c>
      <c r="Q245" s="1">
        <v>5</v>
      </c>
      <c r="R245" s="1">
        <v>5</v>
      </c>
      <c r="S245" s="1">
        <v>2</v>
      </c>
      <c r="T245" s="1">
        <v>0</v>
      </c>
      <c r="U245" s="1">
        <v>110</v>
      </c>
      <c r="V245" s="1">
        <v>138</v>
      </c>
      <c r="W245" s="1">
        <v>118</v>
      </c>
      <c r="X245" s="1">
        <v>100</v>
      </c>
      <c r="Y245" s="1">
        <v>116</v>
      </c>
      <c r="Z245" s="1">
        <v>118</v>
      </c>
      <c r="AA245" s="1">
        <v>0</v>
      </c>
      <c r="AB245" s="1">
        <v>15</v>
      </c>
      <c r="AC245" s="1">
        <v>5</v>
      </c>
      <c r="AD245" s="1">
        <v>0</v>
      </c>
      <c r="AE245" s="1">
        <v>100</v>
      </c>
      <c r="AF245" s="1">
        <v>100</v>
      </c>
      <c r="AG245" s="1">
        <v>110801</v>
      </c>
      <c r="AH245" s="1">
        <v>0</v>
      </c>
      <c r="AI245" s="1">
        <v>110802</v>
      </c>
      <c r="AJ245" s="1" t="s">
        <v>328</v>
      </c>
      <c r="AK245" s="1" t="s">
        <v>1261</v>
      </c>
      <c r="AL245" s="1">
        <v>12</v>
      </c>
      <c r="AM245" s="1" t="s">
        <v>4790</v>
      </c>
      <c r="AN245" s="1" t="s">
        <v>5198</v>
      </c>
      <c r="AO245" s="1" t="s">
        <v>4817</v>
      </c>
      <c r="AP245" s="1">
        <v>0</v>
      </c>
      <c r="AQ245" s="1" t="s">
        <v>1129</v>
      </c>
      <c r="AR245" s="1" t="s">
        <v>1119</v>
      </c>
      <c r="AS245" s="1" t="s">
        <v>1130</v>
      </c>
      <c r="AT245" s="1" t="s">
        <v>328</v>
      </c>
      <c r="AU245" s="1">
        <v>28</v>
      </c>
      <c r="AV245" s="1">
        <v>0</v>
      </c>
      <c r="AW245" s="1" t="s">
        <v>5189</v>
      </c>
      <c r="AX245" s="1" t="s">
        <v>5183</v>
      </c>
      <c r="AY245" s="1">
        <v>5</v>
      </c>
      <c r="AZ245" s="1">
        <v>0</v>
      </c>
      <c r="BA245" s="1" t="s">
        <v>328</v>
      </c>
      <c r="BB245" s="1" t="s">
        <v>328</v>
      </c>
      <c r="BC245" s="1" t="s">
        <v>328</v>
      </c>
      <c r="BD245" s="1">
        <v>10203</v>
      </c>
      <c r="BE245" s="1"/>
      <c r="BH245">
        <f>COUNTIF(Dropdowns!$I:$AF,C245)</f>
        <v>1</v>
      </c>
    </row>
    <row r="246" spans="1:60" x14ac:dyDescent="0.3">
      <c r="A246" s="1">
        <v>252</v>
      </c>
      <c r="B246" s="1" t="s">
        <v>3688</v>
      </c>
      <c r="C246" s="207" t="s">
        <v>199</v>
      </c>
      <c r="D246" s="1" t="s">
        <v>199</v>
      </c>
      <c r="E246" s="1"/>
      <c r="F246" s="1"/>
      <c r="G246" s="1" t="s">
        <v>3689</v>
      </c>
      <c r="H246" s="1" t="s">
        <v>3690</v>
      </c>
      <c r="I246" s="1" t="s">
        <v>3691</v>
      </c>
      <c r="J246" s="1">
        <v>3</v>
      </c>
      <c r="K246" s="1">
        <v>4</v>
      </c>
      <c r="L246" s="1">
        <v>15000</v>
      </c>
      <c r="M246" s="1">
        <v>15</v>
      </c>
      <c r="N246" s="1">
        <v>30</v>
      </c>
      <c r="O246" s="1">
        <v>10</v>
      </c>
      <c r="P246" s="1">
        <v>15</v>
      </c>
      <c r="Q246" s="1">
        <v>5</v>
      </c>
      <c r="R246" s="1">
        <v>2</v>
      </c>
      <c r="S246" s="1">
        <v>5</v>
      </c>
      <c r="T246" s="1">
        <v>0</v>
      </c>
      <c r="U246" s="1">
        <v>100</v>
      </c>
      <c r="V246" s="1">
        <v>140</v>
      </c>
      <c r="W246" s="1">
        <v>88</v>
      </c>
      <c r="X246" s="1">
        <v>100</v>
      </c>
      <c r="Y246" s="1">
        <v>112</v>
      </c>
      <c r="Z246" s="1">
        <v>82</v>
      </c>
      <c r="AA246" s="1">
        <v>0</v>
      </c>
      <c r="AB246" s="1">
        <v>15</v>
      </c>
      <c r="AC246" s="1">
        <v>40</v>
      </c>
      <c r="AD246" s="1">
        <v>0</v>
      </c>
      <c r="AE246" s="1">
        <v>128</v>
      </c>
      <c r="AF246" s="1">
        <v>100</v>
      </c>
      <c r="AG246" s="1">
        <v>900214</v>
      </c>
      <c r="AH246" s="1">
        <v>0</v>
      </c>
      <c r="AI246" s="1">
        <v>900621</v>
      </c>
      <c r="AJ246" s="1" t="s">
        <v>1262</v>
      </c>
      <c r="AK246" s="1" t="s">
        <v>328</v>
      </c>
      <c r="AL246" s="1">
        <v>13</v>
      </c>
      <c r="AM246" s="1" t="s">
        <v>4762</v>
      </c>
      <c r="AN246" s="1" t="s">
        <v>4884</v>
      </c>
      <c r="AO246" s="1" t="s">
        <v>4832</v>
      </c>
      <c r="AP246" s="1">
        <v>0</v>
      </c>
      <c r="AQ246" s="1" t="s">
        <v>1746</v>
      </c>
      <c r="AR246" s="1" t="s">
        <v>1141</v>
      </c>
      <c r="AS246" s="1" t="s">
        <v>1142</v>
      </c>
      <c r="AT246" s="1" t="s">
        <v>328</v>
      </c>
      <c r="AU246" s="1">
        <v>184</v>
      </c>
      <c r="AV246" s="1">
        <v>0</v>
      </c>
      <c r="AW246" s="1" t="s">
        <v>5189</v>
      </c>
      <c r="AX246" s="1" t="s">
        <v>5223</v>
      </c>
      <c r="AY246" s="1">
        <v>4</v>
      </c>
      <c r="AZ246" s="1">
        <v>0</v>
      </c>
      <c r="BA246" s="1" t="s">
        <v>4743</v>
      </c>
      <c r="BB246" s="1" t="s">
        <v>328</v>
      </c>
      <c r="BC246" s="1" t="s">
        <v>4757</v>
      </c>
      <c r="BD246" s="1">
        <v>10802</v>
      </c>
      <c r="BE246" s="1"/>
      <c r="BH246">
        <f>COUNTIF(Dropdowns!$I:$AF,C246)</f>
        <v>1</v>
      </c>
    </row>
    <row r="247" spans="1:60" x14ac:dyDescent="0.3">
      <c r="A247" s="1">
        <v>253</v>
      </c>
      <c r="B247" s="1" t="s">
        <v>3692</v>
      </c>
      <c r="C247" s="207" t="s">
        <v>240</v>
      </c>
      <c r="D247" s="1" t="s">
        <v>240</v>
      </c>
      <c r="E247" s="1"/>
      <c r="F247" s="1"/>
      <c r="G247" s="1" t="s">
        <v>3693</v>
      </c>
      <c r="H247" s="1" t="s">
        <v>3694</v>
      </c>
      <c r="I247" s="1" t="s">
        <v>3695</v>
      </c>
      <c r="J247" s="1">
        <v>5</v>
      </c>
      <c r="K247" s="1">
        <v>5</v>
      </c>
      <c r="L247" s="1">
        <v>23280</v>
      </c>
      <c r="M247" s="1">
        <v>40</v>
      </c>
      <c r="N247" s="1">
        <v>30</v>
      </c>
      <c r="O247" s="1">
        <v>25</v>
      </c>
      <c r="P247" s="1">
        <v>15</v>
      </c>
      <c r="Q247" s="1">
        <v>5</v>
      </c>
      <c r="R247" s="1">
        <v>5</v>
      </c>
      <c r="S247" s="1">
        <v>2</v>
      </c>
      <c r="T247" s="1">
        <v>5</v>
      </c>
      <c r="U247" s="1">
        <v>115</v>
      </c>
      <c r="V247" s="1">
        <v>118</v>
      </c>
      <c r="W247" s="1">
        <v>105</v>
      </c>
      <c r="X247" s="1">
        <v>100</v>
      </c>
      <c r="Y247" s="1">
        <v>110</v>
      </c>
      <c r="Z247" s="1">
        <v>110</v>
      </c>
      <c r="AA247" s="1">
        <v>0</v>
      </c>
      <c r="AB247" s="1">
        <v>15</v>
      </c>
      <c r="AC247" s="1">
        <v>5</v>
      </c>
      <c r="AD247" s="1">
        <v>10</v>
      </c>
      <c r="AE247" s="1">
        <v>132</v>
      </c>
      <c r="AF247" s="1">
        <v>100</v>
      </c>
      <c r="AG247" s="1">
        <v>111201</v>
      </c>
      <c r="AH247" s="1">
        <v>0</v>
      </c>
      <c r="AI247" s="1">
        <v>300105</v>
      </c>
      <c r="AJ247" s="1" t="s">
        <v>1263</v>
      </c>
      <c r="AK247" s="1" t="s">
        <v>328</v>
      </c>
      <c r="AL247" s="1">
        <v>18</v>
      </c>
      <c r="AM247" s="1" t="s">
        <v>4858</v>
      </c>
      <c r="AN247" s="1" t="s">
        <v>4984</v>
      </c>
      <c r="AO247" s="1" t="s">
        <v>5205</v>
      </c>
      <c r="AP247" s="1">
        <v>0</v>
      </c>
      <c r="AQ247" s="1" t="s">
        <v>1167</v>
      </c>
      <c r="AR247" s="1" t="s">
        <v>1168</v>
      </c>
      <c r="AS247" s="1" t="s">
        <v>1169</v>
      </c>
      <c r="AT247" s="1" t="s">
        <v>328</v>
      </c>
      <c r="AU247" s="1">
        <v>238</v>
      </c>
      <c r="AV247" s="1">
        <v>0</v>
      </c>
      <c r="AW247" s="1" t="s">
        <v>5189</v>
      </c>
      <c r="AX247" s="1" t="s">
        <v>5223</v>
      </c>
      <c r="AY247" s="1">
        <v>5</v>
      </c>
      <c r="AZ247" s="1">
        <v>0</v>
      </c>
      <c r="BA247" s="1" t="s">
        <v>328</v>
      </c>
      <c r="BB247" s="1" t="s">
        <v>4881</v>
      </c>
      <c r="BC247" s="1" t="s">
        <v>4720</v>
      </c>
      <c r="BD247" s="1">
        <v>10801</v>
      </c>
      <c r="BE247" s="1"/>
      <c r="BH247">
        <f>COUNTIF(Dropdowns!$I:$AF,C247)</f>
        <v>1</v>
      </c>
    </row>
    <row r="248" spans="1:60" x14ac:dyDescent="0.3">
      <c r="A248" s="1">
        <v>254</v>
      </c>
      <c r="B248" s="1" t="s">
        <v>3696</v>
      </c>
      <c r="C248" s="207" t="s">
        <v>1651</v>
      </c>
      <c r="D248" s="1" t="s">
        <v>1651</v>
      </c>
      <c r="E248" s="1"/>
      <c r="F248" s="1"/>
      <c r="G248" s="1" t="s">
        <v>3697</v>
      </c>
      <c r="H248" s="1" t="s">
        <v>3698</v>
      </c>
      <c r="I248" s="1" t="s">
        <v>3699</v>
      </c>
      <c r="J248" s="1">
        <v>5</v>
      </c>
      <c r="K248" s="1">
        <v>4</v>
      </c>
      <c r="L248" s="1">
        <v>22500</v>
      </c>
      <c r="M248" s="1">
        <v>40</v>
      </c>
      <c r="N248" s="1">
        <v>30</v>
      </c>
      <c r="O248" s="1">
        <v>25</v>
      </c>
      <c r="P248" s="1">
        <v>15</v>
      </c>
      <c r="Q248" s="1">
        <v>5</v>
      </c>
      <c r="R248" s="1">
        <v>5</v>
      </c>
      <c r="S248" s="1">
        <v>2</v>
      </c>
      <c r="T248" s="1">
        <v>5</v>
      </c>
      <c r="U248" s="1">
        <v>102</v>
      </c>
      <c r="V248" s="1">
        <v>120</v>
      </c>
      <c r="W248" s="1">
        <v>112</v>
      </c>
      <c r="X248" s="1">
        <v>100</v>
      </c>
      <c r="Y248" s="1">
        <v>112</v>
      </c>
      <c r="Z248" s="1">
        <v>115</v>
      </c>
      <c r="AA248" s="1">
        <v>0</v>
      </c>
      <c r="AB248" s="1">
        <v>15</v>
      </c>
      <c r="AC248" s="1">
        <v>5</v>
      </c>
      <c r="AD248" s="1">
        <v>11</v>
      </c>
      <c r="AE248" s="1">
        <v>105</v>
      </c>
      <c r="AF248" s="1">
        <v>100</v>
      </c>
      <c r="AG248" s="1">
        <v>110901</v>
      </c>
      <c r="AH248" s="1">
        <v>0</v>
      </c>
      <c r="AI248" s="1">
        <v>300105</v>
      </c>
      <c r="AJ248" s="1" t="s">
        <v>1264</v>
      </c>
      <c r="AK248" s="1" t="s">
        <v>1265</v>
      </c>
      <c r="AL248" s="1">
        <v>17</v>
      </c>
      <c r="AM248" s="1" t="s">
        <v>4858</v>
      </c>
      <c r="AN248" s="1" t="s">
        <v>4916</v>
      </c>
      <c r="AO248" s="1" t="s">
        <v>4942</v>
      </c>
      <c r="AP248" s="1">
        <v>0</v>
      </c>
      <c r="AQ248" s="1" t="s">
        <v>1167</v>
      </c>
      <c r="AR248" s="1" t="s">
        <v>1168</v>
      </c>
      <c r="AS248" s="1" t="s">
        <v>1169</v>
      </c>
      <c r="AT248" s="1" t="s">
        <v>328</v>
      </c>
      <c r="AU248" s="1">
        <v>199</v>
      </c>
      <c r="AV248" s="1">
        <v>0</v>
      </c>
      <c r="AW248" s="1" t="s">
        <v>5189</v>
      </c>
      <c r="AX248" s="1" t="s">
        <v>5183</v>
      </c>
      <c r="AY248" s="1">
        <v>4</v>
      </c>
      <c r="AZ248" s="1">
        <v>0</v>
      </c>
      <c r="BA248" s="1" t="s">
        <v>328</v>
      </c>
      <c r="BB248" s="1" t="s">
        <v>328</v>
      </c>
      <c r="BC248" s="1" t="s">
        <v>328</v>
      </c>
      <c r="BD248" s="1">
        <v>10802</v>
      </c>
      <c r="BE248" s="1"/>
      <c r="BH248">
        <f>COUNTIF(Dropdowns!$I:$AF,C248)</f>
        <v>1</v>
      </c>
    </row>
    <row r="249" spans="1:60" x14ac:dyDescent="0.3">
      <c r="A249" s="1">
        <v>255</v>
      </c>
      <c r="B249" s="1" t="s">
        <v>3700</v>
      </c>
      <c r="C249" s="207" t="s">
        <v>241</v>
      </c>
      <c r="D249" s="1" t="s">
        <v>3701</v>
      </c>
      <c r="E249" s="1"/>
      <c r="F249" s="1"/>
      <c r="G249" s="1" t="s">
        <v>3702</v>
      </c>
      <c r="H249" s="1" t="s">
        <v>3703</v>
      </c>
      <c r="I249" s="1" t="s">
        <v>3704</v>
      </c>
      <c r="J249" s="1">
        <v>3</v>
      </c>
      <c r="K249" s="1">
        <v>3</v>
      </c>
      <c r="L249" s="1">
        <v>15600</v>
      </c>
      <c r="M249" s="1">
        <v>15</v>
      </c>
      <c r="N249" s="1">
        <v>30</v>
      </c>
      <c r="O249" s="1">
        <v>10</v>
      </c>
      <c r="P249" s="1">
        <v>15</v>
      </c>
      <c r="Q249" s="1">
        <v>5</v>
      </c>
      <c r="R249" s="1">
        <v>2</v>
      </c>
      <c r="S249" s="1">
        <v>5</v>
      </c>
      <c r="T249" s="1">
        <v>0</v>
      </c>
      <c r="U249" s="1">
        <v>102</v>
      </c>
      <c r="V249" s="1">
        <v>110</v>
      </c>
      <c r="W249" s="1">
        <v>105</v>
      </c>
      <c r="X249" s="1">
        <v>100</v>
      </c>
      <c r="Y249" s="1">
        <v>125</v>
      </c>
      <c r="Z249" s="1">
        <v>110</v>
      </c>
      <c r="AA249" s="1">
        <v>0</v>
      </c>
      <c r="AB249" s="1">
        <v>15</v>
      </c>
      <c r="AC249" s="1">
        <v>40</v>
      </c>
      <c r="AD249" s="1">
        <v>0</v>
      </c>
      <c r="AE249" s="1">
        <v>112</v>
      </c>
      <c r="AF249" s="1">
        <v>100</v>
      </c>
      <c r="AG249" s="1">
        <v>100102</v>
      </c>
      <c r="AH249" s="1">
        <v>0</v>
      </c>
      <c r="AI249" s="1">
        <v>300104</v>
      </c>
      <c r="AJ249" s="1" t="s">
        <v>1125</v>
      </c>
      <c r="AK249" s="1" t="s">
        <v>328</v>
      </c>
      <c r="AL249" s="1">
        <v>13</v>
      </c>
      <c r="AM249" s="1" t="s">
        <v>4762</v>
      </c>
      <c r="AN249" s="1" t="s">
        <v>4829</v>
      </c>
      <c r="AO249" s="1" t="s">
        <v>4826</v>
      </c>
      <c r="AP249" s="1">
        <v>0</v>
      </c>
      <c r="AQ249" s="1" t="s">
        <v>1140</v>
      </c>
      <c r="AR249" s="1" t="s">
        <v>1141</v>
      </c>
      <c r="AS249" s="1" t="s">
        <v>1142</v>
      </c>
      <c r="AT249" s="1" t="s">
        <v>328</v>
      </c>
      <c r="AU249" s="1">
        <v>241</v>
      </c>
      <c r="AV249" s="1">
        <v>0</v>
      </c>
      <c r="AW249" s="1" t="s">
        <v>5224</v>
      </c>
      <c r="AX249" s="1" t="s">
        <v>5216</v>
      </c>
      <c r="AY249" s="1">
        <v>3</v>
      </c>
      <c r="AZ249" s="1">
        <v>0</v>
      </c>
      <c r="BA249" s="1" t="s">
        <v>328</v>
      </c>
      <c r="BB249" s="1" t="s">
        <v>328</v>
      </c>
      <c r="BC249" s="1" t="s">
        <v>328</v>
      </c>
      <c r="BD249" s="1">
        <v>10703</v>
      </c>
      <c r="BE249" s="1"/>
      <c r="BH249">
        <f>COUNTIF(Dropdowns!$I:$AF,C249)</f>
        <v>1</v>
      </c>
    </row>
    <row r="250" spans="1:60" x14ac:dyDescent="0.3">
      <c r="A250" s="1">
        <v>256</v>
      </c>
      <c r="B250" s="1" t="s">
        <v>3705</v>
      </c>
      <c r="C250" s="207" t="s">
        <v>202</v>
      </c>
      <c r="D250" s="1" t="s">
        <v>202</v>
      </c>
      <c r="E250" s="1"/>
      <c r="F250" s="1"/>
      <c r="G250" s="1" t="s">
        <v>3706</v>
      </c>
      <c r="H250" s="1" t="s">
        <v>3707</v>
      </c>
      <c r="I250" s="1" t="s">
        <v>3708</v>
      </c>
      <c r="J250" s="1">
        <v>3</v>
      </c>
      <c r="K250" s="1">
        <v>3</v>
      </c>
      <c r="L250" s="1">
        <v>15600</v>
      </c>
      <c r="M250" s="1">
        <v>15</v>
      </c>
      <c r="N250" s="1">
        <v>30</v>
      </c>
      <c r="O250" s="1">
        <v>10</v>
      </c>
      <c r="P250" s="1">
        <v>15</v>
      </c>
      <c r="Q250" s="1">
        <v>5</v>
      </c>
      <c r="R250" s="1">
        <v>2</v>
      </c>
      <c r="S250" s="1">
        <v>5</v>
      </c>
      <c r="T250" s="1">
        <v>0</v>
      </c>
      <c r="U250" s="1">
        <v>100</v>
      </c>
      <c r="V250" s="1">
        <v>132</v>
      </c>
      <c r="W250" s="1">
        <v>95</v>
      </c>
      <c r="X250" s="1">
        <v>100</v>
      </c>
      <c r="Y250" s="1">
        <v>110</v>
      </c>
      <c r="Z250" s="1">
        <v>85</v>
      </c>
      <c r="AA250" s="1">
        <v>0</v>
      </c>
      <c r="AB250" s="1">
        <v>15</v>
      </c>
      <c r="AC250" s="1">
        <v>40</v>
      </c>
      <c r="AD250" s="1">
        <v>0</v>
      </c>
      <c r="AE250" s="1">
        <v>116</v>
      </c>
      <c r="AF250" s="1">
        <v>100</v>
      </c>
      <c r="AG250" s="1">
        <v>111506</v>
      </c>
      <c r="AH250" s="1">
        <v>0</v>
      </c>
      <c r="AI250" s="1">
        <v>111501</v>
      </c>
      <c r="AJ250" s="1" t="s">
        <v>1266</v>
      </c>
      <c r="AK250" s="1" t="s">
        <v>1267</v>
      </c>
      <c r="AL250" s="1">
        <v>13</v>
      </c>
      <c r="AM250" s="1" t="s">
        <v>4762</v>
      </c>
      <c r="AN250" s="1" t="s">
        <v>4884</v>
      </c>
      <c r="AO250" s="1" t="s">
        <v>4826</v>
      </c>
      <c r="AP250" s="1">
        <v>0</v>
      </c>
      <c r="AQ250" s="1" t="s">
        <v>1140</v>
      </c>
      <c r="AR250" s="1" t="s">
        <v>1141</v>
      </c>
      <c r="AS250" s="1" t="s">
        <v>1142</v>
      </c>
      <c r="AT250" s="1" t="s">
        <v>328</v>
      </c>
      <c r="AU250" s="1">
        <v>241</v>
      </c>
      <c r="AV250" s="1">
        <v>0</v>
      </c>
      <c r="AW250" s="1" t="s">
        <v>5225</v>
      </c>
      <c r="AX250" s="1" t="s">
        <v>5216</v>
      </c>
      <c r="AY250" s="1">
        <v>3</v>
      </c>
      <c r="AZ250" s="1">
        <v>0</v>
      </c>
      <c r="BA250" s="1" t="s">
        <v>328</v>
      </c>
      <c r="BB250" s="1" t="s">
        <v>328</v>
      </c>
      <c r="BC250" s="1" t="s">
        <v>328</v>
      </c>
      <c r="BD250" s="1">
        <v>10703</v>
      </c>
      <c r="BE250" s="1"/>
      <c r="BH250">
        <f>COUNTIF(Dropdowns!$I:$AF,C250)</f>
        <v>1</v>
      </c>
    </row>
    <row r="251" spans="1:60" x14ac:dyDescent="0.3">
      <c r="A251" s="1">
        <v>257</v>
      </c>
      <c r="B251" s="1" t="s">
        <v>3709</v>
      </c>
      <c r="C251" s="207" t="s">
        <v>201</v>
      </c>
      <c r="D251" s="1" t="s">
        <v>201</v>
      </c>
      <c r="E251" s="1"/>
      <c r="F251" s="1"/>
      <c r="G251" s="1" t="s">
        <v>3710</v>
      </c>
      <c r="H251" s="1" t="s">
        <v>3711</v>
      </c>
      <c r="I251" s="1" t="s">
        <v>3712</v>
      </c>
      <c r="J251" s="1">
        <v>3</v>
      </c>
      <c r="K251" s="1">
        <v>5</v>
      </c>
      <c r="L251" s="1">
        <v>16320</v>
      </c>
      <c r="M251" s="1">
        <v>15</v>
      </c>
      <c r="N251" s="1">
        <v>30</v>
      </c>
      <c r="O251" s="1">
        <v>10</v>
      </c>
      <c r="P251" s="1">
        <v>15</v>
      </c>
      <c r="Q251" s="1">
        <v>5</v>
      </c>
      <c r="R251" s="1">
        <v>2</v>
      </c>
      <c r="S251" s="1">
        <v>5</v>
      </c>
      <c r="T251" s="1">
        <v>0</v>
      </c>
      <c r="U251" s="1">
        <v>100</v>
      </c>
      <c r="V251" s="1">
        <v>127</v>
      </c>
      <c r="W251" s="1">
        <v>95</v>
      </c>
      <c r="X251" s="1">
        <v>100</v>
      </c>
      <c r="Y251" s="1">
        <v>135</v>
      </c>
      <c r="Z251" s="1">
        <v>85</v>
      </c>
      <c r="AA251" s="1">
        <v>0</v>
      </c>
      <c r="AB251" s="1">
        <v>15</v>
      </c>
      <c r="AC251" s="1">
        <v>40</v>
      </c>
      <c r="AD251" s="1">
        <v>0</v>
      </c>
      <c r="AE251" s="1">
        <v>131</v>
      </c>
      <c r="AF251" s="1">
        <v>100</v>
      </c>
      <c r="AG251" s="1">
        <v>111401</v>
      </c>
      <c r="AH251" s="1">
        <v>0</v>
      </c>
      <c r="AI251" s="1">
        <v>111403</v>
      </c>
      <c r="AJ251" s="1" t="s">
        <v>1268</v>
      </c>
      <c r="AK251" s="1" t="s">
        <v>1269</v>
      </c>
      <c r="AL251" s="1">
        <v>13</v>
      </c>
      <c r="AM251" s="1" t="s">
        <v>4762</v>
      </c>
      <c r="AN251" s="1" t="s">
        <v>4884</v>
      </c>
      <c r="AO251" s="1" t="s">
        <v>4845</v>
      </c>
      <c r="AP251" s="1">
        <v>0</v>
      </c>
      <c r="AQ251" s="1" t="s">
        <v>1140</v>
      </c>
      <c r="AR251" s="1" t="s">
        <v>1141</v>
      </c>
      <c r="AS251" s="1" t="s">
        <v>1142</v>
      </c>
      <c r="AT251" s="1" t="s">
        <v>328</v>
      </c>
      <c r="AU251" s="1">
        <v>222</v>
      </c>
      <c r="AV251" s="1">
        <v>0</v>
      </c>
      <c r="AW251" s="1" t="s">
        <v>5226</v>
      </c>
      <c r="AX251" s="1" t="s">
        <v>331</v>
      </c>
      <c r="AY251" s="1">
        <v>5</v>
      </c>
      <c r="AZ251" s="1">
        <v>0</v>
      </c>
      <c r="BA251" s="1" t="s">
        <v>328</v>
      </c>
      <c r="BB251" s="1" t="s">
        <v>328</v>
      </c>
      <c r="BC251" s="1" t="s">
        <v>4720</v>
      </c>
      <c r="BD251" s="1">
        <v>10203</v>
      </c>
      <c r="BE251" s="1"/>
      <c r="BH251">
        <f>COUNTIF(Dropdowns!$I:$AF,C251)</f>
        <v>1</v>
      </c>
    </row>
    <row r="252" spans="1:60" x14ac:dyDescent="0.3">
      <c r="A252" s="1">
        <v>258</v>
      </c>
      <c r="B252" s="1" t="s">
        <v>3713</v>
      </c>
      <c r="C252" s="207" t="s">
        <v>203</v>
      </c>
      <c r="D252" s="1" t="s">
        <v>203</v>
      </c>
      <c r="E252" s="1"/>
      <c r="F252" s="1"/>
      <c r="G252" s="1" t="s">
        <v>3714</v>
      </c>
      <c r="H252" s="1" t="s">
        <v>3715</v>
      </c>
      <c r="I252" s="1" t="s">
        <v>3716</v>
      </c>
      <c r="J252" s="1">
        <v>4</v>
      </c>
      <c r="K252" s="1">
        <v>3</v>
      </c>
      <c r="L252" s="1">
        <v>12000</v>
      </c>
      <c r="M252" s="1">
        <v>20</v>
      </c>
      <c r="N252" s="1">
        <v>20</v>
      </c>
      <c r="O252" s="1">
        <v>10</v>
      </c>
      <c r="P252" s="1">
        <v>10</v>
      </c>
      <c r="Q252" s="1">
        <v>2</v>
      </c>
      <c r="R252" s="1">
        <v>5</v>
      </c>
      <c r="S252" s="1">
        <v>5</v>
      </c>
      <c r="T252" s="1">
        <v>0</v>
      </c>
      <c r="U252" s="1">
        <v>105</v>
      </c>
      <c r="V252" s="1">
        <v>98</v>
      </c>
      <c r="W252" s="1">
        <v>102</v>
      </c>
      <c r="X252" s="1">
        <v>100</v>
      </c>
      <c r="Y252" s="1">
        <v>105</v>
      </c>
      <c r="Z252" s="1">
        <v>98</v>
      </c>
      <c r="AA252" s="1">
        <v>0</v>
      </c>
      <c r="AB252" s="1">
        <v>15</v>
      </c>
      <c r="AC252" s="1">
        <v>20</v>
      </c>
      <c r="AD252" s="1">
        <v>0</v>
      </c>
      <c r="AE252" s="1">
        <v>128</v>
      </c>
      <c r="AF252" s="1">
        <v>100</v>
      </c>
      <c r="AG252" s="1">
        <v>101705</v>
      </c>
      <c r="AH252" s="1">
        <v>0</v>
      </c>
      <c r="AI252" s="1">
        <v>300103</v>
      </c>
      <c r="AJ252" s="1" t="s">
        <v>1125</v>
      </c>
      <c r="AK252" s="1" t="s">
        <v>328</v>
      </c>
      <c r="AL252" s="1">
        <v>13</v>
      </c>
      <c r="AM252" s="1" t="s">
        <v>4719</v>
      </c>
      <c r="AN252" s="1" t="s">
        <v>465</v>
      </c>
      <c r="AO252" s="1" t="s">
        <v>4865</v>
      </c>
      <c r="AP252" s="1">
        <v>0</v>
      </c>
      <c r="AQ252" s="1" t="s">
        <v>1130</v>
      </c>
      <c r="AR252" s="1" t="s">
        <v>1154</v>
      </c>
      <c r="AS252" s="1" t="s">
        <v>1129</v>
      </c>
      <c r="AT252" s="1" t="s">
        <v>328</v>
      </c>
      <c r="AU252" s="1">
        <v>239</v>
      </c>
      <c r="AV252" s="1">
        <v>0</v>
      </c>
      <c r="AW252" s="1" t="s">
        <v>5227</v>
      </c>
      <c r="AX252" s="1" t="s">
        <v>5216</v>
      </c>
      <c r="AY252" s="1">
        <v>3</v>
      </c>
      <c r="AZ252" s="1">
        <v>0</v>
      </c>
      <c r="BA252" s="1" t="s">
        <v>328</v>
      </c>
      <c r="BB252" s="1" t="s">
        <v>328</v>
      </c>
      <c r="BC252" s="1" t="s">
        <v>328</v>
      </c>
      <c r="BD252" s="1">
        <v>10402</v>
      </c>
      <c r="BE252" s="1"/>
      <c r="BH252">
        <f>COUNTIF(Dropdowns!$I:$AF,C252)</f>
        <v>1</v>
      </c>
    </row>
    <row r="253" spans="1:60" x14ac:dyDescent="0.3">
      <c r="A253" s="1">
        <v>259</v>
      </c>
      <c r="B253" s="1" t="s">
        <v>3717</v>
      </c>
      <c r="C253" s="207" t="s">
        <v>1652</v>
      </c>
      <c r="D253" s="1" t="s">
        <v>1652</v>
      </c>
      <c r="E253" s="1"/>
      <c r="F253" s="1"/>
      <c r="G253" s="1" t="s">
        <v>3718</v>
      </c>
      <c r="H253" s="1" t="s">
        <v>3719</v>
      </c>
      <c r="I253" s="1" t="s">
        <v>3720</v>
      </c>
      <c r="J253" s="1">
        <v>2</v>
      </c>
      <c r="K253" s="1">
        <v>5</v>
      </c>
      <c r="L253" s="1">
        <v>8880</v>
      </c>
      <c r="M253" s="1">
        <v>25</v>
      </c>
      <c r="N253" s="1">
        <v>20</v>
      </c>
      <c r="O253" s="1">
        <v>15</v>
      </c>
      <c r="P253" s="1">
        <v>10</v>
      </c>
      <c r="Q253" s="1">
        <v>5</v>
      </c>
      <c r="R253" s="1">
        <v>5</v>
      </c>
      <c r="S253" s="1">
        <v>2</v>
      </c>
      <c r="T253" s="1">
        <v>0</v>
      </c>
      <c r="U253" s="1">
        <v>100</v>
      </c>
      <c r="V253" s="1">
        <v>95</v>
      </c>
      <c r="W253" s="1">
        <v>125</v>
      </c>
      <c r="X253" s="1">
        <v>100</v>
      </c>
      <c r="Y253" s="1">
        <v>95</v>
      </c>
      <c r="Z253" s="1">
        <v>125</v>
      </c>
      <c r="AA253" s="1">
        <v>0</v>
      </c>
      <c r="AB253" s="1">
        <v>15</v>
      </c>
      <c r="AC253" s="1">
        <v>5</v>
      </c>
      <c r="AD253" s="1">
        <v>0</v>
      </c>
      <c r="AE253" s="1">
        <v>125</v>
      </c>
      <c r="AF253" s="1">
        <v>100</v>
      </c>
      <c r="AG253" s="1">
        <v>111601</v>
      </c>
      <c r="AH253" s="1">
        <v>0</v>
      </c>
      <c r="AI253" s="1">
        <v>111602</v>
      </c>
      <c r="AJ253" s="1" t="s">
        <v>1270</v>
      </c>
      <c r="AK253" s="1" t="s">
        <v>328</v>
      </c>
      <c r="AL253" s="1">
        <v>12</v>
      </c>
      <c r="AM253" s="1" t="s">
        <v>4790</v>
      </c>
      <c r="AN253" s="1" t="s">
        <v>358</v>
      </c>
      <c r="AO253" s="1" t="s">
        <v>4991</v>
      </c>
      <c r="AP253" s="1">
        <v>0</v>
      </c>
      <c r="AQ253" s="1" t="s">
        <v>1129</v>
      </c>
      <c r="AR253" s="1" t="s">
        <v>1119</v>
      </c>
      <c r="AS253" s="1" t="s">
        <v>1130</v>
      </c>
      <c r="AT253" s="1" t="s">
        <v>328</v>
      </c>
      <c r="AU253" s="1">
        <v>224</v>
      </c>
      <c r="AV253" s="1">
        <v>0</v>
      </c>
      <c r="AW253" s="1" t="s">
        <v>5228</v>
      </c>
      <c r="AX253" s="1" t="s">
        <v>5229</v>
      </c>
      <c r="AY253" s="1">
        <v>5</v>
      </c>
      <c r="AZ253" s="1">
        <v>0</v>
      </c>
      <c r="BA253" s="1" t="s">
        <v>328</v>
      </c>
      <c r="BB253" s="1" t="s">
        <v>328</v>
      </c>
      <c r="BC253" s="1" t="s">
        <v>328</v>
      </c>
      <c r="BD253" s="1">
        <v>10203</v>
      </c>
      <c r="BE253" s="1"/>
      <c r="BH253">
        <f>COUNTIF(Dropdowns!$I:$AF,C253)</f>
        <v>1</v>
      </c>
    </row>
    <row r="254" spans="1:60" x14ac:dyDescent="0.3">
      <c r="A254" s="1">
        <v>260</v>
      </c>
      <c r="B254" s="1" t="s">
        <v>3721</v>
      </c>
      <c r="C254" s="207" t="s">
        <v>1653</v>
      </c>
      <c r="D254" s="1" t="s">
        <v>1653</v>
      </c>
      <c r="E254" s="1"/>
      <c r="F254" s="1"/>
      <c r="G254" s="1" t="s">
        <v>3722</v>
      </c>
      <c r="H254" s="1" t="s">
        <v>3723</v>
      </c>
      <c r="I254" s="1" t="s">
        <v>3724</v>
      </c>
      <c r="J254" s="1">
        <v>1</v>
      </c>
      <c r="K254" s="1">
        <v>5</v>
      </c>
      <c r="L254" s="1">
        <v>4500</v>
      </c>
      <c r="M254" s="1">
        <v>10</v>
      </c>
      <c r="N254" s="1">
        <v>10</v>
      </c>
      <c r="O254" s="1">
        <v>5</v>
      </c>
      <c r="P254" s="1">
        <v>5</v>
      </c>
      <c r="Q254" s="1">
        <v>2</v>
      </c>
      <c r="R254" s="1">
        <v>2</v>
      </c>
      <c r="S254" s="1">
        <v>2</v>
      </c>
      <c r="T254" s="1">
        <v>0</v>
      </c>
      <c r="U254" s="1">
        <v>105</v>
      </c>
      <c r="V254" s="1">
        <v>120</v>
      </c>
      <c r="W254" s="1">
        <v>115</v>
      </c>
      <c r="X254" s="1">
        <v>100</v>
      </c>
      <c r="Y254" s="1">
        <v>120</v>
      </c>
      <c r="Z254" s="1">
        <v>95</v>
      </c>
      <c r="AA254" s="1">
        <v>0</v>
      </c>
      <c r="AB254" s="1">
        <v>15</v>
      </c>
      <c r="AC254" s="1">
        <v>20</v>
      </c>
      <c r="AD254" s="1">
        <v>0</v>
      </c>
      <c r="AE254" s="1">
        <v>130</v>
      </c>
      <c r="AF254" s="1">
        <v>100</v>
      </c>
      <c r="AG254" s="1">
        <v>112001</v>
      </c>
      <c r="AH254" s="1">
        <v>0</v>
      </c>
      <c r="AI254" s="1">
        <v>300101</v>
      </c>
      <c r="AJ254" s="1" t="s">
        <v>5230</v>
      </c>
      <c r="AK254" s="1" t="s">
        <v>328</v>
      </c>
      <c r="AL254" s="1">
        <v>12</v>
      </c>
      <c r="AM254" s="1" t="s">
        <v>1806</v>
      </c>
      <c r="AN254" s="1" t="s">
        <v>5231</v>
      </c>
      <c r="AO254" s="1" t="s">
        <v>4817</v>
      </c>
      <c r="AP254" s="1">
        <v>0</v>
      </c>
      <c r="AQ254" s="1" t="s">
        <v>1118</v>
      </c>
      <c r="AR254" s="1" t="s">
        <v>1119</v>
      </c>
      <c r="AS254" s="1" t="s">
        <v>1120</v>
      </c>
      <c r="AT254" s="1" t="s">
        <v>328</v>
      </c>
      <c r="AU254" s="1">
        <v>96</v>
      </c>
      <c r="AV254" s="1">
        <v>0</v>
      </c>
      <c r="AW254" s="1" t="s">
        <v>5226</v>
      </c>
      <c r="AX254" s="1" t="s">
        <v>4762</v>
      </c>
      <c r="AY254" s="1">
        <v>5</v>
      </c>
      <c r="AZ254" s="1">
        <v>0</v>
      </c>
      <c r="BA254" s="1" t="s">
        <v>328</v>
      </c>
      <c r="BB254" s="1" t="s">
        <v>328</v>
      </c>
      <c r="BC254" s="1" t="s">
        <v>328</v>
      </c>
      <c r="BD254" s="1">
        <v>10402</v>
      </c>
      <c r="BE254" s="1"/>
      <c r="BH254">
        <f>COUNTIF(Dropdowns!$I:$AF,C254)</f>
        <v>0</v>
      </c>
    </row>
    <row r="255" spans="1:60" x14ac:dyDescent="0.3">
      <c r="A255" s="1">
        <v>261</v>
      </c>
      <c r="B255" s="1" t="s">
        <v>3725</v>
      </c>
      <c r="C255" s="207" t="s">
        <v>1654</v>
      </c>
      <c r="D255" s="1" t="s">
        <v>1654</v>
      </c>
      <c r="E255" s="1"/>
      <c r="F255" s="1"/>
      <c r="G255" s="1" t="s">
        <v>3726</v>
      </c>
      <c r="H255" s="1" t="s">
        <v>3727</v>
      </c>
      <c r="I255" s="1" t="s">
        <v>3728</v>
      </c>
      <c r="J255" s="1">
        <v>3</v>
      </c>
      <c r="K255" s="1">
        <v>5</v>
      </c>
      <c r="L255" s="1">
        <v>17280</v>
      </c>
      <c r="M255" s="1">
        <v>15</v>
      </c>
      <c r="N255" s="1">
        <v>30</v>
      </c>
      <c r="O255" s="1">
        <v>10</v>
      </c>
      <c r="P255" s="1">
        <v>15</v>
      </c>
      <c r="Q255" s="1">
        <v>5</v>
      </c>
      <c r="R255" s="1">
        <v>2</v>
      </c>
      <c r="S255" s="1">
        <v>5</v>
      </c>
      <c r="T255" s="1">
        <v>0</v>
      </c>
      <c r="U255" s="1">
        <v>95</v>
      </c>
      <c r="V255" s="1">
        <v>108</v>
      </c>
      <c r="W255" s="1">
        <v>118</v>
      </c>
      <c r="X255" s="1">
        <v>100</v>
      </c>
      <c r="Y255" s="1">
        <v>118</v>
      </c>
      <c r="Z255" s="1">
        <v>110</v>
      </c>
      <c r="AA255" s="1">
        <v>0</v>
      </c>
      <c r="AB255" s="1">
        <v>15</v>
      </c>
      <c r="AC255" s="1">
        <v>40</v>
      </c>
      <c r="AD255" s="1">
        <v>0</v>
      </c>
      <c r="AE255" s="1">
        <v>135</v>
      </c>
      <c r="AF255" s="1">
        <v>100</v>
      </c>
      <c r="AG255" s="1">
        <v>900215</v>
      </c>
      <c r="AH255" s="1">
        <v>0</v>
      </c>
      <c r="AI255" s="1">
        <v>111802</v>
      </c>
      <c r="AJ255" s="1" t="s">
        <v>1271</v>
      </c>
      <c r="AK255" s="1" t="s">
        <v>1272</v>
      </c>
      <c r="AL255" s="1">
        <v>19</v>
      </c>
      <c r="AM255" s="1" t="s">
        <v>4762</v>
      </c>
      <c r="AN255" s="1" t="s">
        <v>5232</v>
      </c>
      <c r="AO255" s="1" t="s">
        <v>4845</v>
      </c>
      <c r="AP255" s="1">
        <v>0</v>
      </c>
      <c r="AQ255" s="1" t="s">
        <v>1140</v>
      </c>
      <c r="AR255" s="1" t="s">
        <v>1141</v>
      </c>
      <c r="AS255" s="1" t="s">
        <v>1142</v>
      </c>
      <c r="AT255" s="1" t="s">
        <v>328</v>
      </c>
      <c r="AU255" s="1">
        <v>222</v>
      </c>
      <c r="AV255" s="1">
        <v>0</v>
      </c>
      <c r="AW255" s="1" t="s">
        <v>5226</v>
      </c>
      <c r="AX255" s="1" t="s">
        <v>5165</v>
      </c>
      <c r="AY255" s="1">
        <v>5</v>
      </c>
      <c r="AZ255" s="1">
        <v>0</v>
      </c>
      <c r="BA255" s="1" t="s">
        <v>328</v>
      </c>
      <c r="BB255" s="1" t="s">
        <v>328</v>
      </c>
      <c r="BC255" s="1" t="s">
        <v>4783</v>
      </c>
      <c r="BD255" s="1">
        <v>10203</v>
      </c>
      <c r="BE255" s="1"/>
      <c r="BH255">
        <f>COUNTIF(Dropdowns!$I:$AF,C255)</f>
        <v>1</v>
      </c>
    </row>
    <row r="256" spans="1:60" x14ac:dyDescent="0.3">
      <c r="A256" s="1">
        <v>262</v>
      </c>
      <c r="B256" s="1" t="s">
        <v>3729</v>
      </c>
      <c r="C256" s="207" t="s">
        <v>1655</v>
      </c>
      <c r="D256" s="1" t="s">
        <v>1655</v>
      </c>
      <c r="E256" s="1"/>
      <c r="F256" s="1"/>
      <c r="G256" s="1" t="s">
        <v>3730</v>
      </c>
      <c r="H256" s="1" t="s">
        <v>3731</v>
      </c>
      <c r="I256" s="1" t="s">
        <v>3732</v>
      </c>
      <c r="J256" s="1">
        <v>4</v>
      </c>
      <c r="K256" s="1">
        <v>4</v>
      </c>
      <c r="L256" s="1">
        <v>12900</v>
      </c>
      <c r="M256" s="1">
        <v>20</v>
      </c>
      <c r="N256" s="1">
        <v>20</v>
      </c>
      <c r="O256" s="1">
        <v>10</v>
      </c>
      <c r="P256" s="1">
        <v>10</v>
      </c>
      <c r="Q256" s="1">
        <v>2</v>
      </c>
      <c r="R256" s="1">
        <v>5</v>
      </c>
      <c r="S256" s="1">
        <v>5</v>
      </c>
      <c r="T256" s="1">
        <v>0</v>
      </c>
      <c r="U256" s="1">
        <v>108</v>
      </c>
      <c r="V256" s="1">
        <v>128</v>
      </c>
      <c r="W256" s="1">
        <v>92</v>
      </c>
      <c r="X256" s="1">
        <v>100</v>
      </c>
      <c r="Y256" s="1">
        <v>120</v>
      </c>
      <c r="Z256" s="1">
        <v>120</v>
      </c>
      <c r="AA256" s="1">
        <v>0</v>
      </c>
      <c r="AB256" s="1">
        <v>15</v>
      </c>
      <c r="AC256" s="1">
        <v>20</v>
      </c>
      <c r="AD256" s="1">
        <v>0</v>
      </c>
      <c r="AE256" s="1">
        <v>115</v>
      </c>
      <c r="AF256" s="1">
        <v>100</v>
      </c>
      <c r="AG256" s="1">
        <v>112101</v>
      </c>
      <c r="AH256" s="1">
        <v>0</v>
      </c>
      <c r="AI256" s="1">
        <v>300103</v>
      </c>
      <c r="AJ256" s="1" t="s">
        <v>328</v>
      </c>
      <c r="AK256" s="1" t="s">
        <v>1273</v>
      </c>
      <c r="AL256" s="1">
        <v>13</v>
      </c>
      <c r="AM256" s="1" t="s">
        <v>4719</v>
      </c>
      <c r="AN256" s="1" t="s">
        <v>4834</v>
      </c>
      <c r="AO256" s="1" t="s">
        <v>5202</v>
      </c>
      <c r="AP256" s="1">
        <v>0</v>
      </c>
      <c r="AQ256" s="1" t="s">
        <v>1130</v>
      </c>
      <c r="AR256" s="1" t="s">
        <v>1154</v>
      </c>
      <c r="AS256" s="1" t="s">
        <v>1129</v>
      </c>
      <c r="AT256" s="1" t="s">
        <v>328</v>
      </c>
      <c r="AU256" s="1">
        <v>216</v>
      </c>
      <c r="AV256" s="1">
        <v>0</v>
      </c>
      <c r="AW256" s="1" t="s">
        <v>5226</v>
      </c>
      <c r="AX256" s="1" t="s">
        <v>331</v>
      </c>
      <c r="AY256" s="1">
        <v>4</v>
      </c>
      <c r="AZ256" s="1">
        <v>0</v>
      </c>
      <c r="BA256" s="1" t="s">
        <v>328</v>
      </c>
      <c r="BB256" s="1" t="s">
        <v>328</v>
      </c>
      <c r="BC256" s="1" t="s">
        <v>328</v>
      </c>
      <c r="BD256" s="1">
        <v>10303</v>
      </c>
      <c r="BE256" s="1"/>
      <c r="BH256">
        <f>COUNTIF(Dropdowns!$I:$AF,C256)</f>
        <v>1</v>
      </c>
    </row>
    <row r="257" spans="1:60" x14ac:dyDescent="0.3">
      <c r="A257" s="1">
        <v>263</v>
      </c>
      <c r="B257" s="1" t="s">
        <v>3733</v>
      </c>
      <c r="C257" s="207" t="s">
        <v>205</v>
      </c>
      <c r="D257" s="1" t="s">
        <v>205</v>
      </c>
      <c r="E257" s="1"/>
      <c r="F257" s="1"/>
      <c r="G257" s="1" t="s">
        <v>3734</v>
      </c>
      <c r="H257" s="1" t="s">
        <v>3735</v>
      </c>
      <c r="I257" s="1" t="s">
        <v>3736</v>
      </c>
      <c r="J257" s="1">
        <v>5</v>
      </c>
      <c r="K257" s="1">
        <v>5</v>
      </c>
      <c r="L257" s="1">
        <v>23760</v>
      </c>
      <c r="M257" s="1">
        <v>40</v>
      </c>
      <c r="N257" s="1">
        <v>30</v>
      </c>
      <c r="O257" s="1">
        <v>25</v>
      </c>
      <c r="P257" s="1">
        <v>15</v>
      </c>
      <c r="Q257" s="1">
        <v>5</v>
      </c>
      <c r="R257" s="1">
        <v>5</v>
      </c>
      <c r="S257" s="1">
        <v>2</v>
      </c>
      <c r="T257" s="1">
        <v>5</v>
      </c>
      <c r="U257" s="1">
        <v>110</v>
      </c>
      <c r="V257" s="1">
        <v>95</v>
      </c>
      <c r="W257" s="1">
        <v>115</v>
      </c>
      <c r="X257" s="1">
        <v>100</v>
      </c>
      <c r="Y257" s="1">
        <v>120</v>
      </c>
      <c r="Z257" s="1">
        <v>128</v>
      </c>
      <c r="AA257" s="1">
        <v>0</v>
      </c>
      <c r="AB257" s="1">
        <v>15</v>
      </c>
      <c r="AC257" s="1">
        <v>5</v>
      </c>
      <c r="AD257" s="1">
        <v>10</v>
      </c>
      <c r="AE257" s="1">
        <v>138</v>
      </c>
      <c r="AF257" s="1">
        <v>100</v>
      </c>
      <c r="AG257" s="1">
        <v>111901</v>
      </c>
      <c r="AH257" s="1">
        <v>0</v>
      </c>
      <c r="AI257" s="1">
        <v>300105</v>
      </c>
      <c r="AJ257" s="1" t="s">
        <v>5233</v>
      </c>
      <c r="AK257" s="1" t="s">
        <v>1274</v>
      </c>
      <c r="AL257" s="1">
        <v>18</v>
      </c>
      <c r="AM257" s="1" t="s">
        <v>972</v>
      </c>
      <c r="AN257" s="1" t="s">
        <v>5234</v>
      </c>
      <c r="AO257" s="1" t="s">
        <v>4942</v>
      </c>
      <c r="AP257" s="1">
        <v>0</v>
      </c>
      <c r="AQ257" s="1" t="s">
        <v>1167</v>
      </c>
      <c r="AR257" s="1" t="s">
        <v>1168</v>
      </c>
      <c r="AS257" s="1" t="s">
        <v>1169</v>
      </c>
      <c r="AT257" s="1" t="s">
        <v>328</v>
      </c>
      <c r="AU257" s="1">
        <v>238</v>
      </c>
      <c r="AV257" s="1">
        <v>0</v>
      </c>
      <c r="AW257" s="1" t="s">
        <v>5226</v>
      </c>
      <c r="AX257" s="1" t="s">
        <v>331</v>
      </c>
      <c r="AY257" s="1">
        <v>5</v>
      </c>
      <c r="AZ257" s="1">
        <v>0</v>
      </c>
      <c r="BA257" s="1" t="s">
        <v>328</v>
      </c>
      <c r="BB257" s="1" t="s">
        <v>4972</v>
      </c>
      <c r="BC257" s="1" t="s">
        <v>4769</v>
      </c>
      <c r="BD257" s="1">
        <v>10802</v>
      </c>
      <c r="BE257" s="1"/>
      <c r="BH257">
        <f>COUNTIF(Dropdowns!$I:$AF,C257)</f>
        <v>1</v>
      </c>
    </row>
    <row r="258" spans="1:60" x14ac:dyDescent="0.3">
      <c r="A258" s="1">
        <v>264</v>
      </c>
      <c r="B258" s="1" t="s">
        <v>3737</v>
      </c>
      <c r="C258" s="207" t="s">
        <v>204</v>
      </c>
      <c r="D258" s="1" t="s">
        <v>3738</v>
      </c>
      <c r="E258" s="1"/>
      <c r="F258" s="1"/>
      <c r="G258" s="1" t="s">
        <v>3739</v>
      </c>
      <c r="H258" s="1" t="s">
        <v>3740</v>
      </c>
      <c r="I258" s="1" t="s">
        <v>3741</v>
      </c>
      <c r="J258" s="1">
        <v>5</v>
      </c>
      <c r="K258" s="1">
        <v>4</v>
      </c>
      <c r="L258" s="1">
        <v>23100</v>
      </c>
      <c r="M258" s="1">
        <v>40</v>
      </c>
      <c r="N258" s="1">
        <v>30</v>
      </c>
      <c r="O258" s="1">
        <v>25</v>
      </c>
      <c r="P258" s="1">
        <v>15</v>
      </c>
      <c r="Q258" s="1">
        <v>5</v>
      </c>
      <c r="R258" s="1">
        <v>5</v>
      </c>
      <c r="S258" s="1">
        <v>2</v>
      </c>
      <c r="T258" s="1">
        <v>5</v>
      </c>
      <c r="U258" s="1">
        <v>105</v>
      </c>
      <c r="V258" s="1">
        <v>122</v>
      </c>
      <c r="W258" s="1">
        <v>75</v>
      </c>
      <c r="X258" s="1">
        <v>100</v>
      </c>
      <c r="Y258" s="1">
        <v>132</v>
      </c>
      <c r="Z258" s="1">
        <v>112</v>
      </c>
      <c r="AA258" s="1">
        <v>0</v>
      </c>
      <c r="AB258" s="1">
        <v>15</v>
      </c>
      <c r="AC258" s="1">
        <v>5</v>
      </c>
      <c r="AD258" s="1">
        <v>9</v>
      </c>
      <c r="AE258" s="1">
        <v>125</v>
      </c>
      <c r="AF258" s="1">
        <v>100</v>
      </c>
      <c r="AG258" s="1">
        <v>111701</v>
      </c>
      <c r="AH258" s="1">
        <v>0</v>
      </c>
      <c r="AI258" s="1">
        <v>300105</v>
      </c>
      <c r="AJ258" s="1" t="s">
        <v>5235</v>
      </c>
      <c r="AK258" s="1" t="s">
        <v>1275</v>
      </c>
      <c r="AL258" s="1">
        <v>17</v>
      </c>
      <c r="AM258" s="1" t="s">
        <v>4858</v>
      </c>
      <c r="AN258" s="1" t="s">
        <v>4919</v>
      </c>
      <c r="AO258" s="1" t="s">
        <v>5236</v>
      </c>
      <c r="AP258" s="1">
        <v>0</v>
      </c>
      <c r="AQ258" s="1" t="s">
        <v>1167</v>
      </c>
      <c r="AR258" s="1" t="s">
        <v>1168</v>
      </c>
      <c r="AS258" s="1" t="s">
        <v>1169</v>
      </c>
      <c r="AT258" s="1" t="s">
        <v>328</v>
      </c>
      <c r="AU258" s="1">
        <v>199</v>
      </c>
      <c r="AV258" s="1">
        <v>0</v>
      </c>
      <c r="AW258" s="1" t="s">
        <v>5226</v>
      </c>
      <c r="AX258" s="1" t="s">
        <v>331</v>
      </c>
      <c r="AY258" s="1">
        <v>4</v>
      </c>
      <c r="AZ258" s="1">
        <v>0</v>
      </c>
      <c r="BA258" s="1" t="s">
        <v>328</v>
      </c>
      <c r="BB258" s="1" t="s">
        <v>5089</v>
      </c>
      <c r="BC258" s="1" t="s">
        <v>328</v>
      </c>
      <c r="BD258" s="1">
        <v>10403</v>
      </c>
      <c r="BE258" s="1"/>
      <c r="BH258">
        <f>COUNTIF(Dropdowns!$I:$AF,C258)</f>
        <v>1</v>
      </c>
    </row>
    <row r="259" spans="1:60" x14ac:dyDescent="0.3">
      <c r="A259" s="1">
        <v>265</v>
      </c>
      <c r="B259" s="1" t="s">
        <v>3742</v>
      </c>
      <c r="C259" s="207" t="s">
        <v>206</v>
      </c>
      <c r="D259" s="1" t="s">
        <v>206</v>
      </c>
      <c r="E259" s="1"/>
      <c r="F259" s="1"/>
      <c r="G259" s="1" t="s">
        <v>3743</v>
      </c>
      <c r="H259" s="1" t="s">
        <v>3744</v>
      </c>
      <c r="I259" s="1" t="s">
        <v>3745</v>
      </c>
      <c r="J259" s="1">
        <v>4</v>
      </c>
      <c r="K259" s="1">
        <v>3</v>
      </c>
      <c r="L259" s="1">
        <v>11400</v>
      </c>
      <c r="M259" s="1">
        <v>20</v>
      </c>
      <c r="N259" s="1">
        <v>20</v>
      </c>
      <c r="O259" s="1">
        <v>10</v>
      </c>
      <c r="P259" s="1">
        <v>10</v>
      </c>
      <c r="Q259" s="1">
        <v>2</v>
      </c>
      <c r="R259" s="1">
        <v>5</v>
      </c>
      <c r="S259" s="1">
        <v>5</v>
      </c>
      <c r="T259" s="1">
        <v>0</v>
      </c>
      <c r="U259" s="1">
        <v>95</v>
      </c>
      <c r="V259" s="1">
        <v>110</v>
      </c>
      <c r="W259" s="1">
        <v>110</v>
      </c>
      <c r="X259" s="1">
        <v>100</v>
      </c>
      <c r="Y259" s="1">
        <v>125</v>
      </c>
      <c r="Z259" s="1">
        <v>115</v>
      </c>
      <c r="AA259" s="1">
        <v>0</v>
      </c>
      <c r="AB259" s="1">
        <v>15</v>
      </c>
      <c r="AC259" s="1">
        <v>20</v>
      </c>
      <c r="AD259" s="1">
        <v>0</v>
      </c>
      <c r="AE259" s="1">
        <v>115</v>
      </c>
      <c r="AF259" s="1">
        <v>100</v>
      </c>
      <c r="AG259" s="1">
        <v>100406</v>
      </c>
      <c r="AH259" s="1">
        <v>0</v>
      </c>
      <c r="AI259" s="1">
        <v>300103</v>
      </c>
      <c r="AJ259" s="1" t="s">
        <v>1125</v>
      </c>
      <c r="AK259" s="1" t="s">
        <v>328</v>
      </c>
      <c r="AL259" s="1">
        <v>13</v>
      </c>
      <c r="AM259" s="1" t="s">
        <v>4719</v>
      </c>
      <c r="AN259" s="1" t="s">
        <v>4834</v>
      </c>
      <c r="AO259" s="1" t="s">
        <v>4748</v>
      </c>
      <c r="AP259" s="1">
        <v>0</v>
      </c>
      <c r="AQ259" s="1" t="s">
        <v>1130</v>
      </c>
      <c r="AR259" s="1" t="s">
        <v>1154</v>
      </c>
      <c r="AS259" s="1" t="s">
        <v>1129</v>
      </c>
      <c r="AT259" s="1" t="s">
        <v>328</v>
      </c>
      <c r="AU259" s="1">
        <v>105</v>
      </c>
      <c r="AV259" s="1">
        <v>0</v>
      </c>
      <c r="AW259" s="1" t="s">
        <v>5237</v>
      </c>
      <c r="AX259" s="1" t="s">
        <v>5216</v>
      </c>
      <c r="AY259" s="1">
        <v>3</v>
      </c>
      <c r="AZ259" s="1">
        <v>0</v>
      </c>
      <c r="BA259" s="1" t="s">
        <v>328</v>
      </c>
      <c r="BB259" s="1" t="s">
        <v>328</v>
      </c>
      <c r="BC259" s="1" t="s">
        <v>4769</v>
      </c>
      <c r="BD259" s="1">
        <v>10403</v>
      </c>
      <c r="BE259" s="1"/>
      <c r="BH259">
        <f>COUNTIF(Dropdowns!$I:$AF,C259)</f>
        <v>1</v>
      </c>
    </row>
    <row r="260" spans="1:60" x14ac:dyDescent="0.3">
      <c r="A260" s="1">
        <v>266</v>
      </c>
      <c r="B260" s="1" t="s">
        <v>3746</v>
      </c>
      <c r="C260" s="207" t="s">
        <v>207</v>
      </c>
      <c r="D260" s="1" t="s">
        <v>207</v>
      </c>
      <c r="E260" s="1"/>
      <c r="F260" s="1"/>
      <c r="G260" s="1" t="s">
        <v>3747</v>
      </c>
      <c r="H260" s="1" t="s">
        <v>3748</v>
      </c>
      <c r="I260" s="1" t="s">
        <v>3749</v>
      </c>
      <c r="J260" s="1">
        <v>3</v>
      </c>
      <c r="K260" s="1">
        <v>5</v>
      </c>
      <c r="L260" s="1">
        <v>17400</v>
      </c>
      <c r="M260" s="1">
        <v>15</v>
      </c>
      <c r="N260" s="1">
        <v>30</v>
      </c>
      <c r="O260" s="1">
        <v>10</v>
      </c>
      <c r="P260" s="1">
        <v>15</v>
      </c>
      <c r="Q260" s="1">
        <v>5</v>
      </c>
      <c r="R260" s="1">
        <v>2</v>
      </c>
      <c r="S260" s="1">
        <v>5</v>
      </c>
      <c r="T260" s="1">
        <v>0</v>
      </c>
      <c r="U260" s="1">
        <v>92</v>
      </c>
      <c r="V260" s="1">
        <v>114</v>
      </c>
      <c r="W260" s="1">
        <v>110</v>
      </c>
      <c r="X260" s="1">
        <v>100</v>
      </c>
      <c r="Y260" s="1">
        <v>132</v>
      </c>
      <c r="Z260" s="1">
        <v>92</v>
      </c>
      <c r="AA260" s="1">
        <v>0</v>
      </c>
      <c r="AB260" s="1">
        <v>15</v>
      </c>
      <c r="AC260" s="1">
        <v>40</v>
      </c>
      <c r="AD260" s="1">
        <v>0</v>
      </c>
      <c r="AE260" s="1">
        <v>135</v>
      </c>
      <c r="AF260" s="1">
        <v>130</v>
      </c>
      <c r="AG260" s="1">
        <v>112201</v>
      </c>
      <c r="AH260" s="1">
        <v>0</v>
      </c>
      <c r="AI260" s="1">
        <v>112204</v>
      </c>
      <c r="AJ260" s="1" t="s">
        <v>1276</v>
      </c>
      <c r="AK260" s="1" t="s">
        <v>1277</v>
      </c>
      <c r="AL260" s="1">
        <v>13</v>
      </c>
      <c r="AM260" s="1" t="s">
        <v>4762</v>
      </c>
      <c r="AN260" s="1" t="s">
        <v>4864</v>
      </c>
      <c r="AO260" s="1" t="s">
        <v>4845</v>
      </c>
      <c r="AP260" s="1">
        <v>0</v>
      </c>
      <c r="AQ260" s="1" t="s">
        <v>1140</v>
      </c>
      <c r="AR260" s="1" t="s">
        <v>1141</v>
      </c>
      <c r="AS260" s="1" t="s">
        <v>1142</v>
      </c>
      <c r="AT260" s="1" t="s">
        <v>328</v>
      </c>
      <c r="AU260" s="1">
        <v>48</v>
      </c>
      <c r="AV260" s="1">
        <v>0</v>
      </c>
      <c r="AW260" s="1" t="s">
        <v>5238</v>
      </c>
      <c r="AX260" s="1" t="s">
        <v>5239</v>
      </c>
      <c r="AY260" s="1">
        <v>5</v>
      </c>
      <c r="AZ260" s="1">
        <v>0</v>
      </c>
      <c r="BA260" s="1" t="s">
        <v>328</v>
      </c>
      <c r="BB260" s="1" t="s">
        <v>328</v>
      </c>
      <c r="BC260" s="1" t="s">
        <v>4769</v>
      </c>
      <c r="BD260" s="1">
        <v>10201</v>
      </c>
      <c r="BE260" s="1"/>
      <c r="BH260">
        <f>COUNTIF(Dropdowns!$I:$AF,C260)</f>
        <v>1</v>
      </c>
    </row>
    <row r="261" spans="1:60" x14ac:dyDescent="0.3">
      <c r="A261" s="1">
        <v>267</v>
      </c>
      <c r="B261" s="1" t="s">
        <v>3750</v>
      </c>
      <c r="C261" s="207" t="s">
        <v>208</v>
      </c>
      <c r="D261" s="1" t="s">
        <v>208</v>
      </c>
      <c r="E261" s="1"/>
      <c r="F261" s="1"/>
      <c r="G261" s="1" t="s">
        <v>3751</v>
      </c>
      <c r="H261" s="1" t="s">
        <v>3752</v>
      </c>
      <c r="I261" s="1" t="s">
        <v>3753</v>
      </c>
      <c r="J261" s="1">
        <v>2</v>
      </c>
      <c r="K261" s="1">
        <v>3</v>
      </c>
      <c r="L261" s="1">
        <v>7500</v>
      </c>
      <c r="M261" s="1">
        <v>25</v>
      </c>
      <c r="N261" s="1">
        <v>20</v>
      </c>
      <c r="O261" s="1">
        <v>15</v>
      </c>
      <c r="P261" s="1">
        <v>10</v>
      </c>
      <c r="Q261" s="1">
        <v>5</v>
      </c>
      <c r="R261" s="1">
        <v>5</v>
      </c>
      <c r="S261" s="1">
        <v>2</v>
      </c>
      <c r="T261" s="1">
        <v>0</v>
      </c>
      <c r="U261" s="1">
        <v>110</v>
      </c>
      <c r="V261" s="1">
        <v>105</v>
      </c>
      <c r="W261" s="1">
        <v>95</v>
      </c>
      <c r="X261" s="1">
        <v>100</v>
      </c>
      <c r="Y261" s="1">
        <v>100</v>
      </c>
      <c r="Z261" s="1">
        <v>90</v>
      </c>
      <c r="AA261" s="1">
        <v>0</v>
      </c>
      <c r="AB261" s="1">
        <v>15</v>
      </c>
      <c r="AC261" s="1">
        <v>5</v>
      </c>
      <c r="AD261" s="1">
        <v>0</v>
      </c>
      <c r="AE261" s="1">
        <v>120</v>
      </c>
      <c r="AF261" s="1">
        <v>100</v>
      </c>
      <c r="AG261" s="1">
        <v>102402</v>
      </c>
      <c r="AH261" s="1">
        <v>0</v>
      </c>
      <c r="AI261" s="1">
        <v>300102</v>
      </c>
      <c r="AJ261" s="1" t="s">
        <v>1125</v>
      </c>
      <c r="AK261" s="1" t="s">
        <v>328</v>
      </c>
      <c r="AL261" s="1">
        <v>13</v>
      </c>
      <c r="AM261" s="1" t="s">
        <v>4790</v>
      </c>
      <c r="AN261" s="1" t="s">
        <v>4993</v>
      </c>
      <c r="AO261" s="1" t="s">
        <v>4994</v>
      </c>
      <c r="AP261" s="1">
        <v>0</v>
      </c>
      <c r="AQ261" s="1" t="s">
        <v>1129</v>
      </c>
      <c r="AR261" s="1" t="s">
        <v>1119</v>
      </c>
      <c r="AS261" s="1" t="s">
        <v>1130</v>
      </c>
      <c r="AT261" s="1" t="s">
        <v>328</v>
      </c>
      <c r="AU261" s="1">
        <v>116</v>
      </c>
      <c r="AV261" s="1">
        <v>0</v>
      </c>
      <c r="AW261" s="1" t="s">
        <v>5240</v>
      </c>
      <c r="AX261" s="1" t="s">
        <v>5216</v>
      </c>
      <c r="AY261" s="1">
        <v>3</v>
      </c>
      <c r="AZ261" s="1">
        <v>0</v>
      </c>
      <c r="BA261" s="1" t="s">
        <v>328</v>
      </c>
      <c r="BB261" s="1" t="s">
        <v>328</v>
      </c>
      <c r="BC261" s="1" t="s">
        <v>4769</v>
      </c>
      <c r="BD261" s="1">
        <v>10704</v>
      </c>
      <c r="BE261" s="1"/>
      <c r="BH261">
        <f>COUNTIF(Dropdowns!$I:$AF,C261)</f>
        <v>1</v>
      </c>
    </row>
    <row r="262" spans="1:60" x14ac:dyDescent="0.3">
      <c r="A262" s="1">
        <v>268</v>
      </c>
      <c r="B262" s="1" t="s">
        <v>3754</v>
      </c>
      <c r="C262" s="207" t="s">
        <v>1656</v>
      </c>
      <c r="D262" s="1" t="s">
        <v>1656</v>
      </c>
      <c r="E262" s="1"/>
      <c r="F262" s="1"/>
      <c r="G262" s="1" t="s">
        <v>3755</v>
      </c>
      <c r="H262" s="1" t="s">
        <v>3756</v>
      </c>
      <c r="I262" s="1" t="s">
        <v>3757</v>
      </c>
      <c r="J262" s="1">
        <v>3</v>
      </c>
      <c r="K262" s="1">
        <v>3</v>
      </c>
      <c r="L262" s="1">
        <v>15600</v>
      </c>
      <c r="M262" s="1">
        <v>15</v>
      </c>
      <c r="N262" s="1">
        <v>30</v>
      </c>
      <c r="O262" s="1">
        <v>10</v>
      </c>
      <c r="P262" s="1">
        <v>15</v>
      </c>
      <c r="Q262" s="1">
        <v>5</v>
      </c>
      <c r="R262" s="1">
        <v>2</v>
      </c>
      <c r="S262" s="1">
        <v>5</v>
      </c>
      <c r="T262" s="1">
        <v>0</v>
      </c>
      <c r="U262" s="1">
        <v>100</v>
      </c>
      <c r="V262" s="1">
        <v>115</v>
      </c>
      <c r="W262" s="1">
        <v>110</v>
      </c>
      <c r="X262" s="1">
        <v>100</v>
      </c>
      <c r="Y262" s="1">
        <v>120</v>
      </c>
      <c r="Z262" s="1">
        <v>85</v>
      </c>
      <c r="AA262" s="1">
        <v>0</v>
      </c>
      <c r="AB262" s="1">
        <v>15</v>
      </c>
      <c r="AC262" s="1">
        <v>40</v>
      </c>
      <c r="AD262" s="1">
        <v>0</v>
      </c>
      <c r="AE262" s="1">
        <v>112</v>
      </c>
      <c r="AF262" s="1">
        <v>100</v>
      </c>
      <c r="AG262" s="1">
        <v>100102</v>
      </c>
      <c r="AH262" s="1">
        <v>0</v>
      </c>
      <c r="AI262" s="1">
        <v>300104</v>
      </c>
      <c r="AJ262" s="1" t="s">
        <v>1125</v>
      </c>
      <c r="AK262" s="1" t="s">
        <v>328</v>
      </c>
      <c r="AL262" s="1">
        <v>13</v>
      </c>
      <c r="AM262" s="1" t="s">
        <v>4762</v>
      </c>
      <c r="AN262" s="1" t="s">
        <v>4834</v>
      </c>
      <c r="AO262" s="1" t="s">
        <v>4826</v>
      </c>
      <c r="AP262" s="1">
        <v>0</v>
      </c>
      <c r="AQ262" s="1" t="s">
        <v>1140</v>
      </c>
      <c r="AR262" s="1" t="s">
        <v>1141</v>
      </c>
      <c r="AS262" s="1" t="s">
        <v>1142</v>
      </c>
      <c r="AT262" s="1" t="s">
        <v>328</v>
      </c>
      <c r="AU262" s="1">
        <v>241</v>
      </c>
      <c r="AV262" s="1">
        <v>0</v>
      </c>
      <c r="AW262" s="1" t="s">
        <v>5241</v>
      </c>
      <c r="AX262" s="1" t="s">
        <v>5242</v>
      </c>
      <c r="AY262" s="1">
        <v>3</v>
      </c>
      <c r="AZ262" s="1">
        <v>0</v>
      </c>
      <c r="BA262" s="1" t="s">
        <v>328</v>
      </c>
      <c r="BB262" s="1" t="s">
        <v>328</v>
      </c>
      <c r="BC262" s="1" t="s">
        <v>328</v>
      </c>
      <c r="BD262" s="1">
        <v>10802</v>
      </c>
      <c r="BE262" s="1"/>
      <c r="BH262">
        <f>COUNTIF(Dropdowns!$I:$AF,C262)</f>
        <v>1</v>
      </c>
    </row>
    <row r="263" spans="1:60" x14ac:dyDescent="0.3">
      <c r="A263" s="1">
        <v>269</v>
      </c>
      <c r="B263" s="1" t="s">
        <v>3758</v>
      </c>
      <c r="C263" s="207" t="s">
        <v>209</v>
      </c>
      <c r="D263" s="1" t="s">
        <v>209</v>
      </c>
      <c r="E263" s="1"/>
      <c r="F263" s="1"/>
      <c r="G263" s="1" t="s">
        <v>3759</v>
      </c>
      <c r="H263" s="1" t="s">
        <v>3760</v>
      </c>
      <c r="I263" s="1" t="s">
        <v>3761</v>
      </c>
      <c r="J263" s="1">
        <v>1</v>
      </c>
      <c r="K263" s="1">
        <v>4</v>
      </c>
      <c r="L263" s="1">
        <v>3000</v>
      </c>
      <c r="M263" s="1">
        <v>10</v>
      </c>
      <c r="N263" s="1">
        <v>10</v>
      </c>
      <c r="O263" s="1">
        <v>5</v>
      </c>
      <c r="P263" s="1">
        <v>5</v>
      </c>
      <c r="Q263" s="1">
        <v>2</v>
      </c>
      <c r="R263" s="1">
        <v>2</v>
      </c>
      <c r="S263" s="1">
        <v>2</v>
      </c>
      <c r="T263" s="1">
        <v>0</v>
      </c>
      <c r="U263" s="1">
        <v>105</v>
      </c>
      <c r="V263" s="1">
        <v>115</v>
      </c>
      <c r="W263" s="1">
        <v>102</v>
      </c>
      <c r="X263" s="1">
        <v>100</v>
      </c>
      <c r="Y263" s="1">
        <v>125</v>
      </c>
      <c r="Z263" s="1">
        <v>115</v>
      </c>
      <c r="AA263" s="1">
        <v>0</v>
      </c>
      <c r="AB263" s="1">
        <v>15</v>
      </c>
      <c r="AC263" s="1">
        <v>20</v>
      </c>
      <c r="AD263" s="1">
        <v>0</v>
      </c>
      <c r="AE263" s="1">
        <v>118</v>
      </c>
      <c r="AF263" s="1">
        <v>100</v>
      </c>
      <c r="AG263" s="1">
        <v>112401</v>
      </c>
      <c r="AH263" s="1">
        <v>0</v>
      </c>
      <c r="AI263" s="1">
        <v>300101</v>
      </c>
      <c r="AJ263" s="1" t="s">
        <v>1278</v>
      </c>
      <c r="AK263" s="1" t="s">
        <v>1279</v>
      </c>
      <c r="AL263" s="1">
        <v>12</v>
      </c>
      <c r="AM263" s="1" t="s">
        <v>1806</v>
      </c>
      <c r="AN263" s="1" t="s">
        <v>5243</v>
      </c>
      <c r="AO263" s="1" t="s">
        <v>5244</v>
      </c>
      <c r="AP263" s="1">
        <v>0</v>
      </c>
      <c r="AQ263" s="1" t="s">
        <v>1118</v>
      </c>
      <c r="AR263" s="1" t="s">
        <v>1119</v>
      </c>
      <c r="AS263" s="1" t="s">
        <v>1120</v>
      </c>
      <c r="AT263" s="1" t="s">
        <v>328</v>
      </c>
      <c r="AU263" s="1">
        <v>212</v>
      </c>
      <c r="AV263" s="1">
        <v>0</v>
      </c>
      <c r="AW263" s="1" t="s">
        <v>5167</v>
      </c>
      <c r="AX263" s="1" t="s">
        <v>4762</v>
      </c>
      <c r="AY263" s="1">
        <v>4</v>
      </c>
      <c r="AZ263" s="1">
        <v>0</v>
      </c>
      <c r="BA263" s="1" t="s">
        <v>328</v>
      </c>
      <c r="BB263" s="1" t="s">
        <v>328</v>
      </c>
      <c r="BC263" s="1" t="s">
        <v>4769</v>
      </c>
      <c r="BD263" s="1">
        <v>10403</v>
      </c>
      <c r="BE263" s="1"/>
      <c r="BH263">
        <f>COUNTIF(Dropdowns!$I:$AF,C263)</f>
        <v>0</v>
      </c>
    </row>
    <row r="264" spans="1:60" x14ac:dyDescent="0.3">
      <c r="A264" s="1">
        <v>270</v>
      </c>
      <c r="B264" s="1" t="s">
        <v>3762</v>
      </c>
      <c r="C264" s="207" t="s">
        <v>242</v>
      </c>
      <c r="D264" s="1" t="s">
        <v>3763</v>
      </c>
      <c r="E264" s="1"/>
      <c r="F264" s="1"/>
      <c r="G264" s="1" t="s">
        <v>3764</v>
      </c>
      <c r="H264" s="1" t="s">
        <v>3765</v>
      </c>
      <c r="I264" s="1" t="s">
        <v>3766</v>
      </c>
      <c r="J264" s="1">
        <v>3</v>
      </c>
      <c r="K264" s="1">
        <v>4</v>
      </c>
      <c r="L264" s="1">
        <v>14640</v>
      </c>
      <c r="M264" s="1">
        <v>15</v>
      </c>
      <c r="N264" s="1">
        <v>30</v>
      </c>
      <c r="O264" s="1">
        <v>10</v>
      </c>
      <c r="P264" s="1">
        <v>15</v>
      </c>
      <c r="Q264" s="1">
        <v>5</v>
      </c>
      <c r="R264" s="1">
        <v>2</v>
      </c>
      <c r="S264" s="1">
        <v>5</v>
      </c>
      <c r="T264" s="1">
        <v>0</v>
      </c>
      <c r="U264" s="1">
        <v>95</v>
      </c>
      <c r="V264" s="1">
        <v>102</v>
      </c>
      <c r="W264" s="1">
        <v>112</v>
      </c>
      <c r="X264" s="1">
        <v>100</v>
      </c>
      <c r="Y264" s="1">
        <v>110</v>
      </c>
      <c r="Z264" s="1">
        <v>106</v>
      </c>
      <c r="AA264" s="1">
        <v>0</v>
      </c>
      <c r="AB264" s="1">
        <v>15</v>
      </c>
      <c r="AC264" s="1">
        <v>40</v>
      </c>
      <c r="AD264" s="1">
        <v>0</v>
      </c>
      <c r="AE264" s="1">
        <v>122</v>
      </c>
      <c r="AF264" s="1">
        <v>100</v>
      </c>
      <c r="AG264" s="1">
        <v>112501</v>
      </c>
      <c r="AH264" s="1">
        <v>0</v>
      </c>
      <c r="AI264" s="1">
        <v>112502</v>
      </c>
      <c r="AJ264" s="1" t="s">
        <v>1280</v>
      </c>
      <c r="AK264" s="1" t="s">
        <v>1281</v>
      </c>
      <c r="AL264" s="1">
        <v>13</v>
      </c>
      <c r="AM264" s="1" t="s">
        <v>4762</v>
      </c>
      <c r="AN264" s="1" t="s">
        <v>5245</v>
      </c>
      <c r="AO264" s="1" t="s">
        <v>4832</v>
      </c>
      <c r="AP264" s="1">
        <v>0</v>
      </c>
      <c r="AQ264" s="1" t="s">
        <v>1746</v>
      </c>
      <c r="AR264" s="1" t="s">
        <v>1141</v>
      </c>
      <c r="AS264" s="1" t="s">
        <v>1142</v>
      </c>
      <c r="AT264" s="1" t="s">
        <v>328</v>
      </c>
      <c r="AU264" s="1">
        <v>200</v>
      </c>
      <c r="AV264" s="1">
        <v>0</v>
      </c>
      <c r="AW264" s="1" t="s">
        <v>5167</v>
      </c>
      <c r="AX264" s="1" t="s">
        <v>331</v>
      </c>
      <c r="AY264" s="1">
        <v>4</v>
      </c>
      <c r="AZ264" s="1">
        <v>0</v>
      </c>
      <c r="BA264" s="1" t="s">
        <v>328</v>
      </c>
      <c r="BB264" s="1" t="s">
        <v>328</v>
      </c>
      <c r="BC264" s="1" t="s">
        <v>328</v>
      </c>
      <c r="BD264" s="1">
        <v>10802</v>
      </c>
      <c r="BE264" s="1"/>
      <c r="BH264">
        <f>COUNTIF(Dropdowns!$I:$AF,C264)</f>
        <v>1</v>
      </c>
    </row>
    <row r="265" spans="1:60" x14ac:dyDescent="0.3">
      <c r="A265" s="1">
        <v>271</v>
      </c>
      <c r="B265" s="1" t="s">
        <v>3767</v>
      </c>
      <c r="C265" s="207" t="s">
        <v>211</v>
      </c>
      <c r="D265" s="1" t="s">
        <v>211</v>
      </c>
      <c r="E265" s="1"/>
      <c r="F265" s="1"/>
      <c r="G265" s="1" t="s">
        <v>3768</v>
      </c>
      <c r="H265" s="1" t="s">
        <v>3769</v>
      </c>
      <c r="I265" s="1" t="s">
        <v>3770</v>
      </c>
      <c r="J265" s="1">
        <v>5</v>
      </c>
      <c r="K265" s="1">
        <v>3</v>
      </c>
      <c r="L265" s="1">
        <v>22500</v>
      </c>
      <c r="M265" s="1">
        <v>40</v>
      </c>
      <c r="N265" s="1">
        <v>30</v>
      </c>
      <c r="O265" s="1">
        <v>25</v>
      </c>
      <c r="P265" s="1">
        <v>15</v>
      </c>
      <c r="Q265" s="1">
        <v>5</v>
      </c>
      <c r="R265" s="1">
        <v>5</v>
      </c>
      <c r="S265" s="1">
        <v>2</v>
      </c>
      <c r="T265" s="1">
        <v>5</v>
      </c>
      <c r="U265" s="1">
        <v>100</v>
      </c>
      <c r="V265" s="1">
        <v>95</v>
      </c>
      <c r="W265" s="1">
        <v>125</v>
      </c>
      <c r="X265" s="1">
        <v>100</v>
      </c>
      <c r="Y265" s="1">
        <v>115</v>
      </c>
      <c r="Z265" s="1">
        <v>135</v>
      </c>
      <c r="AA265" s="1">
        <v>0</v>
      </c>
      <c r="AB265" s="1">
        <v>15</v>
      </c>
      <c r="AC265" s="1">
        <v>5</v>
      </c>
      <c r="AD265" s="1">
        <v>9</v>
      </c>
      <c r="AE265" s="1">
        <v>122</v>
      </c>
      <c r="AF265" s="1">
        <v>100</v>
      </c>
      <c r="AG265" s="1">
        <v>105103</v>
      </c>
      <c r="AH265" s="1">
        <v>0</v>
      </c>
      <c r="AI265" s="1">
        <v>300105</v>
      </c>
      <c r="AJ265" s="1" t="s">
        <v>1170</v>
      </c>
      <c r="AK265" s="1" t="s">
        <v>328</v>
      </c>
      <c r="AL265" s="1">
        <v>18</v>
      </c>
      <c r="AM265" s="1" t="s">
        <v>4858</v>
      </c>
      <c r="AN265" s="1" t="s">
        <v>4919</v>
      </c>
      <c r="AO265" s="1" t="s">
        <v>5246</v>
      </c>
      <c r="AP265" s="1">
        <v>0</v>
      </c>
      <c r="AQ265" s="1" t="s">
        <v>1167</v>
      </c>
      <c r="AR265" s="1" t="s">
        <v>1168</v>
      </c>
      <c r="AS265" s="1" t="s">
        <v>1169</v>
      </c>
      <c r="AT265" s="1" t="s">
        <v>328</v>
      </c>
      <c r="AU265" s="1">
        <v>208</v>
      </c>
      <c r="AV265" s="1">
        <v>0</v>
      </c>
      <c r="AW265" s="1" t="s">
        <v>5247</v>
      </c>
      <c r="AX265" s="1" t="s">
        <v>5248</v>
      </c>
      <c r="AY265" s="1">
        <v>3</v>
      </c>
      <c r="AZ265" s="1">
        <v>0</v>
      </c>
      <c r="BA265" s="1" t="s">
        <v>328</v>
      </c>
      <c r="BB265" s="1" t="s">
        <v>328</v>
      </c>
      <c r="BC265" s="1" t="s">
        <v>328</v>
      </c>
      <c r="BD265" s="1">
        <v>10802</v>
      </c>
      <c r="BE265" s="1"/>
      <c r="BH265">
        <f>COUNTIF(Dropdowns!$I:$AF,C265)</f>
        <v>1</v>
      </c>
    </row>
    <row r="266" spans="1:60" x14ac:dyDescent="0.3">
      <c r="A266" s="1">
        <v>272</v>
      </c>
      <c r="B266" s="1" t="s">
        <v>3771</v>
      </c>
      <c r="C266" s="207" t="s">
        <v>1686</v>
      </c>
      <c r="D266" s="1" t="s">
        <v>3772</v>
      </c>
      <c r="E266" s="1"/>
      <c r="F266" s="1"/>
      <c r="G266" s="1" t="s">
        <v>3773</v>
      </c>
      <c r="H266" s="1" t="s">
        <v>3774</v>
      </c>
      <c r="I266" s="1" t="s">
        <v>3775</v>
      </c>
      <c r="J266" s="1">
        <v>1</v>
      </c>
      <c r="K266" s="1">
        <v>5</v>
      </c>
      <c r="L266" s="1">
        <v>3180</v>
      </c>
      <c r="M266" s="1">
        <v>10</v>
      </c>
      <c r="N266" s="1">
        <v>10</v>
      </c>
      <c r="O266" s="1">
        <v>5</v>
      </c>
      <c r="P266" s="1">
        <v>5</v>
      </c>
      <c r="Q266" s="1">
        <v>2</v>
      </c>
      <c r="R266" s="1">
        <v>2</v>
      </c>
      <c r="S266" s="1">
        <v>2</v>
      </c>
      <c r="T266" s="1">
        <v>0</v>
      </c>
      <c r="U266" s="1">
        <v>110</v>
      </c>
      <c r="V266" s="1">
        <v>138</v>
      </c>
      <c r="W266" s="1">
        <v>100</v>
      </c>
      <c r="X266" s="1">
        <v>100</v>
      </c>
      <c r="Y266" s="1">
        <v>105</v>
      </c>
      <c r="Z266" s="1">
        <v>80</v>
      </c>
      <c r="AA266" s="1">
        <v>0</v>
      </c>
      <c r="AB266" s="1">
        <v>15</v>
      </c>
      <c r="AC266" s="1">
        <v>40</v>
      </c>
      <c r="AD266" s="1">
        <v>0</v>
      </c>
      <c r="AE266" s="1">
        <v>132</v>
      </c>
      <c r="AF266" s="1">
        <v>100</v>
      </c>
      <c r="AG266" s="1">
        <v>113101</v>
      </c>
      <c r="AH266" s="1">
        <v>0</v>
      </c>
      <c r="AI266" s="1">
        <v>113103</v>
      </c>
      <c r="AJ266" s="1" t="s">
        <v>1282</v>
      </c>
      <c r="AK266" s="1" t="s">
        <v>1283</v>
      </c>
      <c r="AL266" s="1">
        <v>17</v>
      </c>
      <c r="AM266" s="1" t="s">
        <v>1806</v>
      </c>
      <c r="AN266" s="1" t="s">
        <v>5249</v>
      </c>
      <c r="AO266" s="1" t="s">
        <v>4751</v>
      </c>
      <c r="AP266" s="1">
        <v>0</v>
      </c>
      <c r="AQ266" s="1" t="s">
        <v>1118</v>
      </c>
      <c r="AR266" s="1" t="s">
        <v>1119</v>
      </c>
      <c r="AS266" s="1" t="s">
        <v>1120</v>
      </c>
      <c r="AT266" s="1" t="s">
        <v>328</v>
      </c>
      <c r="AU266" s="1">
        <v>4</v>
      </c>
      <c r="AV266" s="1">
        <v>0</v>
      </c>
      <c r="AW266" s="1" t="s">
        <v>5250</v>
      </c>
      <c r="AX266" s="1" t="s">
        <v>5251</v>
      </c>
      <c r="AY266" s="1">
        <v>5</v>
      </c>
      <c r="AZ266" s="1">
        <v>0</v>
      </c>
      <c r="BA266" s="1" t="s">
        <v>328</v>
      </c>
      <c r="BB266" s="1" t="s">
        <v>328</v>
      </c>
      <c r="BC266" s="1" t="s">
        <v>328</v>
      </c>
      <c r="BD266" s="1">
        <v>10803</v>
      </c>
      <c r="BE266" s="1"/>
      <c r="BH266">
        <f>COUNTIF(Dropdowns!$I:$AF,C266)</f>
        <v>0</v>
      </c>
    </row>
    <row r="267" spans="1:60" x14ac:dyDescent="0.3">
      <c r="A267" s="1">
        <v>273</v>
      </c>
      <c r="B267" s="1" t="s">
        <v>3776</v>
      </c>
      <c r="C267" s="207" t="s">
        <v>243</v>
      </c>
      <c r="D267" s="1" t="s">
        <v>243</v>
      </c>
      <c r="E267" s="1"/>
      <c r="F267" s="1"/>
      <c r="G267" s="1" t="s">
        <v>3777</v>
      </c>
      <c r="H267" s="1" t="s">
        <v>3778</v>
      </c>
      <c r="I267" s="1" t="s">
        <v>3779</v>
      </c>
      <c r="J267" s="1">
        <v>3</v>
      </c>
      <c r="K267" s="1">
        <v>4</v>
      </c>
      <c r="L267" s="1">
        <v>17400</v>
      </c>
      <c r="M267" s="1">
        <v>15</v>
      </c>
      <c r="N267" s="1">
        <v>30</v>
      </c>
      <c r="O267" s="1">
        <v>10</v>
      </c>
      <c r="P267" s="1">
        <v>15</v>
      </c>
      <c r="Q267" s="1">
        <v>5</v>
      </c>
      <c r="R267" s="1">
        <v>2</v>
      </c>
      <c r="S267" s="1">
        <v>5</v>
      </c>
      <c r="T267" s="1">
        <v>0</v>
      </c>
      <c r="U267" s="1">
        <v>100</v>
      </c>
      <c r="V267" s="1">
        <v>116</v>
      </c>
      <c r="W267" s="1">
        <v>110</v>
      </c>
      <c r="X267" s="1">
        <v>100</v>
      </c>
      <c r="Y267" s="1">
        <v>115</v>
      </c>
      <c r="Z267" s="1">
        <v>90</v>
      </c>
      <c r="AA267" s="1">
        <v>0</v>
      </c>
      <c r="AB267" s="1">
        <v>15</v>
      </c>
      <c r="AC267" s="1">
        <v>40</v>
      </c>
      <c r="AD267" s="1">
        <v>0</v>
      </c>
      <c r="AE267" s="1">
        <v>120</v>
      </c>
      <c r="AF267" s="1">
        <v>130</v>
      </c>
      <c r="AG267" s="1">
        <v>112701</v>
      </c>
      <c r="AH267" s="1">
        <v>0</v>
      </c>
      <c r="AI267" s="1">
        <v>112703</v>
      </c>
      <c r="AJ267" s="1" t="s">
        <v>1284</v>
      </c>
      <c r="AK267" s="1" t="s">
        <v>1285</v>
      </c>
      <c r="AL267" s="1">
        <v>13</v>
      </c>
      <c r="AM267" s="1" t="s">
        <v>4762</v>
      </c>
      <c r="AN267" s="1" t="s">
        <v>4829</v>
      </c>
      <c r="AO267" s="1" t="s">
        <v>4832</v>
      </c>
      <c r="AP267" s="1">
        <v>0</v>
      </c>
      <c r="AQ267" s="1" t="s">
        <v>1140</v>
      </c>
      <c r="AR267" s="1" t="s">
        <v>1141</v>
      </c>
      <c r="AS267" s="1" t="s">
        <v>1142</v>
      </c>
      <c r="AT267" s="1" t="s">
        <v>328</v>
      </c>
      <c r="AU267" s="1">
        <v>48</v>
      </c>
      <c r="AV267" s="1">
        <v>0</v>
      </c>
      <c r="AW267" s="1" t="s">
        <v>5250</v>
      </c>
      <c r="AX267" s="1" t="s">
        <v>5216</v>
      </c>
      <c r="AY267" s="1">
        <v>4</v>
      </c>
      <c r="AZ267" s="1">
        <v>0</v>
      </c>
      <c r="BA267" s="1" t="s">
        <v>328</v>
      </c>
      <c r="BB267" s="1" t="s">
        <v>328</v>
      </c>
      <c r="BC267" s="1" t="s">
        <v>4769</v>
      </c>
      <c r="BD267" s="1">
        <v>10402</v>
      </c>
      <c r="BE267" s="1"/>
      <c r="BH267">
        <f>COUNTIF(Dropdowns!$I:$AF,C267)</f>
        <v>1</v>
      </c>
    </row>
    <row r="268" spans="1:60" x14ac:dyDescent="0.3">
      <c r="A268" s="1">
        <v>274</v>
      </c>
      <c r="B268" s="1" t="s">
        <v>3780</v>
      </c>
      <c r="C268" s="207" t="s">
        <v>213</v>
      </c>
      <c r="D268" s="1" t="s">
        <v>213</v>
      </c>
      <c r="E268" s="1"/>
      <c r="F268" s="1"/>
      <c r="G268" s="1" t="s">
        <v>3781</v>
      </c>
      <c r="H268" s="1" t="s">
        <v>3782</v>
      </c>
      <c r="I268" s="1" t="s">
        <v>3783</v>
      </c>
      <c r="J268" s="1">
        <v>4</v>
      </c>
      <c r="K268" s="1">
        <v>5</v>
      </c>
      <c r="L268" s="1">
        <v>15120</v>
      </c>
      <c r="M268" s="1">
        <v>20</v>
      </c>
      <c r="N268" s="1">
        <v>20</v>
      </c>
      <c r="O268" s="1">
        <v>10</v>
      </c>
      <c r="P268" s="1">
        <v>10</v>
      </c>
      <c r="Q268" s="1">
        <v>2</v>
      </c>
      <c r="R268" s="1">
        <v>5</v>
      </c>
      <c r="S268" s="1">
        <v>5</v>
      </c>
      <c r="T268" s="1">
        <v>0</v>
      </c>
      <c r="U268" s="1">
        <v>105</v>
      </c>
      <c r="V268" s="1">
        <v>112</v>
      </c>
      <c r="W268" s="1">
        <v>110</v>
      </c>
      <c r="X268" s="1">
        <v>100</v>
      </c>
      <c r="Y268" s="1">
        <v>120</v>
      </c>
      <c r="Z268" s="1">
        <v>105</v>
      </c>
      <c r="AA268" s="1">
        <v>0</v>
      </c>
      <c r="AB268" s="1">
        <v>15</v>
      </c>
      <c r="AC268" s="1">
        <v>30</v>
      </c>
      <c r="AD268" s="1">
        <v>0</v>
      </c>
      <c r="AE268" s="1">
        <v>132</v>
      </c>
      <c r="AF268" s="1">
        <v>100</v>
      </c>
      <c r="AG268" s="1">
        <v>113001</v>
      </c>
      <c r="AH268" s="1">
        <v>0</v>
      </c>
      <c r="AI268" s="1">
        <v>113004</v>
      </c>
      <c r="AJ268" s="1" t="s">
        <v>1286</v>
      </c>
      <c r="AK268" s="1" t="s">
        <v>1287</v>
      </c>
      <c r="AL268" s="1">
        <v>14</v>
      </c>
      <c r="AM268" s="1" t="s">
        <v>4719</v>
      </c>
      <c r="AN268" s="1" t="s">
        <v>5252</v>
      </c>
      <c r="AO268" s="1" t="s">
        <v>5000</v>
      </c>
      <c r="AP268" s="1">
        <v>0</v>
      </c>
      <c r="AQ268" s="1" t="s">
        <v>1130</v>
      </c>
      <c r="AR268" s="1" t="s">
        <v>1154</v>
      </c>
      <c r="AS268" s="1" t="s">
        <v>1129</v>
      </c>
      <c r="AT268" s="1" t="s">
        <v>328</v>
      </c>
      <c r="AU268" s="1">
        <v>73</v>
      </c>
      <c r="AV268" s="1">
        <v>0</v>
      </c>
      <c r="AW268" s="1" t="s">
        <v>5250</v>
      </c>
      <c r="AX268" s="1" t="s">
        <v>5253</v>
      </c>
      <c r="AY268" s="1">
        <v>5</v>
      </c>
      <c r="AZ268" s="1">
        <v>0</v>
      </c>
      <c r="BA268" s="1" t="s">
        <v>328</v>
      </c>
      <c r="BB268" s="1" t="s">
        <v>4906</v>
      </c>
      <c r="BC268" s="1" t="s">
        <v>4720</v>
      </c>
      <c r="BD268" s="1">
        <v>10402</v>
      </c>
      <c r="BE268" s="1"/>
      <c r="BH268">
        <f>COUNTIF(Dropdowns!$I:$AF,C268)</f>
        <v>1</v>
      </c>
    </row>
    <row r="269" spans="1:60" x14ac:dyDescent="0.3">
      <c r="A269" s="1">
        <v>275</v>
      </c>
      <c r="B269" s="1" t="s">
        <v>3784</v>
      </c>
      <c r="C269" s="207" t="s">
        <v>836</v>
      </c>
      <c r="D269" s="1" t="s">
        <v>3785</v>
      </c>
      <c r="E269" s="1"/>
      <c r="F269" s="1"/>
      <c r="G269" s="1" t="s">
        <v>3786</v>
      </c>
      <c r="H269" s="1" t="s">
        <v>3787</v>
      </c>
      <c r="I269" s="1" t="s">
        <v>3788</v>
      </c>
      <c r="J269" s="1">
        <v>5</v>
      </c>
      <c r="K269" s="1">
        <v>4</v>
      </c>
      <c r="L269" s="1">
        <v>23280</v>
      </c>
      <c r="M269" s="1">
        <v>40</v>
      </c>
      <c r="N269" s="1">
        <v>30</v>
      </c>
      <c r="O269" s="1">
        <v>25</v>
      </c>
      <c r="P269" s="1">
        <v>15</v>
      </c>
      <c r="Q269" s="1">
        <v>5</v>
      </c>
      <c r="R269" s="1">
        <v>5</v>
      </c>
      <c r="S269" s="1">
        <v>2</v>
      </c>
      <c r="T269" s="1">
        <v>5</v>
      </c>
      <c r="U269" s="1">
        <v>115</v>
      </c>
      <c r="V269" s="1">
        <v>115</v>
      </c>
      <c r="W269" s="1">
        <v>125</v>
      </c>
      <c r="X269" s="1">
        <v>100</v>
      </c>
      <c r="Y269" s="1">
        <v>105</v>
      </c>
      <c r="Z269" s="1">
        <v>95</v>
      </c>
      <c r="AA269" s="1">
        <v>0</v>
      </c>
      <c r="AB269" s="1">
        <v>15</v>
      </c>
      <c r="AC269" s="1">
        <v>5</v>
      </c>
      <c r="AD269" s="1">
        <v>10</v>
      </c>
      <c r="AE269" s="1">
        <v>112</v>
      </c>
      <c r="AF269" s="1">
        <v>100</v>
      </c>
      <c r="AG269" s="1">
        <v>112901</v>
      </c>
      <c r="AH269" s="1">
        <v>0</v>
      </c>
      <c r="AI269" s="1">
        <v>112903</v>
      </c>
      <c r="AJ269" s="1" t="s">
        <v>1288</v>
      </c>
      <c r="AK269" s="1" t="s">
        <v>1289</v>
      </c>
      <c r="AL269" s="1">
        <v>18</v>
      </c>
      <c r="AM269" s="1" t="s">
        <v>4858</v>
      </c>
      <c r="AN269" s="1" t="s">
        <v>4919</v>
      </c>
      <c r="AO269" s="1" t="s">
        <v>5254</v>
      </c>
      <c r="AP269" s="1">
        <v>0</v>
      </c>
      <c r="AQ269" s="1" t="s">
        <v>1167</v>
      </c>
      <c r="AR269" s="1" t="s">
        <v>1168</v>
      </c>
      <c r="AS269" s="1" t="s">
        <v>1169</v>
      </c>
      <c r="AT269" s="1" t="s">
        <v>328</v>
      </c>
      <c r="AU269" s="1">
        <v>238</v>
      </c>
      <c r="AV269" s="1">
        <v>0</v>
      </c>
      <c r="AW269" s="1" t="s">
        <v>5250</v>
      </c>
      <c r="AX269" s="1" t="s">
        <v>5255</v>
      </c>
      <c r="AY269" s="1">
        <v>4</v>
      </c>
      <c r="AZ269" s="1">
        <v>0</v>
      </c>
      <c r="BA269" s="1" t="s">
        <v>328</v>
      </c>
      <c r="BB269" s="1" t="s">
        <v>4881</v>
      </c>
      <c r="BC269" s="1" t="s">
        <v>4720</v>
      </c>
      <c r="BD269" s="1">
        <v>10403</v>
      </c>
      <c r="BE269" s="1"/>
      <c r="BH269">
        <f>COUNTIF(Dropdowns!$I:$AF,C269)</f>
        <v>1</v>
      </c>
    </row>
    <row r="270" spans="1:60" x14ac:dyDescent="0.3">
      <c r="A270" s="1">
        <v>276</v>
      </c>
      <c r="B270" s="1" t="s">
        <v>3789</v>
      </c>
      <c r="C270" s="207" t="s">
        <v>212</v>
      </c>
      <c r="D270" s="1" t="s">
        <v>212</v>
      </c>
      <c r="E270" s="1"/>
      <c r="F270" s="1"/>
      <c r="G270" s="1" t="s">
        <v>3790</v>
      </c>
      <c r="H270" s="1" t="s">
        <v>3791</v>
      </c>
      <c r="I270" s="1" t="s">
        <v>3792</v>
      </c>
      <c r="J270" s="1">
        <v>5</v>
      </c>
      <c r="K270" s="1">
        <v>5</v>
      </c>
      <c r="L270" s="1">
        <v>22500</v>
      </c>
      <c r="M270" s="1">
        <v>40</v>
      </c>
      <c r="N270" s="1">
        <v>30</v>
      </c>
      <c r="O270" s="1">
        <v>25</v>
      </c>
      <c r="P270" s="1">
        <v>15</v>
      </c>
      <c r="Q270" s="1">
        <v>5</v>
      </c>
      <c r="R270" s="1">
        <v>5</v>
      </c>
      <c r="S270" s="1">
        <v>2</v>
      </c>
      <c r="T270" s="1">
        <v>5</v>
      </c>
      <c r="U270" s="1">
        <v>120</v>
      </c>
      <c r="V270" s="1">
        <v>140</v>
      </c>
      <c r="W270" s="1">
        <v>105</v>
      </c>
      <c r="X270" s="1">
        <v>100</v>
      </c>
      <c r="Y270" s="1">
        <v>90</v>
      </c>
      <c r="Z270" s="1">
        <v>85</v>
      </c>
      <c r="AA270" s="1">
        <v>0</v>
      </c>
      <c r="AB270" s="1">
        <v>15</v>
      </c>
      <c r="AC270" s="1">
        <v>5</v>
      </c>
      <c r="AD270" s="1">
        <v>9</v>
      </c>
      <c r="AE270" s="1">
        <v>112</v>
      </c>
      <c r="AF270" s="1">
        <v>100</v>
      </c>
      <c r="AG270" s="1">
        <v>112801</v>
      </c>
      <c r="AH270" s="1">
        <v>0</v>
      </c>
      <c r="AI270" s="1">
        <v>112806</v>
      </c>
      <c r="AJ270" s="1" t="s">
        <v>1290</v>
      </c>
      <c r="AK270" s="1" t="s">
        <v>1291</v>
      </c>
      <c r="AL270" s="1">
        <v>18</v>
      </c>
      <c r="AM270" s="1" t="s">
        <v>4858</v>
      </c>
      <c r="AN270" s="1" t="s">
        <v>4937</v>
      </c>
      <c r="AO270" s="1" t="s">
        <v>5155</v>
      </c>
      <c r="AP270" s="1">
        <v>0</v>
      </c>
      <c r="AQ270" s="1" t="s">
        <v>1167</v>
      </c>
      <c r="AR270" s="1" t="s">
        <v>1168</v>
      </c>
      <c r="AS270" s="1" t="s">
        <v>1169</v>
      </c>
      <c r="AT270" s="1" t="s">
        <v>328</v>
      </c>
      <c r="AU270" s="1">
        <v>199</v>
      </c>
      <c r="AV270" s="1">
        <v>0</v>
      </c>
      <c r="AW270" s="1" t="s">
        <v>5250</v>
      </c>
      <c r="AX270" s="1" t="s">
        <v>5216</v>
      </c>
      <c r="AY270" s="1">
        <v>5</v>
      </c>
      <c r="AZ270" s="1">
        <v>0</v>
      </c>
      <c r="BA270" s="1" t="s">
        <v>328</v>
      </c>
      <c r="BB270" s="1" t="s">
        <v>328</v>
      </c>
      <c r="BC270" s="1" t="s">
        <v>4757</v>
      </c>
      <c r="BD270" s="1">
        <v>10402</v>
      </c>
      <c r="BE270" s="1"/>
      <c r="BH270">
        <f>COUNTIF(Dropdowns!$I:$AF,C270)</f>
        <v>1</v>
      </c>
    </row>
    <row r="271" spans="1:60" x14ac:dyDescent="0.3">
      <c r="A271" s="1">
        <v>277</v>
      </c>
      <c r="B271" s="1" t="s">
        <v>3793</v>
      </c>
      <c r="C271" s="207" t="s">
        <v>214</v>
      </c>
      <c r="D271" s="1" t="s">
        <v>214</v>
      </c>
      <c r="E271" s="1"/>
      <c r="F271" s="1"/>
      <c r="G271" s="1" t="s">
        <v>3794</v>
      </c>
      <c r="H271" s="1" t="s">
        <v>3795</v>
      </c>
      <c r="I271" s="1" t="s">
        <v>3796</v>
      </c>
      <c r="J271" s="1">
        <v>1</v>
      </c>
      <c r="K271" s="1">
        <v>3</v>
      </c>
      <c r="L271" s="1">
        <v>2700</v>
      </c>
      <c r="M271" s="1">
        <v>10</v>
      </c>
      <c r="N271" s="1">
        <v>10</v>
      </c>
      <c r="O271" s="1">
        <v>5</v>
      </c>
      <c r="P271" s="1">
        <v>5</v>
      </c>
      <c r="Q271" s="1">
        <v>2</v>
      </c>
      <c r="R271" s="1">
        <v>2</v>
      </c>
      <c r="S271" s="1">
        <v>2</v>
      </c>
      <c r="T271" s="1">
        <v>0</v>
      </c>
      <c r="U271" s="1">
        <v>100</v>
      </c>
      <c r="V271" s="1">
        <v>112</v>
      </c>
      <c r="W271" s="1">
        <v>110</v>
      </c>
      <c r="X271" s="1">
        <v>100</v>
      </c>
      <c r="Y271" s="1">
        <v>105</v>
      </c>
      <c r="Z271" s="1">
        <v>100</v>
      </c>
      <c r="AA271" s="1">
        <v>0</v>
      </c>
      <c r="AB271" s="1">
        <v>15</v>
      </c>
      <c r="AC271" s="1">
        <v>20</v>
      </c>
      <c r="AD271" s="1">
        <v>0</v>
      </c>
      <c r="AE271" s="1">
        <v>122</v>
      </c>
      <c r="AF271" s="1">
        <v>100</v>
      </c>
      <c r="AG271" s="1">
        <v>101302</v>
      </c>
      <c r="AH271" s="1">
        <v>0</v>
      </c>
      <c r="AI271" s="1">
        <v>300101</v>
      </c>
      <c r="AJ271" s="1" t="s">
        <v>1125</v>
      </c>
      <c r="AK271" s="1" t="s">
        <v>328</v>
      </c>
      <c r="AL271" s="1">
        <v>13</v>
      </c>
      <c r="AM271" s="1" t="s">
        <v>1806</v>
      </c>
      <c r="AN271" s="1" t="s">
        <v>4958</v>
      </c>
      <c r="AO271" s="1" t="s">
        <v>4744</v>
      </c>
      <c r="AP271" s="1">
        <v>0</v>
      </c>
      <c r="AQ271" s="1" t="s">
        <v>1118</v>
      </c>
      <c r="AR271" s="1" t="s">
        <v>1119</v>
      </c>
      <c r="AS271" s="1" t="s">
        <v>1120</v>
      </c>
      <c r="AT271" s="1" t="s">
        <v>328</v>
      </c>
      <c r="AU271" s="1">
        <v>15</v>
      </c>
      <c r="AV271" s="1">
        <v>0</v>
      </c>
      <c r="AW271" s="1" t="s">
        <v>5256</v>
      </c>
      <c r="AX271" s="1" t="s">
        <v>5257</v>
      </c>
      <c r="AY271" s="1">
        <v>3</v>
      </c>
      <c r="AZ271" s="1">
        <v>0</v>
      </c>
      <c r="BA271" s="1" t="s">
        <v>328</v>
      </c>
      <c r="BB271" s="1" t="s">
        <v>328</v>
      </c>
      <c r="BC271" s="1" t="s">
        <v>4769</v>
      </c>
      <c r="BD271" s="1">
        <v>10702</v>
      </c>
      <c r="BE271" s="1"/>
      <c r="BH271">
        <f>COUNTIF(Dropdowns!$I:$AF,C271)</f>
        <v>0</v>
      </c>
    </row>
    <row r="272" spans="1:60" x14ac:dyDescent="0.3">
      <c r="A272" s="1">
        <v>278</v>
      </c>
      <c r="B272" s="1" t="s">
        <v>3797</v>
      </c>
      <c r="C272" s="207" t="s">
        <v>215</v>
      </c>
      <c r="D272" s="1" t="s">
        <v>215</v>
      </c>
      <c r="E272" s="1"/>
      <c r="F272" s="1"/>
      <c r="G272" s="1" t="s">
        <v>3798</v>
      </c>
      <c r="H272" s="1" t="s">
        <v>3799</v>
      </c>
      <c r="I272" s="1" t="s">
        <v>3800</v>
      </c>
      <c r="J272" s="1">
        <v>6</v>
      </c>
      <c r="K272" s="1">
        <v>3</v>
      </c>
      <c r="L272" s="1">
        <v>26100</v>
      </c>
      <c r="M272" s="1">
        <v>30</v>
      </c>
      <c r="N272" s="1">
        <v>40</v>
      </c>
      <c r="O272" s="1">
        <v>15</v>
      </c>
      <c r="P272" s="1">
        <v>25</v>
      </c>
      <c r="Q272" s="1">
        <v>5</v>
      </c>
      <c r="R272" s="1">
        <v>2</v>
      </c>
      <c r="S272" s="1">
        <v>5</v>
      </c>
      <c r="T272" s="1">
        <v>5</v>
      </c>
      <c r="U272" s="1">
        <v>110</v>
      </c>
      <c r="V272" s="1">
        <v>115</v>
      </c>
      <c r="W272" s="1">
        <v>115</v>
      </c>
      <c r="X272" s="1">
        <v>100</v>
      </c>
      <c r="Y272" s="1">
        <v>110</v>
      </c>
      <c r="Z272" s="1">
        <v>105</v>
      </c>
      <c r="AA272" s="1">
        <v>106</v>
      </c>
      <c r="AB272" s="1">
        <v>15</v>
      </c>
      <c r="AC272" s="1">
        <v>40</v>
      </c>
      <c r="AD272" s="1">
        <v>4</v>
      </c>
      <c r="AE272" s="1">
        <v>108</v>
      </c>
      <c r="AF272" s="1">
        <v>100</v>
      </c>
      <c r="AG272" s="1">
        <v>103202</v>
      </c>
      <c r="AH272" s="1">
        <v>0</v>
      </c>
      <c r="AI272" s="1">
        <v>300106</v>
      </c>
      <c r="AJ272" s="1" t="s">
        <v>5121</v>
      </c>
      <c r="AK272" s="1" t="s">
        <v>328</v>
      </c>
      <c r="AL272" s="1">
        <v>8</v>
      </c>
      <c r="AM272" s="1" t="s">
        <v>4716</v>
      </c>
      <c r="AN272" s="1" t="s">
        <v>334</v>
      </c>
      <c r="AO272" s="1" t="s">
        <v>5258</v>
      </c>
      <c r="AP272" s="1">
        <v>0</v>
      </c>
      <c r="AQ272" s="1" t="s">
        <v>1200</v>
      </c>
      <c r="AR272" s="1" t="s">
        <v>1201</v>
      </c>
      <c r="AS272" s="1" t="s">
        <v>1202</v>
      </c>
      <c r="AT272" s="1" t="s">
        <v>328</v>
      </c>
      <c r="AU272" s="1">
        <v>190</v>
      </c>
      <c r="AV272" s="1">
        <v>0</v>
      </c>
      <c r="AW272" s="1" t="s">
        <v>5259</v>
      </c>
      <c r="AX272" s="1" t="s">
        <v>5260</v>
      </c>
      <c r="AY272" s="1">
        <v>3</v>
      </c>
      <c r="AZ272" s="1">
        <v>0</v>
      </c>
      <c r="BA272" s="1" t="s">
        <v>328</v>
      </c>
      <c r="BB272" s="1" t="s">
        <v>328</v>
      </c>
      <c r="BC272" s="1" t="s">
        <v>4720</v>
      </c>
      <c r="BD272" s="1">
        <v>10802</v>
      </c>
      <c r="BE272" s="1"/>
      <c r="BH272">
        <f>COUNTIF(Dropdowns!$I:$AF,C272)</f>
        <v>1</v>
      </c>
    </row>
    <row r="273" spans="1:60" x14ac:dyDescent="0.3">
      <c r="A273" s="1">
        <v>279</v>
      </c>
      <c r="B273" s="1" t="s">
        <v>3801</v>
      </c>
      <c r="C273" s="207" t="s">
        <v>216</v>
      </c>
      <c r="D273" s="1" t="s">
        <v>216</v>
      </c>
      <c r="E273" s="1"/>
      <c r="F273" s="1"/>
      <c r="G273" s="1" t="s">
        <v>3802</v>
      </c>
      <c r="H273" s="1" t="s">
        <v>3803</v>
      </c>
      <c r="I273" s="1" t="s">
        <v>3804</v>
      </c>
      <c r="J273" s="1">
        <v>4</v>
      </c>
      <c r="K273" s="1">
        <v>3</v>
      </c>
      <c r="L273" s="1">
        <v>11400</v>
      </c>
      <c r="M273" s="1">
        <v>20</v>
      </c>
      <c r="N273" s="1">
        <v>20</v>
      </c>
      <c r="O273" s="1">
        <v>10</v>
      </c>
      <c r="P273" s="1">
        <v>10</v>
      </c>
      <c r="Q273" s="1">
        <v>2</v>
      </c>
      <c r="R273" s="1">
        <v>5</v>
      </c>
      <c r="S273" s="1">
        <v>5</v>
      </c>
      <c r="T273" s="1">
        <v>0</v>
      </c>
      <c r="U273" s="1">
        <v>100</v>
      </c>
      <c r="V273" s="1">
        <v>108</v>
      </c>
      <c r="W273" s="1">
        <v>105</v>
      </c>
      <c r="X273" s="1">
        <v>100</v>
      </c>
      <c r="Y273" s="1">
        <v>125</v>
      </c>
      <c r="Z273" s="1">
        <v>110</v>
      </c>
      <c r="AA273" s="1">
        <v>0</v>
      </c>
      <c r="AB273" s="1">
        <v>15</v>
      </c>
      <c r="AC273" s="1">
        <v>20</v>
      </c>
      <c r="AD273" s="1">
        <v>0</v>
      </c>
      <c r="AE273" s="1">
        <v>118</v>
      </c>
      <c r="AF273" s="1">
        <v>100</v>
      </c>
      <c r="AG273" s="1">
        <v>101802</v>
      </c>
      <c r="AH273" s="1">
        <v>0</v>
      </c>
      <c r="AI273" s="1">
        <v>300103</v>
      </c>
      <c r="AJ273" s="1" t="s">
        <v>1125</v>
      </c>
      <c r="AK273" s="1" t="s">
        <v>328</v>
      </c>
      <c r="AL273" s="1">
        <v>13</v>
      </c>
      <c r="AM273" s="1" t="s">
        <v>4719</v>
      </c>
      <c r="AN273" s="1" t="s">
        <v>4829</v>
      </c>
      <c r="AO273" s="1" t="s">
        <v>4748</v>
      </c>
      <c r="AP273" s="1">
        <v>0</v>
      </c>
      <c r="AQ273" s="1" t="s">
        <v>1130</v>
      </c>
      <c r="AR273" s="1" t="s">
        <v>1154</v>
      </c>
      <c r="AS273" s="1" t="s">
        <v>1129</v>
      </c>
      <c r="AT273" s="1" t="s">
        <v>328</v>
      </c>
      <c r="AU273" s="1">
        <v>105</v>
      </c>
      <c r="AV273" s="1">
        <v>0</v>
      </c>
      <c r="AW273" s="1" t="s">
        <v>5261</v>
      </c>
      <c r="AX273" s="1" t="s">
        <v>5262</v>
      </c>
      <c r="AY273" s="1">
        <v>3</v>
      </c>
      <c r="AZ273" s="1">
        <v>0</v>
      </c>
      <c r="BA273" s="1" t="s">
        <v>328</v>
      </c>
      <c r="BB273" s="1" t="s">
        <v>328</v>
      </c>
      <c r="BC273" s="1" t="s">
        <v>328</v>
      </c>
      <c r="BD273" s="1">
        <v>10702</v>
      </c>
      <c r="BE273" s="1"/>
      <c r="BH273">
        <f>COUNTIF(Dropdowns!$I:$AF,C273)</f>
        <v>1</v>
      </c>
    </row>
    <row r="274" spans="1:60" x14ac:dyDescent="0.3">
      <c r="A274" s="1">
        <v>280</v>
      </c>
      <c r="B274" s="1" t="s">
        <v>3805</v>
      </c>
      <c r="C274" s="207" t="s">
        <v>1657</v>
      </c>
      <c r="D274" s="1" t="s">
        <v>1657</v>
      </c>
      <c r="E274" s="1"/>
      <c r="F274" s="1"/>
      <c r="G274" s="1" t="s">
        <v>3806</v>
      </c>
      <c r="H274" s="1" t="s">
        <v>3807</v>
      </c>
      <c r="I274" s="1" t="s">
        <v>3808</v>
      </c>
      <c r="J274" s="1">
        <v>2</v>
      </c>
      <c r="K274" s="1">
        <v>4</v>
      </c>
      <c r="L274" s="1">
        <v>8280</v>
      </c>
      <c r="M274" s="1">
        <v>25</v>
      </c>
      <c r="N274" s="1">
        <v>20</v>
      </c>
      <c r="O274" s="1">
        <v>15</v>
      </c>
      <c r="P274" s="1">
        <v>10</v>
      </c>
      <c r="Q274" s="1">
        <v>5</v>
      </c>
      <c r="R274" s="1">
        <v>5</v>
      </c>
      <c r="S274" s="1">
        <v>2</v>
      </c>
      <c r="T274" s="1">
        <v>0</v>
      </c>
      <c r="U274" s="1">
        <v>105</v>
      </c>
      <c r="V274" s="1">
        <v>105</v>
      </c>
      <c r="W274" s="1">
        <v>100</v>
      </c>
      <c r="X274" s="1">
        <v>100</v>
      </c>
      <c r="Y274" s="1">
        <v>110</v>
      </c>
      <c r="Z274" s="1">
        <v>112</v>
      </c>
      <c r="AA274" s="1">
        <v>0</v>
      </c>
      <c r="AB274" s="1">
        <v>15</v>
      </c>
      <c r="AC274" s="1">
        <v>5</v>
      </c>
      <c r="AD274" s="1">
        <v>0</v>
      </c>
      <c r="AE274" s="1">
        <v>118</v>
      </c>
      <c r="AF274" s="1">
        <v>100</v>
      </c>
      <c r="AG274" s="1">
        <v>113401</v>
      </c>
      <c r="AH274" s="1">
        <v>0</v>
      </c>
      <c r="AI274" s="1">
        <v>300102</v>
      </c>
      <c r="AJ274" s="1" t="s">
        <v>1292</v>
      </c>
      <c r="AK274" s="1" t="s">
        <v>1293</v>
      </c>
      <c r="AL274" s="1">
        <v>14</v>
      </c>
      <c r="AM274" s="1" t="s">
        <v>4790</v>
      </c>
      <c r="AN274" s="1" t="s">
        <v>402</v>
      </c>
      <c r="AO274" s="1" t="s">
        <v>5144</v>
      </c>
      <c r="AP274" s="1">
        <v>0</v>
      </c>
      <c r="AQ274" s="1" t="s">
        <v>1129</v>
      </c>
      <c r="AR274" s="1" t="s">
        <v>1119</v>
      </c>
      <c r="AS274" s="1" t="s">
        <v>1130</v>
      </c>
      <c r="AT274" s="1" t="s">
        <v>328</v>
      </c>
      <c r="AU274" s="1">
        <v>225</v>
      </c>
      <c r="AV274" s="1">
        <v>0</v>
      </c>
      <c r="AW274" s="1" t="s">
        <v>5263</v>
      </c>
      <c r="AX274" s="1" t="s">
        <v>5264</v>
      </c>
      <c r="AY274" s="1">
        <v>4</v>
      </c>
      <c r="AZ274" s="1">
        <v>0</v>
      </c>
      <c r="BA274" s="1" t="s">
        <v>328</v>
      </c>
      <c r="BB274" s="1" t="s">
        <v>328</v>
      </c>
      <c r="BC274" s="1" t="s">
        <v>328</v>
      </c>
      <c r="BD274" s="1">
        <v>10302</v>
      </c>
      <c r="BE274" s="1"/>
      <c r="BH274">
        <f>COUNTIF(Dropdowns!$I:$AF,C274)</f>
        <v>1</v>
      </c>
    </row>
    <row r="275" spans="1:60" x14ac:dyDescent="0.3">
      <c r="A275" s="1">
        <v>281</v>
      </c>
      <c r="B275" s="1" t="s">
        <v>3809</v>
      </c>
      <c r="C275" s="207" t="s">
        <v>244</v>
      </c>
      <c r="D275" s="1" t="s">
        <v>3810</v>
      </c>
      <c r="E275" s="1"/>
      <c r="F275" s="1"/>
      <c r="G275" s="1" t="s">
        <v>3811</v>
      </c>
      <c r="H275" s="1" t="s">
        <v>3812</v>
      </c>
      <c r="I275" s="1" t="s">
        <v>3813</v>
      </c>
      <c r="J275" s="1">
        <v>6</v>
      </c>
      <c r="K275" s="1">
        <v>5</v>
      </c>
      <c r="L275" s="1">
        <v>29700</v>
      </c>
      <c r="M275" s="1">
        <v>30</v>
      </c>
      <c r="N275" s="1">
        <v>40</v>
      </c>
      <c r="O275" s="1">
        <v>15</v>
      </c>
      <c r="P275" s="1">
        <v>25</v>
      </c>
      <c r="Q275" s="1">
        <v>5</v>
      </c>
      <c r="R275" s="1">
        <v>2</v>
      </c>
      <c r="S275" s="1">
        <v>5</v>
      </c>
      <c r="T275" s="1">
        <v>5</v>
      </c>
      <c r="U275" s="1">
        <v>112</v>
      </c>
      <c r="V275" s="1">
        <v>105</v>
      </c>
      <c r="W275" s="1">
        <v>135</v>
      </c>
      <c r="X275" s="1">
        <v>100</v>
      </c>
      <c r="Y275" s="1">
        <v>110</v>
      </c>
      <c r="Z275" s="1">
        <v>115</v>
      </c>
      <c r="AA275" s="1">
        <v>125</v>
      </c>
      <c r="AB275" s="1">
        <v>15</v>
      </c>
      <c r="AC275" s="1">
        <v>40</v>
      </c>
      <c r="AD275" s="1">
        <v>5</v>
      </c>
      <c r="AE275" s="1">
        <v>98</v>
      </c>
      <c r="AF275" s="1">
        <v>100</v>
      </c>
      <c r="AG275" s="1">
        <v>900255</v>
      </c>
      <c r="AH275" s="1">
        <v>0</v>
      </c>
      <c r="AI275" s="1">
        <v>900259</v>
      </c>
      <c r="AJ275" s="1" t="s">
        <v>1294</v>
      </c>
      <c r="AK275" s="1" t="s">
        <v>1295</v>
      </c>
      <c r="AL275" s="1">
        <v>8</v>
      </c>
      <c r="AM275" s="1" t="s">
        <v>4716</v>
      </c>
      <c r="AN275" s="1" t="s">
        <v>334</v>
      </c>
      <c r="AO275" s="1" t="s">
        <v>5190</v>
      </c>
      <c r="AP275" s="1">
        <v>0</v>
      </c>
      <c r="AQ275" s="1" t="s">
        <v>1200</v>
      </c>
      <c r="AR275" s="1" t="s">
        <v>1201</v>
      </c>
      <c r="AS275" s="1" t="s">
        <v>1202</v>
      </c>
      <c r="AT275" s="1" t="s">
        <v>328</v>
      </c>
      <c r="AU275" s="1">
        <v>163</v>
      </c>
      <c r="AV275" s="1">
        <v>0</v>
      </c>
      <c r="AW275" s="1" t="s">
        <v>5265</v>
      </c>
      <c r="AX275" s="1" t="s">
        <v>5266</v>
      </c>
      <c r="AY275" s="1">
        <v>5</v>
      </c>
      <c r="AZ275" s="1">
        <v>0</v>
      </c>
      <c r="BA275" s="1" t="s">
        <v>328</v>
      </c>
      <c r="BB275" s="1" t="s">
        <v>328</v>
      </c>
      <c r="BC275" s="1" t="s">
        <v>4769</v>
      </c>
      <c r="BD275" s="1">
        <v>10203</v>
      </c>
      <c r="BE275" s="1"/>
      <c r="BH275">
        <f>COUNTIF(Dropdowns!$I:$AF,C275)</f>
        <v>1</v>
      </c>
    </row>
    <row r="276" spans="1:60" x14ac:dyDescent="0.3">
      <c r="A276" s="1">
        <v>282</v>
      </c>
      <c r="B276" s="1" t="s">
        <v>3814</v>
      </c>
      <c r="C276" s="207" t="s">
        <v>1658</v>
      </c>
      <c r="D276" s="1" t="s">
        <v>1658</v>
      </c>
      <c r="E276" s="1"/>
      <c r="F276" s="1"/>
      <c r="G276" s="1" t="s">
        <v>3815</v>
      </c>
      <c r="H276" s="1" t="s">
        <v>3816</v>
      </c>
      <c r="I276" s="1" t="s">
        <v>3817</v>
      </c>
      <c r="J276" s="1">
        <v>6</v>
      </c>
      <c r="K276" s="1">
        <v>5</v>
      </c>
      <c r="L276" s="1">
        <v>29580</v>
      </c>
      <c r="M276" s="1">
        <v>30</v>
      </c>
      <c r="N276" s="1">
        <v>40</v>
      </c>
      <c r="O276" s="1">
        <v>15</v>
      </c>
      <c r="P276" s="1">
        <v>25</v>
      </c>
      <c r="Q276" s="1">
        <v>5</v>
      </c>
      <c r="R276" s="1">
        <v>2</v>
      </c>
      <c r="S276" s="1">
        <v>5</v>
      </c>
      <c r="T276" s="1">
        <v>5</v>
      </c>
      <c r="U276" s="1">
        <v>115</v>
      </c>
      <c r="V276" s="1">
        <v>103</v>
      </c>
      <c r="W276" s="1">
        <v>115</v>
      </c>
      <c r="X276" s="1">
        <v>100</v>
      </c>
      <c r="Y276" s="1">
        <v>110</v>
      </c>
      <c r="Z276" s="1">
        <v>110</v>
      </c>
      <c r="AA276" s="1">
        <v>125</v>
      </c>
      <c r="AB276" s="1">
        <v>15</v>
      </c>
      <c r="AC276" s="1">
        <v>40</v>
      </c>
      <c r="AD276" s="1">
        <v>5</v>
      </c>
      <c r="AE276" s="1">
        <v>108</v>
      </c>
      <c r="AF276" s="1">
        <v>100</v>
      </c>
      <c r="AG276" s="1">
        <v>113201</v>
      </c>
      <c r="AH276" s="1">
        <v>0</v>
      </c>
      <c r="AI276" s="1">
        <v>113205</v>
      </c>
      <c r="AJ276" s="1" t="s">
        <v>1296</v>
      </c>
      <c r="AK276" s="1" t="s">
        <v>1297</v>
      </c>
      <c r="AL276" s="1">
        <v>8</v>
      </c>
      <c r="AM276" s="1" t="s">
        <v>335</v>
      </c>
      <c r="AN276" s="1" t="s">
        <v>354</v>
      </c>
      <c r="AO276" s="1" t="s">
        <v>5267</v>
      </c>
      <c r="AP276" s="1">
        <v>0</v>
      </c>
      <c r="AQ276" s="1" t="s">
        <v>1200</v>
      </c>
      <c r="AR276" s="1" t="s">
        <v>1201</v>
      </c>
      <c r="AS276" s="1" t="s">
        <v>1202</v>
      </c>
      <c r="AT276" s="1" t="s">
        <v>328</v>
      </c>
      <c r="AU276" s="1">
        <v>164</v>
      </c>
      <c r="AV276" s="1">
        <v>0</v>
      </c>
      <c r="AW276" s="1" t="s">
        <v>5265</v>
      </c>
      <c r="AX276" s="1" t="s">
        <v>5268</v>
      </c>
      <c r="AY276" s="1">
        <v>5</v>
      </c>
      <c r="AZ276" s="1">
        <v>0</v>
      </c>
      <c r="BA276" s="1" t="s">
        <v>328</v>
      </c>
      <c r="BB276" s="1" t="s">
        <v>328</v>
      </c>
      <c r="BC276" s="1" t="s">
        <v>4720</v>
      </c>
      <c r="BD276" s="1">
        <v>10802</v>
      </c>
      <c r="BE276" s="1"/>
      <c r="BH276">
        <f>COUNTIF(Dropdowns!$I:$AF,C276)</f>
        <v>1</v>
      </c>
    </row>
    <row r="277" spans="1:60" x14ac:dyDescent="0.3">
      <c r="A277" s="1">
        <v>283</v>
      </c>
      <c r="B277" s="1" t="s">
        <v>3818</v>
      </c>
      <c r="C277" s="207" t="s">
        <v>217</v>
      </c>
      <c r="D277" s="1" t="s">
        <v>217</v>
      </c>
      <c r="E277" s="1"/>
      <c r="F277" s="1"/>
      <c r="G277" s="1" t="s">
        <v>3819</v>
      </c>
      <c r="H277" s="1" t="s">
        <v>3820</v>
      </c>
      <c r="I277" s="1" t="s">
        <v>3821</v>
      </c>
      <c r="J277" s="1">
        <v>6</v>
      </c>
      <c r="K277" s="1">
        <v>4</v>
      </c>
      <c r="L277" s="1">
        <v>27900</v>
      </c>
      <c r="M277" s="1">
        <v>30</v>
      </c>
      <c r="N277" s="1">
        <v>40</v>
      </c>
      <c r="O277" s="1">
        <v>15</v>
      </c>
      <c r="P277" s="1">
        <v>25</v>
      </c>
      <c r="Q277" s="1">
        <v>5</v>
      </c>
      <c r="R277" s="1">
        <v>2</v>
      </c>
      <c r="S277" s="1">
        <v>5</v>
      </c>
      <c r="T277" s="1">
        <v>5</v>
      </c>
      <c r="U277" s="1">
        <v>105</v>
      </c>
      <c r="V277" s="1">
        <v>115</v>
      </c>
      <c r="W277" s="1">
        <v>110</v>
      </c>
      <c r="X277" s="1">
        <v>100</v>
      </c>
      <c r="Y277" s="1">
        <v>95</v>
      </c>
      <c r="Z277" s="1">
        <v>125</v>
      </c>
      <c r="AA277" s="1">
        <v>115</v>
      </c>
      <c r="AB277" s="1">
        <v>15</v>
      </c>
      <c r="AC277" s="1">
        <v>40</v>
      </c>
      <c r="AD277" s="1">
        <v>4</v>
      </c>
      <c r="AE277" s="1">
        <v>115</v>
      </c>
      <c r="AF277" s="1">
        <v>100</v>
      </c>
      <c r="AG277" s="1">
        <v>900252</v>
      </c>
      <c r="AH277" s="1">
        <v>0</v>
      </c>
      <c r="AI277" s="1">
        <v>900251</v>
      </c>
      <c r="AJ277" s="1" t="s">
        <v>1199</v>
      </c>
      <c r="AK277" s="1" t="s">
        <v>1298</v>
      </c>
      <c r="AL277" s="1">
        <v>7</v>
      </c>
      <c r="AM277" s="1" t="s">
        <v>4716</v>
      </c>
      <c r="AN277" s="1" t="s">
        <v>470</v>
      </c>
      <c r="AO277" s="1" t="s">
        <v>4809</v>
      </c>
      <c r="AP277" s="1">
        <v>0</v>
      </c>
      <c r="AQ277" s="1" t="s">
        <v>1200</v>
      </c>
      <c r="AR277" s="1" t="s">
        <v>1201</v>
      </c>
      <c r="AS277" s="1" t="s">
        <v>1202</v>
      </c>
      <c r="AT277" s="1" t="s">
        <v>328</v>
      </c>
      <c r="AU277" s="1">
        <v>165</v>
      </c>
      <c r="AV277" s="1">
        <v>0</v>
      </c>
      <c r="AW277" s="1" t="s">
        <v>5265</v>
      </c>
      <c r="AX277" s="1" t="s">
        <v>4719</v>
      </c>
      <c r="AY277" s="1">
        <v>4</v>
      </c>
      <c r="AZ277" s="1">
        <v>0</v>
      </c>
      <c r="BA277" s="1" t="s">
        <v>328</v>
      </c>
      <c r="BB277" s="1" t="s">
        <v>328</v>
      </c>
      <c r="BC277" s="1" t="s">
        <v>4720</v>
      </c>
      <c r="BD277" s="1">
        <v>10403</v>
      </c>
      <c r="BE277" s="1"/>
      <c r="BH277">
        <f>COUNTIF(Dropdowns!$I:$AF,C277)</f>
        <v>1</v>
      </c>
    </row>
    <row r="278" spans="1:60" x14ac:dyDescent="0.3">
      <c r="A278" s="1">
        <v>284</v>
      </c>
      <c r="B278" s="1" t="s">
        <v>3822</v>
      </c>
      <c r="C278" s="207" t="s">
        <v>218</v>
      </c>
      <c r="D278" s="1" t="s">
        <v>3823</v>
      </c>
      <c r="E278" s="1"/>
      <c r="F278" s="1"/>
      <c r="G278" s="1" t="s">
        <v>3824</v>
      </c>
      <c r="H278" s="1" t="s">
        <v>3825</v>
      </c>
      <c r="I278" s="1" t="s">
        <v>3826</v>
      </c>
      <c r="J278" s="1">
        <v>3</v>
      </c>
      <c r="K278" s="1">
        <v>3</v>
      </c>
      <c r="L278" s="1">
        <v>15600</v>
      </c>
      <c r="M278" s="1">
        <v>15</v>
      </c>
      <c r="N278" s="1">
        <v>30</v>
      </c>
      <c r="O278" s="1">
        <v>10</v>
      </c>
      <c r="P278" s="1">
        <v>15</v>
      </c>
      <c r="Q278" s="1">
        <v>5</v>
      </c>
      <c r="R278" s="1">
        <v>2</v>
      </c>
      <c r="S278" s="1">
        <v>5</v>
      </c>
      <c r="T278" s="1">
        <v>0</v>
      </c>
      <c r="U278" s="1">
        <v>95</v>
      </c>
      <c r="V278" s="1">
        <v>102</v>
      </c>
      <c r="W278" s="1">
        <v>110</v>
      </c>
      <c r="X278" s="1">
        <v>100</v>
      </c>
      <c r="Y278" s="1">
        <v>120</v>
      </c>
      <c r="Z278" s="1">
        <v>105</v>
      </c>
      <c r="AA278" s="1">
        <v>0</v>
      </c>
      <c r="AB278" s="1">
        <v>15</v>
      </c>
      <c r="AC278" s="1">
        <v>40</v>
      </c>
      <c r="AD278" s="1">
        <v>0</v>
      </c>
      <c r="AE278" s="1">
        <v>118</v>
      </c>
      <c r="AF278" s="1">
        <v>100</v>
      </c>
      <c r="AG278" s="1">
        <v>100402</v>
      </c>
      <c r="AH278" s="1">
        <v>0</v>
      </c>
      <c r="AI278" s="1">
        <v>300104</v>
      </c>
      <c r="AJ278" s="1" t="s">
        <v>5269</v>
      </c>
      <c r="AK278" s="1" t="s">
        <v>328</v>
      </c>
      <c r="AL278" s="1">
        <v>13</v>
      </c>
      <c r="AM278" s="1" t="s">
        <v>4762</v>
      </c>
      <c r="AN278" s="1" t="s">
        <v>4884</v>
      </c>
      <c r="AO278" s="1" t="s">
        <v>4826</v>
      </c>
      <c r="AP278" s="1">
        <v>0</v>
      </c>
      <c r="AQ278" s="1" t="s">
        <v>1140</v>
      </c>
      <c r="AR278" s="1" t="s">
        <v>1141</v>
      </c>
      <c r="AS278" s="1" t="s">
        <v>1142</v>
      </c>
      <c r="AT278" s="1" t="s">
        <v>328</v>
      </c>
      <c r="AU278" s="1">
        <v>241</v>
      </c>
      <c r="AV278" s="1">
        <v>0</v>
      </c>
      <c r="AW278" s="1" t="s">
        <v>5270</v>
      </c>
      <c r="AX278" s="1" t="s">
        <v>5271</v>
      </c>
      <c r="AY278" s="1">
        <v>3</v>
      </c>
      <c r="AZ278" s="1">
        <v>0</v>
      </c>
      <c r="BA278" s="1" t="s">
        <v>328</v>
      </c>
      <c r="BB278" s="1" t="s">
        <v>328</v>
      </c>
      <c r="BC278" s="1" t="s">
        <v>328</v>
      </c>
      <c r="BD278" s="1">
        <v>10403</v>
      </c>
      <c r="BE278" s="1"/>
      <c r="BH278">
        <f>COUNTIF(Dropdowns!$I:$AF,C278)</f>
        <v>1</v>
      </c>
    </row>
    <row r="279" spans="1:60" x14ac:dyDescent="0.3">
      <c r="A279" s="1">
        <v>285</v>
      </c>
      <c r="B279" s="1" t="s">
        <v>3827</v>
      </c>
      <c r="C279" s="207" t="s">
        <v>1659</v>
      </c>
      <c r="D279" s="1" t="s">
        <v>1659</v>
      </c>
      <c r="E279" s="1"/>
      <c r="F279" s="1"/>
      <c r="G279" s="1" t="s">
        <v>3828</v>
      </c>
      <c r="H279" s="1" t="s">
        <v>3829</v>
      </c>
      <c r="I279" s="1" t="s">
        <v>3830</v>
      </c>
      <c r="J279" s="1">
        <v>1</v>
      </c>
      <c r="K279" s="1">
        <v>5</v>
      </c>
      <c r="L279" s="1">
        <v>4140</v>
      </c>
      <c r="M279" s="1">
        <v>10</v>
      </c>
      <c r="N279" s="1">
        <v>10</v>
      </c>
      <c r="O279" s="1">
        <v>5</v>
      </c>
      <c r="P279" s="1">
        <v>5</v>
      </c>
      <c r="Q279" s="1">
        <v>2</v>
      </c>
      <c r="R279" s="1">
        <v>2</v>
      </c>
      <c r="S279" s="1">
        <v>2</v>
      </c>
      <c r="T279" s="1">
        <v>0</v>
      </c>
      <c r="U279" s="1">
        <v>95</v>
      </c>
      <c r="V279" s="1">
        <v>115</v>
      </c>
      <c r="W279" s="1">
        <v>118</v>
      </c>
      <c r="X279" s="1">
        <v>100</v>
      </c>
      <c r="Y279" s="1">
        <v>122</v>
      </c>
      <c r="Z279" s="1">
        <v>130</v>
      </c>
      <c r="AA279" s="1">
        <v>0</v>
      </c>
      <c r="AB279" s="1">
        <v>15</v>
      </c>
      <c r="AC279" s="1">
        <v>20</v>
      </c>
      <c r="AD279" s="1">
        <v>0</v>
      </c>
      <c r="AE279" s="1">
        <v>122</v>
      </c>
      <c r="AF279" s="1">
        <v>100</v>
      </c>
      <c r="AG279" s="1">
        <v>900287</v>
      </c>
      <c r="AH279" s="1">
        <v>0</v>
      </c>
      <c r="AI279" s="1">
        <v>300101</v>
      </c>
      <c r="AJ279" s="1" t="s">
        <v>1299</v>
      </c>
      <c r="AK279" s="1" t="s">
        <v>1300</v>
      </c>
      <c r="AL279" s="1">
        <v>19</v>
      </c>
      <c r="AM279" s="1" t="s">
        <v>1806</v>
      </c>
      <c r="AN279" s="1" t="s">
        <v>5272</v>
      </c>
      <c r="AO279" s="1" t="s">
        <v>5066</v>
      </c>
      <c r="AP279" s="1">
        <v>0</v>
      </c>
      <c r="AQ279" s="1" t="s">
        <v>1118</v>
      </c>
      <c r="AR279" s="1" t="s">
        <v>1119</v>
      </c>
      <c r="AS279" s="1" t="s">
        <v>1120</v>
      </c>
      <c r="AT279" s="1" t="s">
        <v>328</v>
      </c>
      <c r="AU279" s="1">
        <v>96</v>
      </c>
      <c r="AV279" s="1">
        <v>0</v>
      </c>
      <c r="AW279" s="1" t="s">
        <v>5273</v>
      </c>
      <c r="AX279" s="1" t="s">
        <v>4762</v>
      </c>
      <c r="AY279" s="1">
        <v>5</v>
      </c>
      <c r="AZ279" s="1">
        <v>0</v>
      </c>
      <c r="BA279" s="1" t="s">
        <v>328</v>
      </c>
      <c r="BB279" s="1" t="s">
        <v>328</v>
      </c>
      <c r="BC279" s="1" t="s">
        <v>4769</v>
      </c>
      <c r="BD279" s="1">
        <v>10802</v>
      </c>
      <c r="BE279" s="1"/>
      <c r="BH279">
        <f>COUNTIF(Dropdowns!$I:$AF,C279)</f>
        <v>0</v>
      </c>
    </row>
    <row r="280" spans="1:60" x14ac:dyDescent="0.3">
      <c r="A280" s="1">
        <v>286</v>
      </c>
      <c r="B280" s="1" t="s">
        <v>3831</v>
      </c>
      <c r="C280" s="207" t="s">
        <v>1660</v>
      </c>
      <c r="D280" s="1" t="s">
        <v>3832</v>
      </c>
      <c r="E280" s="1"/>
      <c r="F280" s="1"/>
      <c r="G280" s="1" t="s">
        <v>3833</v>
      </c>
      <c r="H280" s="1" t="s">
        <v>3834</v>
      </c>
      <c r="I280" s="1" t="s">
        <v>3835</v>
      </c>
      <c r="J280" s="1">
        <v>2</v>
      </c>
      <c r="K280" s="1">
        <v>4</v>
      </c>
      <c r="L280" s="1">
        <v>8400</v>
      </c>
      <c r="M280" s="1">
        <v>25</v>
      </c>
      <c r="N280" s="1">
        <v>20</v>
      </c>
      <c r="O280" s="1">
        <v>15</v>
      </c>
      <c r="P280" s="1">
        <v>10</v>
      </c>
      <c r="Q280" s="1">
        <v>5</v>
      </c>
      <c r="R280" s="1">
        <v>5</v>
      </c>
      <c r="S280" s="1">
        <v>2</v>
      </c>
      <c r="T280" s="1">
        <v>0</v>
      </c>
      <c r="U280" s="1">
        <v>102</v>
      </c>
      <c r="V280" s="1">
        <v>130</v>
      </c>
      <c r="W280" s="1">
        <v>105</v>
      </c>
      <c r="X280" s="1">
        <v>100</v>
      </c>
      <c r="Y280" s="1">
        <v>120</v>
      </c>
      <c r="Z280" s="1">
        <v>120</v>
      </c>
      <c r="AA280" s="1">
        <v>0</v>
      </c>
      <c r="AB280" s="1">
        <v>15</v>
      </c>
      <c r="AC280" s="1">
        <v>5</v>
      </c>
      <c r="AD280" s="1">
        <v>0</v>
      </c>
      <c r="AE280" s="1">
        <v>105</v>
      </c>
      <c r="AF280" s="1">
        <v>100</v>
      </c>
      <c r="AG280" s="1">
        <v>900294</v>
      </c>
      <c r="AH280" s="1">
        <v>0</v>
      </c>
      <c r="AI280" s="1">
        <v>300102</v>
      </c>
      <c r="AJ280" s="1" t="s">
        <v>5274</v>
      </c>
      <c r="AK280" s="1" t="s">
        <v>328</v>
      </c>
      <c r="AL280" s="1">
        <v>13</v>
      </c>
      <c r="AM280" s="1" t="s">
        <v>4790</v>
      </c>
      <c r="AN280" s="1" t="s">
        <v>4788</v>
      </c>
      <c r="AO280" s="1" t="s">
        <v>5118</v>
      </c>
      <c r="AP280" s="1">
        <v>0</v>
      </c>
      <c r="AQ280" s="1" t="s">
        <v>1129</v>
      </c>
      <c r="AR280" s="1" t="s">
        <v>1119</v>
      </c>
      <c r="AS280" s="1" t="s">
        <v>1130</v>
      </c>
      <c r="AT280" s="1" t="s">
        <v>328</v>
      </c>
      <c r="AU280" s="1">
        <v>150</v>
      </c>
      <c r="AV280" s="1">
        <v>0</v>
      </c>
      <c r="AW280" s="1" t="s">
        <v>5273</v>
      </c>
      <c r="AX280" s="1" t="s">
        <v>331</v>
      </c>
      <c r="AY280" s="1">
        <v>4</v>
      </c>
      <c r="AZ280" s="1">
        <v>0</v>
      </c>
      <c r="BA280" s="1" t="s">
        <v>328</v>
      </c>
      <c r="BB280" s="1" t="s">
        <v>328</v>
      </c>
      <c r="BC280" s="1" t="s">
        <v>4720</v>
      </c>
      <c r="BD280" s="1">
        <v>10302</v>
      </c>
      <c r="BE280" s="1"/>
      <c r="BH280">
        <f>COUNTIF(Dropdowns!$I:$AF,C280)</f>
        <v>1</v>
      </c>
    </row>
    <row r="281" spans="1:60" x14ac:dyDescent="0.3">
      <c r="A281" s="1">
        <v>287</v>
      </c>
      <c r="B281" s="1" t="s">
        <v>3836</v>
      </c>
      <c r="C281" s="207" t="s">
        <v>245</v>
      </c>
      <c r="D281" s="1" t="s">
        <v>245</v>
      </c>
      <c r="E281" s="1"/>
      <c r="F281" s="1"/>
      <c r="G281" s="1" t="s">
        <v>3837</v>
      </c>
      <c r="H281" s="1" t="s">
        <v>3838</v>
      </c>
      <c r="I281" s="1" t="s">
        <v>3839</v>
      </c>
      <c r="J281" s="1">
        <v>4</v>
      </c>
      <c r="K281" s="1">
        <v>5</v>
      </c>
      <c r="L281" s="1">
        <v>14160</v>
      </c>
      <c r="M281" s="1">
        <v>20</v>
      </c>
      <c r="N281" s="1">
        <v>20</v>
      </c>
      <c r="O281" s="1">
        <v>10</v>
      </c>
      <c r="P281" s="1">
        <v>10</v>
      </c>
      <c r="Q281" s="1">
        <v>2</v>
      </c>
      <c r="R281" s="1">
        <v>5</v>
      </c>
      <c r="S281" s="1">
        <v>5</v>
      </c>
      <c r="T281" s="1">
        <v>0</v>
      </c>
      <c r="U281" s="1">
        <v>110</v>
      </c>
      <c r="V281" s="1">
        <v>118</v>
      </c>
      <c r="W281" s="1">
        <v>115</v>
      </c>
      <c r="X281" s="1">
        <v>100</v>
      </c>
      <c r="Y281" s="1">
        <v>118</v>
      </c>
      <c r="Z281" s="1">
        <v>115</v>
      </c>
      <c r="AA281" s="1">
        <v>0</v>
      </c>
      <c r="AB281" s="1">
        <v>15</v>
      </c>
      <c r="AC281" s="1">
        <v>20</v>
      </c>
      <c r="AD281" s="1">
        <v>0</v>
      </c>
      <c r="AE281" s="1">
        <v>112</v>
      </c>
      <c r="AF281" s="1">
        <v>100</v>
      </c>
      <c r="AG281" s="1">
        <v>113501</v>
      </c>
      <c r="AH281" s="1">
        <v>0</v>
      </c>
      <c r="AI281" s="1">
        <v>113502</v>
      </c>
      <c r="AJ281" s="1" t="s">
        <v>1301</v>
      </c>
      <c r="AK281" s="1" t="s">
        <v>1302</v>
      </c>
      <c r="AL281" s="1">
        <v>13</v>
      </c>
      <c r="AM281" s="1" t="s">
        <v>4719</v>
      </c>
      <c r="AN281" s="1" t="s">
        <v>4829</v>
      </c>
      <c r="AO281" s="1" t="s">
        <v>5133</v>
      </c>
      <c r="AP281" s="1">
        <v>0</v>
      </c>
      <c r="AQ281" s="1" t="s">
        <v>1130</v>
      </c>
      <c r="AR281" s="1" t="s">
        <v>1154</v>
      </c>
      <c r="AS281" s="1" t="s">
        <v>1129</v>
      </c>
      <c r="AT281" s="1" t="s">
        <v>328</v>
      </c>
      <c r="AU281" s="1">
        <v>73</v>
      </c>
      <c r="AV281" s="1">
        <v>0</v>
      </c>
      <c r="AW281" s="1" t="s">
        <v>5273</v>
      </c>
      <c r="AX281" s="1" t="s">
        <v>5017</v>
      </c>
      <c r="AY281" s="1">
        <v>5</v>
      </c>
      <c r="AZ281" s="1">
        <v>0</v>
      </c>
      <c r="BA281" s="1" t="s">
        <v>328</v>
      </c>
      <c r="BB281" s="1" t="s">
        <v>328</v>
      </c>
      <c r="BC281" s="1" t="s">
        <v>328</v>
      </c>
      <c r="BD281" s="1">
        <v>10403</v>
      </c>
      <c r="BE281" s="1"/>
      <c r="BH281">
        <f>COUNTIF(Dropdowns!$I:$AF,C281)</f>
        <v>1</v>
      </c>
    </row>
    <row r="282" spans="1:60" x14ac:dyDescent="0.3">
      <c r="A282" s="1">
        <v>288</v>
      </c>
      <c r="B282" s="1" t="s">
        <v>3840</v>
      </c>
      <c r="C282" s="207" t="s">
        <v>1661</v>
      </c>
      <c r="D282" s="1" t="s">
        <v>1661</v>
      </c>
      <c r="E282" s="1"/>
      <c r="F282" s="1"/>
      <c r="G282" s="1" t="s">
        <v>3841</v>
      </c>
      <c r="H282" s="1" t="s">
        <v>3842</v>
      </c>
      <c r="I282" s="1" t="s">
        <v>3843</v>
      </c>
      <c r="J282" s="1">
        <v>4</v>
      </c>
      <c r="K282" s="1">
        <v>4</v>
      </c>
      <c r="L282" s="1">
        <v>12900</v>
      </c>
      <c r="M282" s="1">
        <v>20</v>
      </c>
      <c r="N282" s="1">
        <v>20</v>
      </c>
      <c r="O282" s="1">
        <v>10</v>
      </c>
      <c r="P282" s="1">
        <v>10</v>
      </c>
      <c r="Q282" s="1">
        <v>2</v>
      </c>
      <c r="R282" s="1">
        <v>5</v>
      </c>
      <c r="S282" s="1">
        <v>5</v>
      </c>
      <c r="T282" s="1">
        <v>0</v>
      </c>
      <c r="U282" s="1">
        <v>100</v>
      </c>
      <c r="V282" s="1">
        <v>108</v>
      </c>
      <c r="W282" s="1">
        <v>122</v>
      </c>
      <c r="X282" s="1">
        <v>100</v>
      </c>
      <c r="Y282" s="1">
        <v>130</v>
      </c>
      <c r="Z282" s="1">
        <v>105</v>
      </c>
      <c r="AA282" s="1">
        <v>0</v>
      </c>
      <c r="AB282" s="1">
        <v>15</v>
      </c>
      <c r="AC282" s="1">
        <v>20</v>
      </c>
      <c r="AD282" s="1">
        <v>0</v>
      </c>
      <c r="AE282" s="1">
        <v>115</v>
      </c>
      <c r="AF282" s="1">
        <v>130</v>
      </c>
      <c r="AG282" s="1">
        <v>113601</v>
      </c>
      <c r="AH282" s="1">
        <v>0</v>
      </c>
      <c r="AI282" s="1">
        <v>113602</v>
      </c>
      <c r="AJ282" s="1" t="s">
        <v>1303</v>
      </c>
      <c r="AK282" s="1" t="s">
        <v>328</v>
      </c>
      <c r="AL282" s="1">
        <v>13</v>
      </c>
      <c r="AM282" s="1" t="s">
        <v>4719</v>
      </c>
      <c r="AN282" s="1" t="s">
        <v>4829</v>
      </c>
      <c r="AO282" s="1" t="s">
        <v>4865</v>
      </c>
      <c r="AP282" s="1">
        <v>0</v>
      </c>
      <c r="AQ282" s="1" t="s">
        <v>1130</v>
      </c>
      <c r="AR282" s="1" t="s">
        <v>1154</v>
      </c>
      <c r="AS282" s="1" t="s">
        <v>1129</v>
      </c>
      <c r="AT282" s="1" t="s">
        <v>328</v>
      </c>
      <c r="AU282" s="1">
        <v>48</v>
      </c>
      <c r="AV282" s="1">
        <v>0</v>
      </c>
      <c r="AW282" s="1" t="s">
        <v>5273</v>
      </c>
      <c r="AX282" s="1" t="s">
        <v>331</v>
      </c>
      <c r="AY282" s="1">
        <v>4</v>
      </c>
      <c r="AZ282" s="1">
        <v>0</v>
      </c>
      <c r="BA282" s="1" t="s">
        <v>328</v>
      </c>
      <c r="BB282" s="1" t="s">
        <v>328</v>
      </c>
      <c r="BC282" s="1" t="s">
        <v>328</v>
      </c>
      <c r="BD282" s="1">
        <v>10402</v>
      </c>
      <c r="BE282" s="1"/>
      <c r="BH282">
        <f>COUNTIF(Dropdowns!$I:$AF,C282)</f>
        <v>1</v>
      </c>
    </row>
    <row r="283" spans="1:60" x14ac:dyDescent="0.3">
      <c r="A283" s="1">
        <v>289</v>
      </c>
      <c r="B283" s="1" t="s">
        <v>3844</v>
      </c>
      <c r="C283" s="207" t="s">
        <v>790</v>
      </c>
      <c r="D283" s="1" t="s">
        <v>3845</v>
      </c>
      <c r="E283" s="1"/>
      <c r="F283" s="1"/>
      <c r="G283" s="1" t="s">
        <v>3846</v>
      </c>
      <c r="H283" s="1" t="s">
        <v>3847</v>
      </c>
      <c r="I283" s="1" t="s">
        <v>3848</v>
      </c>
      <c r="J283" s="1">
        <v>4</v>
      </c>
      <c r="K283" s="1">
        <v>5</v>
      </c>
      <c r="L283" s="1">
        <v>13980</v>
      </c>
      <c r="M283" s="1">
        <v>20</v>
      </c>
      <c r="N283" s="1">
        <v>20</v>
      </c>
      <c r="O283" s="1">
        <v>10</v>
      </c>
      <c r="P283" s="1">
        <v>10</v>
      </c>
      <c r="Q283" s="1">
        <v>2</v>
      </c>
      <c r="R283" s="1">
        <v>5</v>
      </c>
      <c r="S283" s="1">
        <v>5</v>
      </c>
      <c r="T283" s="1">
        <v>0</v>
      </c>
      <c r="U283" s="1">
        <v>112</v>
      </c>
      <c r="V283" s="1">
        <v>120</v>
      </c>
      <c r="W283" s="1">
        <v>112</v>
      </c>
      <c r="X283" s="1">
        <v>100</v>
      </c>
      <c r="Y283" s="1">
        <v>130</v>
      </c>
      <c r="Z283" s="1">
        <v>102</v>
      </c>
      <c r="AA283" s="1">
        <v>0</v>
      </c>
      <c r="AB283" s="1">
        <v>15</v>
      </c>
      <c r="AC283" s="1">
        <v>20</v>
      </c>
      <c r="AD283" s="1">
        <v>0</v>
      </c>
      <c r="AE283" s="1">
        <v>120</v>
      </c>
      <c r="AF283" s="1">
        <v>100</v>
      </c>
      <c r="AG283" s="1">
        <v>100108</v>
      </c>
      <c r="AH283" s="1">
        <v>0</v>
      </c>
      <c r="AI283" s="1">
        <v>300103</v>
      </c>
      <c r="AJ283" s="1" t="s">
        <v>328</v>
      </c>
      <c r="AK283" s="1" t="s">
        <v>1235</v>
      </c>
      <c r="AL283" s="1">
        <v>13</v>
      </c>
      <c r="AM283" s="1" t="s">
        <v>4719</v>
      </c>
      <c r="AN283" s="1" t="s">
        <v>4834</v>
      </c>
      <c r="AO283" s="1" t="s">
        <v>5133</v>
      </c>
      <c r="AP283" s="1">
        <v>0</v>
      </c>
      <c r="AQ283" s="1" t="s">
        <v>1130</v>
      </c>
      <c r="AR283" s="1" t="s">
        <v>1154</v>
      </c>
      <c r="AS283" s="1" t="s">
        <v>1129</v>
      </c>
      <c r="AT283" s="1" t="s">
        <v>328</v>
      </c>
      <c r="AU283" s="1">
        <v>215</v>
      </c>
      <c r="AV283" s="1">
        <v>0</v>
      </c>
      <c r="AW283" s="1" t="s">
        <v>5275</v>
      </c>
      <c r="AX283" s="1" t="s">
        <v>5276</v>
      </c>
      <c r="AY283" s="1">
        <v>5</v>
      </c>
      <c r="AZ283" s="1">
        <v>0</v>
      </c>
      <c r="BA283" s="1" t="s">
        <v>328</v>
      </c>
      <c r="BB283" s="1" t="s">
        <v>328</v>
      </c>
      <c r="BC283" s="1" t="s">
        <v>4720</v>
      </c>
      <c r="BD283" s="1">
        <v>10803</v>
      </c>
      <c r="BE283" s="1"/>
      <c r="BH283">
        <f>COUNTIF(Dropdowns!$I:$AF,C283)</f>
        <v>1</v>
      </c>
    </row>
    <row r="284" spans="1:60" x14ac:dyDescent="0.3">
      <c r="A284" s="1">
        <v>290</v>
      </c>
      <c r="B284" s="1" t="s">
        <v>3849</v>
      </c>
      <c r="C284" s="207" t="s">
        <v>791</v>
      </c>
      <c r="D284" s="1" t="s">
        <v>3850</v>
      </c>
      <c r="E284" s="1"/>
      <c r="F284" s="1"/>
      <c r="G284" s="1" t="s">
        <v>3851</v>
      </c>
      <c r="H284" s="1" t="s">
        <v>3852</v>
      </c>
      <c r="I284" s="1" t="s">
        <v>3853</v>
      </c>
      <c r="J284" s="1">
        <v>4</v>
      </c>
      <c r="K284" s="1">
        <v>5</v>
      </c>
      <c r="L284" s="1">
        <v>14880</v>
      </c>
      <c r="M284" s="1">
        <v>20</v>
      </c>
      <c r="N284" s="1">
        <v>20</v>
      </c>
      <c r="O284" s="1">
        <v>10</v>
      </c>
      <c r="P284" s="1">
        <v>10</v>
      </c>
      <c r="Q284" s="1">
        <v>2</v>
      </c>
      <c r="R284" s="1">
        <v>5</v>
      </c>
      <c r="S284" s="1">
        <v>5</v>
      </c>
      <c r="T284" s="1">
        <v>0</v>
      </c>
      <c r="U284" s="1">
        <v>110</v>
      </c>
      <c r="V284" s="1">
        <v>120</v>
      </c>
      <c r="W284" s="1">
        <v>118</v>
      </c>
      <c r="X284" s="1">
        <v>100</v>
      </c>
      <c r="Y284" s="1">
        <v>118</v>
      </c>
      <c r="Z284" s="1">
        <v>110</v>
      </c>
      <c r="AA284" s="1">
        <v>0</v>
      </c>
      <c r="AB284" s="1">
        <v>15</v>
      </c>
      <c r="AC284" s="1">
        <v>20</v>
      </c>
      <c r="AD284" s="1">
        <v>0</v>
      </c>
      <c r="AE284" s="1">
        <v>116</v>
      </c>
      <c r="AF284" s="1">
        <v>100</v>
      </c>
      <c r="AG284" s="1">
        <v>901298</v>
      </c>
      <c r="AH284" s="1">
        <v>0</v>
      </c>
      <c r="AI284" s="1">
        <v>901295</v>
      </c>
      <c r="AJ284" s="1" t="s">
        <v>1304</v>
      </c>
      <c r="AK284" s="1" t="s">
        <v>1305</v>
      </c>
      <c r="AL284" s="1">
        <v>13</v>
      </c>
      <c r="AM284" s="1" t="s">
        <v>4719</v>
      </c>
      <c r="AN284" s="1" t="s">
        <v>4864</v>
      </c>
      <c r="AO284" s="1" t="s">
        <v>5169</v>
      </c>
      <c r="AP284" s="1">
        <v>0</v>
      </c>
      <c r="AQ284" s="1" t="s">
        <v>1130</v>
      </c>
      <c r="AR284" s="1" t="s">
        <v>1154</v>
      </c>
      <c r="AS284" s="1" t="s">
        <v>1129</v>
      </c>
      <c r="AT284" s="1" t="s">
        <v>328</v>
      </c>
      <c r="AU284" s="1">
        <v>215</v>
      </c>
      <c r="AV284" s="1">
        <v>0</v>
      </c>
      <c r="AW284" s="1" t="s">
        <v>5277</v>
      </c>
      <c r="AX284" s="1" t="s">
        <v>331</v>
      </c>
      <c r="AY284" s="1">
        <v>5</v>
      </c>
      <c r="AZ284" s="1">
        <v>0</v>
      </c>
      <c r="BA284" s="1" t="s">
        <v>328</v>
      </c>
      <c r="BB284" s="1" t="s">
        <v>328</v>
      </c>
      <c r="BC284" s="1" t="s">
        <v>328</v>
      </c>
      <c r="BD284" s="1">
        <v>10403</v>
      </c>
      <c r="BE284" s="1"/>
      <c r="BH284">
        <f>COUNTIF(Dropdowns!$I:$AF,C284)</f>
        <v>1</v>
      </c>
    </row>
    <row r="285" spans="1:60" x14ac:dyDescent="0.3">
      <c r="A285" s="1">
        <v>291</v>
      </c>
      <c r="B285" s="1" t="s">
        <v>3854</v>
      </c>
      <c r="C285" s="207" t="s">
        <v>1687</v>
      </c>
      <c r="D285" s="1" t="s">
        <v>3855</v>
      </c>
      <c r="E285" s="1"/>
      <c r="F285" s="1"/>
      <c r="G285" s="1" t="s">
        <v>3856</v>
      </c>
      <c r="H285" s="1" t="s">
        <v>3857</v>
      </c>
      <c r="I285" s="1" t="s">
        <v>3858</v>
      </c>
      <c r="J285" s="1">
        <v>2</v>
      </c>
      <c r="K285" s="1">
        <v>3</v>
      </c>
      <c r="L285" s="1">
        <v>7500</v>
      </c>
      <c r="M285" s="1">
        <v>25</v>
      </c>
      <c r="N285" s="1">
        <v>20</v>
      </c>
      <c r="O285" s="1">
        <v>15</v>
      </c>
      <c r="P285" s="1">
        <v>10</v>
      </c>
      <c r="Q285" s="1">
        <v>5</v>
      </c>
      <c r="R285" s="1">
        <v>5</v>
      </c>
      <c r="S285" s="1">
        <v>2</v>
      </c>
      <c r="T285" s="1">
        <v>0</v>
      </c>
      <c r="U285" s="1">
        <v>105</v>
      </c>
      <c r="V285" s="1">
        <v>110</v>
      </c>
      <c r="W285" s="1">
        <v>110</v>
      </c>
      <c r="X285" s="1">
        <v>100</v>
      </c>
      <c r="Y285" s="1">
        <v>100</v>
      </c>
      <c r="Z285" s="1">
        <v>85</v>
      </c>
      <c r="AA285" s="1">
        <v>0</v>
      </c>
      <c r="AB285" s="1">
        <v>15</v>
      </c>
      <c r="AC285" s="1">
        <v>5</v>
      </c>
      <c r="AD285" s="1">
        <v>0</v>
      </c>
      <c r="AE285" s="1">
        <v>120</v>
      </c>
      <c r="AF285" s="1">
        <v>100</v>
      </c>
      <c r="AG285" s="1">
        <v>100202</v>
      </c>
      <c r="AH285" s="1">
        <v>0</v>
      </c>
      <c r="AI285" s="1">
        <v>300102</v>
      </c>
      <c r="AJ285" s="1" t="s">
        <v>1125</v>
      </c>
      <c r="AK285" s="1" t="s">
        <v>328</v>
      </c>
      <c r="AL285" s="1">
        <v>13</v>
      </c>
      <c r="AM285" s="1" t="s">
        <v>4790</v>
      </c>
      <c r="AN285" s="1" t="s">
        <v>388</v>
      </c>
      <c r="AO285" s="1" t="s">
        <v>4994</v>
      </c>
      <c r="AP285" s="1">
        <v>0</v>
      </c>
      <c r="AQ285" s="1" t="s">
        <v>1129</v>
      </c>
      <c r="AR285" s="1" t="s">
        <v>1119</v>
      </c>
      <c r="AS285" s="1" t="s">
        <v>1130</v>
      </c>
      <c r="AT285" s="1" t="s">
        <v>328</v>
      </c>
      <c r="AU285" s="1">
        <v>116</v>
      </c>
      <c r="AV285" s="1">
        <v>0</v>
      </c>
      <c r="AW285" s="1" t="s">
        <v>5278</v>
      </c>
      <c r="AX285" s="1" t="s">
        <v>5279</v>
      </c>
      <c r="AY285" s="1">
        <v>3</v>
      </c>
      <c r="AZ285" s="1">
        <v>0</v>
      </c>
      <c r="BA285" s="1" t="s">
        <v>328</v>
      </c>
      <c r="BB285" s="1" t="s">
        <v>328</v>
      </c>
      <c r="BC285" s="1" t="s">
        <v>328</v>
      </c>
      <c r="BD285" s="1">
        <v>10704</v>
      </c>
      <c r="BE285" s="1"/>
      <c r="BH285">
        <f>COUNTIF(Dropdowns!$I:$AF,C285)</f>
        <v>1</v>
      </c>
    </row>
    <row r="286" spans="1:60" x14ac:dyDescent="0.3">
      <c r="A286" s="1">
        <v>292</v>
      </c>
      <c r="B286" s="1" t="s">
        <v>3859</v>
      </c>
      <c r="C286" s="207" t="s">
        <v>1662</v>
      </c>
      <c r="D286" s="1" t="s">
        <v>1662</v>
      </c>
      <c r="E286" s="1"/>
      <c r="F286" s="1"/>
      <c r="G286" s="1" t="s">
        <v>3860</v>
      </c>
      <c r="H286" s="1" t="s">
        <v>3861</v>
      </c>
      <c r="I286" s="1" t="s">
        <v>3862</v>
      </c>
      <c r="J286" s="1">
        <v>5</v>
      </c>
      <c r="K286" s="1">
        <v>5</v>
      </c>
      <c r="L286" s="1">
        <v>22560</v>
      </c>
      <c r="M286" s="1">
        <v>40</v>
      </c>
      <c r="N286" s="1">
        <v>30</v>
      </c>
      <c r="O286" s="1">
        <v>25</v>
      </c>
      <c r="P286" s="1">
        <v>15</v>
      </c>
      <c r="Q286" s="1">
        <v>5</v>
      </c>
      <c r="R286" s="1">
        <v>5</v>
      </c>
      <c r="S286" s="1">
        <v>2</v>
      </c>
      <c r="T286" s="1">
        <v>5</v>
      </c>
      <c r="U286" s="1">
        <v>100</v>
      </c>
      <c r="V286" s="1">
        <v>95</v>
      </c>
      <c r="W286" s="1">
        <v>115</v>
      </c>
      <c r="X286" s="1">
        <v>100</v>
      </c>
      <c r="Y286" s="1">
        <v>130</v>
      </c>
      <c r="Z286" s="1">
        <v>125</v>
      </c>
      <c r="AA286" s="1">
        <v>0</v>
      </c>
      <c r="AB286" s="1">
        <v>15</v>
      </c>
      <c r="AC286" s="1">
        <v>5</v>
      </c>
      <c r="AD286" s="1">
        <v>10</v>
      </c>
      <c r="AE286" s="1">
        <v>138</v>
      </c>
      <c r="AF286" s="1">
        <v>100</v>
      </c>
      <c r="AG286" s="1">
        <v>900411</v>
      </c>
      <c r="AH286" s="1">
        <v>0</v>
      </c>
      <c r="AI286" s="1">
        <v>900410</v>
      </c>
      <c r="AJ286" s="1" t="s">
        <v>1306</v>
      </c>
      <c r="AK286" s="1" t="s">
        <v>1307</v>
      </c>
      <c r="AL286" s="1">
        <v>17</v>
      </c>
      <c r="AM286" s="1" t="s">
        <v>972</v>
      </c>
      <c r="AN286" s="1" t="s">
        <v>5280</v>
      </c>
      <c r="AO286" s="1" t="s">
        <v>5281</v>
      </c>
      <c r="AP286" s="1">
        <v>0</v>
      </c>
      <c r="AQ286" s="1" t="s">
        <v>1167</v>
      </c>
      <c r="AR286" s="1" t="s">
        <v>1168</v>
      </c>
      <c r="AS286" s="1" t="s">
        <v>1169</v>
      </c>
      <c r="AT286" s="1" t="s">
        <v>328</v>
      </c>
      <c r="AU286" s="1">
        <v>238</v>
      </c>
      <c r="AV286" s="1">
        <v>0</v>
      </c>
      <c r="AW286" s="1" t="s">
        <v>5282</v>
      </c>
      <c r="AX286" s="1" t="s">
        <v>5165</v>
      </c>
      <c r="AY286" s="1">
        <v>5</v>
      </c>
      <c r="AZ286" s="1">
        <v>0</v>
      </c>
      <c r="BA286" s="1" t="s">
        <v>328</v>
      </c>
      <c r="BB286" s="1" t="s">
        <v>4972</v>
      </c>
      <c r="BC286" s="1" t="s">
        <v>5149</v>
      </c>
      <c r="BD286" s="1">
        <v>10104</v>
      </c>
      <c r="BE286" s="1"/>
      <c r="BH286">
        <f>COUNTIF(Dropdowns!$I:$AF,C286)</f>
        <v>1</v>
      </c>
    </row>
    <row r="287" spans="1:60" x14ac:dyDescent="0.3">
      <c r="A287" s="1">
        <v>293</v>
      </c>
      <c r="B287" s="1" t="s">
        <v>3863</v>
      </c>
      <c r="C287" s="207" t="s">
        <v>1663</v>
      </c>
      <c r="D287" s="1" t="s">
        <v>1663</v>
      </c>
      <c r="E287" s="1"/>
      <c r="F287" s="1"/>
      <c r="G287" s="1" t="s">
        <v>3864</v>
      </c>
      <c r="H287" s="1" t="s">
        <v>3865</v>
      </c>
      <c r="I287" s="1" t="s">
        <v>3866</v>
      </c>
      <c r="J287" s="1">
        <v>4</v>
      </c>
      <c r="K287" s="1">
        <v>5</v>
      </c>
      <c r="L287" s="1">
        <v>15300</v>
      </c>
      <c r="M287" s="1">
        <v>20</v>
      </c>
      <c r="N287" s="1">
        <v>20</v>
      </c>
      <c r="O287" s="1">
        <v>10</v>
      </c>
      <c r="P287" s="1">
        <v>10</v>
      </c>
      <c r="Q287" s="1">
        <v>2</v>
      </c>
      <c r="R287" s="1">
        <v>5</v>
      </c>
      <c r="S287" s="1">
        <v>5</v>
      </c>
      <c r="T287" s="1">
        <v>0</v>
      </c>
      <c r="U287" s="1">
        <v>100</v>
      </c>
      <c r="V287" s="1">
        <v>118</v>
      </c>
      <c r="W287" s="1">
        <v>110</v>
      </c>
      <c r="X287" s="1">
        <v>100</v>
      </c>
      <c r="Y287" s="1">
        <v>112</v>
      </c>
      <c r="Z287" s="1">
        <v>110</v>
      </c>
      <c r="AA287" s="1">
        <v>0</v>
      </c>
      <c r="AB287" s="1">
        <v>15</v>
      </c>
      <c r="AC287" s="1">
        <v>20</v>
      </c>
      <c r="AD287" s="1">
        <v>0</v>
      </c>
      <c r="AE287" s="1">
        <v>136</v>
      </c>
      <c r="AF287" s="1">
        <v>100</v>
      </c>
      <c r="AG287" s="1">
        <v>900418</v>
      </c>
      <c r="AH287" s="1">
        <v>0</v>
      </c>
      <c r="AI287" s="1">
        <v>900415</v>
      </c>
      <c r="AJ287" s="1" t="s">
        <v>5283</v>
      </c>
      <c r="AK287" s="1" t="s">
        <v>1308</v>
      </c>
      <c r="AL287" s="1">
        <v>13</v>
      </c>
      <c r="AM287" s="1" t="s">
        <v>4719</v>
      </c>
      <c r="AN287" s="1" t="s">
        <v>4864</v>
      </c>
      <c r="AO287" s="1" t="s">
        <v>5168</v>
      </c>
      <c r="AP287" s="1">
        <v>0</v>
      </c>
      <c r="AQ287" s="1" t="s">
        <v>1130</v>
      </c>
      <c r="AR287" s="1" t="s">
        <v>1154</v>
      </c>
      <c r="AS287" s="1" t="s">
        <v>1129</v>
      </c>
      <c r="AT287" s="1" t="s">
        <v>328</v>
      </c>
      <c r="AU287" s="1">
        <v>215</v>
      </c>
      <c r="AV287" s="1">
        <v>0</v>
      </c>
      <c r="AW287" s="1" t="s">
        <v>5282</v>
      </c>
      <c r="AX287" s="1" t="s">
        <v>5165</v>
      </c>
      <c r="AY287" s="1">
        <v>5</v>
      </c>
      <c r="AZ287" s="1">
        <v>0</v>
      </c>
      <c r="BA287" s="1" t="s">
        <v>328</v>
      </c>
      <c r="BB287" s="1" t="s">
        <v>328</v>
      </c>
      <c r="BC287" s="1" t="s">
        <v>5149</v>
      </c>
      <c r="BD287" s="1">
        <v>10104</v>
      </c>
      <c r="BE287" s="1"/>
      <c r="BH287">
        <f>COUNTIF(Dropdowns!$I:$AF,C287)</f>
        <v>1</v>
      </c>
    </row>
    <row r="288" spans="1:60" x14ac:dyDescent="0.3">
      <c r="A288" s="1">
        <v>294</v>
      </c>
      <c r="B288" s="1" t="s">
        <v>3867</v>
      </c>
      <c r="C288" s="207" t="s">
        <v>792</v>
      </c>
      <c r="D288" s="1" t="s">
        <v>792</v>
      </c>
      <c r="E288" s="1"/>
      <c r="F288" s="1"/>
      <c r="G288" s="1" t="s">
        <v>3868</v>
      </c>
      <c r="H288" s="1" t="s">
        <v>3869</v>
      </c>
      <c r="I288" s="1" t="s">
        <v>3870</v>
      </c>
      <c r="J288" s="1">
        <v>1</v>
      </c>
      <c r="K288" s="1">
        <v>5</v>
      </c>
      <c r="L288" s="1">
        <v>4140</v>
      </c>
      <c r="M288" s="1">
        <v>10</v>
      </c>
      <c r="N288" s="1">
        <v>10</v>
      </c>
      <c r="O288" s="1">
        <v>5</v>
      </c>
      <c r="P288" s="1">
        <v>5</v>
      </c>
      <c r="Q288" s="1">
        <v>2</v>
      </c>
      <c r="R288" s="1">
        <v>2</v>
      </c>
      <c r="S288" s="1">
        <v>2</v>
      </c>
      <c r="T288" s="1">
        <v>0</v>
      </c>
      <c r="U288" s="1">
        <v>130</v>
      </c>
      <c r="V288" s="1">
        <v>98</v>
      </c>
      <c r="W288" s="1">
        <v>102</v>
      </c>
      <c r="X288" s="1">
        <v>100</v>
      </c>
      <c r="Y288" s="1">
        <v>120</v>
      </c>
      <c r="Z288" s="1">
        <v>100</v>
      </c>
      <c r="AA288" s="1">
        <v>0</v>
      </c>
      <c r="AB288" s="1">
        <v>15</v>
      </c>
      <c r="AC288" s="1">
        <v>20</v>
      </c>
      <c r="AD288" s="1">
        <v>0</v>
      </c>
      <c r="AE288" s="1">
        <v>132</v>
      </c>
      <c r="AF288" s="1">
        <v>100</v>
      </c>
      <c r="AG288" s="1">
        <v>113801</v>
      </c>
      <c r="AH288" s="1">
        <v>0</v>
      </c>
      <c r="AI288" s="1">
        <v>300101</v>
      </c>
      <c r="AJ288" s="1" t="s">
        <v>1309</v>
      </c>
      <c r="AK288" s="1" t="s">
        <v>1310</v>
      </c>
      <c r="AL288" s="1">
        <v>14</v>
      </c>
      <c r="AM288" s="1" t="s">
        <v>1806</v>
      </c>
      <c r="AN288" s="1" t="s">
        <v>5284</v>
      </c>
      <c r="AO288" s="1" t="s">
        <v>5077</v>
      </c>
      <c r="AP288" s="1">
        <v>0</v>
      </c>
      <c r="AQ288" s="1" t="s">
        <v>1118</v>
      </c>
      <c r="AR288" s="1" t="s">
        <v>1119</v>
      </c>
      <c r="AS288" s="1" t="s">
        <v>1120</v>
      </c>
      <c r="AT288" s="1" t="s">
        <v>328</v>
      </c>
      <c r="AU288" s="1">
        <v>96</v>
      </c>
      <c r="AV288" s="1">
        <v>0</v>
      </c>
      <c r="AW288" s="1" t="s">
        <v>5282</v>
      </c>
      <c r="AX288" s="1" t="s">
        <v>5285</v>
      </c>
      <c r="AY288" s="1">
        <v>5</v>
      </c>
      <c r="AZ288" s="1">
        <v>0</v>
      </c>
      <c r="BA288" s="1" t="s">
        <v>328</v>
      </c>
      <c r="BB288" s="1" t="s">
        <v>328</v>
      </c>
      <c r="BC288" s="1" t="s">
        <v>328</v>
      </c>
      <c r="BD288" s="1">
        <v>10201</v>
      </c>
      <c r="BE288" s="1"/>
      <c r="BH288">
        <f>COUNTIF(Dropdowns!$I:$AF,C288)</f>
        <v>0</v>
      </c>
    </row>
    <row r="289" spans="1:60" x14ac:dyDescent="0.3">
      <c r="A289" s="1">
        <v>295</v>
      </c>
      <c r="B289" s="1" t="s">
        <v>3871</v>
      </c>
      <c r="C289" s="207" t="s">
        <v>793</v>
      </c>
      <c r="D289" s="1" t="s">
        <v>3872</v>
      </c>
      <c r="E289" s="1"/>
      <c r="F289" s="1"/>
      <c r="G289" s="1" t="s">
        <v>3873</v>
      </c>
      <c r="H289" s="1" t="s">
        <v>3874</v>
      </c>
      <c r="I289" s="1" t="s">
        <v>3875</v>
      </c>
      <c r="J289" s="1">
        <v>2</v>
      </c>
      <c r="K289" s="1">
        <v>4</v>
      </c>
      <c r="L289" s="1">
        <v>8400</v>
      </c>
      <c r="M289" s="1">
        <v>25</v>
      </c>
      <c r="N289" s="1">
        <v>20</v>
      </c>
      <c r="O289" s="1">
        <v>15</v>
      </c>
      <c r="P289" s="1">
        <v>10</v>
      </c>
      <c r="Q289" s="1">
        <v>5</v>
      </c>
      <c r="R289" s="1">
        <v>5</v>
      </c>
      <c r="S289" s="1">
        <v>2</v>
      </c>
      <c r="T289" s="1">
        <v>0</v>
      </c>
      <c r="U289" s="1">
        <v>108</v>
      </c>
      <c r="V289" s="1">
        <v>100</v>
      </c>
      <c r="W289" s="1">
        <v>112</v>
      </c>
      <c r="X289" s="1">
        <v>100</v>
      </c>
      <c r="Y289" s="1">
        <v>110</v>
      </c>
      <c r="Z289" s="1">
        <v>125</v>
      </c>
      <c r="AA289" s="1">
        <v>0</v>
      </c>
      <c r="AB289" s="1">
        <v>15</v>
      </c>
      <c r="AC289" s="1">
        <v>5</v>
      </c>
      <c r="AD289" s="1">
        <v>0</v>
      </c>
      <c r="AE289" s="1">
        <v>105</v>
      </c>
      <c r="AF289" s="1">
        <v>100</v>
      </c>
      <c r="AG289" s="1">
        <v>113901</v>
      </c>
      <c r="AH289" s="1">
        <v>0</v>
      </c>
      <c r="AI289" s="1">
        <v>300102</v>
      </c>
      <c r="AJ289" s="1" t="s">
        <v>1311</v>
      </c>
      <c r="AK289" s="1" t="s">
        <v>328</v>
      </c>
      <c r="AL289" s="1">
        <v>12</v>
      </c>
      <c r="AM289" s="1" t="s">
        <v>4790</v>
      </c>
      <c r="AN289" s="1" t="s">
        <v>5198</v>
      </c>
      <c r="AO289" s="1" t="s">
        <v>5286</v>
      </c>
      <c r="AP289" s="1">
        <v>0</v>
      </c>
      <c r="AQ289" s="1" t="s">
        <v>1129</v>
      </c>
      <c r="AR289" s="1" t="s">
        <v>1119</v>
      </c>
      <c r="AS289" s="1" t="s">
        <v>1130</v>
      </c>
      <c r="AT289" s="1" t="s">
        <v>328</v>
      </c>
      <c r="AU289" s="1">
        <v>150</v>
      </c>
      <c r="AV289" s="1">
        <v>0</v>
      </c>
      <c r="AW289" s="1" t="s">
        <v>5282</v>
      </c>
      <c r="AX289" s="1" t="s">
        <v>480</v>
      </c>
      <c r="AY289" s="1">
        <v>4</v>
      </c>
      <c r="AZ289" s="1">
        <v>0</v>
      </c>
      <c r="BA289" s="1" t="s">
        <v>328</v>
      </c>
      <c r="BB289" s="1" t="s">
        <v>328</v>
      </c>
      <c r="BC289" s="1" t="s">
        <v>4783</v>
      </c>
      <c r="BD289" s="1">
        <v>10802</v>
      </c>
      <c r="BE289" s="1"/>
      <c r="BH289">
        <f>COUNTIF(Dropdowns!$I:$AF,C289)</f>
        <v>1</v>
      </c>
    </row>
    <row r="290" spans="1:60" x14ac:dyDescent="0.3">
      <c r="A290" s="1">
        <v>296</v>
      </c>
      <c r="B290" s="1" t="s">
        <v>3876</v>
      </c>
      <c r="C290" s="207" t="s">
        <v>794</v>
      </c>
      <c r="D290" s="1" t="s">
        <v>794</v>
      </c>
      <c r="E290" s="1"/>
      <c r="F290" s="1"/>
      <c r="G290" s="1" t="s">
        <v>3877</v>
      </c>
      <c r="H290" s="1" t="s">
        <v>3878</v>
      </c>
      <c r="I290" s="1" t="s">
        <v>3879</v>
      </c>
      <c r="J290" s="1">
        <v>3</v>
      </c>
      <c r="K290" s="1">
        <v>5</v>
      </c>
      <c r="L290" s="1">
        <v>17280</v>
      </c>
      <c r="M290" s="1">
        <v>15</v>
      </c>
      <c r="N290" s="1">
        <v>30</v>
      </c>
      <c r="O290" s="1">
        <v>10</v>
      </c>
      <c r="P290" s="1">
        <v>15</v>
      </c>
      <c r="Q290" s="1">
        <v>5</v>
      </c>
      <c r="R290" s="1">
        <v>2</v>
      </c>
      <c r="S290" s="1">
        <v>5</v>
      </c>
      <c r="T290" s="1">
        <v>0</v>
      </c>
      <c r="U290" s="1">
        <v>96</v>
      </c>
      <c r="V290" s="1">
        <v>106</v>
      </c>
      <c r="W290" s="1">
        <v>120</v>
      </c>
      <c r="X290" s="1">
        <v>100</v>
      </c>
      <c r="Y290" s="1">
        <v>112</v>
      </c>
      <c r="Z290" s="1">
        <v>110</v>
      </c>
      <c r="AA290" s="1">
        <v>0</v>
      </c>
      <c r="AB290" s="1">
        <v>15</v>
      </c>
      <c r="AC290" s="1">
        <v>40</v>
      </c>
      <c r="AD290" s="1">
        <v>0</v>
      </c>
      <c r="AE290" s="1">
        <v>128</v>
      </c>
      <c r="AF290" s="1">
        <v>100</v>
      </c>
      <c r="AG290" s="1">
        <v>900401</v>
      </c>
      <c r="AH290" s="1">
        <v>0</v>
      </c>
      <c r="AI290" s="1">
        <v>300104</v>
      </c>
      <c r="AJ290" s="1" t="s">
        <v>1312</v>
      </c>
      <c r="AK290" s="1" t="s">
        <v>1313</v>
      </c>
      <c r="AL290" s="1">
        <v>19</v>
      </c>
      <c r="AM290" s="1" t="s">
        <v>1806</v>
      </c>
      <c r="AN290" s="1" t="s">
        <v>5287</v>
      </c>
      <c r="AO290" s="1" t="s">
        <v>5019</v>
      </c>
      <c r="AP290" s="1">
        <v>0</v>
      </c>
      <c r="AQ290" s="1" t="s">
        <v>1140</v>
      </c>
      <c r="AR290" s="1" t="s">
        <v>1141</v>
      </c>
      <c r="AS290" s="1" t="s">
        <v>1142</v>
      </c>
      <c r="AT290" s="1" t="s">
        <v>328</v>
      </c>
      <c r="AU290" s="1">
        <v>222</v>
      </c>
      <c r="AV290" s="1">
        <v>0</v>
      </c>
      <c r="AW290" s="1" t="s">
        <v>5282</v>
      </c>
      <c r="AX290" s="1" t="s">
        <v>5288</v>
      </c>
      <c r="AY290" s="1">
        <v>5</v>
      </c>
      <c r="AZ290" s="1">
        <v>0</v>
      </c>
      <c r="BA290" s="1" t="s">
        <v>328</v>
      </c>
      <c r="BB290" s="1" t="s">
        <v>328</v>
      </c>
      <c r="BC290" s="1" t="s">
        <v>4769</v>
      </c>
      <c r="BD290" s="1">
        <v>10401</v>
      </c>
      <c r="BE290" s="1"/>
      <c r="BH290">
        <f>COUNTIF(Dropdowns!$I:$AF,C290)</f>
        <v>1</v>
      </c>
    </row>
    <row r="291" spans="1:60" x14ac:dyDescent="0.3">
      <c r="A291" s="1">
        <v>297</v>
      </c>
      <c r="B291" s="1" t="s">
        <v>3880</v>
      </c>
      <c r="C291" s="207" t="s">
        <v>795</v>
      </c>
      <c r="D291" s="1" t="s">
        <v>795</v>
      </c>
      <c r="E291" s="1"/>
      <c r="F291" s="1"/>
      <c r="G291" s="1" t="s">
        <v>3881</v>
      </c>
      <c r="H291" s="1" t="s">
        <v>3882</v>
      </c>
      <c r="I291" s="1" t="s">
        <v>3883</v>
      </c>
      <c r="J291" s="1">
        <v>4</v>
      </c>
      <c r="K291" s="1">
        <v>4</v>
      </c>
      <c r="L291" s="1">
        <v>12900</v>
      </c>
      <c r="M291" s="1">
        <v>20</v>
      </c>
      <c r="N291" s="1">
        <v>20</v>
      </c>
      <c r="O291" s="1">
        <v>10</v>
      </c>
      <c r="P291" s="1">
        <v>10</v>
      </c>
      <c r="Q291" s="1">
        <v>2</v>
      </c>
      <c r="R291" s="1">
        <v>5</v>
      </c>
      <c r="S291" s="1">
        <v>5</v>
      </c>
      <c r="T291" s="1">
        <v>0</v>
      </c>
      <c r="U291" s="1">
        <v>102</v>
      </c>
      <c r="V291" s="1">
        <v>110</v>
      </c>
      <c r="W291" s="1">
        <v>110</v>
      </c>
      <c r="X291" s="1">
        <v>100</v>
      </c>
      <c r="Y291" s="1">
        <v>105</v>
      </c>
      <c r="Z291" s="1">
        <v>108</v>
      </c>
      <c r="AA291" s="1">
        <v>0</v>
      </c>
      <c r="AB291" s="1">
        <v>15</v>
      </c>
      <c r="AC291" s="1">
        <v>20</v>
      </c>
      <c r="AD291" s="1">
        <v>0</v>
      </c>
      <c r="AE291" s="1">
        <v>122</v>
      </c>
      <c r="AF291" s="1">
        <v>130</v>
      </c>
      <c r="AG291" s="1">
        <v>101703</v>
      </c>
      <c r="AH291" s="1">
        <v>0</v>
      </c>
      <c r="AI291" s="1">
        <v>300103</v>
      </c>
      <c r="AJ291" s="1" t="s">
        <v>1160</v>
      </c>
      <c r="AK291" s="1" t="s">
        <v>328</v>
      </c>
      <c r="AL291" s="1">
        <v>13</v>
      </c>
      <c r="AM291" s="1" t="s">
        <v>4719</v>
      </c>
      <c r="AN291" s="1" t="s">
        <v>4829</v>
      </c>
      <c r="AO291" s="1" t="s">
        <v>4865</v>
      </c>
      <c r="AP291" s="1">
        <v>0</v>
      </c>
      <c r="AQ291" s="1" t="s">
        <v>1130</v>
      </c>
      <c r="AR291" s="1" t="s">
        <v>1154</v>
      </c>
      <c r="AS291" s="1" t="s">
        <v>1129</v>
      </c>
      <c r="AT291" s="1" t="s">
        <v>328</v>
      </c>
      <c r="AU291" s="1">
        <v>48</v>
      </c>
      <c r="AV291" s="1">
        <v>0</v>
      </c>
      <c r="AW291" s="1" t="s">
        <v>5282</v>
      </c>
      <c r="AX291" s="1" t="s">
        <v>5289</v>
      </c>
      <c r="AY291" s="1">
        <v>4</v>
      </c>
      <c r="AZ291" s="1">
        <v>0</v>
      </c>
      <c r="BA291" s="1" t="s">
        <v>328</v>
      </c>
      <c r="BB291" s="1" t="s">
        <v>328</v>
      </c>
      <c r="BC291" s="1" t="s">
        <v>328</v>
      </c>
      <c r="BD291" s="1">
        <v>10403</v>
      </c>
      <c r="BE291" s="1"/>
      <c r="BH291">
        <f>COUNTIF(Dropdowns!$I:$AF,C291)</f>
        <v>1</v>
      </c>
    </row>
    <row r="292" spans="1:60" x14ac:dyDescent="0.3">
      <c r="A292" s="1">
        <v>298</v>
      </c>
      <c r="B292" s="1" t="s">
        <v>3884</v>
      </c>
      <c r="C292" s="207" t="s">
        <v>796</v>
      </c>
      <c r="D292" s="1" t="s">
        <v>3885</v>
      </c>
      <c r="E292" s="1"/>
      <c r="F292" s="1"/>
      <c r="G292" s="1" t="s">
        <v>3886</v>
      </c>
      <c r="H292" s="1" t="s">
        <v>3887</v>
      </c>
      <c r="I292" s="1" t="s">
        <v>3888</v>
      </c>
      <c r="J292" s="1">
        <v>4</v>
      </c>
      <c r="K292" s="1">
        <v>3</v>
      </c>
      <c r="L292" s="1">
        <v>13200</v>
      </c>
      <c r="M292" s="1">
        <v>20</v>
      </c>
      <c r="N292" s="1">
        <v>20</v>
      </c>
      <c r="O292" s="1">
        <v>10</v>
      </c>
      <c r="P292" s="1">
        <v>10</v>
      </c>
      <c r="Q292" s="1">
        <v>2</v>
      </c>
      <c r="R292" s="1">
        <v>5</v>
      </c>
      <c r="S292" s="1">
        <v>5</v>
      </c>
      <c r="T292" s="1">
        <v>0</v>
      </c>
      <c r="U292" s="1">
        <v>100</v>
      </c>
      <c r="V292" s="1">
        <v>105</v>
      </c>
      <c r="W292" s="1">
        <v>105</v>
      </c>
      <c r="X292" s="1">
        <v>100</v>
      </c>
      <c r="Y292" s="1">
        <v>115</v>
      </c>
      <c r="Z292" s="1">
        <v>110</v>
      </c>
      <c r="AA292" s="1">
        <v>0</v>
      </c>
      <c r="AB292" s="1">
        <v>15</v>
      </c>
      <c r="AC292" s="1">
        <v>20</v>
      </c>
      <c r="AD292" s="1">
        <v>0</v>
      </c>
      <c r="AE292" s="1">
        <v>122</v>
      </c>
      <c r="AF292" s="1">
        <v>100</v>
      </c>
      <c r="AG292" s="1">
        <v>900518</v>
      </c>
      <c r="AH292" s="1">
        <v>0</v>
      </c>
      <c r="AI292" s="1">
        <v>300103</v>
      </c>
      <c r="AJ292" s="1" t="s">
        <v>4896</v>
      </c>
      <c r="AK292" s="1" t="s">
        <v>328</v>
      </c>
      <c r="AL292" s="1">
        <v>13</v>
      </c>
      <c r="AM292" s="1" t="s">
        <v>4790</v>
      </c>
      <c r="AN292" s="1" t="s">
        <v>464</v>
      </c>
      <c r="AO292" s="1" t="s">
        <v>5080</v>
      </c>
      <c r="AP292" s="1">
        <v>0</v>
      </c>
      <c r="AQ292" s="1" t="s">
        <v>1130</v>
      </c>
      <c r="AR292" s="1" t="s">
        <v>1154</v>
      </c>
      <c r="AS292" s="1" t="s">
        <v>1129</v>
      </c>
      <c r="AT292" s="1" t="s">
        <v>328</v>
      </c>
      <c r="AU292" s="1">
        <v>171</v>
      </c>
      <c r="AV292" s="1">
        <v>0</v>
      </c>
      <c r="AW292" s="1" t="s">
        <v>5290</v>
      </c>
      <c r="AX292" s="1" t="s">
        <v>5291</v>
      </c>
      <c r="AY292" s="1">
        <v>3</v>
      </c>
      <c r="AZ292" s="1">
        <v>0</v>
      </c>
      <c r="BA292" s="1" t="s">
        <v>328</v>
      </c>
      <c r="BB292" s="1" t="s">
        <v>328</v>
      </c>
      <c r="BC292" s="1" t="s">
        <v>328</v>
      </c>
      <c r="BD292" s="1">
        <v>10802</v>
      </c>
      <c r="BE292" s="1"/>
      <c r="BH292">
        <f>COUNTIF(Dropdowns!$I:$AF,C292)</f>
        <v>1</v>
      </c>
    </row>
    <row r="293" spans="1:60" x14ac:dyDescent="0.3">
      <c r="A293" s="1">
        <v>299</v>
      </c>
      <c r="B293" s="1" t="s">
        <v>3889</v>
      </c>
      <c r="C293" s="207" t="s">
        <v>246</v>
      </c>
      <c r="D293" s="1" t="s">
        <v>246</v>
      </c>
      <c r="E293" s="1"/>
      <c r="F293" s="1"/>
      <c r="G293" s="1" t="s">
        <v>3890</v>
      </c>
      <c r="H293" s="1" t="s">
        <v>3891</v>
      </c>
      <c r="I293" s="1" t="s">
        <v>3892</v>
      </c>
      <c r="J293" s="1">
        <v>6</v>
      </c>
      <c r="K293" s="1">
        <v>3</v>
      </c>
      <c r="L293" s="1">
        <v>26100</v>
      </c>
      <c r="M293" s="1">
        <v>30</v>
      </c>
      <c r="N293" s="1">
        <v>40</v>
      </c>
      <c r="O293" s="1">
        <v>15</v>
      </c>
      <c r="P293" s="1">
        <v>25</v>
      </c>
      <c r="Q293" s="1">
        <v>5</v>
      </c>
      <c r="R293" s="1">
        <v>2</v>
      </c>
      <c r="S293" s="1">
        <v>5</v>
      </c>
      <c r="T293" s="1">
        <v>5</v>
      </c>
      <c r="U293" s="1">
        <v>112</v>
      </c>
      <c r="V293" s="1">
        <v>115</v>
      </c>
      <c r="W293" s="1">
        <v>105</v>
      </c>
      <c r="X293" s="1">
        <v>100</v>
      </c>
      <c r="Y293" s="1">
        <v>115</v>
      </c>
      <c r="Z293" s="1">
        <v>100</v>
      </c>
      <c r="AA293" s="1">
        <v>115</v>
      </c>
      <c r="AB293" s="1">
        <v>15</v>
      </c>
      <c r="AC293" s="1">
        <v>40</v>
      </c>
      <c r="AD293" s="1">
        <v>4</v>
      </c>
      <c r="AE293" s="1">
        <v>105</v>
      </c>
      <c r="AF293" s="1">
        <v>100</v>
      </c>
      <c r="AG293" s="1">
        <v>105405</v>
      </c>
      <c r="AH293" s="1">
        <v>0</v>
      </c>
      <c r="AI293" s="1">
        <v>300106</v>
      </c>
      <c r="AJ293" s="1" t="s">
        <v>5292</v>
      </c>
      <c r="AK293" s="1" t="s">
        <v>328</v>
      </c>
      <c r="AL293" s="1">
        <v>8</v>
      </c>
      <c r="AM293" s="1" t="s">
        <v>4716</v>
      </c>
      <c r="AN293" s="1" t="s">
        <v>398</v>
      </c>
      <c r="AO293" s="1" t="s">
        <v>5068</v>
      </c>
      <c r="AP293" s="1">
        <v>0</v>
      </c>
      <c r="AQ293" s="1" t="s">
        <v>1200</v>
      </c>
      <c r="AR293" s="1" t="s">
        <v>1201</v>
      </c>
      <c r="AS293" s="1" t="s">
        <v>1202</v>
      </c>
      <c r="AT293" s="1" t="s">
        <v>328</v>
      </c>
      <c r="AU293" s="1">
        <v>190</v>
      </c>
      <c r="AV293" s="1">
        <v>0</v>
      </c>
      <c r="AW293" s="1" t="s">
        <v>5293</v>
      </c>
      <c r="AX293" s="1" t="s">
        <v>5294</v>
      </c>
      <c r="AY293" s="1">
        <v>3</v>
      </c>
      <c r="AZ293" s="1">
        <v>0</v>
      </c>
      <c r="BA293" s="1" t="s">
        <v>328</v>
      </c>
      <c r="BB293" s="1" t="s">
        <v>328</v>
      </c>
      <c r="BC293" s="1" t="s">
        <v>4720</v>
      </c>
      <c r="BD293" s="1">
        <v>10402</v>
      </c>
      <c r="BE293" s="1"/>
      <c r="BH293">
        <f>COUNTIF(Dropdowns!$I:$AF,C293)</f>
        <v>1</v>
      </c>
    </row>
    <row r="294" spans="1:60" x14ac:dyDescent="0.3">
      <c r="A294" s="1">
        <v>300</v>
      </c>
      <c r="B294" s="1" t="s">
        <v>3893</v>
      </c>
      <c r="C294" s="207" t="s">
        <v>797</v>
      </c>
      <c r="D294" s="1" t="s">
        <v>797</v>
      </c>
      <c r="E294" s="1"/>
      <c r="F294" s="1"/>
      <c r="G294" s="1" t="s">
        <v>3894</v>
      </c>
      <c r="H294" s="1" t="s">
        <v>3895</v>
      </c>
      <c r="I294" s="1" t="s">
        <v>3896</v>
      </c>
      <c r="J294" s="1">
        <v>5</v>
      </c>
      <c r="K294" s="1">
        <v>3</v>
      </c>
      <c r="L294" s="1">
        <v>22500</v>
      </c>
      <c r="M294" s="1">
        <v>40</v>
      </c>
      <c r="N294" s="1">
        <v>30</v>
      </c>
      <c r="O294" s="1">
        <v>25</v>
      </c>
      <c r="P294" s="1">
        <v>15</v>
      </c>
      <c r="Q294" s="1">
        <v>5</v>
      </c>
      <c r="R294" s="1">
        <v>5</v>
      </c>
      <c r="S294" s="1">
        <v>2</v>
      </c>
      <c r="T294" s="1">
        <v>5</v>
      </c>
      <c r="U294" s="1">
        <v>100</v>
      </c>
      <c r="V294" s="1">
        <v>115</v>
      </c>
      <c r="W294" s="1">
        <v>105</v>
      </c>
      <c r="X294" s="1">
        <v>100</v>
      </c>
      <c r="Y294" s="1">
        <v>130</v>
      </c>
      <c r="Z294" s="1">
        <v>115</v>
      </c>
      <c r="AA294" s="1">
        <v>0</v>
      </c>
      <c r="AB294" s="1">
        <v>15</v>
      </c>
      <c r="AC294" s="1">
        <v>5</v>
      </c>
      <c r="AD294" s="1">
        <v>8</v>
      </c>
      <c r="AE294" s="1">
        <v>118</v>
      </c>
      <c r="AF294" s="1">
        <v>100</v>
      </c>
      <c r="AG294" s="1">
        <v>100110</v>
      </c>
      <c r="AH294" s="1">
        <v>0</v>
      </c>
      <c r="AI294" s="1">
        <v>300105</v>
      </c>
      <c r="AJ294" s="1" t="s">
        <v>4922</v>
      </c>
      <c r="AK294" s="1" t="s">
        <v>328</v>
      </c>
      <c r="AL294" s="1">
        <v>18</v>
      </c>
      <c r="AM294" s="1" t="s">
        <v>4858</v>
      </c>
      <c r="AN294" s="1" t="s">
        <v>4931</v>
      </c>
      <c r="AO294" s="1" t="s">
        <v>4944</v>
      </c>
      <c r="AP294" s="1">
        <v>0</v>
      </c>
      <c r="AQ294" s="1" t="s">
        <v>1167</v>
      </c>
      <c r="AR294" s="1" t="s">
        <v>1168</v>
      </c>
      <c r="AS294" s="1" t="s">
        <v>1169</v>
      </c>
      <c r="AT294" s="1" t="s">
        <v>328</v>
      </c>
      <c r="AU294" s="1">
        <v>208</v>
      </c>
      <c r="AV294" s="1">
        <v>0</v>
      </c>
      <c r="AW294" s="1" t="s">
        <v>5295</v>
      </c>
      <c r="AX294" s="1" t="s">
        <v>5296</v>
      </c>
      <c r="AY294" s="1">
        <v>3</v>
      </c>
      <c r="AZ294" s="1">
        <v>0</v>
      </c>
      <c r="BA294" s="1" t="s">
        <v>328</v>
      </c>
      <c r="BB294" s="1" t="s">
        <v>328</v>
      </c>
      <c r="BC294" s="1" t="s">
        <v>328</v>
      </c>
      <c r="BD294" s="1">
        <v>10702</v>
      </c>
      <c r="BE294" s="1"/>
      <c r="BH294">
        <f>COUNTIF(Dropdowns!$I:$AF,C294)</f>
        <v>1</v>
      </c>
    </row>
    <row r="295" spans="1:60" x14ac:dyDescent="0.3">
      <c r="A295" s="1">
        <v>301</v>
      </c>
      <c r="B295" s="1" t="s">
        <v>3897</v>
      </c>
      <c r="C295" s="207" t="s">
        <v>1664</v>
      </c>
      <c r="D295" s="1" t="s">
        <v>1664</v>
      </c>
      <c r="E295" s="1"/>
      <c r="F295" s="1"/>
      <c r="G295" s="1" t="s">
        <v>3898</v>
      </c>
      <c r="H295" s="1" t="s">
        <v>3899</v>
      </c>
      <c r="I295" s="1" t="s">
        <v>3900</v>
      </c>
      <c r="J295" s="1">
        <v>2</v>
      </c>
      <c r="K295" s="1">
        <v>3</v>
      </c>
      <c r="L295" s="1">
        <v>7500</v>
      </c>
      <c r="M295" s="1">
        <v>25</v>
      </c>
      <c r="N295" s="1">
        <v>20</v>
      </c>
      <c r="O295" s="1">
        <v>15</v>
      </c>
      <c r="P295" s="1">
        <v>10</v>
      </c>
      <c r="Q295" s="1">
        <v>5</v>
      </c>
      <c r="R295" s="1">
        <v>5</v>
      </c>
      <c r="S295" s="1">
        <v>2</v>
      </c>
      <c r="T295" s="1">
        <v>0</v>
      </c>
      <c r="U295" s="1">
        <v>108</v>
      </c>
      <c r="V295" s="1">
        <v>95</v>
      </c>
      <c r="W295" s="1">
        <v>105</v>
      </c>
      <c r="X295" s="1">
        <v>100</v>
      </c>
      <c r="Y295" s="1">
        <v>100</v>
      </c>
      <c r="Z295" s="1">
        <v>115</v>
      </c>
      <c r="AA295" s="1">
        <v>0</v>
      </c>
      <c r="AB295" s="1">
        <v>15</v>
      </c>
      <c r="AC295" s="1">
        <v>5</v>
      </c>
      <c r="AD295" s="1">
        <v>0</v>
      </c>
      <c r="AE295" s="1">
        <v>112</v>
      </c>
      <c r="AF295" s="1">
        <v>100</v>
      </c>
      <c r="AG295" s="1">
        <v>101903</v>
      </c>
      <c r="AH295" s="1">
        <v>0</v>
      </c>
      <c r="AI295" s="1">
        <v>300102</v>
      </c>
      <c r="AJ295" s="1" t="s">
        <v>1125</v>
      </c>
      <c r="AK295" s="1" t="s">
        <v>328</v>
      </c>
      <c r="AL295" s="1">
        <v>14</v>
      </c>
      <c r="AM295" s="1" t="s">
        <v>4790</v>
      </c>
      <c r="AN295" s="1" t="s">
        <v>402</v>
      </c>
      <c r="AO295" s="1" t="s">
        <v>5297</v>
      </c>
      <c r="AP295" s="1">
        <v>0</v>
      </c>
      <c r="AQ295" s="1" t="s">
        <v>1129</v>
      </c>
      <c r="AR295" s="1" t="s">
        <v>1119</v>
      </c>
      <c r="AS295" s="1" t="s">
        <v>1130</v>
      </c>
      <c r="AT295" s="1" t="s">
        <v>328</v>
      </c>
      <c r="AU295" s="1">
        <v>116</v>
      </c>
      <c r="AV295" s="1">
        <v>0</v>
      </c>
      <c r="AW295" s="1" t="s">
        <v>5298</v>
      </c>
      <c r="AX295" s="1" t="s">
        <v>5299</v>
      </c>
      <c r="AY295" s="1">
        <v>3</v>
      </c>
      <c r="AZ295" s="1">
        <v>0</v>
      </c>
      <c r="BA295" s="1" t="s">
        <v>328</v>
      </c>
      <c r="BB295" s="1" t="s">
        <v>328</v>
      </c>
      <c r="BC295" s="1" t="s">
        <v>328</v>
      </c>
      <c r="BD295" s="1">
        <v>10704</v>
      </c>
      <c r="BE295" s="1"/>
      <c r="BH295">
        <f>COUNTIF(Dropdowns!$I:$AF,C295)</f>
        <v>1</v>
      </c>
    </row>
    <row r="296" spans="1:60" x14ac:dyDescent="0.3">
      <c r="A296" s="1">
        <v>302</v>
      </c>
      <c r="B296" s="1" t="s">
        <v>3901</v>
      </c>
      <c r="C296" s="207" t="s">
        <v>1604</v>
      </c>
      <c r="D296" s="1" t="s">
        <v>3902</v>
      </c>
      <c r="E296" s="1"/>
      <c r="F296" s="1"/>
      <c r="G296" s="1" t="s">
        <v>3903</v>
      </c>
      <c r="H296" s="1" t="s">
        <v>3904</v>
      </c>
      <c r="I296" s="1" t="s">
        <v>3905</v>
      </c>
      <c r="J296" s="1">
        <v>6</v>
      </c>
      <c r="K296" s="1">
        <v>4</v>
      </c>
      <c r="L296" s="1">
        <v>27900</v>
      </c>
      <c r="M296" s="1">
        <v>30</v>
      </c>
      <c r="N296" s="1">
        <v>40</v>
      </c>
      <c r="O296" s="1">
        <v>15</v>
      </c>
      <c r="P296" s="1">
        <v>25</v>
      </c>
      <c r="Q296" s="1">
        <v>5</v>
      </c>
      <c r="R296" s="1">
        <v>2</v>
      </c>
      <c r="S296" s="1">
        <v>5</v>
      </c>
      <c r="T296" s="1">
        <v>5</v>
      </c>
      <c r="U296" s="1">
        <v>112</v>
      </c>
      <c r="V296" s="1">
        <v>118</v>
      </c>
      <c r="W296" s="1">
        <v>95</v>
      </c>
      <c r="X296" s="1">
        <v>100</v>
      </c>
      <c r="Y296" s="1">
        <v>95</v>
      </c>
      <c r="Z296" s="1">
        <v>130</v>
      </c>
      <c r="AA296" s="1">
        <v>100</v>
      </c>
      <c r="AB296" s="1">
        <v>15</v>
      </c>
      <c r="AC296" s="1">
        <v>40</v>
      </c>
      <c r="AD296" s="1">
        <v>8</v>
      </c>
      <c r="AE296" s="1">
        <v>120</v>
      </c>
      <c r="AF296" s="1">
        <v>100</v>
      </c>
      <c r="AG296" s="1">
        <v>115801</v>
      </c>
      <c r="AH296" s="1">
        <v>0</v>
      </c>
      <c r="AI296" s="1">
        <v>115803</v>
      </c>
      <c r="AJ296" s="1" t="s">
        <v>1314</v>
      </c>
      <c r="AK296" s="1" t="s">
        <v>1315</v>
      </c>
      <c r="AL296" s="1">
        <v>8</v>
      </c>
      <c r="AM296" s="1" t="s">
        <v>387</v>
      </c>
      <c r="AN296" s="1" t="s">
        <v>5300</v>
      </c>
      <c r="AO296" s="1" t="s">
        <v>4738</v>
      </c>
      <c r="AP296" s="1">
        <v>0</v>
      </c>
      <c r="AQ296" s="1" t="s">
        <v>1200</v>
      </c>
      <c r="AR296" s="1" t="s">
        <v>5060</v>
      </c>
      <c r="AS296" s="1" t="s">
        <v>1202</v>
      </c>
      <c r="AT296" s="1" t="s">
        <v>328</v>
      </c>
      <c r="AU296" s="1">
        <v>165</v>
      </c>
      <c r="AV296" s="1">
        <v>0</v>
      </c>
      <c r="AW296" s="1" t="s">
        <v>5301</v>
      </c>
      <c r="AX296" s="1" t="s">
        <v>5302</v>
      </c>
      <c r="AY296" s="1">
        <v>4</v>
      </c>
      <c r="AZ296" s="1">
        <v>0</v>
      </c>
      <c r="BA296" s="1" t="s">
        <v>328</v>
      </c>
      <c r="BB296" s="1" t="s">
        <v>328</v>
      </c>
      <c r="BC296" s="1" t="s">
        <v>4720</v>
      </c>
      <c r="BD296" s="1">
        <v>10403</v>
      </c>
      <c r="BE296" s="1"/>
      <c r="BH296">
        <f>COUNTIF(Dropdowns!$I:$AF,C296)</f>
        <v>1</v>
      </c>
    </row>
    <row r="297" spans="1:60" x14ac:dyDescent="0.3">
      <c r="A297" s="1">
        <v>303</v>
      </c>
      <c r="B297" s="1" t="s">
        <v>3906</v>
      </c>
      <c r="C297" s="207" t="s">
        <v>1665</v>
      </c>
      <c r="D297" s="1" t="s">
        <v>3907</v>
      </c>
      <c r="E297" s="1"/>
      <c r="F297" s="1"/>
      <c r="G297" s="1" t="s">
        <v>3908</v>
      </c>
      <c r="H297" s="1" t="s">
        <v>3909</v>
      </c>
      <c r="I297" s="1" t="s">
        <v>3910</v>
      </c>
      <c r="J297" s="1">
        <v>1</v>
      </c>
      <c r="K297" s="1">
        <v>5</v>
      </c>
      <c r="L297" s="1">
        <v>5700</v>
      </c>
      <c r="M297" s="1">
        <v>10</v>
      </c>
      <c r="N297" s="1">
        <v>10</v>
      </c>
      <c r="O297" s="1">
        <v>5</v>
      </c>
      <c r="P297" s="1">
        <v>5</v>
      </c>
      <c r="Q297" s="1">
        <v>2</v>
      </c>
      <c r="R297" s="1">
        <v>2</v>
      </c>
      <c r="S297" s="1">
        <v>2</v>
      </c>
      <c r="T297" s="1">
        <v>0</v>
      </c>
      <c r="U297" s="1">
        <v>115</v>
      </c>
      <c r="V297" s="1">
        <v>108</v>
      </c>
      <c r="W297" s="1">
        <v>105</v>
      </c>
      <c r="X297" s="1">
        <v>100</v>
      </c>
      <c r="Y297" s="1">
        <v>120</v>
      </c>
      <c r="Z297" s="1">
        <v>112</v>
      </c>
      <c r="AA297" s="1">
        <v>0</v>
      </c>
      <c r="AB297" s="1">
        <v>15</v>
      </c>
      <c r="AC297" s="1">
        <v>20</v>
      </c>
      <c r="AD297" s="1">
        <v>0</v>
      </c>
      <c r="AE297" s="1">
        <v>128</v>
      </c>
      <c r="AF297" s="1">
        <v>100</v>
      </c>
      <c r="AG297" s="1">
        <v>900628</v>
      </c>
      <c r="AH297" s="1">
        <v>0</v>
      </c>
      <c r="AI297" s="1">
        <v>300101</v>
      </c>
      <c r="AJ297" s="1" t="s">
        <v>328</v>
      </c>
      <c r="AK297" s="1" t="s">
        <v>1316</v>
      </c>
      <c r="AL297" s="1">
        <v>14</v>
      </c>
      <c r="AM297" s="1" t="s">
        <v>1806</v>
      </c>
      <c r="AN297" s="1" t="s">
        <v>5303</v>
      </c>
      <c r="AO297" s="1" t="s">
        <v>4954</v>
      </c>
      <c r="AP297" s="1">
        <v>0</v>
      </c>
      <c r="AQ297" s="1" t="s">
        <v>1118</v>
      </c>
      <c r="AR297" s="1" t="s">
        <v>1119</v>
      </c>
      <c r="AS297" s="1" t="s">
        <v>1120</v>
      </c>
      <c r="AT297" s="1" t="s">
        <v>328</v>
      </c>
      <c r="AU297" s="1">
        <v>96</v>
      </c>
      <c r="AV297" s="1">
        <v>0</v>
      </c>
      <c r="AW297" s="1" t="s">
        <v>5304</v>
      </c>
      <c r="AX297" s="1" t="s">
        <v>4762</v>
      </c>
      <c r="AY297" s="1">
        <v>5</v>
      </c>
      <c r="AZ297" s="1">
        <v>0</v>
      </c>
      <c r="BA297" s="1" t="s">
        <v>328</v>
      </c>
      <c r="BB297" s="1" t="s">
        <v>328</v>
      </c>
      <c r="BC297" s="1" t="s">
        <v>4720</v>
      </c>
      <c r="BD297" s="1">
        <v>10402</v>
      </c>
      <c r="BE297" s="1"/>
      <c r="BH297">
        <f>COUNTIF(Dropdowns!$I:$AF,C297)</f>
        <v>0</v>
      </c>
    </row>
    <row r="298" spans="1:60" x14ac:dyDescent="0.3">
      <c r="A298" s="1">
        <v>304</v>
      </c>
      <c r="B298" s="1" t="s">
        <v>3911</v>
      </c>
      <c r="C298" s="207" t="s">
        <v>798</v>
      </c>
      <c r="D298" s="1" t="s">
        <v>798</v>
      </c>
      <c r="E298" s="1"/>
      <c r="F298" s="1"/>
      <c r="G298" s="1" t="s">
        <v>3912</v>
      </c>
      <c r="H298" s="1" t="s">
        <v>3913</v>
      </c>
      <c r="I298" s="1" t="s">
        <v>3914</v>
      </c>
      <c r="J298" s="1">
        <v>2</v>
      </c>
      <c r="K298" s="1">
        <v>4</v>
      </c>
      <c r="L298" s="1">
        <v>7800</v>
      </c>
      <c r="M298" s="1">
        <v>25</v>
      </c>
      <c r="N298" s="1">
        <v>20</v>
      </c>
      <c r="O298" s="1">
        <v>15</v>
      </c>
      <c r="P298" s="1">
        <v>10</v>
      </c>
      <c r="Q298" s="1">
        <v>5</v>
      </c>
      <c r="R298" s="1">
        <v>5</v>
      </c>
      <c r="S298" s="1">
        <v>2</v>
      </c>
      <c r="T298" s="1">
        <v>0</v>
      </c>
      <c r="U298" s="1">
        <v>102</v>
      </c>
      <c r="V298" s="1">
        <v>100</v>
      </c>
      <c r="W298" s="1">
        <v>128</v>
      </c>
      <c r="X298" s="1">
        <v>100</v>
      </c>
      <c r="Y298" s="1">
        <v>125</v>
      </c>
      <c r="Z298" s="1">
        <v>120</v>
      </c>
      <c r="AA298" s="1">
        <v>0</v>
      </c>
      <c r="AB298" s="1">
        <v>15</v>
      </c>
      <c r="AC298" s="1">
        <v>5</v>
      </c>
      <c r="AD298" s="1">
        <v>0</v>
      </c>
      <c r="AE298" s="1">
        <v>102</v>
      </c>
      <c r="AF298" s="1">
        <v>100</v>
      </c>
      <c r="AG298" s="1">
        <v>115602</v>
      </c>
      <c r="AH298" s="1">
        <v>0</v>
      </c>
      <c r="AI298" s="1">
        <v>300102</v>
      </c>
      <c r="AJ298" s="1" t="s">
        <v>1317</v>
      </c>
      <c r="AK298" s="1" t="s">
        <v>1318</v>
      </c>
      <c r="AL298" s="1">
        <v>12</v>
      </c>
      <c r="AM298" s="1" t="s">
        <v>4790</v>
      </c>
      <c r="AN298" s="1" t="s">
        <v>5305</v>
      </c>
      <c r="AO298" s="1" t="s">
        <v>4914</v>
      </c>
      <c r="AP298" s="1">
        <v>0</v>
      </c>
      <c r="AQ298" s="1" t="s">
        <v>1129</v>
      </c>
      <c r="AR298" s="1" t="s">
        <v>1119</v>
      </c>
      <c r="AS298" s="1" t="s">
        <v>1130</v>
      </c>
      <c r="AT298" s="1" t="s">
        <v>328</v>
      </c>
      <c r="AU298" s="1">
        <v>150</v>
      </c>
      <c r="AV298" s="1">
        <v>0</v>
      </c>
      <c r="AW298" s="1" t="s">
        <v>5304</v>
      </c>
      <c r="AX298" s="1" t="s">
        <v>331</v>
      </c>
      <c r="AY298" s="1">
        <v>4</v>
      </c>
      <c r="AZ298" s="1">
        <v>0</v>
      </c>
      <c r="BA298" s="1" t="s">
        <v>328</v>
      </c>
      <c r="BB298" s="1" t="s">
        <v>328</v>
      </c>
      <c r="BC298" s="1" t="s">
        <v>328</v>
      </c>
      <c r="BD298" s="1">
        <v>10402</v>
      </c>
      <c r="BE298" s="1"/>
      <c r="BH298">
        <f>COUNTIF(Dropdowns!$I:$AF,C298)</f>
        <v>1</v>
      </c>
    </row>
    <row r="299" spans="1:60" x14ac:dyDescent="0.3">
      <c r="A299" s="1">
        <v>305</v>
      </c>
      <c r="B299" s="1" t="s">
        <v>3915</v>
      </c>
      <c r="C299" s="207" t="s">
        <v>799</v>
      </c>
      <c r="D299" s="1" t="s">
        <v>799</v>
      </c>
      <c r="E299" s="1"/>
      <c r="F299" s="1"/>
      <c r="G299" s="1" t="s">
        <v>3916</v>
      </c>
      <c r="H299" s="1" t="s">
        <v>3917</v>
      </c>
      <c r="I299" s="1" t="s">
        <v>3918</v>
      </c>
      <c r="J299" s="1">
        <v>3</v>
      </c>
      <c r="K299" s="1">
        <v>4</v>
      </c>
      <c r="L299" s="1">
        <v>15900</v>
      </c>
      <c r="M299" s="1">
        <v>15</v>
      </c>
      <c r="N299" s="1">
        <v>30</v>
      </c>
      <c r="O299" s="1">
        <v>10</v>
      </c>
      <c r="P299" s="1">
        <v>15</v>
      </c>
      <c r="Q299" s="1">
        <v>5</v>
      </c>
      <c r="R299" s="1">
        <v>2</v>
      </c>
      <c r="S299" s="1">
        <v>5</v>
      </c>
      <c r="T299" s="1">
        <v>0</v>
      </c>
      <c r="U299" s="1">
        <v>95</v>
      </c>
      <c r="V299" s="1">
        <v>105</v>
      </c>
      <c r="W299" s="1">
        <v>115</v>
      </c>
      <c r="X299" s="1">
        <v>100</v>
      </c>
      <c r="Y299" s="1">
        <v>120</v>
      </c>
      <c r="Z299" s="1">
        <v>105</v>
      </c>
      <c r="AA299" s="1">
        <v>0</v>
      </c>
      <c r="AB299" s="1">
        <v>15</v>
      </c>
      <c r="AC299" s="1">
        <v>40</v>
      </c>
      <c r="AD299" s="1">
        <v>0</v>
      </c>
      <c r="AE299" s="1">
        <v>122</v>
      </c>
      <c r="AF299" s="1">
        <v>100</v>
      </c>
      <c r="AG299" s="1">
        <v>900626</v>
      </c>
      <c r="AH299" s="1">
        <v>0</v>
      </c>
      <c r="AI299" s="1">
        <v>900625</v>
      </c>
      <c r="AJ299" s="1" t="s">
        <v>328</v>
      </c>
      <c r="AK299" s="1" t="s">
        <v>328</v>
      </c>
      <c r="AL299" s="1">
        <v>13</v>
      </c>
      <c r="AM299" s="1" t="s">
        <v>4762</v>
      </c>
      <c r="AN299" s="1" t="s">
        <v>464</v>
      </c>
      <c r="AO299" s="1" t="s">
        <v>4832</v>
      </c>
      <c r="AP299" s="1">
        <v>0</v>
      </c>
      <c r="AQ299" s="1" t="s">
        <v>1140</v>
      </c>
      <c r="AR299" s="1" t="s">
        <v>1141</v>
      </c>
      <c r="AS299" s="1" t="s">
        <v>1142</v>
      </c>
      <c r="AT299" s="1" t="s">
        <v>328</v>
      </c>
      <c r="AU299" s="1">
        <v>200</v>
      </c>
      <c r="AV299" s="1">
        <v>0</v>
      </c>
      <c r="AW299" s="1" t="s">
        <v>5304</v>
      </c>
      <c r="AX299" s="1" t="s">
        <v>331</v>
      </c>
      <c r="AY299" s="1">
        <v>4</v>
      </c>
      <c r="AZ299" s="1">
        <v>0</v>
      </c>
      <c r="BA299" s="1" t="s">
        <v>328</v>
      </c>
      <c r="BB299" s="1" t="s">
        <v>328</v>
      </c>
      <c r="BC299" s="1" t="s">
        <v>328</v>
      </c>
      <c r="BD299" s="1">
        <v>10802</v>
      </c>
      <c r="BE299" s="1"/>
      <c r="BH299">
        <f>COUNTIF(Dropdowns!$I:$AF,C299)</f>
        <v>1</v>
      </c>
    </row>
    <row r="300" spans="1:60" x14ac:dyDescent="0.3">
      <c r="A300" s="1">
        <v>306</v>
      </c>
      <c r="B300" s="1" t="s">
        <v>3919</v>
      </c>
      <c r="C300" s="207" t="s">
        <v>1666</v>
      </c>
      <c r="D300" s="1" t="s">
        <v>1666</v>
      </c>
      <c r="E300" s="1"/>
      <c r="F300" s="1"/>
      <c r="G300" s="1" t="s">
        <v>3920</v>
      </c>
      <c r="H300" s="1" t="s">
        <v>3921</v>
      </c>
      <c r="I300" s="1" t="s">
        <v>3922</v>
      </c>
      <c r="J300" s="1">
        <v>4</v>
      </c>
      <c r="K300" s="1">
        <v>5</v>
      </c>
      <c r="L300" s="1">
        <v>14160</v>
      </c>
      <c r="M300" s="1">
        <v>20</v>
      </c>
      <c r="N300" s="1">
        <v>20</v>
      </c>
      <c r="O300" s="1">
        <v>10</v>
      </c>
      <c r="P300" s="1">
        <v>10</v>
      </c>
      <c r="Q300" s="1">
        <v>2</v>
      </c>
      <c r="R300" s="1">
        <v>5</v>
      </c>
      <c r="S300" s="1">
        <v>5</v>
      </c>
      <c r="T300" s="1">
        <v>0</v>
      </c>
      <c r="U300" s="1">
        <v>105</v>
      </c>
      <c r="V300" s="1">
        <v>116</v>
      </c>
      <c r="W300" s="1">
        <v>108</v>
      </c>
      <c r="X300" s="1">
        <v>100</v>
      </c>
      <c r="Y300" s="1">
        <v>118</v>
      </c>
      <c r="Z300" s="1">
        <v>115</v>
      </c>
      <c r="AA300" s="1">
        <v>0</v>
      </c>
      <c r="AB300" s="1">
        <v>15</v>
      </c>
      <c r="AC300" s="1">
        <v>20</v>
      </c>
      <c r="AD300" s="1">
        <v>0</v>
      </c>
      <c r="AE300" s="1">
        <v>132</v>
      </c>
      <c r="AF300" s="1">
        <v>100</v>
      </c>
      <c r="AG300" s="1">
        <v>115701</v>
      </c>
      <c r="AH300" s="1">
        <v>0</v>
      </c>
      <c r="AI300" s="1">
        <v>115703</v>
      </c>
      <c r="AJ300" s="1" t="s">
        <v>5306</v>
      </c>
      <c r="AK300" s="1" t="s">
        <v>1319</v>
      </c>
      <c r="AL300" s="1">
        <v>18</v>
      </c>
      <c r="AM300" s="1" t="s">
        <v>398</v>
      </c>
      <c r="AN300" s="1" t="s">
        <v>5307</v>
      </c>
      <c r="AO300" s="1" t="s">
        <v>5169</v>
      </c>
      <c r="AP300" s="1">
        <v>0</v>
      </c>
      <c r="AQ300" s="1" t="s">
        <v>1130</v>
      </c>
      <c r="AR300" s="1" t="s">
        <v>1154</v>
      </c>
      <c r="AS300" s="1" t="s">
        <v>1129</v>
      </c>
      <c r="AT300" s="1" t="s">
        <v>328</v>
      </c>
      <c r="AU300" s="1">
        <v>215</v>
      </c>
      <c r="AV300" s="1">
        <v>0</v>
      </c>
      <c r="AW300" s="1" t="s">
        <v>5304</v>
      </c>
      <c r="AX300" s="1" t="s">
        <v>331</v>
      </c>
      <c r="AY300" s="1">
        <v>5</v>
      </c>
      <c r="AZ300" s="1">
        <v>0</v>
      </c>
      <c r="BA300" s="1" t="s">
        <v>328</v>
      </c>
      <c r="BB300" s="1" t="s">
        <v>328</v>
      </c>
      <c r="BC300" s="1" t="s">
        <v>4720</v>
      </c>
      <c r="BD300" s="1">
        <v>10402</v>
      </c>
      <c r="BE300" s="1"/>
      <c r="BH300">
        <f>COUNTIF(Dropdowns!$I:$AF,C300)</f>
        <v>1</v>
      </c>
    </row>
    <row r="301" spans="1:60" x14ac:dyDescent="0.3">
      <c r="A301" s="1">
        <v>307</v>
      </c>
      <c r="B301" s="1" t="s">
        <v>3923</v>
      </c>
      <c r="C301" s="207" t="s">
        <v>1667</v>
      </c>
      <c r="D301" s="1" t="s">
        <v>1667</v>
      </c>
      <c r="E301" s="1"/>
      <c r="F301" s="1"/>
      <c r="G301" s="1" t="s">
        <v>3924</v>
      </c>
      <c r="H301" s="1" t="s">
        <v>3925</v>
      </c>
      <c r="I301" s="1" t="s">
        <v>3926</v>
      </c>
      <c r="J301" s="1">
        <v>5</v>
      </c>
      <c r="K301" s="1">
        <v>5</v>
      </c>
      <c r="L301" s="1">
        <v>23160</v>
      </c>
      <c r="M301" s="1">
        <v>40</v>
      </c>
      <c r="N301" s="1">
        <v>30</v>
      </c>
      <c r="O301" s="1">
        <v>25</v>
      </c>
      <c r="P301" s="1">
        <v>15</v>
      </c>
      <c r="Q301" s="1">
        <v>5</v>
      </c>
      <c r="R301" s="1">
        <v>5</v>
      </c>
      <c r="S301" s="1">
        <v>2</v>
      </c>
      <c r="T301" s="1">
        <v>5</v>
      </c>
      <c r="U301" s="1">
        <v>110</v>
      </c>
      <c r="V301" s="1">
        <v>116</v>
      </c>
      <c r="W301" s="1">
        <v>105</v>
      </c>
      <c r="X301" s="1">
        <v>100</v>
      </c>
      <c r="Y301" s="1">
        <v>110</v>
      </c>
      <c r="Z301" s="1">
        <v>115</v>
      </c>
      <c r="AA301" s="1">
        <v>0</v>
      </c>
      <c r="AB301" s="1">
        <v>15</v>
      </c>
      <c r="AC301" s="1">
        <v>5</v>
      </c>
      <c r="AD301" s="1">
        <v>9</v>
      </c>
      <c r="AE301" s="1">
        <v>130</v>
      </c>
      <c r="AF301" s="1">
        <v>100</v>
      </c>
      <c r="AG301" s="1">
        <v>115901</v>
      </c>
      <c r="AH301" s="1">
        <v>0</v>
      </c>
      <c r="AI301" s="1">
        <v>115902</v>
      </c>
      <c r="AJ301" s="1" t="s">
        <v>1320</v>
      </c>
      <c r="AK301" s="1" t="s">
        <v>1321</v>
      </c>
      <c r="AL301" s="1">
        <v>18</v>
      </c>
      <c r="AM301" s="1" t="s">
        <v>4858</v>
      </c>
      <c r="AN301" s="1" t="s">
        <v>5234</v>
      </c>
      <c r="AO301" s="1" t="s">
        <v>5308</v>
      </c>
      <c r="AP301" s="1">
        <v>0</v>
      </c>
      <c r="AQ301" s="1" t="s">
        <v>1167</v>
      </c>
      <c r="AR301" s="1" t="s">
        <v>1168</v>
      </c>
      <c r="AS301" s="1" t="s">
        <v>1169</v>
      </c>
      <c r="AT301" s="1" t="s">
        <v>328</v>
      </c>
      <c r="AU301" s="1">
        <v>238</v>
      </c>
      <c r="AV301" s="1">
        <v>0</v>
      </c>
      <c r="AW301" s="1" t="s">
        <v>5304</v>
      </c>
      <c r="AX301" s="1" t="s">
        <v>331</v>
      </c>
      <c r="AY301" s="1">
        <v>5</v>
      </c>
      <c r="AZ301" s="1">
        <v>0</v>
      </c>
      <c r="BA301" s="1" t="s">
        <v>328</v>
      </c>
      <c r="BB301" s="1" t="s">
        <v>328</v>
      </c>
      <c r="BC301" s="1" t="s">
        <v>328</v>
      </c>
      <c r="BD301" s="1">
        <v>10302</v>
      </c>
      <c r="BE301" s="1"/>
      <c r="BH301">
        <f>COUNTIF(Dropdowns!$I:$AF,C301)</f>
        <v>1</v>
      </c>
    </row>
    <row r="302" spans="1:60" x14ac:dyDescent="0.3">
      <c r="A302" s="1">
        <v>308</v>
      </c>
      <c r="B302" s="1" t="s">
        <v>3927</v>
      </c>
      <c r="C302" s="207" t="s">
        <v>800</v>
      </c>
      <c r="D302" s="1" t="s">
        <v>800</v>
      </c>
      <c r="E302" s="1"/>
      <c r="F302" s="1"/>
      <c r="G302" s="1" t="s">
        <v>3928</v>
      </c>
      <c r="H302" s="1" t="s">
        <v>3929</v>
      </c>
      <c r="I302" s="1" t="s">
        <v>3930</v>
      </c>
      <c r="J302" s="1">
        <v>3</v>
      </c>
      <c r="K302" s="1">
        <v>3</v>
      </c>
      <c r="L302" s="1">
        <v>15600</v>
      </c>
      <c r="M302" s="1">
        <v>15</v>
      </c>
      <c r="N302" s="1">
        <v>30</v>
      </c>
      <c r="O302" s="1">
        <v>10</v>
      </c>
      <c r="P302" s="1">
        <v>15</v>
      </c>
      <c r="Q302" s="1">
        <v>5</v>
      </c>
      <c r="R302" s="1">
        <v>2</v>
      </c>
      <c r="S302" s="1">
        <v>5</v>
      </c>
      <c r="T302" s="1">
        <v>0</v>
      </c>
      <c r="U302" s="1">
        <v>105</v>
      </c>
      <c r="V302" s="1">
        <v>122</v>
      </c>
      <c r="W302" s="1">
        <v>95</v>
      </c>
      <c r="X302" s="1">
        <v>100</v>
      </c>
      <c r="Y302" s="1">
        <v>120</v>
      </c>
      <c r="Z302" s="1">
        <v>90</v>
      </c>
      <c r="AA302" s="1">
        <v>0</v>
      </c>
      <c r="AB302" s="1">
        <v>15</v>
      </c>
      <c r="AC302" s="1">
        <v>40</v>
      </c>
      <c r="AD302" s="1">
        <v>0</v>
      </c>
      <c r="AE302" s="1">
        <v>115</v>
      </c>
      <c r="AF302" s="1">
        <v>100</v>
      </c>
      <c r="AG302" s="1">
        <v>100402</v>
      </c>
      <c r="AH302" s="1">
        <v>0</v>
      </c>
      <c r="AI302" s="1">
        <v>300104</v>
      </c>
      <c r="AJ302" s="1" t="s">
        <v>1125</v>
      </c>
      <c r="AK302" s="1" t="s">
        <v>328</v>
      </c>
      <c r="AL302" s="1">
        <v>13</v>
      </c>
      <c r="AM302" s="1" t="s">
        <v>4762</v>
      </c>
      <c r="AN302" s="1" t="s">
        <v>4884</v>
      </c>
      <c r="AO302" s="1" t="s">
        <v>4826</v>
      </c>
      <c r="AP302" s="1">
        <v>0</v>
      </c>
      <c r="AQ302" s="1" t="s">
        <v>1140</v>
      </c>
      <c r="AR302" s="1" t="s">
        <v>1141</v>
      </c>
      <c r="AS302" s="1" t="s">
        <v>1142</v>
      </c>
      <c r="AT302" s="1" t="s">
        <v>328</v>
      </c>
      <c r="AU302" s="1">
        <v>241</v>
      </c>
      <c r="AV302" s="1">
        <v>0</v>
      </c>
      <c r="AW302" s="1" t="s">
        <v>5309</v>
      </c>
      <c r="AX302" s="1" t="s">
        <v>5310</v>
      </c>
      <c r="AY302" s="1">
        <v>3</v>
      </c>
      <c r="AZ302" s="1">
        <v>0</v>
      </c>
      <c r="BA302" s="1" t="s">
        <v>328</v>
      </c>
      <c r="BB302" s="1" t="s">
        <v>328</v>
      </c>
      <c r="BC302" s="1" t="s">
        <v>328</v>
      </c>
      <c r="BD302" s="1">
        <v>10303</v>
      </c>
      <c r="BE302" s="1"/>
      <c r="BH302">
        <f>COUNTIF(Dropdowns!$I:$AF,C302)</f>
        <v>1</v>
      </c>
    </row>
    <row r="303" spans="1:60" x14ac:dyDescent="0.3">
      <c r="A303" s="1">
        <v>309</v>
      </c>
      <c r="B303" s="1" t="s">
        <v>3931</v>
      </c>
      <c r="C303" s="207" t="s">
        <v>801</v>
      </c>
      <c r="D303" s="1" t="s">
        <v>3932</v>
      </c>
      <c r="E303" s="1"/>
      <c r="F303" s="1"/>
      <c r="G303" s="1" t="s">
        <v>3933</v>
      </c>
      <c r="H303" s="1" t="s">
        <v>3934</v>
      </c>
      <c r="I303" s="1" t="s">
        <v>3935</v>
      </c>
      <c r="J303" s="1">
        <v>1</v>
      </c>
      <c r="K303" s="1">
        <v>3</v>
      </c>
      <c r="L303" s="1">
        <v>2700</v>
      </c>
      <c r="M303" s="1">
        <v>10</v>
      </c>
      <c r="N303" s="1">
        <v>10</v>
      </c>
      <c r="O303" s="1">
        <v>5</v>
      </c>
      <c r="P303" s="1">
        <v>5</v>
      </c>
      <c r="Q303" s="1">
        <v>2</v>
      </c>
      <c r="R303" s="1">
        <v>2</v>
      </c>
      <c r="S303" s="1">
        <v>2</v>
      </c>
      <c r="T303" s="1">
        <v>0</v>
      </c>
      <c r="U303" s="1">
        <v>120</v>
      </c>
      <c r="V303" s="1">
        <v>140</v>
      </c>
      <c r="W303" s="1">
        <v>80</v>
      </c>
      <c r="X303" s="1">
        <v>100</v>
      </c>
      <c r="Y303" s="1">
        <v>90</v>
      </c>
      <c r="Z303" s="1">
        <v>80</v>
      </c>
      <c r="AA303" s="1">
        <v>0</v>
      </c>
      <c r="AB303" s="1">
        <v>15</v>
      </c>
      <c r="AC303" s="1">
        <v>20</v>
      </c>
      <c r="AD303" s="1">
        <v>0</v>
      </c>
      <c r="AE303" s="1">
        <v>130</v>
      </c>
      <c r="AF303" s="1">
        <v>100</v>
      </c>
      <c r="AG303" s="1">
        <v>900763</v>
      </c>
      <c r="AH303" s="1">
        <v>0</v>
      </c>
      <c r="AI303" s="1">
        <v>900760</v>
      </c>
      <c r="AJ303" s="1" t="s">
        <v>1322</v>
      </c>
      <c r="AK303" s="1" t="s">
        <v>1323</v>
      </c>
      <c r="AL303" s="1">
        <v>14</v>
      </c>
      <c r="AM303" s="1" t="s">
        <v>1806</v>
      </c>
      <c r="AN303" s="1" t="s">
        <v>5311</v>
      </c>
      <c r="AO303" s="1" t="s">
        <v>4809</v>
      </c>
      <c r="AP303" s="1">
        <v>0</v>
      </c>
      <c r="AQ303" s="1" t="s">
        <v>1118</v>
      </c>
      <c r="AR303" s="1" t="s">
        <v>1119</v>
      </c>
      <c r="AS303" s="1" t="s">
        <v>1120</v>
      </c>
      <c r="AT303" s="1" t="s">
        <v>328</v>
      </c>
      <c r="AU303" s="1">
        <v>15</v>
      </c>
      <c r="AV303" s="1">
        <v>0</v>
      </c>
      <c r="AW303" s="1" t="s">
        <v>5312</v>
      </c>
      <c r="AX303" s="1" t="s">
        <v>5313</v>
      </c>
      <c r="AY303" s="1">
        <v>3</v>
      </c>
      <c r="AZ303" s="1">
        <v>0</v>
      </c>
      <c r="BA303" s="1" t="s">
        <v>328</v>
      </c>
      <c r="BB303" s="1" t="s">
        <v>328</v>
      </c>
      <c r="BC303" s="1" t="s">
        <v>4769</v>
      </c>
      <c r="BD303" s="1">
        <v>10303</v>
      </c>
      <c r="BE303" s="1"/>
      <c r="BH303">
        <f>COUNTIF(Dropdowns!$I:$AF,C303)</f>
        <v>0</v>
      </c>
    </row>
    <row r="304" spans="1:60" x14ac:dyDescent="0.3">
      <c r="A304" s="1">
        <v>310</v>
      </c>
      <c r="B304" s="1" t="s">
        <v>3936</v>
      </c>
      <c r="C304" s="207" t="s">
        <v>802</v>
      </c>
      <c r="D304" s="1" t="s">
        <v>3937</v>
      </c>
      <c r="E304" s="1"/>
      <c r="F304" s="1"/>
      <c r="G304" s="1" t="s">
        <v>3938</v>
      </c>
      <c r="H304" s="1" t="s">
        <v>3939</v>
      </c>
      <c r="I304" s="1" t="s">
        <v>3940</v>
      </c>
      <c r="J304" s="1">
        <v>1</v>
      </c>
      <c r="K304" s="1">
        <v>4</v>
      </c>
      <c r="L304" s="1">
        <v>3240</v>
      </c>
      <c r="M304" s="1">
        <v>10</v>
      </c>
      <c r="N304" s="1">
        <v>10</v>
      </c>
      <c r="O304" s="1">
        <v>5</v>
      </c>
      <c r="P304" s="1">
        <v>5</v>
      </c>
      <c r="Q304" s="1">
        <v>2</v>
      </c>
      <c r="R304" s="1">
        <v>2</v>
      </c>
      <c r="S304" s="1">
        <v>2</v>
      </c>
      <c r="T304" s="1">
        <v>0</v>
      </c>
      <c r="U304" s="1">
        <v>105</v>
      </c>
      <c r="V304" s="1">
        <v>115</v>
      </c>
      <c r="W304" s="1">
        <v>115</v>
      </c>
      <c r="X304" s="1">
        <v>100</v>
      </c>
      <c r="Y304" s="1">
        <v>120</v>
      </c>
      <c r="Z304" s="1">
        <v>107</v>
      </c>
      <c r="AA304" s="1">
        <v>0</v>
      </c>
      <c r="AB304" s="1">
        <v>15</v>
      </c>
      <c r="AC304" s="1">
        <v>20</v>
      </c>
      <c r="AD304" s="1">
        <v>0</v>
      </c>
      <c r="AE304" s="1">
        <v>110</v>
      </c>
      <c r="AF304" s="1">
        <v>100</v>
      </c>
      <c r="AG304" s="1">
        <v>900815</v>
      </c>
      <c r="AH304" s="1">
        <v>0</v>
      </c>
      <c r="AI304" s="1">
        <v>300101</v>
      </c>
      <c r="AJ304" s="1" t="s">
        <v>328</v>
      </c>
      <c r="AK304" s="1" t="s">
        <v>328</v>
      </c>
      <c r="AL304" s="1">
        <v>12</v>
      </c>
      <c r="AM304" s="1" t="s">
        <v>1806</v>
      </c>
      <c r="AN304" s="1" t="s">
        <v>5314</v>
      </c>
      <c r="AO304" s="1" t="s">
        <v>4741</v>
      </c>
      <c r="AP304" s="1">
        <v>0</v>
      </c>
      <c r="AQ304" s="1" t="s">
        <v>1118</v>
      </c>
      <c r="AR304" s="1" t="s">
        <v>1119</v>
      </c>
      <c r="AS304" s="1" t="s">
        <v>1120</v>
      </c>
      <c r="AT304" s="1" t="s">
        <v>328</v>
      </c>
      <c r="AU304" s="1">
        <v>212</v>
      </c>
      <c r="AV304" s="1">
        <v>0</v>
      </c>
      <c r="AW304" s="1" t="s">
        <v>5315</v>
      </c>
      <c r="AX304" s="1" t="s">
        <v>4762</v>
      </c>
      <c r="AY304" s="1">
        <v>4</v>
      </c>
      <c r="AZ304" s="1">
        <v>0</v>
      </c>
      <c r="BA304" s="1" t="s">
        <v>328</v>
      </c>
      <c r="BB304" s="1" t="s">
        <v>328</v>
      </c>
      <c r="BC304" s="1" t="s">
        <v>328</v>
      </c>
      <c r="BD304" s="1">
        <v>10703</v>
      </c>
      <c r="BE304" s="1"/>
      <c r="BH304">
        <f>COUNTIF(Dropdowns!$I:$AF,C304)</f>
        <v>0</v>
      </c>
    </row>
    <row r="305" spans="1:60" x14ac:dyDescent="0.3">
      <c r="A305" s="1">
        <v>311</v>
      </c>
      <c r="B305" s="1" t="s">
        <v>3941</v>
      </c>
      <c r="C305" s="207" t="s">
        <v>803</v>
      </c>
      <c r="D305" s="1" t="s">
        <v>803</v>
      </c>
      <c r="E305" s="1"/>
      <c r="F305" s="1"/>
      <c r="G305" s="1" t="s">
        <v>3942</v>
      </c>
      <c r="H305" s="1" t="s">
        <v>3943</v>
      </c>
      <c r="I305" s="1" t="s">
        <v>3944</v>
      </c>
      <c r="J305" s="1">
        <v>2</v>
      </c>
      <c r="K305" s="1">
        <v>5</v>
      </c>
      <c r="L305" s="1">
        <v>9300</v>
      </c>
      <c r="M305" s="1">
        <v>25</v>
      </c>
      <c r="N305" s="1">
        <v>20</v>
      </c>
      <c r="O305" s="1">
        <v>15</v>
      </c>
      <c r="P305" s="1">
        <v>10</v>
      </c>
      <c r="Q305" s="1">
        <v>5</v>
      </c>
      <c r="R305" s="1">
        <v>5</v>
      </c>
      <c r="S305" s="1">
        <v>2</v>
      </c>
      <c r="T305" s="1">
        <v>0</v>
      </c>
      <c r="U305" s="1">
        <v>116</v>
      </c>
      <c r="V305" s="1">
        <v>108</v>
      </c>
      <c r="W305" s="1">
        <v>120</v>
      </c>
      <c r="X305" s="1">
        <v>100</v>
      </c>
      <c r="Y305" s="1">
        <v>110</v>
      </c>
      <c r="Z305" s="1">
        <v>112</v>
      </c>
      <c r="AA305" s="1">
        <v>0</v>
      </c>
      <c r="AB305" s="1">
        <v>15</v>
      </c>
      <c r="AC305" s="1">
        <v>5</v>
      </c>
      <c r="AD305" s="1">
        <v>0</v>
      </c>
      <c r="AE305" s="1">
        <v>110</v>
      </c>
      <c r="AF305" s="1">
        <v>100</v>
      </c>
      <c r="AG305" s="1">
        <v>900811</v>
      </c>
      <c r="AH305" s="1">
        <v>0</v>
      </c>
      <c r="AI305" s="1">
        <v>300102</v>
      </c>
      <c r="AJ305" s="1" t="s">
        <v>1324</v>
      </c>
      <c r="AK305" s="1" t="s">
        <v>1325</v>
      </c>
      <c r="AL305" s="1">
        <v>12</v>
      </c>
      <c r="AM305" s="1" t="s">
        <v>354</v>
      </c>
      <c r="AN305" s="1" t="s">
        <v>5198</v>
      </c>
      <c r="AO305" s="1" t="s">
        <v>5316</v>
      </c>
      <c r="AP305" s="1">
        <v>0</v>
      </c>
      <c r="AQ305" s="1" t="s">
        <v>1129</v>
      </c>
      <c r="AR305" s="1" t="s">
        <v>1119</v>
      </c>
      <c r="AS305" s="1" t="s">
        <v>1130</v>
      </c>
      <c r="AT305" s="1" t="s">
        <v>328</v>
      </c>
      <c r="AU305" s="1">
        <v>224</v>
      </c>
      <c r="AV305" s="1">
        <v>0</v>
      </c>
      <c r="AW305" s="1" t="s">
        <v>5317</v>
      </c>
      <c r="AX305" s="1" t="s">
        <v>5318</v>
      </c>
      <c r="AY305" s="1">
        <v>5</v>
      </c>
      <c r="AZ305" s="1">
        <v>0</v>
      </c>
      <c r="BA305" s="1" t="s">
        <v>328</v>
      </c>
      <c r="BB305" s="1" t="s">
        <v>328</v>
      </c>
      <c r="BC305" s="1" t="s">
        <v>328</v>
      </c>
      <c r="BD305" s="1">
        <v>10802</v>
      </c>
      <c r="BE305" s="1"/>
      <c r="BH305">
        <f>COUNTIF(Dropdowns!$I:$AF,C305)</f>
        <v>1</v>
      </c>
    </row>
    <row r="306" spans="1:60" x14ac:dyDescent="0.3">
      <c r="A306" s="1">
        <v>312</v>
      </c>
      <c r="B306" s="1" t="s">
        <v>3945</v>
      </c>
      <c r="C306" s="207" t="s">
        <v>1668</v>
      </c>
      <c r="D306" s="1" t="s">
        <v>3946</v>
      </c>
      <c r="E306" s="1"/>
      <c r="F306" s="1"/>
      <c r="G306" s="1" t="s">
        <v>3947</v>
      </c>
      <c r="H306" s="1" t="s">
        <v>3948</v>
      </c>
      <c r="I306" s="1" t="s">
        <v>3949</v>
      </c>
      <c r="J306" s="1">
        <v>3</v>
      </c>
      <c r="K306" s="1">
        <v>5</v>
      </c>
      <c r="L306" s="1">
        <v>16980</v>
      </c>
      <c r="M306" s="1">
        <v>15</v>
      </c>
      <c r="N306" s="1">
        <v>30</v>
      </c>
      <c r="O306" s="1">
        <v>10</v>
      </c>
      <c r="P306" s="1">
        <v>15</v>
      </c>
      <c r="Q306" s="1">
        <v>5</v>
      </c>
      <c r="R306" s="1">
        <v>2</v>
      </c>
      <c r="S306" s="1">
        <v>5</v>
      </c>
      <c r="T306" s="1">
        <v>0</v>
      </c>
      <c r="U306" s="1">
        <v>100</v>
      </c>
      <c r="V306" s="1">
        <v>116</v>
      </c>
      <c r="W306" s="1">
        <v>110</v>
      </c>
      <c r="X306" s="1">
        <v>100</v>
      </c>
      <c r="Y306" s="1">
        <v>110</v>
      </c>
      <c r="Z306" s="1">
        <v>88</v>
      </c>
      <c r="AA306" s="1">
        <v>0</v>
      </c>
      <c r="AB306" s="1">
        <v>15</v>
      </c>
      <c r="AC306" s="1">
        <v>40</v>
      </c>
      <c r="AD306" s="1">
        <v>0</v>
      </c>
      <c r="AE306" s="1">
        <v>131</v>
      </c>
      <c r="AF306" s="1">
        <v>100</v>
      </c>
      <c r="AG306" s="1">
        <v>116001</v>
      </c>
      <c r="AH306" s="1">
        <v>0</v>
      </c>
      <c r="AI306" s="1">
        <v>116003</v>
      </c>
      <c r="AJ306" s="1" t="s">
        <v>1326</v>
      </c>
      <c r="AK306" s="1" t="s">
        <v>328</v>
      </c>
      <c r="AL306" s="1">
        <v>13</v>
      </c>
      <c r="AM306" s="1" t="s">
        <v>4762</v>
      </c>
      <c r="AN306" s="1" t="s">
        <v>5113</v>
      </c>
      <c r="AO306" s="1" t="s">
        <v>4845</v>
      </c>
      <c r="AP306" s="1">
        <v>0</v>
      </c>
      <c r="AQ306" s="1" t="s">
        <v>1140</v>
      </c>
      <c r="AR306" s="1" t="s">
        <v>1141</v>
      </c>
      <c r="AS306" s="1" t="s">
        <v>1142</v>
      </c>
      <c r="AT306" s="1" t="s">
        <v>328</v>
      </c>
      <c r="AU306" s="1">
        <v>222</v>
      </c>
      <c r="AV306" s="1">
        <v>0</v>
      </c>
      <c r="AW306" s="1" t="s">
        <v>5315</v>
      </c>
      <c r="AX306" s="1" t="s">
        <v>331</v>
      </c>
      <c r="AY306" s="1">
        <v>5</v>
      </c>
      <c r="AZ306" s="1">
        <v>0</v>
      </c>
      <c r="BA306" s="1" t="s">
        <v>328</v>
      </c>
      <c r="BB306" s="1" t="s">
        <v>328</v>
      </c>
      <c r="BC306" s="1" t="s">
        <v>4757</v>
      </c>
      <c r="BD306" s="1">
        <v>10402</v>
      </c>
      <c r="BE306" s="1"/>
      <c r="BH306">
        <f>COUNTIF(Dropdowns!$I:$AF,C306)</f>
        <v>1</v>
      </c>
    </row>
    <row r="307" spans="1:60" x14ac:dyDescent="0.3">
      <c r="A307" s="1">
        <v>313</v>
      </c>
      <c r="B307" s="1" t="s">
        <v>3950</v>
      </c>
      <c r="C307" s="207" t="s">
        <v>1669</v>
      </c>
      <c r="D307" s="1" t="s">
        <v>1669</v>
      </c>
      <c r="E307" s="1"/>
      <c r="F307" s="1"/>
      <c r="G307" s="1" t="s">
        <v>3951</v>
      </c>
      <c r="H307" s="1" t="s">
        <v>3952</v>
      </c>
      <c r="I307" s="1" t="s">
        <v>3953</v>
      </c>
      <c r="J307" s="1">
        <v>4</v>
      </c>
      <c r="K307" s="1">
        <v>5</v>
      </c>
      <c r="L307" s="1">
        <v>14880</v>
      </c>
      <c r="M307" s="1">
        <v>20</v>
      </c>
      <c r="N307" s="1">
        <v>20</v>
      </c>
      <c r="O307" s="1">
        <v>10</v>
      </c>
      <c r="P307" s="1">
        <v>10</v>
      </c>
      <c r="Q307" s="1">
        <v>2</v>
      </c>
      <c r="R307" s="1">
        <v>5</v>
      </c>
      <c r="S307" s="1">
        <v>5</v>
      </c>
      <c r="T307" s="1">
        <v>0</v>
      </c>
      <c r="U307" s="1">
        <v>112</v>
      </c>
      <c r="V307" s="1">
        <v>100</v>
      </c>
      <c r="W307" s="1">
        <v>135</v>
      </c>
      <c r="X307" s="1">
        <v>100</v>
      </c>
      <c r="Y307" s="1">
        <v>105</v>
      </c>
      <c r="Z307" s="1">
        <v>100</v>
      </c>
      <c r="AA307" s="1">
        <v>0</v>
      </c>
      <c r="AB307" s="1">
        <v>15</v>
      </c>
      <c r="AC307" s="1">
        <v>20</v>
      </c>
      <c r="AD307" s="1">
        <v>0</v>
      </c>
      <c r="AE307" s="1">
        <v>122</v>
      </c>
      <c r="AF307" s="1">
        <v>100</v>
      </c>
      <c r="AG307" s="1">
        <v>900801</v>
      </c>
      <c r="AH307" s="1">
        <v>0</v>
      </c>
      <c r="AI307" s="1">
        <v>900800</v>
      </c>
      <c r="AJ307" s="1" t="s">
        <v>1327</v>
      </c>
      <c r="AK307" s="1" t="s">
        <v>1328</v>
      </c>
      <c r="AL307" s="1">
        <v>14</v>
      </c>
      <c r="AM307" s="1" t="s">
        <v>4719</v>
      </c>
      <c r="AN307" s="1" t="s">
        <v>5252</v>
      </c>
      <c r="AO307" s="1" t="s">
        <v>5169</v>
      </c>
      <c r="AP307" s="1">
        <v>0</v>
      </c>
      <c r="AQ307" s="1" t="s">
        <v>1130</v>
      </c>
      <c r="AR307" s="1" t="s">
        <v>1154</v>
      </c>
      <c r="AS307" s="1" t="s">
        <v>1129</v>
      </c>
      <c r="AT307" s="1" t="s">
        <v>328</v>
      </c>
      <c r="AU307" s="1">
        <v>73</v>
      </c>
      <c r="AV307" s="1">
        <v>0</v>
      </c>
      <c r="AW307" s="1" t="s">
        <v>5315</v>
      </c>
      <c r="AX307" s="1" t="s">
        <v>331</v>
      </c>
      <c r="AY307" s="1">
        <v>5</v>
      </c>
      <c r="AZ307" s="1">
        <v>0</v>
      </c>
      <c r="BA307" s="1" t="s">
        <v>328</v>
      </c>
      <c r="BB307" s="1" t="s">
        <v>328</v>
      </c>
      <c r="BC307" s="1" t="s">
        <v>328</v>
      </c>
      <c r="BD307" s="1">
        <v>10202</v>
      </c>
      <c r="BE307" s="1"/>
      <c r="BH307">
        <f>COUNTIF(Dropdowns!$I:$AF,C307)</f>
        <v>1</v>
      </c>
    </row>
    <row r="308" spans="1:60" x14ac:dyDescent="0.3">
      <c r="A308" s="1">
        <v>314</v>
      </c>
      <c r="B308" s="1" t="s">
        <v>3954</v>
      </c>
      <c r="C308" s="207" t="s">
        <v>1670</v>
      </c>
      <c r="D308" s="1" t="s">
        <v>3955</v>
      </c>
      <c r="E308" s="1"/>
      <c r="F308" s="1"/>
      <c r="G308" s="1" t="s">
        <v>3956</v>
      </c>
      <c r="H308" s="1" t="s">
        <v>3957</v>
      </c>
      <c r="I308" s="1" t="s">
        <v>3958</v>
      </c>
      <c r="J308" s="1">
        <v>4</v>
      </c>
      <c r="K308" s="1">
        <v>3</v>
      </c>
      <c r="L308" s="1">
        <v>11400</v>
      </c>
      <c r="M308" s="1">
        <v>20</v>
      </c>
      <c r="N308" s="1">
        <v>20</v>
      </c>
      <c r="O308" s="1">
        <v>10</v>
      </c>
      <c r="P308" s="1">
        <v>10</v>
      </c>
      <c r="Q308" s="1">
        <v>2</v>
      </c>
      <c r="R308" s="1">
        <v>5</v>
      </c>
      <c r="S308" s="1">
        <v>5</v>
      </c>
      <c r="T308" s="1">
        <v>0</v>
      </c>
      <c r="U308" s="1">
        <v>100</v>
      </c>
      <c r="V308" s="1">
        <v>110</v>
      </c>
      <c r="W308" s="1">
        <v>104</v>
      </c>
      <c r="X308" s="1">
        <v>100</v>
      </c>
      <c r="Y308" s="1">
        <v>120</v>
      </c>
      <c r="Z308" s="1">
        <v>105</v>
      </c>
      <c r="AA308" s="1">
        <v>0</v>
      </c>
      <c r="AB308" s="1">
        <v>15</v>
      </c>
      <c r="AC308" s="1">
        <v>20</v>
      </c>
      <c r="AD308" s="1">
        <v>0</v>
      </c>
      <c r="AE308" s="1">
        <v>118</v>
      </c>
      <c r="AF308" s="1">
        <v>100</v>
      </c>
      <c r="AG308" s="1">
        <v>900845</v>
      </c>
      <c r="AH308" s="1">
        <v>0</v>
      </c>
      <c r="AI308" s="1">
        <v>300103</v>
      </c>
      <c r="AJ308" s="1" t="s">
        <v>1125</v>
      </c>
      <c r="AK308" s="1" t="s">
        <v>328</v>
      </c>
      <c r="AL308" s="1">
        <v>13</v>
      </c>
      <c r="AM308" s="1" t="s">
        <v>4719</v>
      </c>
      <c r="AN308" s="1" t="s">
        <v>4834</v>
      </c>
      <c r="AO308" s="1" t="s">
        <v>5319</v>
      </c>
      <c r="AP308" s="1">
        <v>0</v>
      </c>
      <c r="AQ308" s="1" t="s">
        <v>1130</v>
      </c>
      <c r="AR308" s="1" t="s">
        <v>1154</v>
      </c>
      <c r="AS308" s="1" t="s">
        <v>1129</v>
      </c>
      <c r="AT308" s="1" t="s">
        <v>328</v>
      </c>
      <c r="AU308" s="1">
        <v>171</v>
      </c>
      <c r="AV308" s="1">
        <v>0</v>
      </c>
      <c r="AW308" s="1" t="s">
        <v>5320</v>
      </c>
      <c r="AX308" s="1" t="s">
        <v>5321</v>
      </c>
      <c r="AY308" s="1">
        <v>3</v>
      </c>
      <c r="AZ308" s="1">
        <v>0</v>
      </c>
      <c r="BA308" s="1" t="s">
        <v>328</v>
      </c>
      <c r="BB308" s="1" t="s">
        <v>328</v>
      </c>
      <c r="BC308" s="1" t="s">
        <v>4769</v>
      </c>
      <c r="BD308" s="1">
        <v>10702</v>
      </c>
      <c r="BE308" s="1"/>
      <c r="BH308">
        <f>COUNTIF(Dropdowns!$I:$AF,C308)</f>
        <v>1</v>
      </c>
    </row>
    <row r="309" spans="1:60" x14ac:dyDescent="0.3">
      <c r="A309" s="1">
        <v>315</v>
      </c>
      <c r="B309" s="1" t="s">
        <v>3959</v>
      </c>
      <c r="C309" s="207" t="s">
        <v>840</v>
      </c>
      <c r="D309" s="1" t="s">
        <v>3960</v>
      </c>
      <c r="E309" s="1"/>
      <c r="F309" s="1"/>
      <c r="G309" s="1" t="s">
        <v>3961</v>
      </c>
      <c r="H309" s="1" t="s">
        <v>3962</v>
      </c>
      <c r="I309" s="1" t="s">
        <v>3963</v>
      </c>
      <c r="J309" s="1">
        <v>2</v>
      </c>
      <c r="K309" s="1">
        <v>5</v>
      </c>
      <c r="L309" s="1">
        <v>9300</v>
      </c>
      <c r="M309" s="1">
        <v>25</v>
      </c>
      <c r="N309" s="1">
        <v>20</v>
      </c>
      <c r="O309" s="1">
        <v>15</v>
      </c>
      <c r="P309" s="1">
        <v>10</v>
      </c>
      <c r="Q309" s="1">
        <v>5</v>
      </c>
      <c r="R309" s="1">
        <v>5</v>
      </c>
      <c r="S309" s="1">
        <v>2</v>
      </c>
      <c r="T309" s="1">
        <v>0</v>
      </c>
      <c r="U309" s="1">
        <v>105</v>
      </c>
      <c r="V309" s="1">
        <v>106</v>
      </c>
      <c r="W309" s="1">
        <v>110</v>
      </c>
      <c r="X309" s="1">
        <v>100</v>
      </c>
      <c r="Y309" s="1">
        <v>120</v>
      </c>
      <c r="Z309" s="1">
        <v>126</v>
      </c>
      <c r="AA309" s="1">
        <v>0</v>
      </c>
      <c r="AB309" s="1">
        <v>15</v>
      </c>
      <c r="AC309" s="1">
        <v>5</v>
      </c>
      <c r="AD309" s="1">
        <v>0</v>
      </c>
      <c r="AE309" s="1">
        <v>118</v>
      </c>
      <c r="AF309" s="1">
        <v>100</v>
      </c>
      <c r="AG309" s="1">
        <v>116101</v>
      </c>
      <c r="AH309" s="1">
        <v>0</v>
      </c>
      <c r="AI309" s="1">
        <v>300102</v>
      </c>
      <c r="AJ309" s="1" t="s">
        <v>5322</v>
      </c>
      <c r="AK309" s="1" t="s">
        <v>1329</v>
      </c>
      <c r="AL309" s="1">
        <v>13</v>
      </c>
      <c r="AM309" s="1" t="s">
        <v>4790</v>
      </c>
      <c r="AN309" s="1" t="s">
        <v>4795</v>
      </c>
      <c r="AO309" s="1" t="s">
        <v>4875</v>
      </c>
      <c r="AP309" s="1">
        <v>0</v>
      </c>
      <c r="AQ309" s="1" t="s">
        <v>1129</v>
      </c>
      <c r="AR309" s="1" t="s">
        <v>1119</v>
      </c>
      <c r="AS309" s="1" t="s">
        <v>1130</v>
      </c>
      <c r="AT309" s="1" t="s">
        <v>328</v>
      </c>
      <c r="AU309" s="1">
        <v>224</v>
      </c>
      <c r="AV309" s="1">
        <v>0</v>
      </c>
      <c r="AW309" s="1" t="s">
        <v>5323</v>
      </c>
      <c r="AX309" s="1" t="s">
        <v>5324</v>
      </c>
      <c r="AY309" s="1">
        <v>5</v>
      </c>
      <c r="AZ309" s="1">
        <v>0</v>
      </c>
      <c r="BA309" s="1" t="s">
        <v>328</v>
      </c>
      <c r="BB309" s="1" t="s">
        <v>328</v>
      </c>
      <c r="BC309" s="1" t="s">
        <v>328</v>
      </c>
      <c r="BD309" s="1">
        <v>10303</v>
      </c>
      <c r="BE309" s="1"/>
      <c r="BH309">
        <f>COUNTIF(Dropdowns!$I:$AF,C309)</f>
        <v>1</v>
      </c>
    </row>
    <row r="310" spans="1:60" x14ac:dyDescent="0.3">
      <c r="A310" s="1">
        <v>316</v>
      </c>
      <c r="B310" s="1" t="s">
        <v>3964</v>
      </c>
      <c r="C310" s="207" t="s">
        <v>804</v>
      </c>
      <c r="D310" s="1" t="s">
        <v>804</v>
      </c>
      <c r="E310" s="1"/>
      <c r="F310" s="1"/>
      <c r="G310" s="1" t="s">
        <v>3965</v>
      </c>
      <c r="H310" s="1" t="s">
        <v>3966</v>
      </c>
      <c r="I310" s="1" t="s">
        <v>3967</v>
      </c>
      <c r="J310" s="1">
        <v>3</v>
      </c>
      <c r="K310" s="1">
        <v>5</v>
      </c>
      <c r="L310" s="1">
        <v>16980</v>
      </c>
      <c r="M310" s="1">
        <v>15</v>
      </c>
      <c r="N310" s="1">
        <v>30</v>
      </c>
      <c r="O310" s="1">
        <v>10</v>
      </c>
      <c r="P310" s="1">
        <v>15</v>
      </c>
      <c r="Q310" s="1">
        <v>5</v>
      </c>
      <c r="R310" s="1">
        <v>2</v>
      </c>
      <c r="S310" s="1">
        <v>5</v>
      </c>
      <c r="T310" s="1">
        <v>0</v>
      </c>
      <c r="U310" s="1">
        <v>90</v>
      </c>
      <c r="V310" s="1">
        <v>120</v>
      </c>
      <c r="W310" s="1">
        <v>112</v>
      </c>
      <c r="X310" s="1">
        <v>100</v>
      </c>
      <c r="Y310" s="1">
        <v>122</v>
      </c>
      <c r="Z310" s="1">
        <v>80</v>
      </c>
      <c r="AA310" s="1">
        <v>0</v>
      </c>
      <c r="AB310" s="1">
        <v>15</v>
      </c>
      <c r="AC310" s="1">
        <v>40</v>
      </c>
      <c r="AD310" s="1">
        <v>0</v>
      </c>
      <c r="AE310" s="1">
        <v>132</v>
      </c>
      <c r="AF310" s="1">
        <v>100</v>
      </c>
      <c r="AG310" s="1">
        <v>900850</v>
      </c>
      <c r="AH310" s="1">
        <v>0</v>
      </c>
      <c r="AI310" s="1">
        <v>900854</v>
      </c>
      <c r="AJ310" s="1" t="s">
        <v>1330</v>
      </c>
      <c r="AK310" s="1" t="s">
        <v>1331</v>
      </c>
      <c r="AL310" s="1">
        <v>13</v>
      </c>
      <c r="AM310" s="1" t="s">
        <v>4762</v>
      </c>
      <c r="AN310" s="1" t="s">
        <v>4773</v>
      </c>
      <c r="AO310" s="1" t="s">
        <v>4845</v>
      </c>
      <c r="AP310" s="1">
        <v>0</v>
      </c>
      <c r="AQ310" s="1" t="s">
        <v>1140</v>
      </c>
      <c r="AR310" s="1" t="s">
        <v>1141</v>
      </c>
      <c r="AS310" s="1" t="s">
        <v>1142</v>
      </c>
      <c r="AT310" s="1" t="s">
        <v>328</v>
      </c>
      <c r="AU310" s="1">
        <v>222</v>
      </c>
      <c r="AV310" s="1">
        <v>0</v>
      </c>
      <c r="AW310" s="1" t="s">
        <v>5323</v>
      </c>
      <c r="AX310" s="1" t="s">
        <v>5044</v>
      </c>
      <c r="AY310" s="1">
        <v>5</v>
      </c>
      <c r="AZ310" s="1">
        <v>0</v>
      </c>
      <c r="BA310" s="1" t="s">
        <v>328</v>
      </c>
      <c r="BB310" s="1" t="s">
        <v>328</v>
      </c>
      <c r="BC310" s="1" t="s">
        <v>4783</v>
      </c>
      <c r="BD310" s="1">
        <v>10203</v>
      </c>
      <c r="BE310" s="1"/>
      <c r="BH310">
        <f>COUNTIF(Dropdowns!$I:$AF,C310)</f>
        <v>1</v>
      </c>
    </row>
    <row r="311" spans="1:60" x14ac:dyDescent="0.3">
      <c r="A311" s="1">
        <v>317</v>
      </c>
      <c r="B311" s="1" t="s">
        <v>3968</v>
      </c>
      <c r="C311" s="207" t="s">
        <v>805</v>
      </c>
      <c r="D311" s="1" t="s">
        <v>805</v>
      </c>
      <c r="E311" s="1"/>
      <c r="F311" s="1"/>
      <c r="G311" s="1" t="s">
        <v>3969</v>
      </c>
      <c r="H311" s="1" t="s">
        <v>3970</v>
      </c>
      <c r="I311" s="1" t="s">
        <v>3971</v>
      </c>
      <c r="J311" s="1">
        <v>3</v>
      </c>
      <c r="K311" s="1">
        <v>4</v>
      </c>
      <c r="L311" s="1">
        <v>17400</v>
      </c>
      <c r="M311" s="1">
        <v>15</v>
      </c>
      <c r="N311" s="1">
        <v>30</v>
      </c>
      <c r="O311" s="1">
        <v>10</v>
      </c>
      <c r="P311" s="1">
        <v>15</v>
      </c>
      <c r="Q311" s="1">
        <v>5</v>
      </c>
      <c r="R311" s="1">
        <v>2</v>
      </c>
      <c r="S311" s="1">
        <v>5</v>
      </c>
      <c r="T311" s="1">
        <v>0</v>
      </c>
      <c r="U311" s="1">
        <v>95</v>
      </c>
      <c r="V311" s="1">
        <v>102</v>
      </c>
      <c r="W311" s="1">
        <v>120</v>
      </c>
      <c r="X311" s="1">
        <v>100</v>
      </c>
      <c r="Y311" s="1">
        <v>110</v>
      </c>
      <c r="Z311" s="1">
        <v>100</v>
      </c>
      <c r="AA311" s="1">
        <v>0</v>
      </c>
      <c r="AB311" s="1">
        <v>15</v>
      </c>
      <c r="AC311" s="1">
        <v>40</v>
      </c>
      <c r="AD311" s="1">
        <v>0</v>
      </c>
      <c r="AE311" s="1">
        <v>122</v>
      </c>
      <c r="AF311" s="1">
        <v>100</v>
      </c>
      <c r="AG311" s="1">
        <v>900860</v>
      </c>
      <c r="AH311" s="1">
        <v>0</v>
      </c>
      <c r="AI311" s="1">
        <v>300104</v>
      </c>
      <c r="AJ311" s="1" t="s">
        <v>5325</v>
      </c>
      <c r="AK311" s="1" t="s">
        <v>1332</v>
      </c>
      <c r="AL311" s="1">
        <v>13</v>
      </c>
      <c r="AM311" s="1" t="s">
        <v>476</v>
      </c>
      <c r="AN311" s="1" t="s">
        <v>464</v>
      </c>
      <c r="AO311" s="1" t="s">
        <v>4824</v>
      </c>
      <c r="AP311" s="1">
        <v>0</v>
      </c>
      <c r="AQ311" s="1" t="s">
        <v>1140</v>
      </c>
      <c r="AR311" s="1" t="s">
        <v>1141</v>
      </c>
      <c r="AS311" s="1" t="s">
        <v>4839</v>
      </c>
      <c r="AT311" s="1" t="s">
        <v>328</v>
      </c>
      <c r="AU311" s="1">
        <v>200</v>
      </c>
      <c r="AV311" s="1">
        <v>0</v>
      </c>
      <c r="AW311" s="1" t="s">
        <v>5323</v>
      </c>
      <c r="AX311" s="1" t="s">
        <v>5044</v>
      </c>
      <c r="AY311" s="1">
        <v>4</v>
      </c>
      <c r="AZ311" s="1">
        <v>0</v>
      </c>
      <c r="BA311" s="1" t="s">
        <v>328</v>
      </c>
      <c r="BB311" s="1" t="s">
        <v>328</v>
      </c>
      <c r="BC311" s="1" t="s">
        <v>328</v>
      </c>
      <c r="BD311" s="1">
        <v>10202</v>
      </c>
      <c r="BE311" s="1"/>
      <c r="BH311">
        <f>COUNTIF(Dropdowns!$I:$AF,C311)</f>
        <v>1</v>
      </c>
    </row>
    <row r="312" spans="1:60" x14ac:dyDescent="0.3">
      <c r="A312" s="1">
        <v>318</v>
      </c>
      <c r="B312" s="1" t="s">
        <v>3972</v>
      </c>
      <c r="C312" s="207" t="s">
        <v>806</v>
      </c>
      <c r="D312" s="1" t="s">
        <v>806</v>
      </c>
      <c r="E312" s="1"/>
      <c r="F312" s="1"/>
      <c r="G312" s="1" t="s">
        <v>3973</v>
      </c>
      <c r="H312" s="1" t="s">
        <v>3974</v>
      </c>
      <c r="I312" s="1" t="s">
        <v>3975</v>
      </c>
      <c r="J312" s="1">
        <v>4</v>
      </c>
      <c r="K312" s="1">
        <v>5</v>
      </c>
      <c r="L312" s="1">
        <v>15120</v>
      </c>
      <c r="M312" s="1">
        <v>20</v>
      </c>
      <c r="N312" s="1">
        <v>20</v>
      </c>
      <c r="O312" s="1">
        <v>10</v>
      </c>
      <c r="P312" s="1">
        <v>10</v>
      </c>
      <c r="Q312" s="1">
        <v>2</v>
      </c>
      <c r="R312" s="1">
        <v>5</v>
      </c>
      <c r="S312" s="1">
        <v>5</v>
      </c>
      <c r="T312" s="1">
        <v>0</v>
      </c>
      <c r="U312" s="1">
        <v>105</v>
      </c>
      <c r="V312" s="1">
        <v>118</v>
      </c>
      <c r="W312" s="1">
        <v>112</v>
      </c>
      <c r="X312" s="1">
        <v>100</v>
      </c>
      <c r="Y312" s="1">
        <v>120</v>
      </c>
      <c r="Z312" s="1">
        <v>102</v>
      </c>
      <c r="AA312" s="1">
        <v>0</v>
      </c>
      <c r="AB312" s="1">
        <v>15</v>
      </c>
      <c r="AC312" s="1">
        <v>20</v>
      </c>
      <c r="AD312" s="1">
        <v>0</v>
      </c>
      <c r="AE312" s="1">
        <v>132</v>
      </c>
      <c r="AF312" s="1">
        <v>100</v>
      </c>
      <c r="AG312" s="1">
        <v>900823</v>
      </c>
      <c r="AH312" s="1">
        <v>0</v>
      </c>
      <c r="AI312" s="1">
        <v>900821</v>
      </c>
      <c r="AJ312" s="1" t="s">
        <v>1333</v>
      </c>
      <c r="AK312" s="1" t="s">
        <v>1334</v>
      </c>
      <c r="AL312" s="1">
        <v>13</v>
      </c>
      <c r="AM312" s="1" t="s">
        <v>4719</v>
      </c>
      <c r="AN312" s="1" t="s">
        <v>4864</v>
      </c>
      <c r="AO312" s="1" t="s">
        <v>5090</v>
      </c>
      <c r="AP312" s="1">
        <v>0</v>
      </c>
      <c r="AQ312" s="1" t="s">
        <v>1130</v>
      </c>
      <c r="AR312" s="1" t="s">
        <v>1154</v>
      </c>
      <c r="AS312" s="1" t="s">
        <v>1129</v>
      </c>
      <c r="AT312" s="1" t="s">
        <v>328</v>
      </c>
      <c r="AU312" s="1">
        <v>73</v>
      </c>
      <c r="AV312" s="1">
        <v>0</v>
      </c>
      <c r="AW312" s="1" t="s">
        <v>5323</v>
      </c>
      <c r="AX312" s="1" t="s">
        <v>5326</v>
      </c>
      <c r="AY312" s="1">
        <v>5</v>
      </c>
      <c r="AZ312" s="1">
        <v>0</v>
      </c>
      <c r="BA312" s="1" t="s">
        <v>328</v>
      </c>
      <c r="BB312" s="1" t="s">
        <v>328</v>
      </c>
      <c r="BC312" s="1" t="s">
        <v>328</v>
      </c>
      <c r="BD312" s="1">
        <v>10403</v>
      </c>
      <c r="BE312" s="1"/>
      <c r="BH312">
        <f>COUNTIF(Dropdowns!$I:$AF,C312)</f>
        <v>1</v>
      </c>
    </row>
    <row r="313" spans="1:60" x14ac:dyDescent="0.3">
      <c r="A313" s="1">
        <v>319</v>
      </c>
      <c r="B313" s="1" t="s">
        <v>3976</v>
      </c>
      <c r="C313" s="207" t="s">
        <v>807</v>
      </c>
      <c r="D313" s="1" t="s">
        <v>807</v>
      </c>
      <c r="E313" s="1"/>
      <c r="F313" s="1"/>
      <c r="G313" s="1" t="s">
        <v>3977</v>
      </c>
      <c r="H313" s="1" t="s">
        <v>3978</v>
      </c>
      <c r="I313" s="1" t="s">
        <v>3979</v>
      </c>
      <c r="J313" s="1">
        <v>5</v>
      </c>
      <c r="K313" s="1">
        <v>4</v>
      </c>
      <c r="L313" s="1">
        <v>23280</v>
      </c>
      <c r="M313" s="1">
        <v>40</v>
      </c>
      <c r="N313" s="1">
        <v>30</v>
      </c>
      <c r="O313" s="1">
        <v>25</v>
      </c>
      <c r="P313" s="1">
        <v>15</v>
      </c>
      <c r="Q313" s="1">
        <v>5</v>
      </c>
      <c r="R313" s="1">
        <v>5</v>
      </c>
      <c r="S313" s="1">
        <v>2</v>
      </c>
      <c r="T313" s="1">
        <v>5</v>
      </c>
      <c r="U313" s="1">
        <v>115</v>
      </c>
      <c r="V313" s="1">
        <v>118</v>
      </c>
      <c r="W313" s="1">
        <v>100</v>
      </c>
      <c r="X313" s="1">
        <v>100</v>
      </c>
      <c r="Y313" s="1">
        <v>112</v>
      </c>
      <c r="Z313" s="1">
        <v>105</v>
      </c>
      <c r="AA313" s="1">
        <v>0</v>
      </c>
      <c r="AB313" s="1">
        <v>15</v>
      </c>
      <c r="AC313" s="1">
        <v>5</v>
      </c>
      <c r="AD313" s="1">
        <v>10</v>
      </c>
      <c r="AE313" s="1">
        <v>110</v>
      </c>
      <c r="AF313" s="1">
        <v>100</v>
      </c>
      <c r="AG313" s="1">
        <v>900866</v>
      </c>
      <c r="AH313" s="1">
        <v>0</v>
      </c>
      <c r="AI313" s="1">
        <v>900867</v>
      </c>
      <c r="AJ313" s="1" t="s">
        <v>5327</v>
      </c>
      <c r="AK313" s="1" t="s">
        <v>1335</v>
      </c>
      <c r="AL313" s="1">
        <v>17</v>
      </c>
      <c r="AM313" s="1" t="s">
        <v>4858</v>
      </c>
      <c r="AN313" s="1" t="s">
        <v>5328</v>
      </c>
      <c r="AO313" s="1" t="s">
        <v>5114</v>
      </c>
      <c r="AP313" s="1">
        <v>0</v>
      </c>
      <c r="AQ313" s="1" t="s">
        <v>1167</v>
      </c>
      <c r="AR313" s="1" t="s">
        <v>1168</v>
      </c>
      <c r="AS313" s="1" t="s">
        <v>1169</v>
      </c>
      <c r="AT313" s="1" t="s">
        <v>328</v>
      </c>
      <c r="AU313" s="1">
        <v>238</v>
      </c>
      <c r="AV313" s="1">
        <v>0</v>
      </c>
      <c r="AW313" s="1" t="s">
        <v>5323</v>
      </c>
      <c r="AX313" s="1" t="s">
        <v>5326</v>
      </c>
      <c r="AY313" s="1">
        <v>4</v>
      </c>
      <c r="AZ313" s="1">
        <v>0</v>
      </c>
      <c r="BA313" s="1" t="s">
        <v>328</v>
      </c>
      <c r="BB313" s="1" t="s">
        <v>328</v>
      </c>
      <c r="BC313" s="1" t="s">
        <v>4757</v>
      </c>
      <c r="BD313" s="1">
        <v>10402</v>
      </c>
      <c r="BE313" s="1"/>
      <c r="BH313">
        <f>COUNTIF(Dropdowns!$I:$AF,C313)</f>
        <v>1</v>
      </c>
    </row>
    <row r="314" spans="1:60" x14ac:dyDescent="0.3">
      <c r="A314" s="1">
        <v>320</v>
      </c>
      <c r="B314" s="1" t="s">
        <v>3980</v>
      </c>
      <c r="C314" s="207" t="s">
        <v>808</v>
      </c>
      <c r="D314" s="1" t="s">
        <v>3981</v>
      </c>
      <c r="E314" s="1"/>
      <c r="F314" s="1"/>
      <c r="G314" s="1" t="s">
        <v>3982</v>
      </c>
      <c r="H314" s="1" t="s">
        <v>3983</v>
      </c>
      <c r="I314" s="1" t="s">
        <v>3984</v>
      </c>
      <c r="J314" s="1">
        <v>3</v>
      </c>
      <c r="K314" s="1">
        <v>3</v>
      </c>
      <c r="L314" s="1">
        <v>15600</v>
      </c>
      <c r="M314" s="1">
        <v>15</v>
      </c>
      <c r="N314" s="1">
        <v>30</v>
      </c>
      <c r="O314" s="1">
        <v>10</v>
      </c>
      <c r="P314" s="1">
        <v>15</v>
      </c>
      <c r="Q314" s="1">
        <v>5</v>
      </c>
      <c r="R314" s="1">
        <v>2</v>
      </c>
      <c r="S314" s="1">
        <v>5</v>
      </c>
      <c r="T314" s="1">
        <v>0</v>
      </c>
      <c r="U314" s="1">
        <v>95</v>
      </c>
      <c r="V314" s="1">
        <v>132</v>
      </c>
      <c r="W314" s="1">
        <v>100</v>
      </c>
      <c r="X314" s="1">
        <v>100</v>
      </c>
      <c r="Y314" s="1">
        <v>122</v>
      </c>
      <c r="Z314" s="1">
        <v>95</v>
      </c>
      <c r="AA314" s="1">
        <v>0</v>
      </c>
      <c r="AB314" s="1">
        <v>15</v>
      </c>
      <c r="AC314" s="1">
        <v>40</v>
      </c>
      <c r="AD314" s="1">
        <v>0</v>
      </c>
      <c r="AE314" s="1">
        <v>110</v>
      </c>
      <c r="AF314" s="1">
        <v>100</v>
      </c>
      <c r="AG314" s="1">
        <v>900910</v>
      </c>
      <c r="AH314" s="1">
        <v>0</v>
      </c>
      <c r="AI314" s="1">
        <v>300104</v>
      </c>
      <c r="AJ314" s="1" t="s">
        <v>1336</v>
      </c>
      <c r="AK314" s="1" t="s">
        <v>328</v>
      </c>
      <c r="AL314" s="1">
        <v>13</v>
      </c>
      <c r="AM314" s="1" t="s">
        <v>4762</v>
      </c>
      <c r="AN314" s="1" t="s">
        <v>4829</v>
      </c>
      <c r="AO314" s="1" t="s">
        <v>4826</v>
      </c>
      <c r="AP314" s="1">
        <v>0</v>
      </c>
      <c r="AQ314" s="1" t="s">
        <v>1140</v>
      </c>
      <c r="AR314" s="1" t="s">
        <v>1141</v>
      </c>
      <c r="AS314" s="1" t="s">
        <v>1142</v>
      </c>
      <c r="AT314" s="1" t="s">
        <v>328</v>
      </c>
      <c r="AU314" s="1">
        <v>241</v>
      </c>
      <c r="AV314" s="1">
        <v>0</v>
      </c>
      <c r="AW314" s="1" t="s">
        <v>5329</v>
      </c>
      <c r="AX314" s="1" t="s">
        <v>5330</v>
      </c>
      <c r="AY314" s="1">
        <v>3</v>
      </c>
      <c r="AZ314" s="1">
        <v>0</v>
      </c>
      <c r="BA314" s="1" t="s">
        <v>328</v>
      </c>
      <c r="BB314" s="1" t="s">
        <v>328</v>
      </c>
      <c r="BC314" s="1" t="s">
        <v>328</v>
      </c>
      <c r="BD314" s="1">
        <v>10402</v>
      </c>
      <c r="BE314" s="1"/>
      <c r="BH314">
        <f>COUNTIF(Dropdowns!$I:$AF,C314)</f>
        <v>1</v>
      </c>
    </row>
    <row r="315" spans="1:60" x14ac:dyDescent="0.3">
      <c r="A315" s="1">
        <v>321</v>
      </c>
      <c r="B315" s="1" t="s">
        <v>3985</v>
      </c>
      <c r="C315" s="207" t="s">
        <v>809</v>
      </c>
      <c r="D315" s="1" t="s">
        <v>3986</v>
      </c>
      <c r="E315" s="1"/>
      <c r="F315" s="1"/>
      <c r="G315" s="1" t="s">
        <v>3987</v>
      </c>
      <c r="H315" s="1" t="s">
        <v>3988</v>
      </c>
      <c r="I315" s="1" t="s">
        <v>3989</v>
      </c>
      <c r="J315" s="1">
        <v>6</v>
      </c>
      <c r="K315" s="1">
        <v>3</v>
      </c>
      <c r="L315" s="1">
        <v>26100</v>
      </c>
      <c r="M315" s="1">
        <v>30</v>
      </c>
      <c r="N315" s="1">
        <v>40</v>
      </c>
      <c r="O315" s="1">
        <v>15</v>
      </c>
      <c r="P315" s="1">
        <v>25</v>
      </c>
      <c r="Q315" s="1">
        <v>5</v>
      </c>
      <c r="R315" s="1">
        <v>2</v>
      </c>
      <c r="S315" s="1">
        <v>5</v>
      </c>
      <c r="T315" s="1">
        <v>5</v>
      </c>
      <c r="U315" s="1">
        <v>110</v>
      </c>
      <c r="V315" s="1">
        <v>115</v>
      </c>
      <c r="W315" s="1">
        <v>115</v>
      </c>
      <c r="X315" s="1">
        <v>100</v>
      </c>
      <c r="Y315" s="1">
        <v>115</v>
      </c>
      <c r="Z315" s="1">
        <v>90</v>
      </c>
      <c r="AA315" s="1">
        <v>115</v>
      </c>
      <c r="AB315" s="1">
        <v>15</v>
      </c>
      <c r="AC315" s="1">
        <v>40</v>
      </c>
      <c r="AD315" s="1">
        <v>3</v>
      </c>
      <c r="AE315" s="1">
        <v>105</v>
      </c>
      <c r="AF315" s="1">
        <v>100</v>
      </c>
      <c r="AG315" s="1">
        <v>900971</v>
      </c>
      <c r="AH315" s="1">
        <v>0</v>
      </c>
      <c r="AI315" s="1">
        <v>300106</v>
      </c>
      <c r="AJ315" s="1" t="s">
        <v>1337</v>
      </c>
      <c r="AK315" s="1" t="s">
        <v>1338</v>
      </c>
      <c r="AL315" s="1">
        <v>8</v>
      </c>
      <c r="AM315" s="1" t="s">
        <v>4716</v>
      </c>
      <c r="AN315" s="1" t="s">
        <v>334</v>
      </c>
      <c r="AO315" s="1" t="s">
        <v>5068</v>
      </c>
      <c r="AP315" s="1">
        <v>0</v>
      </c>
      <c r="AQ315" s="1" t="s">
        <v>1200</v>
      </c>
      <c r="AR315" s="1" t="s">
        <v>1201</v>
      </c>
      <c r="AS315" s="1" t="s">
        <v>1202</v>
      </c>
      <c r="AT315" s="1" t="s">
        <v>328</v>
      </c>
      <c r="AU315" s="1">
        <v>190</v>
      </c>
      <c r="AV315" s="1">
        <v>0</v>
      </c>
      <c r="AW315" s="1" t="s">
        <v>5331</v>
      </c>
      <c r="AX315" s="1" t="s">
        <v>5332</v>
      </c>
      <c r="AY315" s="1">
        <v>3</v>
      </c>
      <c r="AZ315" s="1">
        <v>0</v>
      </c>
      <c r="BA315" s="1" t="s">
        <v>328</v>
      </c>
      <c r="BB315" s="1" t="s">
        <v>328</v>
      </c>
      <c r="BC315" s="1" t="s">
        <v>328</v>
      </c>
      <c r="BD315" s="1">
        <v>10202</v>
      </c>
      <c r="BE315" s="1"/>
      <c r="BH315">
        <f>COUNTIF(Dropdowns!$I:$AF,C315)</f>
        <v>1</v>
      </c>
    </row>
    <row r="316" spans="1:60" x14ac:dyDescent="0.3">
      <c r="A316" s="1">
        <v>322</v>
      </c>
      <c r="B316" s="1" t="s">
        <v>3990</v>
      </c>
      <c r="C316" s="207" t="s">
        <v>1671</v>
      </c>
      <c r="D316" s="1" t="s">
        <v>1671</v>
      </c>
      <c r="E316" s="1"/>
      <c r="F316" s="1"/>
      <c r="G316" s="1" t="s">
        <v>3991</v>
      </c>
      <c r="H316" s="1" t="s">
        <v>3992</v>
      </c>
      <c r="I316" s="1" t="s">
        <v>3993</v>
      </c>
      <c r="J316" s="1">
        <v>1</v>
      </c>
      <c r="K316" s="1">
        <v>3</v>
      </c>
      <c r="L316" s="1">
        <v>2700</v>
      </c>
      <c r="M316" s="1">
        <v>10</v>
      </c>
      <c r="N316" s="1">
        <v>10</v>
      </c>
      <c r="O316" s="1">
        <v>5</v>
      </c>
      <c r="P316" s="1">
        <v>5</v>
      </c>
      <c r="Q316" s="1">
        <v>2</v>
      </c>
      <c r="R316" s="1">
        <v>2</v>
      </c>
      <c r="S316" s="1">
        <v>2</v>
      </c>
      <c r="T316" s="1">
        <v>0</v>
      </c>
      <c r="U316" s="1">
        <v>105</v>
      </c>
      <c r="V316" s="1">
        <v>135</v>
      </c>
      <c r="W316" s="1">
        <v>100</v>
      </c>
      <c r="X316" s="1">
        <v>100</v>
      </c>
      <c r="Y316" s="1">
        <v>120</v>
      </c>
      <c r="Z316" s="1">
        <v>100</v>
      </c>
      <c r="AA316" s="1">
        <v>0</v>
      </c>
      <c r="AB316" s="1">
        <v>15</v>
      </c>
      <c r="AC316" s="1">
        <v>20</v>
      </c>
      <c r="AD316" s="1">
        <v>0</v>
      </c>
      <c r="AE316" s="1">
        <v>115</v>
      </c>
      <c r="AF316" s="1">
        <v>100</v>
      </c>
      <c r="AG316" s="1">
        <v>901051</v>
      </c>
      <c r="AH316" s="1">
        <v>0</v>
      </c>
      <c r="AI316" s="1">
        <v>901047</v>
      </c>
      <c r="AJ316" s="1" t="s">
        <v>1339</v>
      </c>
      <c r="AK316" s="1" t="s">
        <v>1340</v>
      </c>
      <c r="AL316" s="1">
        <v>13</v>
      </c>
      <c r="AM316" s="1" t="s">
        <v>1806</v>
      </c>
      <c r="AN316" s="1" t="s">
        <v>4947</v>
      </c>
      <c r="AO316" s="1" t="s">
        <v>5080</v>
      </c>
      <c r="AP316" s="1">
        <v>0</v>
      </c>
      <c r="AQ316" s="1" t="s">
        <v>1118</v>
      </c>
      <c r="AR316" s="1" t="s">
        <v>1119</v>
      </c>
      <c r="AS316" s="1" t="s">
        <v>1120</v>
      </c>
      <c r="AT316" s="1" t="s">
        <v>328</v>
      </c>
      <c r="AU316" s="1">
        <v>220</v>
      </c>
      <c r="AV316" s="1">
        <v>0</v>
      </c>
      <c r="AW316" s="1" t="s">
        <v>5333</v>
      </c>
      <c r="AX316" s="1" t="s">
        <v>5334</v>
      </c>
      <c r="AY316" s="1">
        <v>3</v>
      </c>
      <c r="AZ316" s="1">
        <v>0</v>
      </c>
      <c r="BA316" s="1" t="s">
        <v>328</v>
      </c>
      <c r="BB316" s="1" t="s">
        <v>328</v>
      </c>
      <c r="BC316" s="1" t="s">
        <v>4783</v>
      </c>
      <c r="BD316" s="1">
        <v>10705</v>
      </c>
      <c r="BE316" s="1"/>
      <c r="BH316">
        <f>COUNTIF(Dropdowns!$I:$AF,C316)</f>
        <v>0</v>
      </c>
    </row>
    <row r="317" spans="1:60" x14ac:dyDescent="0.3">
      <c r="A317" s="1">
        <v>323</v>
      </c>
      <c r="B317" s="1" t="s">
        <v>3994</v>
      </c>
      <c r="C317" s="207" t="s">
        <v>810</v>
      </c>
      <c r="D317" s="1" t="s">
        <v>810</v>
      </c>
      <c r="E317" s="1"/>
      <c r="F317" s="1"/>
      <c r="G317" s="1" t="s">
        <v>3995</v>
      </c>
      <c r="H317" s="1" t="s">
        <v>3996</v>
      </c>
      <c r="I317" s="1" t="s">
        <v>3997</v>
      </c>
      <c r="J317" s="1">
        <v>6</v>
      </c>
      <c r="K317" s="1">
        <v>5</v>
      </c>
      <c r="L317" s="1">
        <v>29820</v>
      </c>
      <c r="M317" s="1">
        <v>30</v>
      </c>
      <c r="N317" s="1">
        <v>40</v>
      </c>
      <c r="O317" s="1">
        <v>15</v>
      </c>
      <c r="P317" s="1">
        <v>25</v>
      </c>
      <c r="Q317" s="1">
        <v>5</v>
      </c>
      <c r="R317" s="1">
        <v>2</v>
      </c>
      <c r="S317" s="1">
        <v>5</v>
      </c>
      <c r="T317" s="1">
        <v>5</v>
      </c>
      <c r="U317" s="1">
        <v>125</v>
      </c>
      <c r="V317" s="1">
        <v>80</v>
      </c>
      <c r="W317" s="1">
        <v>110</v>
      </c>
      <c r="X317" s="1">
        <v>100</v>
      </c>
      <c r="Y317" s="1">
        <v>130</v>
      </c>
      <c r="Z317" s="1">
        <v>95</v>
      </c>
      <c r="AA317" s="1">
        <v>135</v>
      </c>
      <c r="AB317" s="1">
        <v>15</v>
      </c>
      <c r="AC317" s="1">
        <v>40</v>
      </c>
      <c r="AD317" s="1">
        <v>5</v>
      </c>
      <c r="AE317" s="1">
        <v>100</v>
      </c>
      <c r="AF317" s="1">
        <v>100</v>
      </c>
      <c r="AG317" s="1">
        <v>901056</v>
      </c>
      <c r="AH317" s="1">
        <v>0</v>
      </c>
      <c r="AI317" s="1">
        <v>300106</v>
      </c>
      <c r="AJ317" s="1" t="s">
        <v>1199</v>
      </c>
      <c r="AK317" s="1" t="s">
        <v>1341</v>
      </c>
      <c r="AL317" s="1">
        <v>8</v>
      </c>
      <c r="AM317" s="1" t="s">
        <v>4716</v>
      </c>
      <c r="AN317" s="1" t="s">
        <v>5335</v>
      </c>
      <c r="AO317" s="1" t="s">
        <v>4942</v>
      </c>
      <c r="AP317" s="1">
        <v>0</v>
      </c>
      <c r="AQ317" s="1" t="s">
        <v>1200</v>
      </c>
      <c r="AR317" s="1" t="s">
        <v>1201</v>
      </c>
      <c r="AS317" s="1" t="s">
        <v>1202</v>
      </c>
      <c r="AT317" s="1" t="s">
        <v>328</v>
      </c>
      <c r="AU317" s="1">
        <v>164</v>
      </c>
      <c r="AV317" s="1">
        <v>0</v>
      </c>
      <c r="AW317" s="1" t="s">
        <v>5336</v>
      </c>
      <c r="AX317" s="1" t="s">
        <v>4719</v>
      </c>
      <c r="AY317" s="1">
        <v>5</v>
      </c>
      <c r="AZ317" s="1">
        <v>0</v>
      </c>
      <c r="BA317" s="1" t="s">
        <v>328</v>
      </c>
      <c r="BB317" s="1" t="s">
        <v>328</v>
      </c>
      <c r="BC317" s="1" t="s">
        <v>4739</v>
      </c>
      <c r="BD317" s="1">
        <v>10302</v>
      </c>
      <c r="BE317" s="1"/>
      <c r="BH317">
        <f>COUNTIF(Dropdowns!$I:$AF,C317)</f>
        <v>1</v>
      </c>
    </row>
    <row r="318" spans="1:60" x14ac:dyDescent="0.3">
      <c r="A318" s="1">
        <v>324</v>
      </c>
      <c r="B318" s="1" t="s">
        <v>3998</v>
      </c>
      <c r="C318" s="207" t="s">
        <v>811</v>
      </c>
      <c r="D318" s="1" t="s">
        <v>3999</v>
      </c>
      <c r="E318" s="1"/>
      <c r="F318" s="1"/>
      <c r="G318" s="1" t="s">
        <v>4000</v>
      </c>
      <c r="H318" s="1" t="s">
        <v>4001</v>
      </c>
      <c r="I318" s="1" t="s">
        <v>4002</v>
      </c>
      <c r="J318" s="1">
        <v>6</v>
      </c>
      <c r="K318" s="1">
        <v>5</v>
      </c>
      <c r="L318" s="1">
        <v>29280</v>
      </c>
      <c r="M318" s="1">
        <v>30</v>
      </c>
      <c r="N318" s="1">
        <v>40</v>
      </c>
      <c r="O318" s="1">
        <v>15</v>
      </c>
      <c r="P318" s="1">
        <v>25</v>
      </c>
      <c r="Q318" s="1">
        <v>5</v>
      </c>
      <c r="R318" s="1">
        <v>2</v>
      </c>
      <c r="S318" s="1">
        <v>5</v>
      </c>
      <c r="T318" s="1">
        <v>5</v>
      </c>
      <c r="U318" s="1">
        <v>118</v>
      </c>
      <c r="V318" s="1">
        <v>125</v>
      </c>
      <c r="W318" s="1">
        <v>105</v>
      </c>
      <c r="X318" s="1">
        <v>100</v>
      </c>
      <c r="Y318" s="1">
        <v>120</v>
      </c>
      <c r="Z318" s="1">
        <v>110</v>
      </c>
      <c r="AA318" s="1">
        <v>120</v>
      </c>
      <c r="AB318" s="1">
        <v>15</v>
      </c>
      <c r="AC318" s="1">
        <v>40</v>
      </c>
      <c r="AD318" s="1">
        <v>4</v>
      </c>
      <c r="AE318" s="1">
        <v>115</v>
      </c>
      <c r="AF318" s="1">
        <v>100</v>
      </c>
      <c r="AG318" s="1">
        <v>901070</v>
      </c>
      <c r="AH318" s="1">
        <v>0</v>
      </c>
      <c r="AI318" s="1">
        <v>901079</v>
      </c>
      <c r="AJ318" s="1" t="s">
        <v>5337</v>
      </c>
      <c r="AK318" s="1" t="s">
        <v>1342</v>
      </c>
      <c r="AL318" s="1">
        <v>9</v>
      </c>
      <c r="AM318" s="1" t="s">
        <v>4716</v>
      </c>
      <c r="AN318" s="1" t="s">
        <v>5338</v>
      </c>
      <c r="AO318" s="1" t="s">
        <v>5190</v>
      </c>
      <c r="AP318" s="1">
        <v>0</v>
      </c>
      <c r="AQ318" s="1" t="s">
        <v>1200</v>
      </c>
      <c r="AR318" s="1" t="s">
        <v>1201</v>
      </c>
      <c r="AS318" s="1" t="s">
        <v>1202</v>
      </c>
      <c r="AT318" s="1" t="s">
        <v>328</v>
      </c>
      <c r="AU318" s="1">
        <v>164</v>
      </c>
      <c r="AV318" s="1">
        <v>0</v>
      </c>
      <c r="AW318" s="1" t="s">
        <v>5336</v>
      </c>
      <c r="AX318" s="1" t="s">
        <v>4719</v>
      </c>
      <c r="AY318" s="1">
        <v>5</v>
      </c>
      <c r="AZ318" s="1">
        <v>0</v>
      </c>
      <c r="BA318" s="1" t="s">
        <v>328</v>
      </c>
      <c r="BB318" s="1" t="s">
        <v>328</v>
      </c>
      <c r="BC318" s="1" t="s">
        <v>4720</v>
      </c>
      <c r="BD318" s="1">
        <v>10202</v>
      </c>
      <c r="BE318" s="1"/>
      <c r="BH318">
        <f>COUNTIF(Dropdowns!$I:$AF,C318)</f>
        <v>1</v>
      </c>
    </row>
    <row r="319" spans="1:60" x14ac:dyDescent="0.3">
      <c r="A319" s="1">
        <v>325</v>
      </c>
      <c r="B319" s="1" t="s">
        <v>4003</v>
      </c>
      <c r="C319" s="207" t="s">
        <v>1672</v>
      </c>
      <c r="D319" s="1" t="s">
        <v>1672</v>
      </c>
      <c r="E319" s="1"/>
      <c r="F319" s="1"/>
      <c r="G319" s="1" t="s">
        <v>4004</v>
      </c>
      <c r="H319" s="1" t="s">
        <v>4005</v>
      </c>
      <c r="I319" s="1" t="s">
        <v>4006</v>
      </c>
      <c r="J319" s="1">
        <v>6</v>
      </c>
      <c r="K319" s="1">
        <v>4</v>
      </c>
      <c r="L319" s="1">
        <v>25860</v>
      </c>
      <c r="M319" s="1">
        <v>30</v>
      </c>
      <c r="N319" s="1">
        <v>40</v>
      </c>
      <c r="O319" s="1">
        <v>15</v>
      </c>
      <c r="P319" s="1">
        <v>25</v>
      </c>
      <c r="Q319" s="1">
        <v>5</v>
      </c>
      <c r="R319" s="1">
        <v>2</v>
      </c>
      <c r="S319" s="1">
        <v>5</v>
      </c>
      <c r="T319" s="1">
        <v>5</v>
      </c>
      <c r="U319" s="1">
        <v>108</v>
      </c>
      <c r="V319" s="1">
        <v>110</v>
      </c>
      <c r="W319" s="1">
        <v>110</v>
      </c>
      <c r="X319" s="1">
        <v>100</v>
      </c>
      <c r="Y319" s="1">
        <v>95</v>
      </c>
      <c r="Z319" s="1">
        <v>130</v>
      </c>
      <c r="AA319" s="1">
        <v>110</v>
      </c>
      <c r="AB319" s="1">
        <v>15</v>
      </c>
      <c r="AC319" s="1">
        <v>40</v>
      </c>
      <c r="AD319" s="1">
        <v>5</v>
      </c>
      <c r="AE319" s="1">
        <v>110</v>
      </c>
      <c r="AF319" s="1">
        <v>100</v>
      </c>
      <c r="AG319" s="1">
        <v>901061</v>
      </c>
      <c r="AH319" s="1">
        <v>0</v>
      </c>
      <c r="AI319" s="1">
        <v>300106</v>
      </c>
      <c r="AJ319" s="1" t="s">
        <v>5339</v>
      </c>
      <c r="AK319" s="1" t="s">
        <v>328</v>
      </c>
      <c r="AL319" s="1">
        <v>8</v>
      </c>
      <c r="AM319" s="1" t="s">
        <v>4716</v>
      </c>
      <c r="AN319" s="1" t="s">
        <v>5340</v>
      </c>
      <c r="AO319" s="1" t="s">
        <v>4824</v>
      </c>
      <c r="AP319" s="1">
        <v>0</v>
      </c>
      <c r="AQ319" s="1" t="s">
        <v>1200</v>
      </c>
      <c r="AR319" s="1" t="s">
        <v>1201</v>
      </c>
      <c r="AS319" s="1" t="s">
        <v>1202</v>
      </c>
      <c r="AT319" s="1" t="s">
        <v>328</v>
      </c>
      <c r="AU319" s="1">
        <v>165</v>
      </c>
      <c r="AV319" s="1">
        <v>0</v>
      </c>
      <c r="AW319" s="1" t="s">
        <v>5336</v>
      </c>
      <c r="AX319" s="1" t="s">
        <v>4719</v>
      </c>
      <c r="AY319" s="1">
        <v>4</v>
      </c>
      <c r="AZ319" s="1">
        <v>0</v>
      </c>
      <c r="BA319" s="1" t="s">
        <v>328</v>
      </c>
      <c r="BB319" s="1" t="s">
        <v>328</v>
      </c>
      <c r="BC319" s="1" t="s">
        <v>4739</v>
      </c>
      <c r="BD319" s="1">
        <v>10701</v>
      </c>
      <c r="BE319" s="1"/>
      <c r="BH319">
        <f>COUNTIF(Dropdowns!$I:$AF,C319)</f>
        <v>1</v>
      </c>
    </row>
    <row r="320" spans="1:60" x14ac:dyDescent="0.3">
      <c r="A320" s="1">
        <v>326</v>
      </c>
      <c r="B320" s="1" t="s">
        <v>4007</v>
      </c>
      <c r="C320" s="207" t="s">
        <v>812</v>
      </c>
      <c r="D320" s="1" t="s">
        <v>812</v>
      </c>
      <c r="E320" s="1"/>
      <c r="F320" s="1"/>
      <c r="G320" s="1" t="s">
        <v>4008</v>
      </c>
      <c r="H320" s="1" t="s">
        <v>4009</v>
      </c>
      <c r="I320" s="1" t="s">
        <v>4010</v>
      </c>
      <c r="J320" s="1">
        <v>6</v>
      </c>
      <c r="K320" s="1">
        <v>4</v>
      </c>
      <c r="L320" s="1">
        <v>28560</v>
      </c>
      <c r="M320" s="1">
        <v>30</v>
      </c>
      <c r="N320" s="1">
        <v>40</v>
      </c>
      <c r="O320" s="1">
        <v>15</v>
      </c>
      <c r="P320" s="1">
        <v>25</v>
      </c>
      <c r="Q320" s="1">
        <v>5</v>
      </c>
      <c r="R320" s="1">
        <v>2</v>
      </c>
      <c r="S320" s="1">
        <v>5</v>
      </c>
      <c r="T320" s="1">
        <v>5</v>
      </c>
      <c r="U320" s="1">
        <v>116</v>
      </c>
      <c r="V320" s="1">
        <v>120</v>
      </c>
      <c r="W320" s="1">
        <v>115</v>
      </c>
      <c r="X320" s="1">
        <v>100</v>
      </c>
      <c r="Y320" s="1">
        <v>120</v>
      </c>
      <c r="Z320" s="1">
        <v>100</v>
      </c>
      <c r="AA320" s="1">
        <v>110</v>
      </c>
      <c r="AB320" s="1">
        <v>15</v>
      </c>
      <c r="AC320" s="1">
        <v>40</v>
      </c>
      <c r="AD320" s="1">
        <v>3</v>
      </c>
      <c r="AE320" s="1">
        <v>112</v>
      </c>
      <c r="AF320" s="1">
        <v>100</v>
      </c>
      <c r="AG320" s="1">
        <v>901075</v>
      </c>
      <c r="AH320" s="1">
        <v>0</v>
      </c>
      <c r="AI320" s="1">
        <v>300106</v>
      </c>
      <c r="AJ320" s="1" t="s">
        <v>5341</v>
      </c>
      <c r="AK320" s="1" t="s">
        <v>1343</v>
      </c>
      <c r="AL320" s="1">
        <v>8</v>
      </c>
      <c r="AM320" s="1" t="s">
        <v>387</v>
      </c>
      <c r="AN320" s="1" t="s">
        <v>5342</v>
      </c>
      <c r="AO320" s="1" t="s">
        <v>4738</v>
      </c>
      <c r="AP320" s="1">
        <v>0</v>
      </c>
      <c r="AQ320" s="1" t="s">
        <v>1200</v>
      </c>
      <c r="AR320" s="1" t="s">
        <v>1201</v>
      </c>
      <c r="AS320" s="1" t="s">
        <v>1202</v>
      </c>
      <c r="AT320" s="1" t="s">
        <v>328</v>
      </c>
      <c r="AU320" s="1">
        <v>165</v>
      </c>
      <c r="AV320" s="1">
        <v>0</v>
      </c>
      <c r="AW320" s="1" t="s">
        <v>5336</v>
      </c>
      <c r="AX320" s="1" t="s">
        <v>4719</v>
      </c>
      <c r="AY320" s="1">
        <v>4</v>
      </c>
      <c r="AZ320" s="1">
        <v>0</v>
      </c>
      <c r="BA320" s="1" t="s">
        <v>328</v>
      </c>
      <c r="BB320" s="1" t="s">
        <v>328</v>
      </c>
      <c r="BC320" s="1" t="s">
        <v>4769</v>
      </c>
      <c r="BD320" s="1">
        <v>10403</v>
      </c>
      <c r="BE320" s="1"/>
      <c r="BH320">
        <f>COUNTIF(Dropdowns!$I:$AF,C320)</f>
        <v>1</v>
      </c>
    </row>
    <row r="321" spans="1:60" x14ac:dyDescent="0.3">
      <c r="A321" s="1">
        <v>327</v>
      </c>
      <c r="B321" s="1" t="s">
        <v>4011</v>
      </c>
      <c r="C321" s="207" t="s">
        <v>1673</v>
      </c>
      <c r="D321" s="1" t="s">
        <v>1673</v>
      </c>
      <c r="E321" s="1"/>
      <c r="F321" s="1"/>
      <c r="G321" s="1" t="s">
        <v>4012</v>
      </c>
      <c r="H321" s="1" t="s">
        <v>4013</v>
      </c>
      <c r="I321" s="1" t="s">
        <v>4014</v>
      </c>
      <c r="J321" s="1">
        <v>2</v>
      </c>
      <c r="K321" s="1">
        <v>3</v>
      </c>
      <c r="L321" s="1">
        <v>7500</v>
      </c>
      <c r="M321" s="1">
        <v>25</v>
      </c>
      <c r="N321" s="1">
        <v>20</v>
      </c>
      <c r="O321" s="1">
        <v>15</v>
      </c>
      <c r="P321" s="1">
        <v>10</v>
      </c>
      <c r="Q321" s="1">
        <v>5</v>
      </c>
      <c r="R321" s="1">
        <v>5</v>
      </c>
      <c r="S321" s="1">
        <v>2</v>
      </c>
      <c r="T321" s="1">
        <v>0</v>
      </c>
      <c r="U321" s="1">
        <v>110</v>
      </c>
      <c r="V321" s="1">
        <v>100</v>
      </c>
      <c r="W321" s="1">
        <v>108</v>
      </c>
      <c r="X321" s="1">
        <v>100</v>
      </c>
      <c r="Y321" s="1">
        <v>110</v>
      </c>
      <c r="Z321" s="1">
        <v>112</v>
      </c>
      <c r="AA321" s="1">
        <v>0</v>
      </c>
      <c r="AB321" s="1">
        <v>15</v>
      </c>
      <c r="AC321" s="1">
        <v>5</v>
      </c>
      <c r="AD321" s="1">
        <v>0</v>
      </c>
      <c r="AE321" s="1">
        <v>105</v>
      </c>
      <c r="AF321" s="1">
        <v>100</v>
      </c>
      <c r="AG321" s="1">
        <v>902138</v>
      </c>
      <c r="AH321" s="1">
        <v>0</v>
      </c>
      <c r="AI321" s="1">
        <v>300102</v>
      </c>
      <c r="AJ321" s="1" t="s">
        <v>5343</v>
      </c>
      <c r="AK321" s="1" t="s">
        <v>328</v>
      </c>
      <c r="AL321" s="1">
        <v>12</v>
      </c>
      <c r="AM321" s="1" t="s">
        <v>1806</v>
      </c>
      <c r="AN321" s="1" t="s">
        <v>5344</v>
      </c>
      <c r="AO321" s="1" t="s">
        <v>5345</v>
      </c>
      <c r="AP321" s="1">
        <v>0</v>
      </c>
      <c r="AQ321" s="1" t="s">
        <v>1129</v>
      </c>
      <c r="AR321" s="1" t="s">
        <v>1119</v>
      </c>
      <c r="AS321" s="1" t="s">
        <v>1130</v>
      </c>
      <c r="AT321" s="1" t="s">
        <v>328</v>
      </c>
      <c r="AU321" s="1">
        <v>116</v>
      </c>
      <c r="AV321" s="1">
        <v>0</v>
      </c>
      <c r="AW321" s="1" t="s">
        <v>5346</v>
      </c>
      <c r="AX321" s="1" t="s">
        <v>5347</v>
      </c>
      <c r="AY321" s="1">
        <v>3</v>
      </c>
      <c r="AZ321" s="1">
        <v>0</v>
      </c>
      <c r="BA321" s="1" t="s">
        <v>328</v>
      </c>
      <c r="BB321" s="1" t="s">
        <v>328</v>
      </c>
      <c r="BC321" s="1" t="s">
        <v>4720</v>
      </c>
      <c r="BD321" s="1">
        <v>10802</v>
      </c>
      <c r="BE321" s="1"/>
      <c r="BH321">
        <f>COUNTIF(Dropdowns!$I:$AF,C321)</f>
        <v>1</v>
      </c>
    </row>
    <row r="322" spans="1:60" x14ac:dyDescent="0.3">
      <c r="A322" s="1">
        <v>328</v>
      </c>
      <c r="B322" s="1" t="s">
        <v>4015</v>
      </c>
      <c r="C322" s="207" t="s">
        <v>1674</v>
      </c>
      <c r="D322" s="1" t="s">
        <v>1674</v>
      </c>
      <c r="E322" s="1"/>
      <c r="F322" s="1"/>
      <c r="G322" s="1" t="s">
        <v>4016</v>
      </c>
      <c r="H322" s="1" t="s">
        <v>4017</v>
      </c>
      <c r="I322" s="1" t="s">
        <v>4018</v>
      </c>
      <c r="J322" s="1">
        <v>2</v>
      </c>
      <c r="K322" s="1">
        <v>4</v>
      </c>
      <c r="L322" s="1">
        <v>8160</v>
      </c>
      <c r="M322" s="1">
        <v>25</v>
      </c>
      <c r="N322" s="1">
        <v>20</v>
      </c>
      <c r="O322" s="1">
        <v>15</v>
      </c>
      <c r="P322" s="1">
        <v>10</v>
      </c>
      <c r="Q322" s="1">
        <v>5</v>
      </c>
      <c r="R322" s="1">
        <v>5</v>
      </c>
      <c r="S322" s="1">
        <v>2</v>
      </c>
      <c r="T322" s="1">
        <v>0</v>
      </c>
      <c r="U322" s="1">
        <v>104</v>
      </c>
      <c r="V322" s="1">
        <v>102</v>
      </c>
      <c r="W322" s="1">
        <v>118</v>
      </c>
      <c r="X322" s="1">
        <v>100</v>
      </c>
      <c r="Y322" s="1">
        <v>116</v>
      </c>
      <c r="Z322" s="1">
        <v>122</v>
      </c>
      <c r="AA322" s="1">
        <v>0</v>
      </c>
      <c r="AB322" s="1">
        <v>15</v>
      </c>
      <c r="AC322" s="1">
        <v>5</v>
      </c>
      <c r="AD322" s="1">
        <v>0</v>
      </c>
      <c r="AE322" s="1">
        <v>108</v>
      </c>
      <c r="AF322" s="1">
        <v>100</v>
      </c>
      <c r="AG322" s="1">
        <v>902158</v>
      </c>
      <c r="AH322" s="1">
        <v>0</v>
      </c>
      <c r="AI322" s="1">
        <v>300102</v>
      </c>
      <c r="AJ322" s="1" t="s">
        <v>5348</v>
      </c>
      <c r="AK322" s="1" t="s">
        <v>1344</v>
      </c>
      <c r="AL322" s="1">
        <v>13</v>
      </c>
      <c r="AM322" s="1" t="s">
        <v>398</v>
      </c>
      <c r="AN322" s="1" t="s">
        <v>5349</v>
      </c>
      <c r="AO322" s="1" t="s">
        <v>5169</v>
      </c>
      <c r="AP322" s="1">
        <v>0</v>
      </c>
      <c r="AQ322" s="1" t="s">
        <v>1129</v>
      </c>
      <c r="AR322" s="1" t="s">
        <v>1119</v>
      </c>
      <c r="AS322" s="1" t="s">
        <v>1130</v>
      </c>
      <c r="AT322" s="1" t="s">
        <v>328</v>
      </c>
      <c r="AU322" s="1">
        <v>150</v>
      </c>
      <c r="AV322" s="1">
        <v>0</v>
      </c>
      <c r="AW322" s="1" t="s">
        <v>5350</v>
      </c>
      <c r="AX322" s="1" t="s">
        <v>331</v>
      </c>
      <c r="AY322" s="1">
        <v>4</v>
      </c>
      <c r="AZ322" s="1">
        <v>0</v>
      </c>
      <c r="BA322" s="1" t="s">
        <v>328</v>
      </c>
      <c r="BB322" s="1" t="s">
        <v>328</v>
      </c>
      <c r="BC322" s="1" t="s">
        <v>4720</v>
      </c>
      <c r="BD322" s="1">
        <v>10202</v>
      </c>
      <c r="BE322" s="1"/>
      <c r="BH322">
        <f>COUNTIF(Dropdowns!$I:$AF,C322)</f>
        <v>1</v>
      </c>
    </row>
    <row r="323" spans="1:60" x14ac:dyDescent="0.3">
      <c r="A323" s="1">
        <v>329</v>
      </c>
      <c r="B323" s="1" t="s">
        <v>4019</v>
      </c>
      <c r="C323" s="207" t="s">
        <v>813</v>
      </c>
      <c r="D323" s="1" t="s">
        <v>813</v>
      </c>
      <c r="E323" s="1"/>
      <c r="F323" s="1"/>
      <c r="G323" s="1" t="s">
        <v>4020</v>
      </c>
      <c r="H323" s="1" t="s">
        <v>4021</v>
      </c>
      <c r="I323" s="1" t="s">
        <v>4022</v>
      </c>
      <c r="J323" s="1">
        <v>3</v>
      </c>
      <c r="K323" s="1">
        <v>5</v>
      </c>
      <c r="L323" s="1">
        <v>17220</v>
      </c>
      <c r="M323" s="1">
        <v>15</v>
      </c>
      <c r="N323" s="1">
        <v>30</v>
      </c>
      <c r="O323" s="1">
        <v>10</v>
      </c>
      <c r="P323" s="1">
        <v>15</v>
      </c>
      <c r="Q323" s="1">
        <v>5</v>
      </c>
      <c r="R323" s="1">
        <v>2</v>
      </c>
      <c r="S323" s="1">
        <v>5</v>
      </c>
      <c r="T323" s="1">
        <v>0</v>
      </c>
      <c r="U323" s="1">
        <v>98</v>
      </c>
      <c r="V323" s="1">
        <v>126</v>
      </c>
      <c r="W323" s="1">
        <v>100</v>
      </c>
      <c r="X323" s="1">
        <v>100</v>
      </c>
      <c r="Y323" s="1">
        <v>136</v>
      </c>
      <c r="Z323" s="1">
        <v>82</v>
      </c>
      <c r="AA323" s="1">
        <v>0</v>
      </c>
      <c r="AB323" s="1">
        <v>15</v>
      </c>
      <c r="AC323" s="1">
        <v>40</v>
      </c>
      <c r="AD323" s="1">
        <v>0</v>
      </c>
      <c r="AE323" s="1">
        <v>131</v>
      </c>
      <c r="AF323" s="1">
        <v>100</v>
      </c>
      <c r="AG323" s="1">
        <v>902223</v>
      </c>
      <c r="AH323" s="1">
        <v>0</v>
      </c>
      <c r="AI323" s="1">
        <v>902222</v>
      </c>
      <c r="AJ323" s="1" t="s">
        <v>5351</v>
      </c>
      <c r="AK323" s="1" t="s">
        <v>1345</v>
      </c>
      <c r="AL323" s="1">
        <v>14</v>
      </c>
      <c r="AM323" s="1" t="s">
        <v>4762</v>
      </c>
      <c r="AN323" s="1" t="s">
        <v>5252</v>
      </c>
      <c r="AO323" s="1" t="s">
        <v>4845</v>
      </c>
      <c r="AP323" s="1">
        <v>0</v>
      </c>
      <c r="AQ323" s="1" t="s">
        <v>1140</v>
      </c>
      <c r="AR323" s="1" t="s">
        <v>1141</v>
      </c>
      <c r="AS323" s="1" t="s">
        <v>1142</v>
      </c>
      <c r="AT323" s="1" t="s">
        <v>328</v>
      </c>
      <c r="AU323" s="1">
        <v>241</v>
      </c>
      <c r="AV323" s="1">
        <v>0</v>
      </c>
      <c r="AW323" s="1" t="s">
        <v>5350</v>
      </c>
      <c r="AX323" s="1" t="s">
        <v>331</v>
      </c>
      <c r="AY323" s="1">
        <v>5</v>
      </c>
      <c r="AZ323" s="1">
        <v>0</v>
      </c>
      <c r="BA323" s="1" t="s">
        <v>328</v>
      </c>
      <c r="BB323" s="1" t="s">
        <v>328</v>
      </c>
      <c r="BC323" s="1" t="s">
        <v>4757</v>
      </c>
      <c r="BD323" s="1">
        <v>10203</v>
      </c>
      <c r="BE323" s="1"/>
      <c r="BH323">
        <f>COUNTIF(Dropdowns!$I:$AF,C323)</f>
        <v>1</v>
      </c>
    </row>
    <row r="324" spans="1:60" x14ac:dyDescent="0.3">
      <c r="A324" s="1">
        <v>330</v>
      </c>
      <c r="B324" s="1" t="s">
        <v>4023</v>
      </c>
      <c r="C324" s="207" t="s">
        <v>1675</v>
      </c>
      <c r="D324" s="1" t="s">
        <v>1675</v>
      </c>
      <c r="E324" s="1"/>
      <c r="F324" s="1"/>
      <c r="G324" s="1" t="s">
        <v>4024</v>
      </c>
      <c r="H324" s="1" t="s">
        <v>4025</v>
      </c>
      <c r="I324" s="1" t="s">
        <v>4026</v>
      </c>
      <c r="J324" s="1">
        <v>4</v>
      </c>
      <c r="K324" s="1">
        <v>4</v>
      </c>
      <c r="L324" s="1">
        <v>13200</v>
      </c>
      <c r="M324" s="1">
        <v>20</v>
      </c>
      <c r="N324" s="1">
        <v>20</v>
      </c>
      <c r="O324" s="1">
        <v>10</v>
      </c>
      <c r="P324" s="1">
        <v>10</v>
      </c>
      <c r="Q324" s="1">
        <v>2</v>
      </c>
      <c r="R324" s="1">
        <v>5</v>
      </c>
      <c r="S324" s="1">
        <v>5</v>
      </c>
      <c r="T324" s="1">
        <v>0</v>
      </c>
      <c r="U324" s="1">
        <v>100</v>
      </c>
      <c r="V324" s="1">
        <v>118</v>
      </c>
      <c r="W324" s="1">
        <v>102</v>
      </c>
      <c r="X324" s="1">
        <v>100</v>
      </c>
      <c r="Y324" s="1">
        <v>128</v>
      </c>
      <c r="Z324" s="1">
        <v>110</v>
      </c>
      <c r="AA324" s="1">
        <v>0</v>
      </c>
      <c r="AB324" s="1">
        <v>15</v>
      </c>
      <c r="AC324" s="1">
        <v>20</v>
      </c>
      <c r="AD324" s="1">
        <v>0</v>
      </c>
      <c r="AE324" s="1">
        <v>123</v>
      </c>
      <c r="AF324" s="1">
        <v>130</v>
      </c>
      <c r="AG324" s="1">
        <v>902155</v>
      </c>
      <c r="AH324" s="1">
        <v>0</v>
      </c>
      <c r="AI324" s="1">
        <v>300103</v>
      </c>
      <c r="AJ324" s="1" t="s">
        <v>5352</v>
      </c>
      <c r="AK324" s="1" t="s">
        <v>1346</v>
      </c>
      <c r="AL324" s="1">
        <v>13</v>
      </c>
      <c r="AM324" s="1" t="s">
        <v>4719</v>
      </c>
      <c r="AN324" s="1" t="s">
        <v>4884</v>
      </c>
      <c r="AO324" s="1" t="s">
        <v>4885</v>
      </c>
      <c r="AP324" s="1">
        <v>0</v>
      </c>
      <c r="AQ324" s="1" t="s">
        <v>1130</v>
      </c>
      <c r="AR324" s="1" t="s">
        <v>1154</v>
      </c>
      <c r="AS324" s="1" t="s">
        <v>1129</v>
      </c>
      <c r="AT324" s="1" t="s">
        <v>328</v>
      </c>
      <c r="AU324" s="1">
        <v>48</v>
      </c>
      <c r="AV324" s="1">
        <v>0</v>
      </c>
      <c r="AW324" s="1" t="s">
        <v>5350</v>
      </c>
      <c r="AX324" s="1" t="s">
        <v>331</v>
      </c>
      <c r="AY324" s="1">
        <v>4</v>
      </c>
      <c r="AZ324" s="1">
        <v>0</v>
      </c>
      <c r="BA324" s="1" t="s">
        <v>328</v>
      </c>
      <c r="BB324" s="1" t="s">
        <v>328</v>
      </c>
      <c r="BC324" s="1" t="s">
        <v>328</v>
      </c>
      <c r="BD324" s="1">
        <v>10403</v>
      </c>
      <c r="BE324" s="1"/>
      <c r="BH324">
        <f>COUNTIF(Dropdowns!$I:$AF,C324)</f>
        <v>1</v>
      </c>
    </row>
    <row r="325" spans="1:60" x14ac:dyDescent="0.3">
      <c r="A325" s="1">
        <v>331</v>
      </c>
      <c r="B325" s="1" t="s">
        <v>4027</v>
      </c>
      <c r="C325" s="207" t="s">
        <v>814</v>
      </c>
      <c r="D325" s="1" t="s">
        <v>814</v>
      </c>
      <c r="E325" s="1"/>
      <c r="F325" s="1"/>
      <c r="G325" s="1" t="s">
        <v>4028</v>
      </c>
      <c r="H325" s="1" t="s">
        <v>4029</v>
      </c>
      <c r="I325" s="1" t="s">
        <v>4030</v>
      </c>
      <c r="J325" s="1">
        <v>1</v>
      </c>
      <c r="K325" s="1">
        <v>5</v>
      </c>
      <c r="L325" s="1">
        <v>5700</v>
      </c>
      <c r="M325" s="1">
        <v>10</v>
      </c>
      <c r="N325" s="1">
        <v>10</v>
      </c>
      <c r="O325" s="1">
        <v>5</v>
      </c>
      <c r="P325" s="1">
        <v>5</v>
      </c>
      <c r="Q325" s="1">
        <v>2</v>
      </c>
      <c r="R325" s="1">
        <v>2</v>
      </c>
      <c r="S325" s="1">
        <v>2</v>
      </c>
      <c r="T325" s="1">
        <v>0</v>
      </c>
      <c r="U325" s="1">
        <v>100</v>
      </c>
      <c r="V325" s="1">
        <v>50</v>
      </c>
      <c r="W325" s="1">
        <v>105</v>
      </c>
      <c r="X325" s="1">
        <v>100</v>
      </c>
      <c r="Y325" s="1">
        <v>110</v>
      </c>
      <c r="Z325" s="1">
        <v>160</v>
      </c>
      <c r="AA325" s="1">
        <v>0</v>
      </c>
      <c r="AB325" s="1">
        <v>15</v>
      </c>
      <c r="AC325" s="1">
        <v>20</v>
      </c>
      <c r="AD325" s="1">
        <v>0</v>
      </c>
      <c r="AE325" s="1">
        <v>130</v>
      </c>
      <c r="AF325" s="1">
        <v>100</v>
      </c>
      <c r="AG325" s="1">
        <v>902294</v>
      </c>
      <c r="AH325" s="1">
        <v>0</v>
      </c>
      <c r="AI325" s="1">
        <v>902283</v>
      </c>
      <c r="AJ325" s="1" t="s">
        <v>1347</v>
      </c>
      <c r="AK325" s="1" t="s">
        <v>328</v>
      </c>
      <c r="AL325" s="1">
        <v>14</v>
      </c>
      <c r="AM325" s="1" t="s">
        <v>1806</v>
      </c>
      <c r="AN325" s="1" t="s">
        <v>5353</v>
      </c>
      <c r="AO325" s="1" t="s">
        <v>5354</v>
      </c>
      <c r="AP325" s="1">
        <v>0</v>
      </c>
      <c r="AQ325" s="1" t="s">
        <v>1118</v>
      </c>
      <c r="AR325" s="1" t="s">
        <v>1119</v>
      </c>
      <c r="AS325" s="1" t="s">
        <v>1120</v>
      </c>
      <c r="AT325" s="1" t="s">
        <v>328</v>
      </c>
      <c r="AU325" s="1">
        <v>96</v>
      </c>
      <c r="AV325" s="1">
        <v>0</v>
      </c>
      <c r="AW325" s="1" t="s">
        <v>5355</v>
      </c>
      <c r="AX325" s="1" t="s">
        <v>5356</v>
      </c>
      <c r="AY325" s="1">
        <v>5</v>
      </c>
      <c r="AZ325" s="1">
        <v>0</v>
      </c>
      <c r="BA325" s="1" t="s">
        <v>328</v>
      </c>
      <c r="BB325" s="1" t="s">
        <v>328</v>
      </c>
      <c r="BC325" s="1" t="s">
        <v>328</v>
      </c>
      <c r="BD325" s="1">
        <v>10401</v>
      </c>
      <c r="BE325" s="1"/>
      <c r="BH325">
        <f>COUNTIF(Dropdowns!$I:$AF,C325)</f>
        <v>0</v>
      </c>
    </row>
    <row r="326" spans="1:60" x14ac:dyDescent="0.3">
      <c r="A326" s="1">
        <v>332</v>
      </c>
      <c r="B326" s="1" t="s">
        <v>4031</v>
      </c>
      <c r="C326" s="207" t="s">
        <v>815</v>
      </c>
      <c r="D326" s="1" t="s">
        <v>815</v>
      </c>
      <c r="E326" s="1"/>
      <c r="F326" s="1"/>
      <c r="G326" s="1" t="s">
        <v>4032</v>
      </c>
      <c r="H326" s="1" t="s">
        <v>4033</v>
      </c>
      <c r="I326" s="1" t="s">
        <v>4034</v>
      </c>
      <c r="J326" s="1">
        <v>1</v>
      </c>
      <c r="K326" s="1">
        <v>4</v>
      </c>
      <c r="L326" s="1">
        <v>3240</v>
      </c>
      <c r="M326" s="1">
        <v>10</v>
      </c>
      <c r="N326" s="1">
        <v>10</v>
      </c>
      <c r="O326" s="1">
        <v>5</v>
      </c>
      <c r="P326" s="1">
        <v>5</v>
      </c>
      <c r="Q326" s="1">
        <v>2</v>
      </c>
      <c r="R326" s="1">
        <v>2</v>
      </c>
      <c r="S326" s="1">
        <v>2</v>
      </c>
      <c r="T326" s="1">
        <v>0</v>
      </c>
      <c r="U326" s="1">
        <v>105</v>
      </c>
      <c r="V326" s="1">
        <v>112</v>
      </c>
      <c r="W326" s="1">
        <v>95</v>
      </c>
      <c r="X326" s="1">
        <v>100</v>
      </c>
      <c r="Y326" s="1">
        <v>120</v>
      </c>
      <c r="Z326" s="1">
        <v>125</v>
      </c>
      <c r="AA326" s="1">
        <v>0</v>
      </c>
      <c r="AB326" s="1">
        <v>15</v>
      </c>
      <c r="AC326" s="1">
        <v>20</v>
      </c>
      <c r="AD326" s="1">
        <v>0</v>
      </c>
      <c r="AE326" s="1">
        <v>120</v>
      </c>
      <c r="AF326" s="1">
        <v>100</v>
      </c>
      <c r="AG326" s="1">
        <v>902299</v>
      </c>
      <c r="AH326" s="1">
        <v>0</v>
      </c>
      <c r="AI326" s="1">
        <v>902295</v>
      </c>
      <c r="AJ326" s="1" t="s">
        <v>328</v>
      </c>
      <c r="AK326" s="1" t="s">
        <v>1348</v>
      </c>
      <c r="AL326" s="1">
        <v>17</v>
      </c>
      <c r="AM326" s="1" t="s">
        <v>1806</v>
      </c>
      <c r="AN326" s="1" t="s">
        <v>5357</v>
      </c>
      <c r="AO326" s="1" t="s">
        <v>4994</v>
      </c>
      <c r="AP326" s="1">
        <v>0</v>
      </c>
      <c r="AQ326" s="1" t="s">
        <v>1118</v>
      </c>
      <c r="AR326" s="1" t="s">
        <v>1119</v>
      </c>
      <c r="AS326" s="1" t="s">
        <v>1120</v>
      </c>
      <c r="AT326" s="1" t="s">
        <v>328</v>
      </c>
      <c r="AU326" s="1">
        <v>212</v>
      </c>
      <c r="AV326" s="1">
        <v>0</v>
      </c>
      <c r="AW326" s="1" t="s">
        <v>5355</v>
      </c>
      <c r="AX326" s="1" t="s">
        <v>5058</v>
      </c>
      <c r="AY326" s="1">
        <v>4</v>
      </c>
      <c r="AZ326" s="1">
        <v>0</v>
      </c>
      <c r="BA326" s="1" t="s">
        <v>328</v>
      </c>
      <c r="BB326" s="1" t="s">
        <v>328</v>
      </c>
      <c r="BC326" s="1" t="s">
        <v>4720</v>
      </c>
      <c r="BD326" s="1">
        <v>10704</v>
      </c>
      <c r="BE326" s="1"/>
      <c r="BH326">
        <f>COUNTIF(Dropdowns!$I:$AF,C326)</f>
        <v>0</v>
      </c>
    </row>
    <row r="327" spans="1:60" x14ac:dyDescent="0.3">
      <c r="A327" s="1">
        <v>333</v>
      </c>
      <c r="B327" s="1" t="s">
        <v>4035</v>
      </c>
      <c r="C327" s="207" t="s">
        <v>816</v>
      </c>
      <c r="D327" s="1" t="s">
        <v>816</v>
      </c>
      <c r="E327" s="1"/>
      <c r="F327" s="1"/>
      <c r="G327" s="1" t="s">
        <v>4036</v>
      </c>
      <c r="H327" s="1" t="s">
        <v>4037</v>
      </c>
      <c r="I327" s="1" t="s">
        <v>4038</v>
      </c>
      <c r="J327" s="1">
        <v>2</v>
      </c>
      <c r="K327" s="1">
        <v>5</v>
      </c>
      <c r="L327" s="1">
        <v>9300</v>
      </c>
      <c r="M327" s="1">
        <v>25</v>
      </c>
      <c r="N327" s="1">
        <v>20</v>
      </c>
      <c r="O327" s="1">
        <v>15</v>
      </c>
      <c r="P327" s="1">
        <v>10</v>
      </c>
      <c r="Q327" s="1">
        <v>5</v>
      </c>
      <c r="R327" s="1">
        <v>5</v>
      </c>
      <c r="S327" s="1">
        <v>2</v>
      </c>
      <c r="T327" s="1">
        <v>0</v>
      </c>
      <c r="U327" s="1">
        <v>115</v>
      </c>
      <c r="V327" s="1">
        <v>102</v>
      </c>
      <c r="W327" s="1">
        <v>120</v>
      </c>
      <c r="X327" s="1">
        <v>100</v>
      </c>
      <c r="Y327" s="1">
        <v>105</v>
      </c>
      <c r="Z327" s="1">
        <v>115</v>
      </c>
      <c r="AA327" s="1">
        <v>0</v>
      </c>
      <c r="AB327" s="1">
        <v>15</v>
      </c>
      <c r="AC327" s="1">
        <v>5</v>
      </c>
      <c r="AD327" s="1">
        <v>0</v>
      </c>
      <c r="AE327" s="1">
        <v>100</v>
      </c>
      <c r="AF327" s="1">
        <v>100</v>
      </c>
      <c r="AG327" s="1">
        <v>902312</v>
      </c>
      <c r="AH327" s="1">
        <v>0</v>
      </c>
      <c r="AI327" s="1">
        <v>902307</v>
      </c>
      <c r="AJ327" s="1" t="s">
        <v>1349</v>
      </c>
      <c r="AK327" s="1" t="s">
        <v>1350</v>
      </c>
      <c r="AL327" s="1">
        <v>13</v>
      </c>
      <c r="AM327" s="1" t="s">
        <v>4790</v>
      </c>
      <c r="AN327" s="1" t="s">
        <v>4793</v>
      </c>
      <c r="AO327" s="1" t="s">
        <v>5358</v>
      </c>
      <c r="AP327" s="1">
        <v>0</v>
      </c>
      <c r="AQ327" s="1" t="s">
        <v>1129</v>
      </c>
      <c r="AR327" s="1" t="s">
        <v>1119</v>
      </c>
      <c r="AS327" s="1" t="s">
        <v>1130</v>
      </c>
      <c r="AT327" s="1" t="s">
        <v>328</v>
      </c>
      <c r="AU327" s="1">
        <v>224</v>
      </c>
      <c r="AV327" s="1">
        <v>0</v>
      </c>
      <c r="AW327" s="1" t="s">
        <v>5355</v>
      </c>
      <c r="AX327" s="1" t="s">
        <v>5359</v>
      </c>
      <c r="AY327" s="1">
        <v>5</v>
      </c>
      <c r="AZ327" s="1">
        <v>0</v>
      </c>
      <c r="BA327" s="1" t="s">
        <v>328</v>
      </c>
      <c r="BB327" s="1" t="s">
        <v>328</v>
      </c>
      <c r="BC327" s="1" t="s">
        <v>4739</v>
      </c>
      <c r="BD327" s="1">
        <v>10201</v>
      </c>
      <c r="BE327" s="1"/>
      <c r="BH327">
        <f>COUNTIF(Dropdowns!$I:$AF,C327)</f>
        <v>1</v>
      </c>
    </row>
    <row r="328" spans="1:60" x14ac:dyDescent="0.3">
      <c r="A328" s="1">
        <v>334</v>
      </c>
      <c r="B328" s="1" t="s">
        <v>4039</v>
      </c>
      <c r="C328" s="207" t="s">
        <v>817</v>
      </c>
      <c r="D328" s="1" t="s">
        <v>4040</v>
      </c>
      <c r="E328" s="1"/>
      <c r="F328" s="1"/>
      <c r="G328" s="1" t="s">
        <v>4041</v>
      </c>
      <c r="H328" s="1" t="s">
        <v>4042</v>
      </c>
      <c r="I328" s="1" t="s">
        <v>4043</v>
      </c>
      <c r="J328" s="1">
        <v>3</v>
      </c>
      <c r="K328" s="1">
        <v>5</v>
      </c>
      <c r="L328" s="1">
        <v>16980</v>
      </c>
      <c r="M328" s="1">
        <v>15</v>
      </c>
      <c r="N328" s="1">
        <v>30</v>
      </c>
      <c r="O328" s="1">
        <v>10</v>
      </c>
      <c r="P328" s="1">
        <v>15</v>
      </c>
      <c r="Q328" s="1">
        <v>5</v>
      </c>
      <c r="R328" s="1">
        <v>2</v>
      </c>
      <c r="S328" s="1">
        <v>5</v>
      </c>
      <c r="T328" s="1">
        <v>0</v>
      </c>
      <c r="U328" s="1">
        <v>110</v>
      </c>
      <c r="V328" s="1">
        <v>112</v>
      </c>
      <c r="W328" s="1">
        <v>98</v>
      </c>
      <c r="X328" s="1">
        <v>100</v>
      </c>
      <c r="Y328" s="1">
        <v>120</v>
      </c>
      <c r="Z328" s="1">
        <v>105</v>
      </c>
      <c r="AA328" s="1">
        <v>0</v>
      </c>
      <c r="AB328" s="1">
        <v>15</v>
      </c>
      <c r="AC328" s="1">
        <v>40</v>
      </c>
      <c r="AD328" s="1">
        <v>0</v>
      </c>
      <c r="AE328" s="1">
        <v>128</v>
      </c>
      <c r="AF328" s="1">
        <v>100</v>
      </c>
      <c r="AG328" s="1">
        <v>902304</v>
      </c>
      <c r="AH328" s="1">
        <v>0</v>
      </c>
      <c r="AI328" s="1">
        <v>902301</v>
      </c>
      <c r="AJ328" s="1" t="s">
        <v>1351</v>
      </c>
      <c r="AK328" s="1" t="s">
        <v>1352</v>
      </c>
      <c r="AL328" s="1">
        <v>19</v>
      </c>
      <c r="AM328" s="1" t="s">
        <v>4762</v>
      </c>
      <c r="AN328" s="1" t="s">
        <v>5360</v>
      </c>
      <c r="AO328" s="1" t="s">
        <v>4845</v>
      </c>
      <c r="AP328" s="1">
        <v>0</v>
      </c>
      <c r="AQ328" s="1" t="s">
        <v>1140</v>
      </c>
      <c r="AR328" s="1" t="s">
        <v>1141</v>
      </c>
      <c r="AS328" s="1" t="s">
        <v>1142</v>
      </c>
      <c r="AT328" s="1" t="s">
        <v>328</v>
      </c>
      <c r="AU328" s="1">
        <v>222</v>
      </c>
      <c r="AV328" s="1">
        <v>0</v>
      </c>
      <c r="AW328" s="1" t="s">
        <v>5355</v>
      </c>
      <c r="AX328" s="1" t="s">
        <v>5058</v>
      </c>
      <c r="AY328" s="1">
        <v>5</v>
      </c>
      <c r="AZ328" s="1">
        <v>0</v>
      </c>
      <c r="BA328" s="1" t="s">
        <v>328</v>
      </c>
      <c r="BB328" s="1" t="s">
        <v>328</v>
      </c>
      <c r="BC328" s="1" t="s">
        <v>4720</v>
      </c>
      <c r="BD328" s="1">
        <v>10302</v>
      </c>
      <c r="BE328" s="1"/>
      <c r="BH328">
        <f>COUNTIF(Dropdowns!$I:$AF,C328)</f>
        <v>1</v>
      </c>
    </row>
    <row r="329" spans="1:60" x14ac:dyDescent="0.3">
      <c r="A329" s="1">
        <v>335</v>
      </c>
      <c r="B329" s="1" t="s">
        <v>4044</v>
      </c>
      <c r="C329" s="207" t="s">
        <v>818</v>
      </c>
      <c r="D329" s="1" t="s">
        <v>818</v>
      </c>
      <c r="E329" s="1"/>
      <c r="F329" s="1"/>
      <c r="G329" s="1" t="s">
        <v>4045</v>
      </c>
      <c r="H329" s="1" t="s">
        <v>4046</v>
      </c>
      <c r="I329" s="1" t="s">
        <v>4047</v>
      </c>
      <c r="J329" s="1">
        <v>4</v>
      </c>
      <c r="K329" s="1">
        <v>4</v>
      </c>
      <c r="L329" s="1">
        <v>12900</v>
      </c>
      <c r="M329" s="1">
        <v>20</v>
      </c>
      <c r="N329" s="1">
        <v>20</v>
      </c>
      <c r="O329" s="1">
        <v>10</v>
      </c>
      <c r="P329" s="1">
        <v>10</v>
      </c>
      <c r="Q329" s="1">
        <v>2</v>
      </c>
      <c r="R329" s="1">
        <v>5</v>
      </c>
      <c r="S329" s="1">
        <v>5</v>
      </c>
      <c r="T329" s="1">
        <v>0</v>
      </c>
      <c r="U329" s="1">
        <v>100</v>
      </c>
      <c r="V329" s="1">
        <v>122</v>
      </c>
      <c r="W329" s="1">
        <v>85</v>
      </c>
      <c r="X329" s="1">
        <v>100</v>
      </c>
      <c r="Y329" s="1">
        <v>130</v>
      </c>
      <c r="Z329" s="1">
        <v>105</v>
      </c>
      <c r="AA329" s="1">
        <v>0</v>
      </c>
      <c r="AB329" s="1">
        <v>15</v>
      </c>
      <c r="AC329" s="1">
        <v>20</v>
      </c>
      <c r="AD329" s="1">
        <v>0</v>
      </c>
      <c r="AE329" s="1">
        <v>130</v>
      </c>
      <c r="AF329" s="1">
        <v>130</v>
      </c>
      <c r="AG329" s="1">
        <v>902315</v>
      </c>
      <c r="AH329" s="1">
        <v>0</v>
      </c>
      <c r="AI329" s="1">
        <v>300103</v>
      </c>
      <c r="AJ329" s="1" t="s">
        <v>5361</v>
      </c>
      <c r="AK329" s="1" t="s">
        <v>1353</v>
      </c>
      <c r="AL329" s="1">
        <v>13</v>
      </c>
      <c r="AM329" s="1" t="s">
        <v>331</v>
      </c>
      <c r="AN329" s="1" t="s">
        <v>4864</v>
      </c>
      <c r="AO329" s="1" t="s">
        <v>5102</v>
      </c>
      <c r="AP329" s="1">
        <v>0</v>
      </c>
      <c r="AQ329" s="1" t="s">
        <v>1130</v>
      </c>
      <c r="AR329" s="1" t="s">
        <v>1154</v>
      </c>
      <c r="AS329" s="1" t="s">
        <v>1129</v>
      </c>
      <c r="AT329" s="1" t="s">
        <v>328</v>
      </c>
      <c r="AU329" s="1">
        <v>48</v>
      </c>
      <c r="AV329" s="1">
        <v>0</v>
      </c>
      <c r="AW329" s="1" t="s">
        <v>5355</v>
      </c>
      <c r="AX329" s="1" t="s">
        <v>5356</v>
      </c>
      <c r="AY329" s="1">
        <v>4</v>
      </c>
      <c r="AZ329" s="1">
        <v>0</v>
      </c>
      <c r="BA329" s="1" t="s">
        <v>328</v>
      </c>
      <c r="BB329" s="1" t="s">
        <v>328</v>
      </c>
      <c r="BC329" s="1" t="s">
        <v>4757</v>
      </c>
      <c r="BD329" s="1">
        <v>10202</v>
      </c>
      <c r="BE329" s="1"/>
      <c r="BH329">
        <f>COUNTIF(Dropdowns!$I:$AF,C329)</f>
        <v>1</v>
      </c>
    </row>
    <row r="330" spans="1:60" x14ac:dyDescent="0.3">
      <c r="A330" s="1">
        <v>336</v>
      </c>
      <c r="B330" s="1" t="s">
        <v>4048</v>
      </c>
      <c r="C330" s="207" t="s">
        <v>1676</v>
      </c>
      <c r="D330" s="1" t="s">
        <v>1676</v>
      </c>
      <c r="E330" s="1"/>
      <c r="F330" s="1"/>
      <c r="G330" s="1" t="s">
        <v>4049</v>
      </c>
      <c r="H330" s="1" t="s">
        <v>4050</v>
      </c>
      <c r="I330" s="1" t="s">
        <v>4051</v>
      </c>
      <c r="J330" s="1">
        <v>2</v>
      </c>
      <c r="K330" s="1">
        <v>4</v>
      </c>
      <c r="L330" s="1">
        <v>7800</v>
      </c>
      <c r="M330" s="1">
        <v>25</v>
      </c>
      <c r="N330" s="1">
        <v>20</v>
      </c>
      <c r="O330" s="1">
        <v>15</v>
      </c>
      <c r="P330" s="1">
        <v>10</v>
      </c>
      <c r="Q330" s="1">
        <v>5</v>
      </c>
      <c r="R330" s="1">
        <v>5</v>
      </c>
      <c r="S330" s="1">
        <v>2</v>
      </c>
      <c r="T330" s="1">
        <v>0</v>
      </c>
      <c r="U330" s="1">
        <v>105</v>
      </c>
      <c r="V330" s="1">
        <v>100</v>
      </c>
      <c r="W330" s="1">
        <v>112</v>
      </c>
      <c r="X330" s="1">
        <v>100</v>
      </c>
      <c r="Y330" s="1">
        <v>105</v>
      </c>
      <c r="Z330" s="1">
        <v>122</v>
      </c>
      <c r="AA330" s="1">
        <v>0</v>
      </c>
      <c r="AB330" s="1">
        <v>15</v>
      </c>
      <c r="AC330" s="1">
        <v>5</v>
      </c>
      <c r="AD330" s="1">
        <v>0</v>
      </c>
      <c r="AE330" s="1">
        <v>110</v>
      </c>
      <c r="AF330" s="1">
        <v>100</v>
      </c>
      <c r="AG330" s="1">
        <v>902395</v>
      </c>
      <c r="AH330" s="1">
        <v>0</v>
      </c>
      <c r="AI330" s="1">
        <v>300102</v>
      </c>
      <c r="AJ330" s="1" t="s">
        <v>5362</v>
      </c>
      <c r="AK330" s="1" t="s">
        <v>1354</v>
      </c>
      <c r="AL330" s="1">
        <v>12</v>
      </c>
      <c r="AM330" s="1" t="s">
        <v>4790</v>
      </c>
      <c r="AN330" s="1" t="s">
        <v>5198</v>
      </c>
      <c r="AO330" s="1" t="s">
        <v>4903</v>
      </c>
      <c r="AP330" s="1">
        <v>0</v>
      </c>
      <c r="AQ330" s="1" t="s">
        <v>1129</v>
      </c>
      <c r="AR330" s="1" t="s">
        <v>1119</v>
      </c>
      <c r="AS330" s="1" t="s">
        <v>1130</v>
      </c>
      <c r="AT330" s="1" t="s">
        <v>328</v>
      </c>
      <c r="AU330" s="1">
        <v>150</v>
      </c>
      <c r="AV330" s="1">
        <v>0</v>
      </c>
      <c r="AW330" s="1" t="s">
        <v>5363</v>
      </c>
      <c r="AX330" s="1" t="s">
        <v>331</v>
      </c>
      <c r="AY330" s="1">
        <v>4</v>
      </c>
      <c r="AZ330" s="1">
        <v>0</v>
      </c>
      <c r="BA330" s="1" t="s">
        <v>328</v>
      </c>
      <c r="BB330" s="1" t="s">
        <v>328</v>
      </c>
      <c r="BC330" s="1" t="s">
        <v>4757</v>
      </c>
      <c r="BD330" s="1">
        <v>10301</v>
      </c>
      <c r="BE330" s="1"/>
      <c r="BH330">
        <f>COUNTIF(Dropdowns!$I:$AF,C330)</f>
        <v>1</v>
      </c>
    </row>
    <row r="331" spans="1:60" x14ac:dyDescent="0.3">
      <c r="A331" s="1">
        <v>337</v>
      </c>
      <c r="B331" s="1" t="s">
        <v>4052</v>
      </c>
      <c r="C331" s="207" t="s">
        <v>891</v>
      </c>
      <c r="D331" s="1" t="s">
        <v>4053</v>
      </c>
      <c r="E331" s="1"/>
      <c r="F331" s="1"/>
      <c r="G331" s="1" t="s">
        <v>4054</v>
      </c>
      <c r="H331" s="1" t="s">
        <v>4055</v>
      </c>
      <c r="I331" s="1" t="s">
        <v>4056</v>
      </c>
      <c r="J331" s="1">
        <v>3</v>
      </c>
      <c r="K331" s="1">
        <v>5</v>
      </c>
      <c r="L331" s="1">
        <v>18000</v>
      </c>
      <c r="M331" s="1">
        <v>15</v>
      </c>
      <c r="N331" s="1">
        <v>30</v>
      </c>
      <c r="O331" s="1">
        <v>10</v>
      </c>
      <c r="P331" s="1">
        <v>15</v>
      </c>
      <c r="Q331" s="1">
        <v>5</v>
      </c>
      <c r="R331" s="1">
        <v>2</v>
      </c>
      <c r="S331" s="1">
        <v>5</v>
      </c>
      <c r="T331" s="1">
        <v>0</v>
      </c>
      <c r="U331" s="1">
        <v>115</v>
      </c>
      <c r="V331" s="1">
        <v>95</v>
      </c>
      <c r="W331" s="1">
        <v>105</v>
      </c>
      <c r="X331" s="1">
        <v>100</v>
      </c>
      <c r="Y331" s="1">
        <v>122</v>
      </c>
      <c r="Z331" s="1">
        <v>105</v>
      </c>
      <c r="AA331" s="1">
        <v>0</v>
      </c>
      <c r="AB331" s="1">
        <v>15</v>
      </c>
      <c r="AC331" s="1">
        <v>40</v>
      </c>
      <c r="AD331" s="1">
        <v>0</v>
      </c>
      <c r="AE331" s="1">
        <v>130</v>
      </c>
      <c r="AF331" s="1">
        <v>100</v>
      </c>
      <c r="AG331" s="1">
        <v>902418</v>
      </c>
      <c r="AH331" s="1">
        <v>0</v>
      </c>
      <c r="AI331" s="1">
        <v>902416</v>
      </c>
      <c r="AJ331" s="1" t="s">
        <v>328</v>
      </c>
      <c r="AK331" s="1" t="s">
        <v>1355</v>
      </c>
      <c r="AL331" s="1">
        <v>14</v>
      </c>
      <c r="AM331" s="1" t="s">
        <v>470</v>
      </c>
      <c r="AN331" s="1" t="s">
        <v>5364</v>
      </c>
      <c r="AO331" s="1" t="s">
        <v>4832</v>
      </c>
      <c r="AP331" s="1">
        <v>0</v>
      </c>
      <c r="AQ331" s="1" t="s">
        <v>1140</v>
      </c>
      <c r="AR331" s="1" t="s">
        <v>1141</v>
      </c>
      <c r="AS331" s="1" t="s">
        <v>1142</v>
      </c>
      <c r="AT331" s="1" t="s">
        <v>328</v>
      </c>
      <c r="AU331" s="1">
        <v>241</v>
      </c>
      <c r="AV331" s="1">
        <v>0</v>
      </c>
      <c r="AW331" s="1" t="s">
        <v>5363</v>
      </c>
      <c r="AX331" s="1" t="s">
        <v>331</v>
      </c>
      <c r="AY331" s="1">
        <v>5</v>
      </c>
      <c r="AZ331" s="1">
        <v>0</v>
      </c>
      <c r="BA331" s="1" t="s">
        <v>328</v>
      </c>
      <c r="BB331" s="1" t="s">
        <v>328</v>
      </c>
      <c r="BC331" s="1" t="s">
        <v>328</v>
      </c>
      <c r="BD331" s="1">
        <v>10802</v>
      </c>
      <c r="BE331" s="1"/>
      <c r="BH331">
        <f>COUNTIF(Dropdowns!$I:$AF,C331)</f>
        <v>1</v>
      </c>
    </row>
    <row r="332" spans="1:60" x14ac:dyDescent="0.3">
      <c r="A332" s="1">
        <v>338</v>
      </c>
      <c r="B332" s="1" t="s">
        <v>4057</v>
      </c>
      <c r="C332" s="207" t="s">
        <v>890</v>
      </c>
      <c r="D332" s="1" t="s">
        <v>4058</v>
      </c>
      <c r="E332" s="1"/>
      <c r="F332" s="1"/>
      <c r="G332" s="1" t="s">
        <v>4059</v>
      </c>
      <c r="H332" s="1" t="s">
        <v>4060</v>
      </c>
      <c r="I332" s="1" t="s">
        <v>4061</v>
      </c>
      <c r="J332" s="1">
        <v>4</v>
      </c>
      <c r="K332" s="1">
        <v>5</v>
      </c>
      <c r="L332" s="1">
        <v>14160</v>
      </c>
      <c r="M332" s="1">
        <v>20</v>
      </c>
      <c r="N332" s="1">
        <v>20</v>
      </c>
      <c r="O332" s="1">
        <v>10</v>
      </c>
      <c r="P332" s="1">
        <v>10</v>
      </c>
      <c r="Q332" s="1">
        <v>2</v>
      </c>
      <c r="R332" s="1">
        <v>5</v>
      </c>
      <c r="S332" s="1">
        <v>5</v>
      </c>
      <c r="T332" s="1">
        <v>0</v>
      </c>
      <c r="U332" s="1">
        <v>105</v>
      </c>
      <c r="V332" s="1">
        <v>105</v>
      </c>
      <c r="W332" s="1">
        <v>122</v>
      </c>
      <c r="X332" s="1">
        <v>100</v>
      </c>
      <c r="Y332" s="1">
        <v>132</v>
      </c>
      <c r="Z332" s="1">
        <v>105</v>
      </c>
      <c r="AA332" s="1">
        <v>0</v>
      </c>
      <c r="AB332" s="1">
        <v>15</v>
      </c>
      <c r="AC332" s="1">
        <v>20</v>
      </c>
      <c r="AD332" s="1">
        <v>0</v>
      </c>
      <c r="AE332" s="1">
        <v>124</v>
      </c>
      <c r="AF332" s="1">
        <v>130</v>
      </c>
      <c r="AG332" s="1">
        <v>902403</v>
      </c>
      <c r="AH332" s="1">
        <v>0</v>
      </c>
      <c r="AI332" s="1">
        <v>902400</v>
      </c>
      <c r="AJ332" s="1" t="s">
        <v>5365</v>
      </c>
      <c r="AK332" s="1" t="s">
        <v>1356</v>
      </c>
      <c r="AL332" s="1">
        <v>13</v>
      </c>
      <c r="AM332" s="1" t="s">
        <v>4719</v>
      </c>
      <c r="AN332" s="1" t="s">
        <v>5366</v>
      </c>
      <c r="AO332" s="1" t="s">
        <v>5213</v>
      </c>
      <c r="AP332" s="1">
        <v>0</v>
      </c>
      <c r="AQ332" s="1" t="s">
        <v>1130</v>
      </c>
      <c r="AR332" s="1" t="s">
        <v>1154</v>
      </c>
      <c r="AS332" s="1" t="s">
        <v>1129</v>
      </c>
      <c r="AT332" s="1" t="s">
        <v>328</v>
      </c>
      <c r="AU332" s="1">
        <v>48</v>
      </c>
      <c r="AV332" s="1">
        <v>0</v>
      </c>
      <c r="AW332" s="1" t="s">
        <v>5363</v>
      </c>
      <c r="AX332" s="1" t="s">
        <v>331</v>
      </c>
      <c r="AY332" s="1">
        <v>5</v>
      </c>
      <c r="AZ332" s="1">
        <v>0</v>
      </c>
      <c r="BA332" s="1" t="s">
        <v>328</v>
      </c>
      <c r="BB332" s="1" t="s">
        <v>328</v>
      </c>
      <c r="BC332" s="1" t="s">
        <v>328</v>
      </c>
      <c r="BD332" s="1">
        <v>10802</v>
      </c>
      <c r="BE332" s="1"/>
      <c r="BH332">
        <f>COUNTIF(Dropdowns!$I:$AF,C332)</f>
        <v>1</v>
      </c>
    </row>
    <row r="333" spans="1:60" x14ac:dyDescent="0.3">
      <c r="A333" s="1">
        <v>339</v>
      </c>
      <c r="B333" s="1" t="s">
        <v>4062</v>
      </c>
      <c r="C333" s="207" t="s">
        <v>1677</v>
      </c>
      <c r="D333" s="1" t="s">
        <v>1677</v>
      </c>
      <c r="E333" s="1"/>
      <c r="F333" s="1"/>
      <c r="G333" s="1" t="s">
        <v>4063</v>
      </c>
      <c r="H333" s="1" t="s">
        <v>4064</v>
      </c>
      <c r="I333" s="1" t="s">
        <v>4065</v>
      </c>
      <c r="J333" s="1">
        <v>5</v>
      </c>
      <c r="K333" s="1">
        <v>5</v>
      </c>
      <c r="L333" s="1">
        <v>22560</v>
      </c>
      <c r="M333" s="1">
        <v>40</v>
      </c>
      <c r="N333" s="1">
        <v>30</v>
      </c>
      <c r="O333" s="1">
        <v>25</v>
      </c>
      <c r="P333" s="1">
        <v>15</v>
      </c>
      <c r="Q333" s="1">
        <v>5</v>
      </c>
      <c r="R333" s="1">
        <v>5</v>
      </c>
      <c r="S333" s="1">
        <v>2</v>
      </c>
      <c r="T333" s="1">
        <v>5</v>
      </c>
      <c r="U333" s="1">
        <v>100</v>
      </c>
      <c r="V333" s="1">
        <v>102</v>
      </c>
      <c r="W333" s="1">
        <v>110</v>
      </c>
      <c r="X333" s="1">
        <v>100</v>
      </c>
      <c r="Y333" s="1">
        <v>120</v>
      </c>
      <c r="Z333" s="1">
        <v>125</v>
      </c>
      <c r="AA333" s="1">
        <v>0</v>
      </c>
      <c r="AB333" s="1">
        <v>15</v>
      </c>
      <c r="AC333" s="1">
        <v>5</v>
      </c>
      <c r="AD333" s="1">
        <v>9</v>
      </c>
      <c r="AE333" s="1">
        <v>138</v>
      </c>
      <c r="AF333" s="1">
        <v>100</v>
      </c>
      <c r="AG333" s="1">
        <v>902425</v>
      </c>
      <c r="AH333" s="1">
        <v>0</v>
      </c>
      <c r="AI333" s="1">
        <v>902420</v>
      </c>
      <c r="AJ333" s="1" t="s">
        <v>1357</v>
      </c>
      <c r="AK333" s="1" t="s">
        <v>1358</v>
      </c>
      <c r="AL333" s="1">
        <v>18</v>
      </c>
      <c r="AM333" s="1" t="s">
        <v>4858</v>
      </c>
      <c r="AN333" s="1" t="s">
        <v>5367</v>
      </c>
      <c r="AO333" s="1" t="s">
        <v>5368</v>
      </c>
      <c r="AP333" s="1">
        <v>0</v>
      </c>
      <c r="AQ333" s="1" t="s">
        <v>1167</v>
      </c>
      <c r="AR333" s="1" t="s">
        <v>1168</v>
      </c>
      <c r="AS333" s="1" t="s">
        <v>1169</v>
      </c>
      <c r="AT333" s="1" t="s">
        <v>328</v>
      </c>
      <c r="AU333" s="1">
        <v>238</v>
      </c>
      <c r="AV333" s="1">
        <v>0</v>
      </c>
      <c r="AW333" s="1" t="s">
        <v>5363</v>
      </c>
      <c r="AX333" s="1" t="s">
        <v>331</v>
      </c>
      <c r="AY333" s="1">
        <v>5</v>
      </c>
      <c r="AZ333" s="1">
        <v>0</v>
      </c>
      <c r="BA333" s="1" t="s">
        <v>328</v>
      </c>
      <c r="BB333" s="1" t="s">
        <v>328</v>
      </c>
      <c r="BC333" s="1" t="s">
        <v>4757</v>
      </c>
      <c r="BD333" s="1">
        <v>10203</v>
      </c>
      <c r="BE333" s="1"/>
      <c r="BH333">
        <f>COUNTIF(Dropdowns!$I:$AF,C333)</f>
        <v>1</v>
      </c>
    </row>
    <row r="334" spans="1:60" x14ac:dyDescent="0.3">
      <c r="A334" s="1">
        <v>340</v>
      </c>
      <c r="B334" s="1" t="s">
        <v>4066</v>
      </c>
      <c r="C334" s="207" t="s">
        <v>1678</v>
      </c>
      <c r="D334" s="1" t="s">
        <v>1678</v>
      </c>
      <c r="E334" s="1"/>
      <c r="F334" s="1"/>
      <c r="G334" s="1" t="s">
        <v>4067</v>
      </c>
      <c r="H334" s="1" t="s">
        <v>4068</v>
      </c>
      <c r="I334" s="1" t="s">
        <v>4069</v>
      </c>
      <c r="J334" s="1">
        <v>4</v>
      </c>
      <c r="K334" s="1">
        <v>5</v>
      </c>
      <c r="L334" s="1">
        <v>14160</v>
      </c>
      <c r="M334" s="1">
        <v>20</v>
      </c>
      <c r="N334" s="1">
        <v>20</v>
      </c>
      <c r="O334" s="1">
        <v>10</v>
      </c>
      <c r="P334" s="1">
        <v>10</v>
      </c>
      <c r="Q334" s="1">
        <v>2</v>
      </c>
      <c r="R334" s="1">
        <v>5</v>
      </c>
      <c r="S334" s="1">
        <v>5</v>
      </c>
      <c r="T334" s="1">
        <v>0</v>
      </c>
      <c r="U334" s="1">
        <v>105</v>
      </c>
      <c r="V334" s="1">
        <v>116</v>
      </c>
      <c r="W334" s="1">
        <v>106</v>
      </c>
      <c r="X334" s="1">
        <v>100</v>
      </c>
      <c r="Y334" s="1">
        <v>118</v>
      </c>
      <c r="Z334" s="1">
        <v>110</v>
      </c>
      <c r="AA334" s="1">
        <v>0</v>
      </c>
      <c r="AB334" s="1">
        <v>15</v>
      </c>
      <c r="AC334" s="1">
        <v>20</v>
      </c>
      <c r="AD334" s="1">
        <v>0</v>
      </c>
      <c r="AE334" s="1">
        <v>126</v>
      </c>
      <c r="AF334" s="1">
        <v>130</v>
      </c>
      <c r="AG334" s="1">
        <v>116301</v>
      </c>
      <c r="AH334" s="1">
        <v>0</v>
      </c>
      <c r="AI334" s="1">
        <v>300103</v>
      </c>
      <c r="AJ334" s="1" t="s">
        <v>1359</v>
      </c>
      <c r="AK334" s="1" t="s">
        <v>1360</v>
      </c>
      <c r="AL334" s="1">
        <v>13</v>
      </c>
      <c r="AM334" s="1" t="s">
        <v>4719</v>
      </c>
      <c r="AN334" s="1" t="s">
        <v>4834</v>
      </c>
      <c r="AO334" s="1" t="s">
        <v>5002</v>
      </c>
      <c r="AP334" s="1">
        <v>0</v>
      </c>
      <c r="AQ334" s="1" t="s">
        <v>1130</v>
      </c>
      <c r="AR334" s="1" t="s">
        <v>1154</v>
      </c>
      <c r="AS334" s="1" t="s">
        <v>1129</v>
      </c>
      <c r="AT334" s="1" t="s">
        <v>328</v>
      </c>
      <c r="AU334" s="1">
        <v>48</v>
      </c>
      <c r="AV334" s="1">
        <v>0</v>
      </c>
      <c r="AW334" s="1" t="s">
        <v>5369</v>
      </c>
      <c r="AX334" s="1" t="s">
        <v>5370</v>
      </c>
      <c r="AY334" s="1">
        <v>5</v>
      </c>
      <c r="AZ334" s="1">
        <v>0</v>
      </c>
      <c r="BA334" s="1" t="s">
        <v>328</v>
      </c>
      <c r="BB334" s="1" t="s">
        <v>328</v>
      </c>
      <c r="BC334" s="1" t="s">
        <v>4757</v>
      </c>
      <c r="BD334" s="1">
        <v>10402</v>
      </c>
      <c r="BE334" s="1"/>
      <c r="BH334">
        <f>COUNTIF(Dropdowns!$I:$AF,C334)</f>
        <v>1</v>
      </c>
    </row>
    <row r="335" spans="1:60" x14ac:dyDescent="0.3">
      <c r="A335" s="1">
        <v>341</v>
      </c>
      <c r="B335" s="1" t="s">
        <v>4070</v>
      </c>
      <c r="C335" s="207" t="s">
        <v>1702</v>
      </c>
      <c r="D335" s="1" t="s">
        <v>1702</v>
      </c>
      <c r="E335" s="1"/>
      <c r="F335" s="1"/>
      <c r="G335" s="1" t="s">
        <v>4071</v>
      </c>
      <c r="H335" s="1" t="s">
        <v>4072</v>
      </c>
      <c r="I335" s="1" t="s">
        <v>4073</v>
      </c>
      <c r="J335" s="1">
        <v>2</v>
      </c>
      <c r="K335" s="1">
        <v>5</v>
      </c>
      <c r="L335" s="1">
        <v>9300</v>
      </c>
      <c r="M335" s="1">
        <v>25</v>
      </c>
      <c r="N335" s="1">
        <v>20</v>
      </c>
      <c r="O335" s="1">
        <v>15</v>
      </c>
      <c r="P335" s="1">
        <v>10</v>
      </c>
      <c r="Q335" s="1">
        <v>5</v>
      </c>
      <c r="R335" s="1">
        <v>5</v>
      </c>
      <c r="S335" s="1">
        <v>2</v>
      </c>
      <c r="T335" s="1">
        <v>0</v>
      </c>
      <c r="U335" s="1">
        <v>125</v>
      </c>
      <c r="V335" s="1">
        <v>95</v>
      </c>
      <c r="W335" s="1">
        <v>108</v>
      </c>
      <c r="X335" s="1">
        <v>100</v>
      </c>
      <c r="Y335" s="1">
        <v>96</v>
      </c>
      <c r="Z335" s="1">
        <v>100</v>
      </c>
      <c r="AA335" s="1">
        <v>0</v>
      </c>
      <c r="AB335" s="1">
        <v>15</v>
      </c>
      <c r="AC335" s="1">
        <v>5</v>
      </c>
      <c r="AD335" s="1">
        <v>0</v>
      </c>
      <c r="AE335" s="1">
        <v>126</v>
      </c>
      <c r="AF335" s="1">
        <v>100</v>
      </c>
      <c r="AG335" s="1">
        <v>117301</v>
      </c>
      <c r="AH335" s="1">
        <v>0</v>
      </c>
      <c r="AI335" s="1">
        <v>300102</v>
      </c>
      <c r="AJ335" s="1" t="s">
        <v>1703</v>
      </c>
      <c r="AK335" s="1" t="s">
        <v>1704</v>
      </c>
      <c r="AL335" s="1">
        <v>14</v>
      </c>
      <c r="AM335" s="1" t="s">
        <v>398</v>
      </c>
      <c r="AN335" s="1" t="s">
        <v>5371</v>
      </c>
      <c r="AO335" s="1" t="s">
        <v>5372</v>
      </c>
      <c r="AP335" s="1">
        <v>0</v>
      </c>
      <c r="AQ335" s="1" t="s">
        <v>1129</v>
      </c>
      <c r="AR335" s="1" t="s">
        <v>1119</v>
      </c>
      <c r="AS335" s="1" t="s">
        <v>1130</v>
      </c>
      <c r="AT335" s="1" t="s">
        <v>328</v>
      </c>
      <c r="AU335" s="1">
        <v>150</v>
      </c>
      <c r="AV335" s="1">
        <v>0</v>
      </c>
      <c r="AW335" s="1" t="s">
        <v>5373</v>
      </c>
      <c r="AX335" s="1" t="s">
        <v>5374</v>
      </c>
      <c r="AY335" s="1">
        <v>5</v>
      </c>
      <c r="AZ335" s="1">
        <v>0</v>
      </c>
      <c r="BA335" s="1" t="s">
        <v>328</v>
      </c>
      <c r="BB335" s="1" t="s">
        <v>328</v>
      </c>
      <c r="BC335" s="1" t="s">
        <v>328</v>
      </c>
      <c r="BD335" s="1">
        <v>10202</v>
      </c>
      <c r="BE335" s="1"/>
      <c r="BH335">
        <f>COUNTIF(Dropdowns!$I:$AF,C335)</f>
        <v>1</v>
      </c>
    </row>
    <row r="336" spans="1:60" x14ac:dyDescent="0.3">
      <c r="A336" s="1">
        <v>342</v>
      </c>
      <c r="B336" s="1" t="s">
        <v>4074</v>
      </c>
      <c r="C336" s="207" t="s">
        <v>1705</v>
      </c>
      <c r="D336" s="1" t="s">
        <v>1705</v>
      </c>
      <c r="E336" s="1"/>
      <c r="F336" s="1"/>
      <c r="G336" s="1" t="s">
        <v>4075</v>
      </c>
      <c r="H336" s="1" t="s">
        <v>4076</v>
      </c>
      <c r="I336" s="1" t="s">
        <v>4077</v>
      </c>
      <c r="J336" s="1">
        <v>4</v>
      </c>
      <c r="K336" s="1">
        <v>5</v>
      </c>
      <c r="L336" s="1">
        <v>14160</v>
      </c>
      <c r="M336" s="1">
        <v>20</v>
      </c>
      <c r="N336" s="1">
        <v>20</v>
      </c>
      <c r="O336" s="1">
        <v>10</v>
      </c>
      <c r="P336" s="1">
        <v>10</v>
      </c>
      <c r="Q336" s="1">
        <v>2</v>
      </c>
      <c r="R336" s="1">
        <v>5</v>
      </c>
      <c r="S336" s="1">
        <v>5</v>
      </c>
      <c r="T336" s="1">
        <v>0</v>
      </c>
      <c r="U336" s="1">
        <v>120</v>
      </c>
      <c r="V336" s="1">
        <v>118</v>
      </c>
      <c r="W336" s="1">
        <v>116</v>
      </c>
      <c r="X336" s="1">
        <v>100</v>
      </c>
      <c r="Y336" s="1">
        <v>122</v>
      </c>
      <c r="Z336" s="1">
        <v>94</v>
      </c>
      <c r="AA336" s="1">
        <v>0</v>
      </c>
      <c r="AB336" s="1">
        <v>15</v>
      </c>
      <c r="AC336" s="1">
        <v>20</v>
      </c>
      <c r="AD336" s="1">
        <v>0</v>
      </c>
      <c r="AE336" s="1">
        <v>118</v>
      </c>
      <c r="AF336" s="1">
        <v>100</v>
      </c>
      <c r="AG336" s="1">
        <v>750011</v>
      </c>
      <c r="AH336" s="1">
        <v>0</v>
      </c>
      <c r="AI336" s="1">
        <v>750025</v>
      </c>
      <c r="AJ336" s="1" t="s">
        <v>1706</v>
      </c>
      <c r="AK336" s="1" t="s">
        <v>1707</v>
      </c>
      <c r="AL336" s="1">
        <v>13</v>
      </c>
      <c r="AM336" s="1" t="s">
        <v>4719</v>
      </c>
      <c r="AN336" s="1" t="s">
        <v>4864</v>
      </c>
      <c r="AO336" s="1" t="s">
        <v>5375</v>
      </c>
      <c r="AP336" s="1">
        <v>0</v>
      </c>
      <c r="AQ336" s="1" t="s">
        <v>1130</v>
      </c>
      <c r="AR336" s="1" t="s">
        <v>1154</v>
      </c>
      <c r="AS336" s="1" t="s">
        <v>1129</v>
      </c>
      <c r="AT336" s="1" t="s">
        <v>328</v>
      </c>
      <c r="AU336" s="1">
        <v>48</v>
      </c>
      <c r="AV336" s="1">
        <v>0</v>
      </c>
      <c r="AW336" s="1" t="s">
        <v>5373</v>
      </c>
      <c r="AX336" s="1" t="s">
        <v>5376</v>
      </c>
      <c r="AY336" s="1">
        <v>5</v>
      </c>
      <c r="AZ336" s="1">
        <v>0</v>
      </c>
      <c r="BA336" s="1" t="s">
        <v>328</v>
      </c>
      <c r="BB336" s="1" t="s">
        <v>328</v>
      </c>
      <c r="BC336" s="1" t="s">
        <v>328</v>
      </c>
      <c r="BD336" s="1">
        <v>10201</v>
      </c>
      <c r="BE336" s="1"/>
      <c r="BH336">
        <f>COUNTIF(Dropdowns!$I:$AF,C336)</f>
        <v>1</v>
      </c>
    </row>
    <row r="337" spans="1:60" x14ac:dyDescent="0.3">
      <c r="A337" s="1">
        <v>343</v>
      </c>
      <c r="B337" s="1" t="s">
        <v>4078</v>
      </c>
      <c r="C337" s="207" t="s">
        <v>1708</v>
      </c>
      <c r="D337" s="1" t="s">
        <v>1708</v>
      </c>
      <c r="E337" s="1"/>
      <c r="F337" s="1"/>
      <c r="G337" s="1" t="s">
        <v>4079</v>
      </c>
      <c r="H337" s="1" t="s">
        <v>4080</v>
      </c>
      <c r="I337" s="1" t="s">
        <v>4081</v>
      </c>
      <c r="J337" s="1">
        <v>4</v>
      </c>
      <c r="K337" s="1">
        <v>4</v>
      </c>
      <c r="L337" s="1">
        <v>13200</v>
      </c>
      <c r="M337" s="1">
        <v>20</v>
      </c>
      <c r="N337" s="1">
        <v>20</v>
      </c>
      <c r="O337" s="1">
        <v>10</v>
      </c>
      <c r="P337" s="1">
        <v>10</v>
      </c>
      <c r="Q337" s="1">
        <v>2</v>
      </c>
      <c r="R337" s="1">
        <v>5</v>
      </c>
      <c r="S337" s="1">
        <v>5</v>
      </c>
      <c r="T337" s="1">
        <v>0</v>
      </c>
      <c r="U337" s="1">
        <v>102</v>
      </c>
      <c r="V337" s="1">
        <v>104</v>
      </c>
      <c r="W337" s="1">
        <v>112</v>
      </c>
      <c r="X337" s="1">
        <v>100</v>
      </c>
      <c r="Y337" s="1">
        <v>110</v>
      </c>
      <c r="Z337" s="1">
        <v>102</v>
      </c>
      <c r="AA337" s="1">
        <v>0</v>
      </c>
      <c r="AB337" s="1">
        <v>15</v>
      </c>
      <c r="AC337" s="1">
        <v>20</v>
      </c>
      <c r="AD337" s="1">
        <v>0</v>
      </c>
      <c r="AE337" s="1">
        <v>125</v>
      </c>
      <c r="AF337" s="1">
        <v>100</v>
      </c>
      <c r="AG337" s="1">
        <v>117501</v>
      </c>
      <c r="AH337" s="1">
        <v>0</v>
      </c>
      <c r="AI337" s="1">
        <v>300103</v>
      </c>
      <c r="AJ337" s="1" t="s">
        <v>1709</v>
      </c>
      <c r="AK337" s="1" t="s">
        <v>1710</v>
      </c>
      <c r="AL337" s="1">
        <v>14</v>
      </c>
      <c r="AM337" s="1" t="s">
        <v>4719</v>
      </c>
      <c r="AN337" s="1" t="s">
        <v>5252</v>
      </c>
      <c r="AO337" s="1" t="s">
        <v>5014</v>
      </c>
      <c r="AP337" s="1">
        <v>0</v>
      </c>
      <c r="AQ337" s="1" t="s">
        <v>1130</v>
      </c>
      <c r="AR337" s="1" t="s">
        <v>1154</v>
      </c>
      <c r="AS337" s="1" t="s">
        <v>1129</v>
      </c>
      <c r="AT337" s="1" t="s">
        <v>328</v>
      </c>
      <c r="AU337" s="1">
        <v>48</v>
      </c>
      <c r="AV337" s="1">
        <v>0</v>
      </c>
      <c r="AW337" s="1" t="s">
        <v>5373</v>
      </c>
      <c r="AX337" s="1" t="s">
        <v>5377</v>
      </c>
      <c r="AY337" s="1">
        <v>4</v>
      </c>
      <c r="AZ337" s="1">
        <v>0</v>
      </c>
      <c r="BA337" s="1" t="s">
        <v>328</v>
      </c>
      <c r="BB337" s="1" t="s">
        <v>328</v>
      </c>
      <c r="BC337" s="1" t="s">
        <v>328</v>
      </c>
      <c r="BD337" s="1">
        <v>10402</v>
      </c>
      <c r="BE337" s="1"/>
      <c r="BH337">
        <f>COUNTIF(Dropdowns!$I:$AF,C337)</f>
        <v>1</v>
      </c>
    </row>
    <row r="338" spans="1:60" x14ac:dyDescent="0.3">
      <c r="A338" s="1">
        <v>344</v>
      </c>
      <c r="B338" s="1" t="s">
        <v>4082</v>
      </c>
      <c r="C338" s="207" t="s">
        <v>1711</v>
      </c>
      <c r="D338" s="1" t="s">
        <v>1716</v>
      </c>
      <c r="E338" s="1"/>
      <c r="F338" s="1"/>
      <c r="G338" s="1" t="s">
        <v>4083</v>
      </c>
      <c r="H338" s="1" t="s">
        <v>4084</v>
      </c>
      <c r="I338" s="1" t="s">
        <v>4085</v>
      </c>
      <c r="J338" s="1">
        <v>4</v>
      </c>
      <c r="K338" s="1">
        <v>4</v>
      </c>
      <c r="L338" s="1">
        <v>13200</v>
      </c>
      <c r="M338" s="1">
        <v>20</v>
      </c>
      <c r="N338" s="1">
        <v>20</v>
      </c>
      <c r="O338" s="1">
        <v>10</v>
      </c>
      <c r="P338" s="1">
        <v>10</v>
      </c>
      <c r="Q338" s="1">
        <v>2</v>
      </c>
      <c r="R338" s="1">
        <v>5</v>
      </c>
      <c r="S338" s="1">
        <v>5</v>
      </c>
      <c r="T338" s="1">
        <v>0</v>
      </c>
      <c r="U338" s="1">
        <v>100</v>
      </c>
      <c r="V338" s="1">
        <v>106</v>
      </c>
      <c r="W338" s="1">
        <v>115</v>
      </c>
      <c r="X338" s="1">
        <v>100</v>
      </c>
      <c r="Y338" s="1">
        <v>133</v>
      </c>
      <c r="Z338" s="1">
        <v>105</v>
      </c>
      <c r="AA338" s="1">
        <v>0</v>
      </c>
      <c r="AB338" s="1">
        <v>15</v>
      </c>
      <c r="AC338" s="1">
        <v>20</v>
      </c>
      <c r="AD338" s="1">
        <v>0</v>
      </c>
      <c r="AE338" s="1">
        <v>118</v>
      </c>
      <c r="AF338" s="1">
        <v>100</v>
      </c>
      <c r="AG338" s="1">
        <v>117401</v>
      </c>
      <c r="AH338" s="1">
        <v>0</v>
      </c>
      <c r="AI338" s="1">
        <v>300103</v>
      </c>
      <c r="AJ338" s="1" t="s">
        <v>1712</v>
      </c>
      <c r="AK338" s="1" t="s">
        <v>1713</v>
      </c>
      <c r="AL338" s="1">
        <v>12</v>
      </c>
      <c r="AM338" s="1" t="s">
        <v>4719</v>
      </c>
      <c r="AN338" s="1" t="s">
        <v>5188</v>
      </c>
      <c r="AO338" s="1" t="s">
        <v>5014</v>
      </c>
      <c r="AP338" s="1">
        <v>0</v>
      </c>
      <c r="AQ338" s="1" t="s">
        <v>1130</v>
      </c>
      <c r="AR338" s="1" t="s">
        <v>1154</v>
      </c>
      <c r="AS338" s="1" t="s">
        <v>1129</v>
      </c>
      <c r="AT338" s="1" t="s">
        <v>328</v>
      </c>
      <c r="AU338" s="1">
        <v>48</v>
      </c>
      <c r="AV338" s="1">
        <v>0</v>
      </c>
      <c r="AW338" s="1" t="s">
        <v>5373</v>
      </c>
      <c r="AX338" s="1" t="s">
        <v>5376</v>
      </c>
      <c r="AY338" s="1">
        <v>4</v>
      </c>
      <c r="AZ338" s="1">
        <v>0</v>
      </c>
      <c r="BA338" s="1" t="s">
        <v>328</v>
      </c>
      <c r="BB338" s="1" t="s">
        <v>328</v>
      </c>
      <c r="BC338" s="1" t="s">
        <v>328</v>
      </c>
      <c r="BD338" s="1">
        <v>10403</v>
      </c>
      <c r="BE338" s="1"/>
      <c r="BH338">
        <f>COUNTIF(Dropdowns!$I:$AF,C338)</f>
        <v>1</v>
      </c>
    </row>
    <row r="339" spans="1:60" x14ac:dyDescent="0.3">
      <c r="A339" s="1">
        <v>345</v>
      </c>
      <c r="B339" s="1" t="s">
        <v>4086</v>
      </c>
      <c r="C339" s="207" t="s">
        <v>1714</v>
      </c>
      <c r="D339" s="1" t="s">
        <v>1714</v>
      </c>
      <c r="E339" s="1"/>
      <c r="F339" s="1"/>
      <c r="G339" s="1" t="s">
        <v>4087</v>
      </c>
      <c r="H339" s="1" t="s">
        <v>4088</v>
      </c>
      <c r="I339" s="1" t="s">
        <v>4089</v>
      </c>
      <c r="J339" s="1">
        <v>5</v>
      </c>
      <c r="K339" s="1">
        <v>5</v>
      </c>
      <c r="L339" s="1">
        <v>22560</v>
      </c>
      <c r="M339" s="1">
        <v>40</v>
      </c>
      <c r="N339" s="1">
        <v>30</v>
      </c>
      <c r="O339" s="1">
        <v>25</v>
      </c>
      <c r="P339" s="1">
        <v>15</v>
      </c>
      <c r="Q339" s="1">
        <v>5</v>
      </c>
      <c r="R339" s="1">
        <v>5</v>
      </c>
      <c r="S339" s="1">
        <v>2</v>
      </c>
      <c r="T339" s="1">
        <v>5</v>
      </c>
      <c r="U339" s="1">
        <v>105</v>
      </c>
      <c r="V339" s="1">
        <v>125</v>
      </c>
      <c r="W339" s="1">
        <v>115</v>
      </c>
      <c r="X339" s="1">
        <v>100</v>
      </c>
      <c r="Y339" s="1">
        <v>100</v>
      </c>
      <c r="Z339" s="1">
        <v>100</v>
      </c>
      <c r="AA339" s="1">
        <v>0</v>
      </c>
      <c r="AB339" s="1">
        <v>15</v>
      </c>
      <c r="AC339" s="1">
        <v>5</v>
      </c>
      <c r="AD339" s="1">
        <v>9</v>
      </c>
      <c r="AE339" s="1">
        <v>125</v>
      </c>
      <c r="AF339" s="1">
        <v>100</v>
      </c>
      <c r="AG339" s="1">
        <v>750027</v>
      </c>
      <c r="AH339" s="1">
        <v>0</v>
      </c>
      <c r="AI339" s="1">
        <v>750028</v>
      </c>
      <c r="AJ339" s="1" t="s">
        <v>1715</v>
      </c>
      <c r="AK339" s="1" t="s">
        <v>328</v>
      </c>
      <c r="AL339" s="1">
        <v>18</v>
      </c>
      <c r="AM339" s="1" t="s">
        <v>4858</v>
      </c>
      <c r="AN339" s="1" t="s">
        <v>5378</v>
      </c>
      <c r="AO339" s="1" t="s">
        <v>5155</v>
      </c>
      <c r="AP339" s="1">
        <v>0</v>
      </c>
      <c r="AQ339" s="1" t="s">
        <v>1167</v>
      </c>
      <c r="AR339" s="1" t="s">
        <v>1168</v>
      </c>
      <c r="AS339" s="1" t="s">
        <v>1169</v>
      </c>
      <c r="AT339" s="1" t="s">
        <v>328</v>
      </c>
      <c r="AU339" s="1">
        <v>238</v>
      </c>
      <c r="AV339" s="1">
        <v>0</v>
      </c>
      <c r="AW339" s="1" t="s">
        <v>5373</v>
      </c>
      <c r="AX339" s="1" t="s">
        <v>5377</v>
      </c>
      <c r="AY339" s="1">
        <v>5</v>
      </c>
      <c r="AZ339" s="1">
        <v>0</v>
      </c>
      <c r="BA339" s="1" t="s">
        <v>328</v>
      </c>
      <c r="BB339" s="1" t="s">
        <v>328</v>
      </c>
      <c r="BC339" s="1" t="s">
        <v>328</v>
      </c>
      <c r="BD339" s="1">
        <v>10202</v>
      </c>
      <c r="BE339" s="1"/>
      <c r="BH339">
        <f>COUNTIF(Dropdowns!$I:$AF,C339)</f>
        <v>1</v>
      </c>
    </row>
    <row r="340" spans="1:60" x14ac:dyDescent="0.3">
      <c r="A340" s="1">
        <v>346</v>
      </c>
      <c r="B340" s="1" t="s">
        <v>4090</v>
      </c>
      <c r="C340" s="207" t="s">
        <v>1726</v>
      </c>
      <c r="D340" s="1" t="s">
        <v>1726</v>
      </c>
      <c r="E340" s="1"/>
      <c r="F340" s="1"/>
      <c r="G340" s="1" t="s">
        <v>4091</v>
      </c>
      <c r="H340" s="1" t="s">
        <v>4092</v>
      </c>
      <c r="I340" s="1" t="s">
        <v>4093</v>
      </c>
      <c r="J340" s="1">
        <v>1</v>
      </c>
      <c r="K340" s="1">
        <v>4</v>
      </c>
      <c r="L340" s="1">
        <v>2880</v>
      </c>
      <c r="M340" s="1">
        <v>10</v>
      </c>
      <c r="N340" s="1">
        <v>10</v>
      </c>
      <c r="O340" s="1">
        <v>5</v>
      </c>
      <c r="P340" s="1">
        <v>5</v>
      </c>
      <c r="Q340" s="1">
        <v>2</v>
      </c>
      <c r="R340" s="1">
        <v>2</v>
      </c>
      <c r="S340" s="1">
        <v>2</v>
      </c>
      <c r="T340" s="1">
        <v>0</v>
      </c>
      <c r="U340" s="1">
        <v>110</v>
      </c>
      <c r="V340" s="1">
        <v>108</v>
      </c>
      <c r="W340" s="1">
        <v>110</v>
      </c>
      <c r="X340" s="1">
        <v>100</v>
      </c>
      <c r="Y340" s="1">
        <v>116</v>
      </c>
      <c r="Z340" s="1">
        <v>115</v>
      </c>
      <c r="AA340" s="1">
        <v>0</v>
      </c>
      <c r="AB340" s="1">
        <v>15</v>
      </c>
      <c r="AC340" s="1">
        <v>20</v>
      </c>
      <c r="AD340" s="1">
        <v>0</v>
      </c>
      <c r="AE340" s="1">
        <v>112</v>
      </c>
      <c r="AF340" s="1">
        <v>100</v>
      </c>
      <c r="AG340" s="1">
        <v>750068</v>
      </c>
      <c r="AH340" s="1">
        <v>0</v>
      </c>
      <c r="AI340" s="1">
        <v>300101</v>
      </c>
      <c r="AJ340" s="1" t="s">
        <v>328</v>
      </c>
      <c r="AK340" s="1" t="s">
        <v>1727</v>
      </c>
      <c r="AL340" s="1">
        <v>13</v>
      </c>
      <c r="AM340" s="1" t="s">
        <v>1806</v>
      </c>
      <c r="AN340" s="1" t="s">
        <v>5379</v>
      </c>
      <c r="AO340" s="1" t="s">
        <v>4741</v>
      </c>
      <c r="AP340" s="1">
        <v>0</v>
      </c>
      <c r="AQ340" s="1" t="s">
        <v>1118</v>
      </c>
      <c r="AR340" s="1" t="s">
        <v>1119</v>
      </c>
      <c r="AS340" s="1" t="s">
        <v>1120</v>
      </c>
      <c r="AT340" s="1" t="s">
        <v>328</v>
      </c>
      <c r="AU340" s="1">
        <v>212</v>
      </c>
      <c r="AV340" s="1">
        <v>0</v>
      </c>
      <c r="AW340" s="1" t="s">
        <v>5380</v>
      </c>
      <c r="AX340" s="1" t="s">
        <v>4762</v>
      </c>
      <c r="AY340" s="1">
        <v>4</v>
      </c>
      <c r="AZ340" s="1">
        <v>0</v>
      </c>
      <c r="BA340" s="1" t="s">
        <v>328</v>
      </c>
      <c r="BB340" s="1" t="s">
        <v>328</v>
      </c>
      <c r="BC340" s="1" t="s">
        <v>328</v>
      </c>
      <c r="BD340" s="1">
        <v>10303</v>
      </c>
      <c r="BE340" s="1"/>
      <c r="BH340">
        <f>COUNTIF(Dropdowns!$I:$AF,C340)</f>
        <v>0</v>
      </c>
    </row>
    <row r="341" spans="1:60" x14ac:dyDescent="0.3">
      <c r="A341" s="1">
        <v>347</v>
      </c>
      <c r="B341" s="1" t="s">
        <v>4094</v>
      </c>
      <c r="C341" s="207" t="s">
        <v>1728</v>
      </c>
      <c r="D341" s="1" t="s">
        <v>1728</v>
      </c>
      <c r="E341" s="1"/>
      <c r="F341" s="1"/>
      <c r="G341" s="1" t="s">
        <v>4095</v>
      </c>
      <c r="H341" s="1" t="s">
        <v>4096</v>
      </c>
      <c r="I341" s="1" t="s">
        <v>4097</v>
      </c>
      <c r="J341" s="1">
        <v>2</v>
      </c>
      <c r="K341" s="1">
        <v>5</v>
      </c>
      <c r="L341" s="1">
        <v>9180</v>
      </c>
      <c r="M341" s="1">
        <v>25</v>
      </c>
      <c r="N341" s="1">
        <v>20</v>
      </c>
      <c r="O341" s="1">
        <v>15</v>
      </c>
      <c r="P341" s="1">
        <v>10</v>
      </c>
      <c r="Q341" s="1">
        <v>5</v>
      </c>
      <c r="R341" s="1">
        <v>5</v>
      </c>
      <c r="S341" s="1">
        <v>2</v>
      </c>
      <c r="T341" s="1">
        <v>0</v>
      </c>
      <c r="U341" s="1">
        <v>118</v>
      </c>
      <c r="V341" s="1">
        <v>115</v>
      </c>
      <c r="W341" s="1">
        <v>118</v>
      </c>
      <c r="X341" s="1">
        <v>100</v>
      </c>
      <c r="Y341" s="1">
        <v>120</v>
      </c>
      <c r="Z341" s="1">
        <v>105</v>
      </c>
      <c r="AA341" s="1">
        <v>0</v>
      </c>
      <c r="AB341" s="1">
        <v>15</v>
      </c>
      <c r="AC341" s="1">
        <v>5</v>
      </c>
      <c r="AD341" s="1">
        <v>0</v>
      </c>
      <c r="AE341" s="1">
        <v>110</v>
      </c>
      <c r="AF341" s="1">
        <v>100</v>
      </c>
      <c r="AG341" s="1">
        <v>750075</v>
      </c>
      <c r="AH341" s="1">
        <v>0</v>
      </c>
      <c r="AI341" s="1">
        <v>750077</v>
      </c>
      <c r="AJ341" s="1" t="s">
        <v>1729</v>
      </c>
      <c r="AK341" s="1" t="s">
        <v>1730</v>
      </c>
      <c r="AL341" s="1">
        <v>12</v>
      </c>
      <c r="AM341" s="1" t="s">
        <v>398</v>
      </c>
      <c r="AN341" s="1" t="s">
        <v>5381</v>
      </c>
      <c r="AO341" s="1" t="s">
        <v>5382</v>
      </c>
      <c r="AP341" s="1">
        <v>0</v>
      </c>
      <c r="AQ341" s="1" t="s">
        <v>1129</v>
      </c>
      <c r="AR341" s="1" t="s">
        <v>1215</v>
      </c>
      <c r="AS341" s="1" t="s">
        <v>1130</v>
      </c>
      <c r="AT341" s="1" t="s">
        <v>328</v>
      </c>
      <c r="AU341" s="1">
        <v>150</v>
      </c>
      <c r="AV341" s="1">
        <v>0</v>
      </c>
      <c r="AW341" s="1" t="s">
        <v>5380</v>
      </c>
      <c r="AX341" s="1" t="s">
        <v>331</v>
      </c>
      <c r="AY341" s="1">
        <v>5</v>
      </c>
      <c r="AZ341" s="1">
        <v>0</v>
      </c>
      <c r="BA341" s="1" t="s">
        <v>328</v>
      </c>
      <c r="BB341" s="1" t="s">
        <v>328</v>
      </c>
      <c r="BC341" s="1" t="s">
        <v>4757</v>
      </c>
      <c r="BD341" s="1">
        <v>10202</v>
      </c>
      <c r="BE341" s="1"/>
      <c r="BH341">
        <f>COUNTIF(Dropdowns!$I:$AF,C341)</f>
        <v>1</v>
      </c>
    </row>
    <row r="342" spans="1:60" x14ac:dyDescent="0.3">
      <c r="A342" s="1">
        <v>348</v>
      </c>
      <c r="B342" s="1" t="s">
        <v>4098</v>
      </c>
      <c r="C342" s="207" t="s">
        <v>1731</v>
      </c>
      <c r="D342" s="1" t="s">
        <v>1731</v>
      </c>
      <c r="E342" s="1"/>
      <c r="F342" s="1"/>
      <c r="G342" s="1" t="s">
        <v>4099</v>
      </c>
      <c r="H342" s="1" t="s">
        <v>4100</v>
      </c>
      <c r="I342" s="1" t="s">
        <v>4101</v>
      </c>
      <c r="J342" s="1">
        <v>3</v>
      </c>
      <c r="K342" s="1">
        <v>5</v>
      </c>
      <c r="L342" s="1">
        <v>17340</v>
      </c>
      <c r="M342" s="1">
        <v>15</v>
      </c>
      <c r="N342" s="1">
        <v>30</v>
      </c>
      <c r="O342" s="1">
        <v>10</v>
      </c>
      <c r="P342" s="1">
        <v>15</v>
      </c>
      <c r="Q342" s="1">
        <v>5</v>
      </c>
      <c r="R342" s="1">
        <v>2</v>
      </c>
      <c r="S342" s="1">
        <v>5</v>
      </c>
      <c r="T342" s="1">
        <v>0</v>
      </c>
      <c r="U342" s="1">
        <v>100</v>
      </c>
      <c r="V342" s="1">
        <v>140</v>
      </c>
      <c r="W342" s="1">
        <v>94</v>
      </c>
      <c r="X342" s="1">
        <v>100</v>
      </c>
      <c r="Y342" s="1">
        <v>118</v>
      </c>
      <c r="Z342" s="1">
        <v>80</v>
      </c>
      <c r="AA342" s="1">
        <v>0</v>
      </c>
      <c r="AB342" s="1">
        <v>15</v>
      </c>
      <c r="AC342" s="1">
        <v>40</v>
      </c>
      <c r="AD342" s="1">
        <v>0</v>
      </c>
      <c r="AE342" s="1">
        <v>130</v>
      </c>
      <c r="AF342" s="1">
        <v>100</v>
      </c>
      <c r="AG342" s="1">
        <v>117901</v>
      </c>
      <c r="AH342" s="1">
        <v>0</v>
      </c>
      <c r="AI342" s="1">
        <v>117904</v>
      </c>
      <c r="AJ342" s="1" t="s">
        <v>1732</v>
      </c>
      <c r="AK342" s="1" t="s">
        <v>1733</v>
      </c>
      <c r="AL342" s="1">
        <v>12</v>
      </c>
      <c r="AM342" s="1" t="s">
        <v>4762</v>
      </c>
      <c r="AN342" s="1" t="s">
        <v>5383</v>
      </c>
      <c r="AO342" s="1" t="s">
        <v>4845</v>
      </c>
      <c r="AP342" s="1">
        <v>0</v>
      </c>
      <c r="AQ342" s="1" t="s">
        <v>1140</v>
      </c>
      <c r="AR342" s="1" t="s">
        <v>1141</v>
      </c>
      <c r="AS342" s="1" t="s">
        <v>1142</v>
      </c>
      <c r="AT342" s="1" t="s">
        <v>328</v>
      </c>
      <c r="AU342" s="1">
        <v>241</v>
      </c>
      <c r="AV342" s="1">
        <v>0</v>
      </c>
      <c r="AW342" s="1" t="s">
        <v>5380</v>
      </c>
      <c r="AX342" s="1" t="s">
        <v>331</v>
      </c>
      <c r="AY342" s="1">
        <v>5</v>
      </c>
      <c r="AZ342" s="1">
        <v>0</v>
      </c>
      <c r="BA342" s="1" t="s">
        <v>328</v>
      </c>
      <c r="BB342" s="1" t="s">
        <v>328</v>
      </c>
      <c r="BC342" s="1" t="s">
        <v>328</v>
      </c>
      <c r="BD342" s="1">
        <v>10402</v>
      </c>
      <c r="BE342" s="1"/>
      <c r="BH342">
        <f>COUNTIF(Dropdowns!$I:$AF,C342)</f>
        <v>1</v>
      </c>
    </row>
    <row r="343" spans="1:60" x14ac:dyDescent="0.3">
      <c r="A343" s="1">
        <v>349</v>
      </c>
      <c r="B343" s="1" t="s">
        <v>4102</v>
      </c>
      <c r="C343" s="207" t="s">
        <v>1734</v>
      </c>
      <c r="D343" s="1" t="s">
        <v>1734</v>
      </c>
      <c r="E343" s="1"/>
      <c r="F343" s="1"/>
      <c r="G343" s="1" t="s">
        <v>4103</v>
      </c>
      <c r="H343" s="1" t="s">
        <v>4104</v>
      </c>
      <c r="I343" s="1" t="s">
        <v>4105</v>
      </c>
      <c r="J343" s="1">
        <v>4</v>
      </c>
      <c r="K343" s="1">
        <v>4</v>
      </c>
      <c r="L343" s="1">
        <v>13500</v>
      </c>
      <c r="M343" s="1">
        <v>20</v>
      </c>
      <c r="N343" s="1">
        <v>20</v>
      </c>
      <c r="O343" s="1">
        <v>10</v>
      </c>
      <c r="P343" s="1">
        <v>10</v>
      </c>
      <c r="Q343" s="1">
        <v>2</v>
      </c>
      <c r="R343" s="1">
        <v>5</v>
      </c>
      <c r="S343" s="1">
        <v>5</v>
      </c>
      <c r="T343" s="1">
        <v>0</v>
      </c>
      <c r="U343" s="1">
        <v>100</v>
      </c>
      <c r="V343" s="1">
        <v>105</v>
      </c>
      <c r="W343" s="1">
        <v>105</v>
      </c>
      <c r="X343" s="1">
        <v>100</v>
      </c>
      <c r="Y343" s="1">
        <v>125</v>
      </c>
      <c r="Z343" s="1">
        <v>100</v>
      </c>
      <c r="AA343" s="1">
        <v>0</v>
      </c>
      <c r="AB343" s="1">
        <v>15</v>
      </c>
      <c r="AC343" s="1">
        <v>20</v>
      </c>
      <c r="AD343" s="1">
        <v>0</v>
      </c>
      <c r="AE343" s="1">
        <v>132</v>
      </c>
      <c r="AF343" s="1">
        <v>100</v>
      </c>
      <c r="AG343" s="1">
        <v>118001</v>
      </c>
      <c r="AH343" s="1">
        <v>0</v>
      </c>
      <c r="AI343" s="1">
        <v>300103</v>
      </c>
      <c r="AJ343" s="1" t="s">
        <v>1735</v>
      </c>
      <c r="AK343" s="1" t="s">
        <v>328</v>
      </c>
      <c r="AL343" s="1">
        <v>13</v>
      </c>
      <c r="AM343" s="1" t="s">
        <v>398</v>
      </c>
      <c r="AN343" s="1" t="s">
        <v>5384</v>
      </c>
      <c r="AO343" s="1" t="s">
        <v>5144</v>
      </c>
      <c r="AP343" s="1">
        <v>0</v>
      </c>
      <c r="AQ343" s="1" t="s">
        <v>1130</v>
      </c>
      <c r="AR343" s="1" t="s">
        <v>1154</v>
      </c>
      <c r="AS343" s="1" t="s">
        <v>1129</v>
      </c>
      <c r="AT343" s="1" t="s">
        <v>328</v>
      </c>
      <c r="AU343" s="1">
        <v>48</v>
      </c>
      <c r="AV343" s="1">
        <v>0</v>
      </c>
      <c r="AW343" s="1" t="s">
        <v>5380</v>
      </c>
      <c r="AX343" s="1" t="s">
        <v>331</v>
      </c>
      <c r="AY343" s="1">
        <v>4</v>
      </c>
      <c r="AZ343" s="1">
        <v>0</v>
      </c>
      <c r="BA343" s="1" t="s">
        <v>328</v>
      </c>
      <c r="BB343" s="1" t="s">
        <v>328</v>
      </c>
      <c r="BC343" s="1" t="s">
        <v>4757</v>
      </c>
      <c r="BD343" s="1">
        <v>10402</v>
      </c>
      <c r="BE343" s="1"/>
      <c r="BH343">
        <f>COUNTIF(Dropdowns!$I:$AF,C343)</f>
        <v>1</v>
      </c>
    </row>
    <row r="344" spans="1:60" x14ac:dyDescent="0.3">
      <c r="A344" s="1">
        <v>350</v>
      </c>
      <c r="B344" s="1" t="s">
        <v>4709</v>
      </c>
      <c r="C344" s="207" t="s">
        <v>4710</v>
      </c>
      <c r="D344" s="1" t="s">
        <v>4710</v>
      </c>
      <c r="E344" s="1"/>
      <c r="F344" s="1"/>
      <c r="G344" s="1" t="s">
        <v>4711</v>
      </c>
      <c r="H344" s="1" t="s">
        <v>4712</v>
      </c>
      <c r="I344" s="1" t="s">
        <v>4713</v>
      </c>
      <c r="J344" s="1">
        <v>6</v>
      </c>
      <c r="K344" s="1">
        <v>5</v>
      </c>
      <c r="L344" s="1">
        <v>30000</v>
      </c>
      <c r="M344" s="1">
        <v>30</v>
      </c>
      <c r="N344" s="1">
        <v>40</v>
      </c>
      <c r="O344" s="1">
        <v>15</v>
      </c>
      <c r="P344" s="1">
        <v>25</v>
      </c>
      <c r="Q344" s="1">
        <v>5</v>
      </c>
      <c r="R344" s="1">
        <v>2</v>
      </c>
      <c r="S344" s="1">
        <v>5</v>
      </c>
      <c r="T344" s="1">
        <v>5</v>
      </c>
      <c r="U344" s="1">
        <v>116</v>
      </c>
      <c r="V344" s="1">
        <v>100</v>
      </c>
      <c r="W344" s="1">
        <v>138</v>
      </c>
      <c r="X344" s="1">
        <v>100</v>
      </c>
      <c r="Y344" s="1">
        <v>110</v>
      </c>
      <c r="Z344" s="1">
        <v>90</v>
      </c>
      <c r="AA344" s="1">
        <v>125</v>
      </c>
      <c r="AB344" s="1">
        <v>15</v>
      </c>
      <c r="AC344" s="1">
        <v>40</v>
      </c>
      <c r="AD344" s="1">
        <v>5</v>
      </c>
      <c r="AE344" s="1">
        <v>106</v>
      </c>
      <c r="AF344" s="1">
        <v>100</v>
      </c>
      <c r="AG344" s="1">
        <v>750148</v>
      </c>
      <c r="AH344" s="1">
        <v>0</v>
      </c>
      <c r="AI344" s="1">
        <v>750157</v>
      </c>
      <c r="AJ344" s="1" t="s">
        <v>4714</v>
      </c>
      <c r="AK344" s="1" t="s">
        <v>4715</v>
      </c>
      <c r="AL344" s="1">
        <v>7</v>
      </c>
      <c r="AM344" s="1" t="s">
        <v>4716</v>
      </c>
      <c r="AN344" s="1" t="s">
        <v>4491</v>
      </c>
      <c r="AO344" s="1" t="s">
        <v>4717</v>
      </c>
      <c r="AP344" s="1">
        <v>0</v>
      </c>
      <c r="AQ344" s="1" t="s">
        <v>1200</v>
      </c>
      <c r="AR344" s="1" t="s">
        <v>1201</v>
      </c>
      <c r="AS344" s="1" t="s">
        <v>1202</v>
      </c>
      <c r="AT344" s="1" t="s">
        <v>328</v>
      </c>
      <c r="AU344" s="1">
        <v>164</v>
      </c>
      <c r="AV344" s="1">
        <v>0</v>
      </c>
      <c r="AW344" s="1" t="s">
        <v>4718</v>
      </c>
      <c r="AX344" s="1" t="s">
        <v>4719</v>
      </c>
      <c r="AY344" s="1">
        <v>5</v>
      </c>
      <c r="AZ344" s="1">
        <v>0</v>
      </c>
      <c r="BA344" s="1" t="s">
        <v>328</v>
      </c>
      <c r="BB344" s="1" t="s">
        <v>328</v>
      </c>
      <c r="BC344" s="1" t="s">
        <v>4720</v>
      </c>
      <c r="BD344" s="1">
        <v>10402</v>
      </c>
      <c r="BE344" s="1"/>
      <c r="BH344">
        <f>COUNTIF(Dropdowns!$I:$AF,C344)</f>
        <v>1</v>
      </c>
    </row>
    <row r="345" spans="1:60" x14ac:dyDescent="0.3">
      <c r="A345" s="1">
        <v>351</v>
      </c>
      <c r="B345" s="1" t="s">
        <v>4721</v>
      </c>
      <c r="C345" s="207" t="s">
        <v>4722</v>
      </c>
      <c r="D345" s="1" t="s">
        <v>4723</v>
      </c>
      <c r="E345" s="1"/>
      <c r="F345" s="1"/>
      <c r="G345" s="1" t="s">
        <v>4724</v>
      </c>
      <c r="H345" s="1" t="s">
        <v>4725</v>
      </c>
      <c r="I345" s="1" t="s">
        <v>4726</v>
      </c>
      <c r="J345" s="1">
        <v>6</v>
      </c>
      <c r="K345" s="1">
        <v>5</v>
      </c>
      <c r="L345" s="1">
        <v>29880</v>
      </c>
      <c r="M345" s="1">
        <v>30</v>
      </c>
      <c r="N345" s="1">
        <v>40</v>
      </c>
      <c r="O345" s="1">
        <v>15</v>
      </c>
      <c r="P345" s="1">
        <v>25</v>
      </c>
      <c r="Q345" s="1">
        <v>5</v>
      </c>
      <c r="R345" s="1">
        <v>2</v>
      </c>
      <c r="S345" s="1">
        <v>5</v>
      </c>
      <c r="T345" s="1">
        <v>5</v>
      </c>
      <c r="U345" s="1">
        <v>115</v>
      </c>
      <c r="V345" s="1">
        <v>110</v>
      </c>
      <c r="W345" s="1">
        <v>110</v>
      </c>
      <c r="X345" s="1">
        <v>100</v>
      </c>
      <c r="Y345" s="1">
        <v>118</v>
      </c>
      <c r="Z345" s="1">
        <v>110</v>
      </c>
      <c r="AA345" s="1">
        <v>120</v>
      </c>
      <c r="AB345" s="1">
        <v>15</v>
      </c>
      <c r="AC345" s="1">
        <v>40</v>
      </c>
      <c r="AD345" s="1">
        <v>5</v>
      </c>
      <c r="AE345" s="1">
        <v>115</v>
      </c>
      <c r="AF345" s="1">
        <v>100</v>
      </c>
      <c r="AG345" s="1">
        <v>750141</v>
      </c>
      <c r="AH345" s="1">
        <v>0</v>
      </c>
      <c r="AI345" s="1">
        <v>750157</v>
      </c>
      <c r="AJ345" s="1" t="s">
        <v>4727</v>
      </c>
      <c r="AK345" s="1" t="s">
        <v>328</v>
      </c>
      <c r="AL345" s="1">
        <v>8</v>
      </c>
      <c r="AM345" s="1" t="s">
        <v>4716</v>
      </c>
      <c r="AN345" s="1" t="s">
        <v>4728</v>
      </c>
      <c r="AO345" s="1" t="s">
        <v>4729</v>
      </c>
      <c r="AP345" s="1">
        <v>0</v>
      </c>
      <c r="AQ345" s="1" t="s">
        <v>1200</v>
      </c>
      <c r="AR345" s="1" t="s">
        <v>1201</v>
      </c>
      <c r="AS345" s="1" t="s">
        <v>1202</v>
      </c>
      <c r="AT345" s="1" t="s">
        <v>328</v>
      </c>
      <c r="AU345" s="1">
        <v>164</v>
      </c>
      <c r="AV345" s="1">
        <v>0</v>
      </c>
      <c r="AW345" s="1" t="s">
        <v>4718</v>
      </c>
      <c r="AX345" s="1" t="s">
        <v>4719</v>
      </c>
      <c r="AY345" s="1">
        <v>5</v>
      </c>
      <c r="AZ345" s="1">
        <v>0</v>
      </c>
      <c r="BA345" s="1" t="s">
        <v>328</v>
      </c>
      <c r="BB345" s="1" t="s">
        <v>328</v>
      </c>
      <c r="BC345" s="1" t="s">
        <v>4720</v>
      </c>
      <c r="BD345" s="1">
        <v>10705</v>
      </c>
      <c r="BE345" s="1"/>
      <c r="BH345">
        <f>COUNTIF(Dropdowns!$I:$AF,C345)</f>
        <v>1</v>
      </c>
    </row>
    <row r="346" spans="1:60" x14ac:dyDescent="0.3">
      <c r="A346" s="1">
        <v>352</v>
      </c>
      <c r="B346" s="1" t="s">
        <v>4730</v>
      </c>
      <c r="C346" s="207" t="s">
        <v>4731</v>
      </c>
      <c r="D346" s="1" t="s">
        <v>4731</v>
      </c>
      <c r="E346" s="1"/>
      <c r="F346" s="1"/>
      <c r="G346" s="1" t="s">
        <v>4732</v>
      </c>
      <c r="H346" s="1" t="s">
        <v>4733</v>
      </c>
      <c r="I346" s="1" t="s">
        <v>4734</v>
      </c>
      <c r="J346" s="1">
        <v>6</v>
      </c>
      <c r="K346" s="1">
        <v>4</v>
      </c>
      <c r="L346" s="1">
        <v>28080</v>
      </c>
      <c r="M346" s="1">
        <v>30</v>
      </c>
      <c r="N346" s="1">
        <v>40</v>
      </c>
      <c r="O346" s="1">
        <v>15</v>
      </c>
      <c r="P346" s="1">
        <v>25</v>
      </c>
      <c r="Q346" s="1">
        <v>5</v>
      </c>
      <c r="R346" s="1">
        <v>2</v>
      </c>
      <c r="S346" s="1">
        <v>5</v>
      </c>
      <c r="T346" s="1">
        <v>5</v>
      </c>
      <c r="U346" s="1">
        <v>120</v>
      </c>
      <c r="V346" s="1">
        <v>95</v>
      </c>
      <c r="W346" s="1">
        <v>105</v>
      </c>
      <c r="X346" s="1">
        <v>100</v>
      </c>
      <c r="Y346" s="1">
        <v>100</v>
      </c>
      <c r="Z346" s="1">
        <v>125</v>
      </c>
      <c r="AA346" s="1">
        <v>105</v>
      </c>
      <c r="AB346" s="1">
        <v>15</v>
      </c>
      <c r="AC346" s="1">
        <v>40</v>
      </c>
      <c r="AD346" s="1">
        <v>7</v>
      </c>
      <c r="AE346" s="1">
        <v>120</v>
      </c>
      <c r="AF346" s="1">
        <v>100</v>
      </c>
      <c r="AG346" s="1">
        <v>750188</v>
      </c>
      <c r="AH346" s="1">
        <v>0</v>
      </c>
      <c r="AI346" s="1">
        <v>300106</v>
      </c>
      <c r="AJ346" s="1" t="s">
        <v>4735</v>
      </c>
      <c r="AK346" s="1" t="s">
        <v>4736</v>
      </c>
      <c r="AL346" s="1">
        <v>13</v>
      </c>
      <c r="AM346" s="1" t="s">
        <v>387</v>
      </c>
      <c r="AN346" s="1" t="s">
        <v>4737</v>
      </c>
      <c r="AO346" s="1" t="s">
        <v>4738</v>
      </c>
      <c r="AP346" s="1">
        <v>0</v>
      </c>
      <c r="AQ346" s="1" t="s">
        <v>1200</v>
      </c>
      <c r="AR346" s="1" t="s">
        <v>1201</v>
      </c>
      <c r="AS346" s="1" t="s">
        <v>1202</v>
      </c>
      <c r="AT346" s="1" t="s">
        <v>328</v>
      </c>
      <c r="AU346" s="1">
        <v>165</v>
      </c>
      <c r="AV346" s="1">
        <v>0</v>
      </c>
      <c r="AW346" s="1" t="s">
        <v>4718</v>
      </c>
      <c r="AX346" s="1" t="s">
        <v>4719</v>
      </c>
      <c r="AY346" s="1">
        <v>4</v>
      </c>
      <c r="AZ346" s="1">
        <v>0</v>
      </c>
      <c r="BA346" s="1" t="s">
        <v>328</v>
      </c>
      <c r="BB346" s="1" t="s">
        <v>328</v>
      </c>
      <c r="BC346" s="1" t="s">
        <v>4739</v>
      </c>
      <c r="BD346" s="1">
        <v>10403</v>
      </c>
      <c r="BE346" s="1"/>
      <c r="BH346">
        <f>COUNTIF(Dropdowns!$I:$AF,C346)</f>
        <v>1</v>
      </c>
    </row>
    <row r="347" spans="1:60" x14ac:dyDescent="0.3">
      <c r="A347" s="1">
        <v>353</v>
      </c>
      <c r="B347" s="1" t="s">
        <v>5460</v>
      </c>
      <c r="C347" s="207" t="s">
        <v>5461</v>
      </c>
      <c r="D347" s="1" t="s">
        <v>5461</v>
      </c>
      <c r="E347" s="1" t="s">
        <v>328</v>
      </c>
      <c r="F347" s="1" t="s">
        <v>328</v>
      </c>
      <c r="G347" s="1" t="s">
        <v>5462</v>
      </c>
      <c r="H347" s="1" t="s">
        <v>5463</v>
      </c>
      <c r="I347" s="1" t="s">
        <v>5464</v>
      </c>
      <c r="J347" s="1">
        <v>6</v>
      </c>
      <c r="K347" s="1">
        <v>4</v>
      </c>
      <c r="L347" s="1">
        <v>25800</v>
      </c>
      <c r="M347" s="1">
        <v>30</v>
      </c>
      <c r="N347" s="1">
        <v>40</v>
      </c>
      <c r="O347" s="1">
        <v>15</v>
      </c>
      <c r="P347" s="1">
        <v>25</v>
      </c>
      <c r="Q347" s="1">
        <v>5</v>
      </c>
      <c r="R347" s="1">
        <v>2</v>
      </c>
      <c r="S347" s="1">
        <v>5</v>
      </c>
      <c r="T347" s="1">
        <v>5</v>
      </c>
      <c r="U347" s="1">
        <v>110</v>
      </c>
      <c r="V347" s="1">
        <v>145</v>
      </c>
      <c r="W347" s="1">
        <v>100</v>
      </c>
      <c r="X347" s="1">
        <v>100</v>
      </c>
      <c r="Y347" s="1">
        <v>130</v>
      </c>
      <c r="Z347" s="1">
        <v>80</v>
      </c>
      <c r="AA347" s="1">
        <v>110</v>
      </c>
      <c r="AB347" s="1">
        <v>15</v>
      </c>
      <c r="AC347" s="1">
        <v>40</v>
      </c>
      <c r="AD347" s="1">
        <v>5</v>
      </c>
      <c r="AE347" s="1">
        <v>110</v>
      </c>
      <c r="AF347" s="1">
        <v>100</v>
      </c>
      <c r="AG347" s="1">
        <v>750168</v>
      </c>
      <c r="AH347" s="1">
        <v>0</v>
      </c>
      <c r="AI347" s="1">
        <v>750157</v>
      </c>
      <c r="AJ347" s="1" t="s">
        <v>5465</v>
      </c>
      <c r="AK347" s="1" t="s">
        <v>5466</v>
      </c>
      <c r="AL347" s="1">
        <v>9</v>
      </c>
      <c r="AM347" s="1" t="s">
        <v>4716</v>
      </c>
      <c r="AN347" s="1" t="s">
        <v>5467</v>
      </c>
      <c r="AO347" s="1" t="s">
        <v>5209</v>
      </c>
      <c r="AP347" s="1">
        <v>0</v>
      </c>
      <c r="AQ347" s="1" t="s">
        <v>1200</v>
      </c>
      <c r="AR347" s="1" t="s">
        <v>1201</v>
      </c>
      <c r="AS347" s="1" t="s">
        <v>1202</v>
      </c>
      <c r="AT347" s="1" t="s">
        <v>328</v>
      </c>
      <c r="AU347" s="1">
        <v>165</v>
      </c>
      <c r="AV347" s="1">
        <v>0</v>
      </c>
      <c r="AW347" s="1" t="s">
        <v>4718</v>
      </c>
      <c r="AX347" s="1" t="s">
        <v>4719</v>
      </c>
      <c r="AY347" s="1">
        <v>4</v>
      </c>
      <c r="AZ347" s="1">
        <v>0</v>
      </c>
      <c r="BA347" s="1" t="s">
        <v>328</v>
      </c>
      <c r="BB347" s="1" t="s">
        <v>328</v>
      </c>
      <c r="BC347" s="1" t="s">
        <v>328</v>
      </c>
      <c r="BD347" s="1">
        <v>10802</v>
      </c>
      <c r="BE347" s="1"/>
      <c r="BH347">
        <f>COUNTIF(Dropdowns!$I:$AF,C347)</f>
        <v>1</v>
      </c>
    </row>
    <row r="348" spans="1:60" x14ac:dyDescent="0.3">
      <c r="A348" s="1">
        <v>354</v>
      </c>
      <c r="B348" s="1" t="s">
        <v>5468</v>
      </c>
      <c r="C348" s="207" t="s">
        <v>5491</v>
      </c>
      <c r="D348" s="1" t="s">
        <v>5469</v>
      </c>
      <c r="E348" s="1" t="s">
        <v>328</v>
      </c>
      <c r="F348" s="1" t="s">
        <v>328</v>
      </c>
      <c r="G348" s="1" t="s">
        <v>5470</v>
      </c>
      <c r="H348" s="1" t="s">
        <v>5471</v>
      </c>
      <c r="I348" s="1" t="s">
        <v>5472</v>
      </c>
      <c r="J348" s="1">
        <v>1</v>
      </c>
      <c r="K348" s="1">
        <v>4</v>
      </c>
      <c r="L348" s="1">
        <v>3480</v>
      </c>
      <c r="M348" s="1">
        <v>10</v>
      </c>
      <c r="N348" s="1">
        <v>10</v>
      </c>
      <c r="O348" s="1">
        <v>5</v>
      </c>
      <c r="P348" s="1">
        <v>5</v>
      </c>
      <c r="Q348" s="1">
        <v>2</v>
      </c>
      <c r="R348" s="1">
        <v>2</v>
      </c>
      <c r="S348" s="1">
        <v>2</v>
      </c>
      <c r="T348" s="1">
        <v>0</v>
      </c>
      <c r="U348" s="1">
        <v>100</v>
      </c>
      <c r="V348" s="1">
        <v>120</v>
      </c>
      <c r="W348" s="1">
        <v>120</v>
      </c>
      <c r="X348" s="1">
        <v>100</v>
      </c>
      <c r="Y348" s="1">
        <v>88</v>
      </c>
      <c r="Z348" s="1">
        <v>128</v>
      </c>
      <c r="AA348" s="1">
        <v>0</v>
      </c>
      <c r="AB348" s="1">
        <v>15</v>
      </c>
      <c r="AC348" s="1">
        <v>20</v>
      </c>
      <c r="AD348" s="1">
        <v>0</v>
      </c>
      <c r="AE348" s="1">
        <v>105</v>
      </c>
      <c r="AF348" s="1">
        <v>100</v>
      </c>
      <c r="AG348" s="1">
        <v>750213</v>
      </c>
      <c r="AH348" s="1">
        <v>0</v>
      </c>
      <c r="AI348" s="1">
        <v>300101</v>
      </c>
      <c r="AJ348" s="1" t="s">
        <v>5473</v>
      </c>
      <c r="AK348" s="1" t="s">
        <v>5474</v>
      </c>
      <c r="AL348" s="1">
        <v>12</v>
      </c>
      <c r="AM348" s="1" t="s">
        <v>1806</v>
      </c>
      <c r="AN348" s="1" t="s">
        <v>5475</v>
      </c>
      <c r="AO348" s="1" t="s">
        <v>4809</v>
      </c>
      <c r="AP348" s="1">
        <v>0</v>
      </c>
      <c r="AQ348" s="1" t="s">
        <v>1118</v>
      </c>
      <c r="AR348" s="1" t="s">
        <v>1119</v>
      </c>
      <c r="AS348" s="1" t="s">
        <v>1120</v>
      </c>
      <c r="AT348" s="1" t="s">
        <v>328</v>
      </c>
      <c r="AU348" s="1">
        <v>212</v>
      </c>
      <c r="AV348" s="1">
        <v>0</v>
      </c>
      <c r="AW348" s="1" t="s">
        <v>5476</v>
      </c>
      <c r="AX348" s="1" t="s">
        <v>4762</v>
      </c>
      <c r="AY348" s="1">
        <v>4</v>
      </c>
      <c r="AZ348" s="1">
        <v>0</v>
      </c>
      <c r="BA348" s="1" t="s">
        <v>328</v>
      </c>
      <c r="BB348" s="1" t="s">
        <v>328</v>
      </c>
      <c r="BC348" s="1" t="s">
        <v>4720</v>
      </c>
      <c r="BD348" s="1">
        <v>10302</v>
      </c>
      <c r="BE348" s="1"/>
      <c r="BH348">
        <f>COUNTIF(Dropdowns!$I:$AF,C348)</f>
        <v>0</v>
      </c>
    </row>
    <row r="349" spans="1:60" x14ac:dyDescent="0.3">
      <c r="A349" s="1">
        <v>355</v>
      </c>
      <c r="B349" s="1" t="s">
        <v>5477</v>
      </c>
      <c r="C349" s="207" t="s">
        <v>5478</v>
      </c>
      <c r="D349" s="1" t="s">
        <v>5478</v>
      </c>
      <c r="E349" s="1" t="s">
        <v>328</v>
      </c>
      <c r="F349" s="1" t="s">
        <v>328</v>
      </c>
      <c r="G349" s="1" t="s">
        <v>5479</v>
      </c>
      <c r="H349" s="1" t="s">
        <v>5480</v>
      </c>
      <c r="I349" s="1" t="s">
        <v>5481</v>
      </c>
      <c r="J349" s="1">
        <v>2</v>
      </c>
      <c r="K349" s="1">
        <v>4</v>
      </c>
      <c r="L349" s="1">
        <v>7920</v>
      </c>
      <c r="M349" s="1">
        <v>25</v>
      </c>
      <c r="N349" s="1">
        <v>20</v>
      </c>
      <c r="O349" s="1">
        <v>15</v>
      </c>
      <c r="P349" s="1">
        <v>10</v>
      </c>
      <c r="Q349" s="1">
        <v>5</v>
      </c>
      <c r="R349" s="1">
        <v>5</v>
      </c>
      <c r="S349" s="1">
        <v>2</v>
      </c>
      <c r="T349" s="1">
        <v>0</v>
      </c>
      <c r="U349" s="1">
        <v>100</v>
      </c>
      <c r="V349" s="1">
        <v>110</v>
      </c>
      <c r="W349" s="1">
        <v>108</v>
      </c>
      <c r="X349" s="1">
        <v>100</v>
      </c>
      <c r="Y349" s="1">
        <v>130</v>
      </c>
      <c r="Z349" s="1">
        <v>125</v>
      </c>
      <c r="AA349" s="1">
        <v>0</v>
      </c>
      <c r="AB349" s="1">
        <v>15</v>
      </c>
      <c r="AC349" s="1">
        <v>5</v>
      </c>
      <c r="AD349" s="1">
        <v>0</v>
      </c>
      <c r="AE349" s="1">
        <v>108</v>
      </c>
      <c r="AF349" s="1">
        <v>100</v>
      </c>
      <c r="AG349" s="1">
        <v>750215</v>
      </c>
      <c r="AH349" s="1">
        <v>0</v>
      </c>
      <c r="AI349" s="1">
        <v>300102</v>
      </c>
      <c r="AJ349" s="1" t="s">
        <v>5482</v>
      </c>
      <c r="AK349" s="1" t="s">
        <v>328</v>
      </c>
      <c r="AL349" s="1">
        <v>12</v>
      </c>
      <c r="AM349" s="1" t="s">
        <v>4790</v>
      </c>
      <c r="AN349" s="1" t="s">
        <v>358</v>
      </c>
      <c r="AO349" s="1" t="s">
        <v>5144</v>
      </c>
      <c r="AP349" s="1">
        <v>0</v>
      </c>
      <c r="AQ349" s="1" t="s">
        <v>1129</v>
      </c>
      <c r="AR349" s="1" t="s">
        <v>1119</v>
      </c>
      <c r="AS349" s="1" t="s">
        <v>1130</v>
      </c>
      <c r="AT349" s="1" t="s">
        <v>328</v>
      </c>
      <c r="AU349" s="1">
        <v>150</v>
      </c>
      <c r="AV349" s="1">
        <v>0</v>
      </c>
      <c r="AW349" s="1" t="s">
        <v>5476</v>
      </c>
      <c r="AX349" s="1" t="s">
        <v>331</v>
      </c>
      <c r="AY349" s="1">
        <v>4</v>
      </c>
      <c r="AZ349" s="1">
        <v>0</v>
      </c>
      <c r="BA349" s="1" t="s">
        <v>328</v>
      </c>
      <c r="BB349" s="1" t="s">
        <v>328</v>
      </c>
      <c r="BC349" s="1" t="s">
        <v>4853</v>
      </c>
      <c r="BD349" s="1">
        <v>10704</v>
      </c>
      <c r="BE349" s="1"/>
      <c r="BH349">
        <f>COUNTIF(Dropdowns!$I:$AF,C349)</f>
        <v>1</v>
      </c>
    </row>
    <row r="350" spans="1:60" x14ac:dyDescent="0.3">
      <c r="A350" s="1">
        <v>356</v>
      </c>
      <c r="B350" s="1" t="s">
        <v>5483</v>
      </c>
      <c r="C350" s="207" t="s">
        <v>5484</v>
      </c>
      <c r="D350" s="1" t="s">
        <v>5484</v>
      </c>
      <c r="E350" s="1" t="s">
        <v>328</v>
      </c>
      <c r="F350" s="1" t="s">
        <v>328</v>
      </c>
      <c r="G350" s="1" t="s">
        <v>5485</v>
      </c>
      <c r="H350" s="1" t="s">
        <v>5486</v>
      </c>
      <c r="I350" s="1" t="s">
        <v>5487</v>
      </c>
      <c r="J350" s="1">
        <v>4</v>
      </c>
      <c r="K350" s="1">
        <v>5</v>
      </c>
      <c r="L350" s="1">
        <v>14820</v>
      </c>
      <c r="M350" s="1">
        <v>20</v>
      </c>
      <c r="N350" s="1">
        <v>20</v>
      </c>
      <c r="O350" s="1">
        <v>10</v>
      </c>
      <c r="P350" s="1">
        <v>10</v>
      </c>
      <c r="Q350" s="1">
        <v>2</v>
      </c>
      <c r="R350" s="1">
        <v>5</v>
      </c>
      <c r="S350" s="1">
        <v>5</v>
      </c>
      <c r="T350" s="1">
        <v>0</v>
      </c>
      <c r="U350" s="1">
        <v>100</v>
      </c>
      <c r="V350" s="1">
        <v>115</v>
      </c>
      <c r="W350" s="1">
        <v>118</v>
      </c>
      <c r="X350" s="1">
        <v>100</v>
      </c>
      <c r="Y350" s="1">
        <v>120</v>
      </c>
      <c r="Z350" s="1">
        <v>110</v>
      </c>
      <c r="AA350" s="1">
        <v>0</v>
      </c>
      <c r="AB350" s="1">
        <v>15</v>
      </c>
      <c r="AC350" s="1">
        <v>20</v>
      </c>
      <c r="AD350" s="1">
        <v>0</v>
      </c>
      <c r="AE350" s="1">
        <v>130</v>
      </c>
      <c r="AF350" s="1">
        <v>100</v>
      </c>
      <c r="AG350" s="1">
        <v>750199</v>
      </c>
      <c r="AH350" s="1">
        <v>0</v>
      </c>
      <c r="AI350" s="1">
        <v>750202</v>
      </c>
      <c r="AJ350" s="1" t="s">
        <v>5488</v>
      </c>
      <c r="AK350" s="1" t="s">
        <v>5489</v>
      </c>
      <c r="AL350" s="1">
        <v>14</v>
      </c>
      <c r="AM350" s="1" t="s">
        <v>4719</v>
      </c>
      <c r="AN350" s="1" t="s">
        <v>5151</v>
      </c>
      <c r="AO350" s="1" t="s">
        <v>5152</v>
      </c>
      <c r="AP350" s="1">
        <v>0</v>
      </c>
      <c r="AQ350" s="1" t="s">
        <v>1130</v>
      </c>
      <c r="AR350" s="1" t="s">
        <v>1154</v>
      </c>
      <c r="AS350" s="1" t="s">
        <v>1129</v>
      </c>
      <c r="AT350" s="1" t="s">
        <v>328</v>
      </c>
      <c r="AU350" s="1">
        <v>48</v>
      </c>
      <c r="AV350" s="1">
        <v>0</v>
      </c>
      <c r="AW350" s="1" t="s">
        <v>5476</v>
      </c>
      <c r="AX350" s="1" t="s">
        <v>331</v>
      </c>
      <c r="AY350" s="1">
        <v>5</v>
      </c>
      <c r="AZ350" s="1">
        <v>0</v>
      </c>
      <c r="BA350" s="1" t="s">
        <v>328</v>
      </c>
      <c r="BB350" s="1" t="s">
        <v>328</v>
      </c>
      <c r="BC350" s="1" t="s">
        <v>4757</v>
      </c>
      <c r="BD350" s="1">
        <v>10202</v>
      </c>
      <c r="BE350" s="1"/>
      <c r="BH350">
        <f>COUNTIF(Dropdowns!$I:$AF,C350)</f>
        <v>1</v>
      </c>
    </row>
    <row r="351" spans="1:60" x14ac:dyDescent="0.3">
      <c r="A351" s="1">
        <v>357</v>
      </c>
      <c r="B351" s="1" t="s">
        <v>5671</v>
      </c>
      <c r="C351" s="207" t="s">
        <v>5672</v>
      </c>
      <c r="D351" s="1" t="s">
        <v>5672</v>
      </c>
      <c r="E351" s="1" t="s">
        <v>328</v>
      </c>
      <c r="F351" s="1" t="s">
        <v>328</v>
      </c>
      <c r="G351" s="1" t="s">
        <v>5673</v>
      </c>
      <c r="H351" s="1" t="s">
        <v>5674</v>
      </c>
      <c r="I351" s="1" t="s">
        <v>5675</v>
      </c>
      <c r="J351" s="1">
        <v>1</v>
      </c>
      <c r="K351" s="1">
        <v>5</v>
      </c>
      <c r="L351" s="1">
        <v>5700</v>
      </c>
      <c r="M351" s="1">
        <v>10</v>
      </c>
      <c r="N351" s="1">
        <v>10</v>
      </c>
      <c r="O351" s="1">
        <v>5</v>
      </c>
      <c r="P351" s="1">
        <v>5</v>
      </c>
      <c r="Q351" s="1">
        <v>2</v>
      </c>
      <c r="R351" s="1">
        <v>2</v>
      </c>
      <c r="S351" s="1">
        <v>2</v>
      </c>
      <c r="T351" s="1">
        <v>0</v>
      </c>
      <c r="U351" s="1">
        <v>110</v>
      </c>
      <c r="V351" s="1">
        <v>120</v>
      </c>
      <c r="W351" s="1">
        <v>105</v>
      </c>
      <c r="X351" s="1">
        <v>100</v>
      </c>
      <c r="Y351" s="1">
        <v>150</v>
      </c>
      <c r="Z351" s="1">
        <v>100</v>
      </c>
      <c r="AA351" s="1">
        <v>0</v>
      </c>
      <c r="AB351" s="1">
        <v>15</v>
      </c>
      <c r="AC351" s="1">
        <v>40</v>
      </c>
      <c r="AD351" s="1">
        <v>0</v>
      </c>
      <c r="AE351" s="1">
        <v>125</v>
      </c>
      <c r="AF351" s="1">
        <v>100</v>
      </c>
      <c r="AG351" s="1">
        <v>750265</v>
      </c>
      <c r="AH351" s="1">
        <v>0</v>
      </c>
      <c r="AI351" s="1">
        <v>750266</v>
      </c>
      <c r="AJ351" s="1" t="s">
        <v>5676</v>
      </c>
      <c r="AK351" s="1" t="s">
        <v>5677</v>
      </c>
      <c r="AL351" s="1">
        <v>13</v>
      </c>
      <c r="AM351" s="1" t="s">
        <v>1806</v>
      </c>
      <c r="AN351" s="1" t="s">
        <v>5678</v>
      </c>
      <c r="AO351" s="1" t="s">
        <v>4751</v>
      </c>
      <c r="AP351" s="1">
        <v>0</v>
      </c>
      <c r="AQ351" s="1" t="s">
        <v>1118</v>
      </c>
      <c r="AR351" s="1" t="s">
        <v>1119</v>
      </c>
      <c r="AS351" s="1" t="s">
        <v>1120</v>
      </c>
      <c r="AT351" s="1" t="s">
        <v>328</v>
      </c>
      <c r="AU351" s="1">
        <v>4</v>
      </c>
      <c r="AV351" s="1">
        <v>0</v>
      </c>
      <c r="AW351" s="1" t="s">
        <v>5679</v>
      </c>
      <c r="AX351" s="1" t="s">
        <v>5680</v>
      </c>
      <c r="AY351" s="1">
        <v>5</v>
      </c>
      <c r="AZ351" s="1">
        <v>0</v>
      </c>
      <c r="BA351" s="1" t="s">
        <v>328</v>
      </c>
      <c r="BB351" s="1" t="s">
        <v>328</v>
      </c>
      <c r="BC351" s="1" t="s">
        <v>4739</v>
      </c>
      <c r="BD351" s="1">
        <v>10203</v>
      </c>
      <c r="BE351" s="1"/>
      <c r="BH351">
        <f>COUNTIF(Dropdowns!$I:$AF,C351)</f>
        <v>0</v>
      </c>
    </row>
    <row r="352" spans="1:60" x14ac:dyDescent="0.3">
      <c r="A352" s="1">
        <v>358</v>
      </c>
      <c r="B352" s="1" t="s">
        <v>5681</v>
      </c>
      <c r="C352" s="207" t="s">
        <v>5682</v>
      </c>
      <c r="D352" s="1" t="s">
        <v>5682</v>
      </c>
      <c r="E352" s="1" t="s">
        <v>328</v>
      </c>
      <c r="F352" s="1" t="s">
        <v>328</v>
      </c>
      <c r="G352" s="1" t="s">
        <v>5683</v>
      </c>
      <c r="H352" s="1" t="s">
        <v>5684</v>
      </c>
      <c r="I352" s="1" t="s">
        <v>5685</v>
      </c>
      <c r="J352" s="1">
        <v>1</v>
      </c>
      <c r="K352" s="1">
        <v>4</v>
      </c>
      <c r="L352" s="1">
        <v>3240</v>
      </c>
      <c r="M352" s="1">
        <v>10</v>
      </c>
      <c r="N352" s="1">
        <v>10</v>
      </c>
      <c r="O352" s="1">
        <v>5</v>
      </c>
      <c r="P352" s="1">
        <v>5</v>
      </c>
      <c r="Q352" s="1">
        <v>2</v>
      </c>
      <c r="R352" s="1">
        <v>2</v>
      </c>
      <c r="S352" s="1">
        <v>2</v>
      </c>
      <c r="T352" s="1">
        <v>0</v>
      </c>
      <c r="U352" s="1">
        <v>105</v>
      </c>
      <c r="V352" s="1">
        <v>118</v>
      </c>
      <c r="W352" s="1">
        <v>115</v>
      </c>
      <c r="X352" s="1">
        <v>100</v>
      </c>
      <c r="Y352" s="1">
        <v>120</v>
      </c>
      <c r="Z352" s="1">
        <v>98</v>
      </c>
      <c r="AA352" s="1">
        <v>0</v>
      </c>
      <c r="AB352" s="1">
        <v>15</v>
      </c>
      <c r="AC352" s="1">
        <v>20</v>
      </c>
      <c r="AD352" s="1">
        <v>0</v>
      </c>
      <c r="AE352" s="1">
        <v>115</v>
      </c>
      <c r="AF352" s="1">
        <v>100</v>
      </c>
      <c r="AG352" s="1">
        <v>750247</v>
      </c>
      <c r="AH352" s="1">
        <v>0</v>
      </c>
      <c r="AI352" s="1">
        <v>300101</v>
      </c>
      <c r="AJ352" s="1" t="s">
        <v>328</v>
      </c>
      <c r="AK352" s="1" t="s">
        <v>5686</v>
      </c>
      <c r="AL352" s="1">
        <v>13</v>
      </c>
      <c r="AM352" s="1" t="s">
        <v>1806</v>
      </c>
      <c r="AN352" s="1" t="s">
        <v>5687</v>
      </c>
      <c r="AO352" s="1" t="s">
        <v>5063</v>
      </c>
      <c r="AP352" s="1">
        <v>0</v>
      </c>
      <c r="AQ352" s="1" t="s">
        <v>1118</v>
      </c>
      <c r="AR352" s="1" t="s">
        <v>1119</v>
      </c>
      <c r="AS352" s="1" t="s">
        <v>1120</v>
      </c>
      <c r="AT352" s="1" t="s">
        <v>328</v>
      </c>
      <c r="AU352" s="1">
        <v>212</v>
      </c>
      <c r="AV352" s="1">
        <v>0</v>
      </c>
      <c r="AW352" s="1" t="s">
        <v>5679</v>
      </c>
      <c r="AX352" s="1" t="s">
        <v>1593</v>
      </c>
      <c r="AY352" s="1">
        <v>4</v>
      </c>
      <c r="AZ352" s="1">
        <v>0</v>
      </c>
      <c r="BA352" s="1" t="s">
        <v>328</v>
      </c>
      <c r="BB352" s="1" t="s">
        <v>328</v>
      </c>
      <c r="BC352" s="1" t="s">
        <v>4769</v>
      </c>
      <c r="BD352" s="1">
        <v>10202</v>
      </c>
      <c r="BE352" s="1"/>
      <c r="BH352">
        <f>COUNTIF(Dropdowns!$I:$AF,C352)</f>
        <v>0</v>
      </c>
    </row>
    <row r="353" spans="1:60" x14ac:dyDescent="0.3">
      <c r="A353" s="1">
        <v>359</v>
      </c>
      <c r="B353" s="1" t="s">
        <v>5688</v>
      </c>
      <c r="C353" s="207" t="s">
        <v>5689</v>
      </c>
      <c r="D353" s="1" t="s">
        <v>5689</v>
      </c>
      <c r="E353" s="1" t="s">
        <v>328</v>
      </c>
      <c r="F353" s="1" t="s">
        <v>328</v>
      </c>
      <c r="G353" s="1" t="s">
        <v>5690</v>
      </c>
      <c r="H353" s="1" t="s">
        <v>5691</v>
      </c>
      <c r="I353" s="1" t="s">
        <v>5692</v>
      </c>
      <c r="J353" s="1">
        <v>2</v>
      </c>
      <c r="K353" s="1">
        <v>5</v>
      </c>
      <c r="L353" s="1">
        <v>9300</v>
      </c>
      <c r="M353" s="1">
        <v>25</v>
      </c>
      <c r="N353" s="1">
        <v>20</v>
      </c>
      <c r="O353" s="1">
        <v>15</v>
      </c>
      <c r="P353" s="1">
        <v>10</v>
      </c>
      <c r="Q353" s="1">
        <v>5</v>
      </c>
      <c r="R353" s="1">
        <v>5</v>
      </c>
      <c r="S353" s="1">
        <v>2</v>
      </c>
      <c r="T353" s="1">
        <v>0</v>
      </c>
      <c r="U353" s="1">
        <v>112</v>
      </c>
      <c r="V353" s="1">
        <v>105</v>
      </c>
      <c r="W353" s="1">
        <v>105</v>
      </c>
      <c r="X353" s="1">
        <v>100</v>
      </c>
      <c r="Y353" s="1">
        <v>110</v>
      </c>
      <c r="Z353" s="1">
        <v>115</v>
      </c>
      <c r="AA353" s="1">
        <v>0</v>
      </c>
      <c r="AB353" s="1">
        <v>15</v>
      </c>
      <c r="AC353" s="1">
        <v>5</v>
      </c>
      <c r="AD353" s="1">
        <v>0</v>
      </c>
      <c r="AE353" s="1">
        <v>120</v>
      </c>
      <c r="AF353" s="1">
        <v>100</v>
      </c>
      <c r="AG353" s="1">
        <v>119101</v>
      </c>
      <c r="AH353" s="1">
        <v>0</v>
      </c>
      <c r="AI353" s="1">
        <v>300102</v>
      </c>
      <c r="AJ353" s="1" t="s">
        <v>5693</v>
      </c>
      <c r="AK353" s="1" t="s">
        <v>5694</v>
      </c>
      <c r="AL353" s="1">
        <v>13</v>
      </c>
      <c r="AM353" s="1" t="s">
        <v>398</v>
      </c>
      <c r="AN353" s="1" t="s">
        <v>5695</v>
      </c>
      <c r="AO353" s="1" t="s">
        <v>5005</v>
      </c>
      <c r="AP353" s="1">
        <v>0</v>
      </c>
      <c r="AQ353" s="1" t="s">
        <v>1129</v>
      </c>
      <c r="AR353" s="1" t="s">
        <v>1119</v>
      </c>
      <c r="AS353" s="1" t="s">
        <v>1130</v>
      </c>
      <c r="AT353" s="1" t="s">
        <v>328</v>
      </c>
      <c r="AU353" s="1">
        <v>150</v>
      </c>
      <c r="AV353" s="1">
        <v>0</v>
      </c>
      <c r="AW353" s="1" t="s">
        <v>5679</v>
      </c>
      <c r="AX353" s="1" t="s">
        <v>1593</v>
      </c>
      <c r="AY353" s="1">
        <v>5</v>
      </c>
      <c r="AZ353" s="1">
        <v>0</v>
      </c>
      <c r="BA353" s="1" t="s">
        <v>328</v>
      </c>
      <c r="BB353" s="1" t="s">
        <v>328</v>
      </c>
      <c r="BC353" s="1" t="s">
        <v>328</v>
      </c>
      <c r="BD353" s="1">
        <v>10402</v>
      </c>
      <c r="BE353" s="1"/>
      <c r="BH353">
        <f>COUNTIF(Dropdowns!$I:$AF,C353)</f>
        <v>1</v>
      </c>
    </row>
    <row r="354" spans="1:60" x14ac:dyDescent="0.3">
      <c r="A354" s="1">
        <v>360</v>
      </c>
      <c r="B354" s="1" t="s">
        <v>5696</v>
      </c>
      <c r="C354" s="207" t="s">
        <v>5697</v>
      </c>
      <c r="D354" s="1" t="s">
        <v>5697</v>
      </c>
      <c r="E354" s="1" t="s">
        <v>328</v>
      </c>
      <c r="F354" s="1" t="s">
        <v>328</v>
      </c>
      <c r="G354" s="1" t="s">
        <v>5698</v>
      </c>
      <c r="H354" s="1" t="s">
        <v>5699</v>
      </c>
      <c r="I354" s="1" t="s">
        <v>5700</v>
      </c>
      <c r="J354" s="1">
        <v>3</v>
      </c>
      <c r="K354" s="1">
        <v>4</v>
      </c>
      <c r="L354" s="1">
        <v>15900</v>
      </c>
      <c r="M354" s="1">
        <v>15</v>
      </c>
      <c r="N354" s="1">
        <v>30</v>
      </c>
      <c r="O354" s="1">
        <v>10</v>
      </c>
      <c r="P354" s="1">
        <v>15</v>
      </c>
      <c r="Q354" s="1">
        <v>5</v>
      </c>
      <c r="R354" s="1">
        <v>2</v>
      </c>
      <c r="S354" s="1">
        <v>5</v>
      </c>
      <c r="T354" s="1">
        <v>0</v>
      </c>
      <c r="U354" s="1">
        <v>102</v>
      </c>
      <c r="V354" s="1">
        <v>112</v>
      </c>
      <c r="W354" s="1">
        <v>110</v>
      </c>
      <c r="X354" s="1">
        <v>100</v>
      </c>
      <c r="Y354" s="1">
        <v>120</v>
      </c>
      <c r="Z354" s="1">
        <v>95</v>
      </c>
      <c r="AA354" s="1">
        <v>0</v>
      </c>
      <c r="AB354" s="1">
        <v>15</v>
      </c>
      <c r="AC354" s="1">
        <v>40</v>
      </c>
      <c r="AD354" s="1">
        <v>0</v>
      </c>
      <c r="AE354" s="1">
        <v>118</v>
      </c>
      <c r="AF354" s="1">
        <v>100</v>
      </c>
      <c r="AG354" s="1">
        <v>750242</v>
      </c>
      <c r="AH354" s="1">
        <v>0</v>
      </c>
      <c r="AI354" s="1">
        <v>750246</v>
      </c>
      <c r="AJ354" s="1" t="s">
        <v>5701</v>
      </c>
      <c r="AK354" s="1" t="s">
        <v>5702</v>
      </c>
      <c r="AL354" s="1">
        <v>13</v>
      </c>
      <c r="AM354" s="1" t="s">
        <v>4762</v>
      </c>
      <c r="AN354" s="1" t="s">
        <v>5703</v>
      </c>
      <c r="AO354" s="1" t="s">
        <v>4832</v>
      </c>
      <c r="AP354" s="1">
        <v>0</v>
      </c>
      <c r="AQ354" s="1" t="s">
        <v>1140</v>
      </c>
      <c r="AR354" s="1" t="s">
        <v>1141</v>
      </c>
      <c r="AS354" s="1" t="s">
        <v>1142</v>
      </c>
      <c r="AT354" s="1" t="s">
        <v>328</v>
      </c>
      <c r="AU354" s="1">
        <v>241</v>
      </c>
      <c r="AV354" s="1">
        <v>0</v>
      </c>
      <c r="AW354" s="1" t="s">
        <v>5679</v>
      </c>
      <c r="AX354" s="1" t="s">
        <v>5704</v>
      </c>
      <c r="AY354" s="1">
        <v>4</v>
      </c>
      <c r="AZ354" s="1">
        <v>0</v>
      </c>
      <c r="BA354" s="1" t="s">
        <v>328</v>
      </c>
      <c r="BB354" s="1" t="s">
        <v>328</v>
      </c>
      <c r="BC354" s="1" t="s">
        <v>4720</v>
      </c>
      <c r="BD354" s="1">
        <v>10802</v>
      </c>
      <c r="BE354" s="1"/>
      <c r="BH354">
        <f>COUNTIF(Dropdowns!$I:$AF,C354)</f>
        <v>1</v>
      </c>
    </row>
    <row r="355" spans="1:60" x14ac:dyDescent="0.3">
      <c r="A355" s="1">
        <v>361</v>
      </c>
      <c r="B355" s="1" t="s">
        <v>5705</v>
      </c>
      <c r="C355" s="207" t="s">
        <v>5706</v>
      </c>
      <c r="D355" s="1" t="s">
        <v>5706</v>
      </c>
      <c r="E355" s="1" t="s">
        <v>328</v>
      </c>
      <c r="F355" s="1" t="s">
        <v>328</v>
      </c>
      <c r="G355" s="1" t="s">
        <v>5707</v>
      </c>
      <c r="H355" s="1" t="s">
        <v>5708</v>
      </c>
      <c r="I355" s="1" t="s">
        <v>5709</v>
      </c>
      <c r="J355" s="1">
        <v>4</v>
      </c>
      <c r="K355" s="1">
        <v>5</v>
      </c>
      <c r="L355" s="1">
        <v>13800</v>
      </c>
      <c r="M355" s="1">
        <v>20</v>
      </c>
      <c r="N355" s="1">
        <v>20</v>
      </c>
      <c r="O355" s="1">
        <v>10</v>
      </c>
      <c r="P355" s="1">
        <v>10</v>
      </c>
      <c r="Q355" s="1">
        <v>2</v>
      </c>
      <c r="R355" s="1">
        <v>5</v>
      </c>
      <c r="S355" s="1">
        <v>5</v>
      </c>
      <c r="T355" s="1">
        <v>0</v>
      </c>
      <c r="U355" s="1">
        <v>110</v>
      </c>
      <c r="V355" s="1">
        <v>122</v>
      </c>
      <c r="W355" s="1">
        <v>116</v>
      </c>
      <c r="X355" s="1">
        <v>100</v>
      </c>
      <c r="Y355" s="1">
        <v>122</v>
      </c>
      <c r="Z355" s="1">
        <v>110</v>
      </c>
      <c r="AA355" s="1">
        <v>0</v>
      </c>
      <c r="AB355" s="1">
        <v>15</v>
      </c>
      <c r="AC355" s="1">
        <v>20</v>
      </c>
      <c r="AD355" s="1">
        <v>0</v>
      </c>
      <c r="AE355" s="1">
        <v>120</v>
      </c>
      <c r="AF355" s="1">
        <v>100</v>
      </c>
      <c r="AG355" s="1">
        <v>119001</v>
      </c>
      <c r="AH355" s="1">
        <v>0</v>
      </c>
      <c r="AI355" s="1">
        <v>119003</v>
      </c>
      <c r="AJ355" s="1" t="s">
        <v>328</v>
      </c>
      <c r="AK355" s="1" t="s">
        <v>5710</v>
      </c>
      <c r="AL355" s="1">
        <v>13</v>
      </c>
      <c r="AM355" s="1" t="s">
        <v>4719</v>
      </c>
      <c r="AN355" s="1" t="s">
        <v>4864</v>
      </c>
      <c r="AO355" s="1" t="s">
        <v>5711</v>
      </c>
      <c r="AP355" s="1">
        <v>0</v>
      </c>
      <c r="AQ355" s="1" t="s">
        <v>1130</v>
      </c>
      <c r="AR355" s="1" t="s">
        <v>1154</v>
      </c>
      <c r="AS355" s="1" t="s">
        <v>1129</v>
      </c>
      <c r="AT355" s="1" t="s">
        <v>328</v>
      </c>
      <c r="AU355" s="1">
        <v>48</v>
      </c>
      <c r="AV355" s="1">
        <v>0</v>
      </c>
      <c r="AW355" s="1" t="s">
        <v>5679</v>
      </c>
      <c r="AX355" s="1" t="s">
        <v>5704</v>
      </c>
      <c r="AY355" s="1">
        <v>5</v>
      </c>
      <c r="AZ355" s="1">
        <v>0</v>
      </c>
      <c r="BA355" s="1" t="s">
        <v>328</v>
      </c>
      <c r="BB355" s="1" t="s">
        <v>328</v>
      </c>
      <c r="BC355" s="1" t="s">
        <v>4783</v>
      </c>
      <c r="BD355" s="1">
        <v>10402</v>
      </c>
      <c r="BE355" s="1"/>
      <c r="BH355">
        <f>COUNTIF(Dropdowns!$I:$AF,C355)</f>
        <v>1</v>
      </c>
    </row>
    <row r="356" spans="1:60" x14ac:dyDescent="0.3">
      <c r="A356" s="1">
        <v>362</v>
      </c>
      <c r="B356" s="1" t="s">
        <v>5712</v>
      </c>
      <c r="C356" s="207" t="s">
        <v>5713</v>
      </c>
      <c r="D356" s="1" t="s">
        <v>5713</v>
      </c>
      <c r="E356" s="1" t="s">
        <v>328</v>
      </c>
      <c r="F356" s="1" t="s">
        <v>328</v>
      </c>
      <c r="G356" s="1" t="s">
        <v>5714</v>
      </c>
      <c r="H356" s="1" t="s">
        <v>5715</v>
      </c>
      <c r="I356" s="1" t="s">
        <v>5716</v>
      </c>
      <c r="J356" s="1">
        <v>5</v>
      </c>
      <c r="K356" s="1">
        <v>4</v>
      </c>
      <c r="L356" s="1">
        <v>22800</v>
      </c>
      <c r="M356" s="1">
        <v>40</v>
      </c>
      <c r="N356" s="1">
        <v>30</v>
      </c>
      <c r="O356" s="1">
        <v>25</v>
      </c>
      <c r="P356" s="1">
        <v>15</v>
      </c>
      <c r="Q356" s="1">
        <v>5</v>
      </c>
      <c r="R356" s="1">
        <v>5</v>
      </c>
      <c r="S356" s="1">
        <v>2</v>
      </c>
      <c r="T356" s="1">
        <v>5</v>
      </c>
      <c r="U356" s="1">
        <v>100</v>
      </c>
      <c r="V356" s="1">
        <v>135</v>
      </c>
      <c r="W356" s="1">
        <v>90</v>
      </c>
      <c r="X356" s="1">
        <v>100</v>
      </c>
      <c r="Y356" s="1">
        <v>120</v>
      </c>
      <c r="Z356" s="1">
        <v>100</v>
      </c>
      <c r="AA356" s="1">
        <v>0</v>
      </c>
      <c r="AB356" s="1">
        <v>15</v>
      </c>
      <c r="AC356" s="1">
        <v>5</v>
      </c>
      <c r="AD356" s="1">
        <v>9</v>
      </c>
      <c r="AE356" s="1">
        <v>118</v>
      </c>
      <c r="AF356" s="1">
        <v>100</v>
      </c>
      <c r="AG356" s="1">
        <v>750252</v>
      </c>
      <c r="AH356" s="1">
        <v>0</v>
      </c>
      <c r="AI356" s="1">
        <v>750238</v>
      </c>
      <c r="AJ356" s="1" t="s">
        <v>5717</v>
      </c>
      <c r="AK356" s="1" t="s">
        <v>5718</v>
      </c>
      <c r="AL356" s="1">
        <v>18</v>
      </c>
      <c r="AM356" s="1" t="s">
        <v>4858</v>
      </c>
      <c r="AN356" s="1" t="s">
        <v>4937</v>
      </c>
      <c r="AO356" s="1" t="s">
        <v>5011</v>
      </c>
      <c r="AP356" s="1">
        <v>0</v>
      </c>
      <c r="AQ356" s="1" t="s">
        <v>1167</v>
      </c>
      <c r="AR356" s="1" t="s">
        <v>1168</v>
      </c>
      <c r="AS356" s="1" t="s">
        <v>1169</v>
      </c>
      <c r="AT356" s="1" t="s">
        <v>328</v>
      </c>
      <c r="AU356" s="1">
        <v>238</v>
      </c>
      <c r="AV356" s="1">
        <v>0</v>
      </c>
      <c r="AW356" s="1" t="s">
        <v>5679</v>
      </c>
      <c r="AX356" s="1" t="s">
        <v>1593</v>
      </c>
      <c r="AY356" s="1">
        <v>4</v>
      </c>
      <c r="AZ356" s="1">
        <v>0</v>
      </c>
      <c r="BA356" s="1" t="s">
        <v>328</v>
      </c>
      <c r="BB356" s="1" t="s">
        <v>328</v>
      </c>
      <c r="BC356" s="1" t="s">
        <v>328</v>
      </c>
      <c r="BD356" s="1">
        <v>10403</v>
      </c>
      <c r="BE356" s="1"/>
      <c r="BH356">
        <f>COUNTIF(Dropdowns!$I:$AF,C356)</f>
        <v>1</v>
      </c>
    </row>
    <row r="357" spans="1:60" x14ac:dyDescent="0.3">
      <c r="A357" s="1">
        <v>363</v>
      </c>
      <c r="B357" s="1" t="s">
        <v>6378</v>
      </c>
      <c r="C357" s="207" t="s">
        <v>2135</v>
      </c>
      <c r="D357" s="1" t="s">
        <v>2135</v>
      </c>
      <c r="E357" s="1" t="s">
        <v>328</v>
      </c>
      <c r="F357" s="1" t="s">
        <v>328</v>
      </c>
      <c r="G357" s="1" t="s">
        <v>6379</v>
      </c>
      <c r="H357" s="1" t="s">
        <v>6380</v>
      </c>
      <c r="I357" s="1" t="s">
        <v>6381</v>
      </c>
      <c r="J357" s="1">
        <v>2</v>
      </c>
      <c r="K357" s="1">
        <v>4</v>
      </c>
      <c r="L357" s="1">
        <v>8400</v>
      </c>
      <c r="M357" s="1">
        <v>25</v>
      </c>
      <c r="N357" s="1">
        <v>20</v>
      </c>
      <c r="O357" s="1">
        <v>15</v>
      </c>
      <c r="P357" s="1">
        <v>10</v>
      </c>
      <c r="Q357" s="1">
        <v>5</v>
      </c>
      <c r="R357" s="1">
        <v>5</v>
      </c>
      <c r="S357" s="1">
        <v>2</v>
      </c>
      <c r="T357" s="1">
        <v>0</v>
      </c>
      <c r="U357" s="1">
        <v>105</v>
      </c>
      <c r="V357" s="1">
        <v>110</v>
      </c>
      <c r="W357" s="1">
        <v>95</v>
      </c>
      <c r="X357" s="1">
        <v>100</v>
      </c>
      <c r="Y357" s="1">
        <v>90</v>
      </c>
      <c r="Z357" s="1">
        <v>105</v>
      </c>
      <c r="AA357" s="1">
        <v>0</v>
      </c>
      <c r="AB357" s="1">
        <v>15</v>
      </c>
      <c r="AC357" s="1">
        <v>5</v>
      </c>
      <c r="AD357" s="1">
        <v>0</v>
      </c>
      <c r="AE357" s="1">
        <v>125</v>
      </c>
      <c r="AF357" s="1">
        <v>100</v>
      </c>
      <c r="AG357" s="1">
        <v>119301</v>
      </c>
      <c r="AH357" s="1">
        <v>0</v>
      </c>
      <c r="AI357" s="1">
        <v>300102</v>
      </c>
      <c r="AJ357" s="1" t="s">
        <v>6382</v>
      </c>
      <c r="AK357" s="1" t="s">
        <v>6383</v>
      </c>
      <c r="AL357" s="1">
        <v>13</v>
      </c>
      <c r="AM357" s="1" t="s">
        <v>398</v>
      </c>
      <c r="AN357" s="1" t="s">
        <v>6384</v>
      </c>
      <c r="AO357" s="1" t="s">
        <v>5169</v>
      </c>
      <c r="AP357" s="1">
        <v>0</v>
      </c>
      <c r="AQ357" s="1" t="s">
        <v>1129</v>
      </c>
      <c r="AR357" s="1" t="s">
        <v>1119</v>
      </c>
      <c r="AS357" s="1" t="s">
        <v>1130</v>
      </c>
      <c r="AT357" s="1" t="s">
        <v>328</v>
      </c>
      <c r="AU357" s="1">
        <v>150</v>
      </c>
      <c r="AV357" s="1">
        <v>0</v>
      </c>
      <c r="AW357" s="1" t="s">
        <v>6385</v>
      </c>
      <c r="AX357" s="1" t="s">
        <v>331</v>
      </c>
      <c r="AY357" s="1">
        <v>4</v>
      </c>
      <c r="AZ357" s="1">
        <v>0</v>
      </c>
      <c r="BA357" s="1" t="s">
        <v>328</v>
      </c>
      <c r="BB357" s="1" t="s">
        <v>328</v>
      </c>
      <c r="BC357" s="1" t="s">
        <v>4769</v>
      </c>
      <c r="BD357" s="1">
        <v>10301</v>
      </c>
      <c r="BE357" s="1"/>
      <c r="BH357">
        <f>COUNTIF(Dropdowns!$I:$AF,C357)</f>
        <v>1</v>
      </c>
    </row>
    <row r="358" spans="1:60" x14ac:dyDescent="0.3">
      <c r="A358" s="1">
        <v>364</v>
      </c>
      <c r="B358" s="1" t="s">
        <v>6386</v>
      </c>
      <c r="C358" s="207" t="s">
        <v>6387</v>
      </c>
      <c r="D358" s="1" t="s">
        <v>6387</v>
      </c>
      <c r="E358" s="1" t="s">
        <v>328</v>
      </c>
      <c r="F358" s="1" t="s">
        <v>328</v>
      </c>
      <c r="G358" s="1" t="s">
        <v>6388</v>
      </c>
      <c r="H358" s="1" t="s">
        <v>6389</v>
      </c>
      <c r="I358" s="1" t="s">
        <v>6390</v>
      </c>
      <c r="J358" s="1">
        <v>2</v>
      </c>
      <c r="K358" s="1">
        <v>4</v>
      </c>
      <c r="L358" s="1">
        <v>8400</v>
      </c>
      <c r="M358" s="1">
        <v>25</v>
      </c>
      <c r="N358" s="1">
        <v>20</v>
      </c>
      <c r="O358" s="1">
        <v>15</v>
      </c>
      <c r="P358" s="1">
        <v>10</v>
      </c>
      <c r="Q358" s="1">
        <v>5</v>
      </c>
      <c r="R358" s="1">
        <v>5</v>
      </c>
      <c r="S358" s="1">
        <v>2</v>
      </c>
      <c r="T358" s="1">
        <v>0</v>
      </c>
      <c r="U358" s="1">
        <v>105</v>
      </c>
      <c r="V358" s="1">
        <v>105</v>
      </c>
      <c r="W358" s="1">
        <v>95</v>
      </c>
      <c r="X358" s="1">
        <v>100</v>
      </c>
      <c r="Y358" s="1">
        <v>90</v>
      </c>
      <c r="Z358" s="1">
        <v>110</v>
      </c>
      <c r="AA358" s="1">
        <v>0</v>
      </c>
      <c r="AB358" s="1">
        <v>15</v>
      </c>
      <c r="AC358" s="1">
        <v>5</v>
      </c>
      <c r="AD358" s="1">
        <v>0</v>
      </c>
      <c r="AE358" s="1">
        <v>125</v>
      </c>
      <c r="AF358" s="1">
        <v>100</v>
      </c>
      <c r="AG358" s="1">
        <v>119201</v>
      </c>
      <c r="AH358" s="1">
        <v>0</v>
      </c>
      <c r="AI358" s="1">
        <v>300102</v>
      </c>
      <c r="AJ358" s="1" t="s">
        <v>6391</v>
      </c>
      <c r="AK358" s="1" t="s">
        <v>6392</v>
      </c>
      <c r="AL358" s="1">
        <v>8</v>
      </c>
      <c r="AM358" s="1" t="s">
        <v>398</v>
      </c>
      <c r="AN358" s="1" t="s">
        <v>6393</v>
      </c>
      <c r="AO358" s="1" t="s">
        <v>5169</v>
      </c>
      <c r="AP358" s="1">
        <v>0</v>
      </c>
      <c r="AQ358" s="1" t="s">
        <v>1129</v>
      </c>
      <c r="AR358" s="1" t="s">
        <v>1119</v>
      </c>
      <c r="AS358" s="1" t="s">
        <v>1130</v>
      </c>
      <c r="AT358" s="1" t="s">
        <v>328</v>
      </c>
      <c r="AU358" s="1">
        <v>150</v>
      </c>
      <c r="AV358" s="1">
        <v>0</v>
      </c>
      <c r="AW358" s="1" t="s">
        <v>6385</v>
      </c>
      <c r="AX358" s="1" t="s">
        <v>331</v>
      </c>
      <c r="AY358" s="1">
        <v>4</v>
      </c>
      <c r="AZ358" s="1">
        <v>0</v>
      </c>
      <c r="BA358" s="1" t="s">
        <v>328</v>
      </c>
      <c r="BB358" s="1" t="s">
        <v>328</v>
      </c>
      <c r="BC358" s="1" t="s">
        <v>4769</v>
      </c>
      <c r="BD358" s="1">
        <v>10302</v>
      </c>
      <c r="BE358" s="1"/>
      <c r="BH358">
        <f>COUNTIF(Dropdowns!$I:$AF,C358)</f>
        <v>1</v>
      </c>
    </row>
    <row r="359" spans="1:60" x14ac:dyDescent="0.3">
      <c r="A359" s="1">
        <v>365</v>
      </c>
      <c r="B359" s="1" t="s">
        <v>6394</v>
      </c>
      <c r="C359" s="207" t="s">
        <v>6395</v>
      </c>
      <c r="D359" s="1" t="s">
        <v>6395</v>
      </c>
      <c r="E359" s="1" t="s">
        <v>328</v>
      </c>
      <c r="F359" s="1" t="s">
        <v>328</v>
      </c>
      <c r="G359" s="1" t="s">
        <v>6396</v>
      </c>
      <c r="H359" s="1" t="s">
        <v>6397</v>
      </c>
      <c r="I359" s="1" t="s">
        <v>6398</v>
      </c>
      <c r="J359" s="1">
        <v>4</v>
      </c>
      <c r="K359" s="1">
        <v>5</v>
      </c>
      <c r="L359" s="1">
        <v>15120</v>
      </c>
      <c r="M359" s="1">
        <v>20</v>
      </c>
      <c r="N359" s="1">
        <v>20</v>
      </c>
      <c r="O359" s="1">
        <v>10</v>
      </c>
      <c r="P359" s="1">
        <v>10</v>
      </c>
      <c r="Q359" s="1">
        <v>2</v>
      </c>
      <c r="R359" s="1">
        <v>5</v>
      </c>
      <c r="S359" s="1">
        <v>5</v>
      </c>
      <c r="T359" s="1">
        <v>0</v>
      </c>
      <c r="U359" s="1">
        <v>100</v>
      </c>
      <c r="V359" s="1">
        <v>105</v>
      </c>
      <c r="W359" s="1">
        <v>112</v>
      </c>
      <c r="X359" s="1">
        <v>100</v>
      </c>
      <c r="Y359" s="1">
        <v>120</v>
      </c>
      <c r="Z359" s="1">
        <v>115</v>
      </c>
      <c r="AA359" s="1">
        <v>0</v>
      </c>
      <c r="AB359" s="1">
        <v>15</v>
      </c>
      <c r="AC359" s="1">
        <v>20</v>
      </c>
      <c r="AD359" s="1">
        <v>0</v>
      </c>
      <c r="AE359" s="1">
        <v>135</v>
      </c>
      <c r="AF359" s="1">
        <v>100</v>
      </c>
      <c r="AG359" s="1">
        <v>750382</v>
      </c>
      <c r="AH359" s="1">
        <v>0</v>
      </c>
      <c r="AI359" s="1">
        <v>750383</v>
      </c>
      <c r="AJ359" s="1" t="s">
        <v>6399</v>
      </c>
      <c r="AK359" s="1" t="s">
        <v>328</v>
      </c>
      <c r="AL359" s="1">
        <v>13</v>
      </c>
      <c r="AM359" s="1" t="s">
        <v>4719</v>
      </c>
      <c r="AN359" s="1" t="s">
        <v>4829</v>
      </c>
      <c r="AO359" s="1" t="s">
        <v>6400</v>
      </c>
      <c r="AP359" s="1">
        <v>0</v>
      </c>
      <c r="AQ359" s="1" t="s">
        <v>1130</v>
      </c>
      <c r="AR359" s="1" t="s">
        <v>1154</v>
      </c>
      <c r="AS359" s="1" t="s">
        <v>1129</v>
      </c>
      <c r="AT359" s="1" t="s">
        <v>328</v>
      </c>
      <c r="AU359" s="1">
        <v>48</v>
      </c>
      <c r="AV359" s="1">
        <v>0</v>
      </c>
      <c r="AW359" s="1" t="s">
        <v>6385</v>
      </c>
      <c r="AX359" s="1" t="s">
        <v>331</v>
      </c>
      <c r="AY359" s="1">
        <v>5</v>
      </c>
      <c r="AZ359" s="1">
        <v>0</v>
      </c>
      <c r="BA359" s="1" t="s">
        <v>328</v>
      </c>
      <c r="BB359" s="1" t="s">
        <v>328</v>
      </c>
      <c r="BC359" s="1" t="s">
        <v>4720</v>
      </c>
      <c r="BD359" s="1">
        <v>10704</v>
      </c>
      <c r="BE359" s="1"/>
      <c r="BH359">
        <f>COUNTIF(Dropdowns!$I:$AF,C359)</f>
        <v>1</v>
      </c>
    </row>
    <row r="360" spans="1:60" x14ac:dyDescent="0.3">
      <c r="A360">
        <v>366</v>
      </c>
      <c r="B360" t="s">
        <v>6560</v>
      </c>
      <c r="C360" s="208" t="s">
        <v>6561</v>
      </c>
      <c r="D360" t="s">
        <v>6561</v>
      </c>
      <c r="E360" t="s">
        <v>328</v>
      </c>
      <c r="F360" t="s">
        <v>328</v>
      </c>
      <c r="G360" t="s">
        <v>6562</v>
      </c>
      <c r="H360" t="s">
        <v>6563</v>
      </c>
      <c r="I360" t="s">
        <v>6564</v>
      </c>
      <c r="J360">
        <v>6</v>
      </c>
      <c r="K360">
        <v>5</v>
      </c>
      <c r="L360">
        <v>31200</v>
      </c>
      <c r="M360">
        <v>30</v>
      </c>
      <c r="N360">
        <v>40</v>
      </c>
      <c r="O360">
        <v>15</v>
      </c>
      <c r="P360">
        <v>25</v>
      </c>
      <c r="Q360">
        <v>5</v>
      </c>
      <c r="R360">
        <v>2</v>
      </c>
      <c r="S360">
        <v>5</v>
      </c>
      <c r="T360">
        <v>5</v>
      </c>
      <c r="U360">
        <v>120</v>
      </c>
      <c r="V360">
        <v>118</v>
      </c>
      <c r="W360">
        <v>130</v>
      </c>
      <c r="X360">
        <v>100</v>
      </c>
      <c r="Y360">
        <v>125</v>
      </c>
      <c r="Z360">
        <v>80</v>
      </c>
      <c r="AA360">
        <v>125</v>
      </c>
      <c r="AB360">
        <v>15</v>
      </c>
      <c r="AC360">
        <v>40</v>
      </c>
      <c r="AD360">
        <v>3</v>
      </c>
      <c r="AE360">
        <v>105</v>
      </c>
      <c r="AF360">
        <v>100</v>
      </c>
      <c r="AG360">
        <v>750473</v>
      </c>
      <c r="AH360">
        <v>0</v>
      </c>
      <c r="AI360">
        <v>300106</v>
      </c>
      <c r="AJ360" t="s">
        <v>6565</v>
      </c>
      <c r="AK360" t="s">
        <v>6566</v>
      </c>
      <c r="AL360">
        <v>8</v>
      </c>
      <c r="AM360" t="s">
        <v>387</v>
      </c>
      <c r="AN360" t="s">
        <v>6567</v>
      </c>
      <c r="AO360" t="s">
        <v>6568</v>
      </c>
      <c r="AP360">
        <v>0</v>
      </c>
      <c r="AQ360" t="s">
        <v>1200</v>
      </c>
      <c r="AR360" t="s">
        <v>1201</v>
      </c>
      <c r="AS360" t="s">
        <v>1202</v>
      </c>
      <c r="AT360" t="s">
        <v>328</v>
      </c>
      <c r="AU360">
        <v>164</v>
      </c>
      <c r="AV360">
        <v>0</v>
      </c>
      <c r="AW360" t="s">
        <v>6569</v>
      </c>
      <c r="AX360" t="s">
        <v>4719</v>
      </c>
      <c r="AY360">
        <v>5</v>
      </c>
      <c r="AZ360">
        <v>0</v>
      </c>
      <c r="BA360" t="s">
        <v>328</v>
      </c>
      <c r="BB360" t="s">
        <v>328</v>
      </c>
      <c r="BC360" t="s">
        <v>4739</v>
      </c>
      <c r="BD360">
        <v>10704</v>
      </c>
      <c r="BE360" s="1"/>
      <c r="BH360">
        <f>COUNTIF(Dropdowns!$I:$AF,C360)</f>
        <v>1</v>
      </c>
    </row>
    <row r="361" spans="1:60" x14ac:dyDescent="0.3">
      <c r="A361">
        <v>367</v>
      </c>
      <c r="B361" t="s">
        <v>6570</v>
      </c>
      <c r="C361" s="208" t="s">
        <v>6571</v>
      </c>
      <c r="D361" t="s">
        <v>6571</v>
      </c>
      <c r="E361" t="s">
        <v>328</v>
      </c>
      <c r="F361" t="s">
        <v>328</v>
      </c>
      <c r="G361" t="s">
        <v>6572</v>
      </c>
      <c r="H361" t="s">
        <v>6573</v>
      </c>
      <c r="I361" t="s">
        <v>6574</v>
      </c>
      <c r="J361">
        <v>6</v>
      </c>
      <c r="K361">
        <v>5</v>
      </c>
      <c r="L361">
        <v>30600</v>
      </c>
      <c r="M361">
        <v>30</v>
      </c>
      <c r="N361">
        <v>40</v>
      </c>
      <c r="O361">
        <v>15</v>
      </c>
      <c r="P361">
        <v>25</v>
      </c>
      <c r="Q361">
        <v>5</v>
      </c>
      <c r="R361">
        <v>2</v>
      </c>
      <c r="S361">
        <v>5</v>
      </c>
      <c r="T361">
        <v>5</v>
      </c>
      <c r="U361">
        <v>100</v>
      </c>
      <c r="V361">
        <v>110</v>
      </c>
      <c r="W361">
        <v>140</v>
      </c>
      <c r="X361">
        <v>100</v>
      </c>
      <c r="Y361">
        <v>95</v>
      </c>
      <c r="Z361">
        <v>100</v>
      </c>
      <c r="AA361">
        <v>125</v>
      </c>
      <c r="AB361">
        <v>15</v>
      </c>
      <c r="AC361">
        <v>40</v>
      </c>
      <c r="AD361">
        <v>6</v>
      </c>
      <c r="AE361">
        <v>115</v>
      </c>
      <c r="AF361">
        <v>100</v>
      </c>
      <c r="AG361">
        <v>750483</v>
      </c>
      <c r="AH361">
        <v>0</v>
      </c>
      <c r="AI361">
        <v>300106</v>
      </c>
      <c r="AJ361" t="s">
        <v>6575</v>
      </c>
      <c r="AK361" t="s">
        <v>6576</v>
      </c>
      <c r="AL361">
        <v>9</v>
      </c>
      <c r="AM361" t="s">
        <v>4716</v>
      </c>
      <c r="AN361" t="s">
        <v>6577</v>
      </c>
      <c r="AO361" t="s">
        <v>6578</v>
      </c>
      <c r="AP361">
        <v>0</v>
      </c>
      <c r="AQ361" t="s">
        <v>1200</v>
      </c>
      <c r="AR361" t="s">
        <v>1201</v>
      </c>
      <c r="AS361" t="s">
        <v>1202</v>
      </c>
      <c r="AT361" t="s">
        <v>328</v>
      </c>
      <c r="AU361">
        <v>164</v>
      </c>
      <c r="AV361">
        <v>0</v>
      </c>
      <c r="AW361" t="s">
        <v>6569</v>
      </c>
      <c r="AX361" t="s">
        <v>4719</v>
      </c>
      <c r="AY361">
        <v>5</v>
      </c>
      <c r="AZ361">
        <v>0</v>
      </c>
      <c r="BA361" t="s">
        <v>328</v>
      </c>
      <c r="BB361" t="s">
        <v>328</v>
      </c>
      <c r="BC361" t="s">
        <v>4720</v>
      </c>
      <c r="BD361">
        <v>10704</v>
      </c>
      <c r="BE361" s="1"/>
      <c r="BH361">
        <f>COUNTIF(Dropdowns!$I:$AF,C361)</f>
        <v>1</v>
      </c>
    </row>
    <row r="362" spans="1:60" x14ac:dyDescent="0.3">
      <c r="A362">
        <v>368</v>
      </c>
      <c r="B362" t="s">
        <v>6579</v>
      </c>
      <c r="C362" s="208" t="s">
        <v>6580</v>
      </c>
      <c r="D362" t="s">
        <v>6580</v>
      </c>
      <c r="E362" t="s">
        <v>328</v>
      </c>
      <c r="F362" t="s">
        <v>328</v>
      </c>
      <c r="G362" t="s">
        <v>6581</v>
      </c>
      <c r="H362" t="s">
        <v>6582</v>
      </c>
      <c r="I362" t="s">
        <v>6583</v>
      </c>
      <c r="J362">
        <v>6</v>
      </c>
      <c r="K362">
        <v>4</v>
      </c>
      <c r="L362">
        <v>27300</v>
      </c>
      <c r="M362">
        <v>30</v>
      </c>
      <c r="N362">
        <v>40</v>
      </c>
      <c r="O362">
        <v>15</v>
      </c>
      <c r="P362">
        <v>25</v>
      </c>
      <c r="Q362">
        <v>5</v>
      </c>
      <c r="R362">
        <v>2</v>
      </c>
      <c r="S362">
        <v>5</v>
      </c>
      <c r="T362">
        <v>5</v>
      </c>
      <c r="U362">
        <v>105</v>
      </c>
      <c r="V362">
        <v>120</v>
      </c>
      <c r="W362">
        <v>100</v>
      </c>
      <c r="X362">
        <v>100</v>
      </c>
      <c r="Y362">
        <v>120</v>
      </c>
      <c r="Z362">
        <v>130</v>
      </c>
      <c r="AA362">
        <v>110</v>
      </c>
      <c r="AB362">
        <v>15</v>
      </c>
      <c r="AC362">
        <v>40</v>
      </c>
      <c r="AD362">
        <v>5</v>
      </c>
      <c r="AE362">
        <v>125</v>
      </c>
      <c r="AF362">
        <v>100</v>
      </c>
      <c r="AG362">
        <v>750509</v>
      </c>
      <c r="AH362">
        <v>0</v>
      </c>
      <c r="AI362">
        <v>300106</v>
      </c>
      <c r="AJ362" t="s">
        <v>1199</v>
      </c>
      <c r="AK362" t="s">
        <v>6584</v>
      </c>
      <c r="AL362">
        <v>7</v>
      </c>
      <c r="AM362" t="s">
        <v>4716</v>
      </c>
      <c r="AN362" t="s">
        <v>334</v>
      </c>
      <c r="AO362" t="s">
        <v>5068</v>
      </c>
      <c r="AP362">
        <v>0</v>
      </c>
      <c r="AQ362" t="s">
        <v>1200</v>
      </c>
      <c r="AR362" t="s">
        <v>1201</v>
      </c>
      <c r="AS362" t="s">
        <v>1202</v>
      </c>
      <c r="AT362" t="s">
        <v>328</v>
      </c>
      <c r="AU362">
        <v>165</v>
      </c>
      <c r="AV362">
        <v>0</v>
      </c>
      <c r="AW362" t="s">
        <v>6569</v>
      </c>
      <c r="AX362" t="s">
        <v>4719</v>
      </c>
      <c r="AY362">
        <v>4</v>
      </c>
      <c r="AZ362">
        <v>0</v>
      </c>
      <c r="BA362" t="s">
        <v>328</v>
      </c>
      <c r="BB362" t="s">
        <v>328</v>
      </c>
      <c r="BC362" t="s">
        <v>328</v>
      </c>
      <c r="BD362">
        <v>10803</v>
      </c>
      <c r="BE362" s="1"/>
      <c r="BH362">
        <f>COUNTIF(Dropdowns!$I:$AF,C362)</f>
        <v>1</v>
      </c>
    </row>
    <row r="363" spans="1:60" x14ac:dyDescent="0.3">
      <c r="A363" s="1">
        <v>1001</v>
      </c>
      <c r="B363" s="1" t="s">
        <v>4106</v>
      </c>
      <c r="C363" s="207" t="s">
        <v>193</v>
      </c>
      <c r="D363" s="1" t="s">
        <v>4107</v>
      </c>
      <c r="E363" s="1"/>
      <c r="F363" s="1"/>
      <c r="G363" s="1" t="s">
        <v>4108</v>
      </c>
      <c r="H363" s="1" t="s">
        <v>4109</v>
      </c>
      <c r="I363" s="1" t="s">
        <v>4110</v>
      </c>
      <c r="J363" s="1">
        <v>1</v>
      </c>
      <c r="K363" s="1">
        <v>5</v>
      </c>
      <c r="L363" s="1">
        <v>3600</v>
      </c>
      <c r="M363" s="1">
        <v>10</v>
      </c>
      <c r="N363" s="1">
        <v>10</v>
      </c>
      <c r="O363" s="1">
        <v>5</v>
      </c>
      <c r="P363" s="1">
        <v>5</v>
      </c>
      <c r="Q363" s="1">
        <v>2</v>
      </c>
      <c r="R363" s="1">
        <v>2</v>
      </c>
      <c r="S363" s="1">
        <v>2</v>
      </c>
      <c r="T363" s="1">
        <v>0</v>
      </c>
      <c r="U363" s="1">
        <v>90</v>
      </c>
      <c r="V363" s="1">
        <v>140</v>
      </c>
      <c r="W363" s="1">
        <v>120</v>
      </c>
      <c r="X363" s="1">
        <v>100</v>
      </c>
      <c r="Y363" s="1">
        <v>120</v>
      </c>
      <c r="Z363" s="1">
        <v>110</v>
      </c>
      <c r="AA363" s="1">
        <v>0</v>
      </c>
      <c r="AB363" s="1">
        <v>15</v>
      </c>
      <c r="AC363" s="1">
        <v>20</v>
      </c>
      <c r="AD363" s="1">
        <v>0</v>
      </c>
      <c r="AE363" s="1">
        <v>120</v>
      </c>
      <c r="AF363" s="1">
        <v>100</v>
      </c>
      <c r="AG363" s="1">
        <v>106406</v>
      </c>
      <c r="AH363" s="1">
        <v>0</v>
      </c>
      <c r="AI363" s="1">
        <v>300111</v>
      </c>
      <c r="AJ363" s="1" t="s">
        <v>328</v>
      </c>
      <c r="AK363" s="1" t="s">
        <v>328</v>
      </c>
      <c r="AL363" s="1">
        <v>13</v>
      </c>
      <c r="AM363" s="1" t="s">
        <v>1806</v>
      </c>
      <c r="AN363" s="1" t="s">
        <v>4962</v>
      </c>
      <c r="AO363" s="1" t="s">
        <v>5056</v>
      </c>
      <c r="AP363" s="1">
        <v>0</v>
      </c>
      <c r="AQ363" s="1" t="s">
        <v>1118</v>
      </c>
      <c r="AR363" s="1" t="s">
        <v>1119</v>
      </c>
      <c r="AS363" s="1" t="s">
        <v>1120</v>
      </c>
      <c r="AT363" s="1" t="s">
        <v>328</v>
      </c>
      <c r="AU363" s="1">
        <v>1001</v>
      </c>
      <c r="AV363" s="1">
        <v>1</v>
      </c>
      <c r="AW363" s="1" t="s">
        <v>5385</v>
      </c>
      <c r="AX363" s="1" t="s">
        <v>1806</v>
      </c>
      <c r="AY363" s="1">
        <v>7</v>
      </c>
      <c r="AZ363" s="1">
        <v>0</v>
      </c>
      <c r="BA363" s="1" t="s">
        <v>328</v>
      </c>
      <c r="BB363" s="1" t="s">
        <v>328</v>
      </c>
      <c r="BC363" s="1" t="s">
        <v>5386</v>
      </c>
      <c r="BD363" s="1">
        <v>0</v>
      </c>
      <c r="BE363" s="1"/>
      <c r="BH363">
        <f>COUNTIF(Dropdowns!$I:$AF,C363)</f>
        <v>0</v>
      </c>
    </row>
    <row r="364" spans="1:60" x14ac:dyDescent="0.3">
      <c r="A364" s="1">
        <v>1002</v>
      </c>
      <c r="B364" s="1" t="s">
        <v>4111</v>
      </c>
      <c r="C364" s="207" t="s">
        <v>194</v>
      </c>
      <c r="D364" s="1" t="s">
        <v>4112</v>
      </c>
      <c r="E364" s="1"/>
      <c r="F364" s="1"/>
      <c r="G364" s="1" t="s">
        <v>4113</v>
      </c>
      <c r="H364" s="1" t="s">
        <v>4114</v>
      </c>
      <c r="I364" s="1" t="s">
        <v>4115</v>
      </c>
      <c r="J364" s="1">
        <v>6</v>
      </c>
      <c r="K364" s="1">
        <v>5</v>
      </c>
      <c r="L364" s="1">
        <v>30600</v>
      </c>
      <c r="M364" s="1">
        <v>30</v>
      </c>
      <c r="N364" s="1">
        <v>40</v>
      </c>
      <c r="O364" s="1">
        <v>15</v>
      </c>
      <c r="P364" s="1">
        <v>25</v>
      </c>
      <c r="Q364" s="1">
        <v>5</v>
      </c>
      <c r="R364" s="1">
        <v>2</v>
      </c>
      <c r="S364" s="1">
        <v>5</v>
      </c>
      <c r="T364" s="1">
        <v>5</v>
      </c>
      <c r="U364" s="1">
        <v>125</v>
      </c>
      <c r="V364" s="1">
        <v>130</v>
      </c>
      <c r="W364" s="1">
        <v>110</v>
      </c>
      <c r="X364" s="1">
        <v>100</v>
      </c>
      <c r="Y364" s="1">
        <v>120</v>
      </c>
      <c r="Z364" s="1">
        <v>80</v>
      </c>
      <c r="AA364" s="1">
        <v>125</v>
      </c>
      <c r="AB364" s="1">
        <v>15</v>
      </c>
      <c r="AC364" s="1">
        <v>40</v>
      </c>
      <c r="AD364" s="1">
        <v>5</v>
      </c>
      <c r="AE364" s="1">
        <v>95</v>
      </c>
      <c r="AF364" s="1">
        <v>100</v>
      </c>
      <c r="AG364" s="1">
        <v>106407</v>
      </c>
      <c r="AH364" s="1">
        <v>0</v>
      </c>
      <c r="AI364" s="1">
        <v>300110</v>
      </c>
      <c r="AJ364" s="1" t="s">
        <v>1199</v>
      </c>
      <c r="AK364" s="1" t="s">
        <v>328</v>
      </c>
      <c r="AL364" s="1">
        <v>8</v>
      </c>
      <c r="AM364" s="1" t="s">
        <v>4716</v>
      </c>
      <c r="AN364" s="1" t="s">
        <v>398</v>
      </c>
      <c r="AO364" s="1" t="s">
        <v>5267</v>
      </c>
      <c r="AP364" s="1">
        <v>0</v>
      </c>
      <c r="AQ364" s="1" t="s">
        <v>1200</v>
      </c>
      <c r="AR364" s="1" t="s">
        <v>1201</v>
      </c>
      <c r="AS364" s="1" t="s">
        <v>1202</v>
      </c>
      <c r="AT364" s="1" t="s">
        <v>328</v>
      </c>
      <c r="AU364" s="1">
        <v>1002</v>
      </c>
      <c r="AV364" s="1">
        <v>1</v>
      </c>
      <c r="AW364" s="1" t="s">
        <v>5385</v>
      </c>
      <c r="AX364" s="1" t="s">
        <v>1806</v>
      </c>
      <c r="AY364" s="1">
        <v>7</v>
      </c>
      <c r="AZ364" s="1">
        <v>0</v>
      </c>
      <c r="BA364" s="1" t="s">
        <v>328</v>
      </c>
      <c r="BB364" s="1" t="s">
        <v>328</v>
      </c>
      <c r="BC364" s="1" t="s">
        <v>5386</v>
      </c>
      <c r="BD364" s="1">
        <v>0</v>
      </c>
      <c r="BE364" s="1"/>
      <c r="BH364">
        <f>COUNTIF(Dropdowns!$I:$AF,C364)</f>
        <v>1</v>
      </c>
    </row>
    <row r="365" spans="1:60" x14ac:dyDescent="0.3">
      <c r="A365" s="1">
        <v>1003</v>
      </c>
      <c r="B365" s="1" t="s">
        <v>4116</v>
      </c>
      <c r="C365" s="207" t="s">
        <v>819</v>
      </c>
      <c r="D365" s="1" t="s">
        <v>819</v>
      </c>
      <c r="E365" s="1"/>
      <c r="F365" s="1"/>
      <c r="G365" s="1" t="s">
        <v>4117</v>
      </c>
      <c r="H365" s="1" t="s">
        <v>4118</v>
      </c>
      <c r="I365" s="1" t="s">
        <v>4119</v>
      </c>
      <c r="J365" s="1">
        <v>1</v>
      </c>
      <c r="K365" s="1">
        <v>5</v>
      </c>
      <c r="L365" s="1">
        <v>3600</v>
      </c>
      <c r="M365" s="1">
        <v>10</v>
      </c>
      <c r="N365" s="1">
        <v>10</v>
      </c>
      <c r="O365" s="1">
        <v>5</v>
      </c>
      <c r="P365" s="1">
        <v>5</v>
      </c>
      <c r="Q365" s="1">
        <v>2</v>
      </c>
      <c r="R365" s="1">
        <v>2</v>
      </c>
      <c r="S365" s="1">
        <v>2</v>
      </c>
      <c r="T365" s="1">
        <v>0</v>
      </c>
      <c r="U365" s="1">
        <v>105</v>
      </c>
      <c r="V365" s="1">
        <v>125</v>
      </c>
      <c r="W365" s="1">
        <v>125</v>
      </c>
      <c r="X365" s="1">
        <v>100</v>
      </c>
      <c r="Y365" s="1">
        <v>118</v>
      </c>
      <c r="Z365" s="1">
        <v>115</v>
      </c>
      <c r="AA365" s="1">
        <v>0</v>
      </c>
      <c r="AB365" s="1">
        <v>15</v>
      </c>
      <c r="AC365" s="1">
        <v>20</v>
      </c>
      <c r="AD365" s="1">
        <v>0</v>
      </c>
      <c r="AE365" s="1">
        <v>104</v>
      </c>
      <c r="AF365" s="1">
        <v>100</v>
      </c>
      <c r="AG365" s="1">
        <v>107301</v>
      </c>
      <c r="AH365" s="1">
        <v>0</v>
      </c>
      <c r="AI365" s="1">
        <v>300101</v>
      </c>
      <c r="AJ365" s="1" t="s">
        <v>1361</v>
      </c>
      <c r="AK365" s="1" t="s">
        <v>328</v>
      </c>
      <c r="AL365" s="1">
        <v>13</v>
      </c>
      <c r="AM365" s="1" t="s">
        <v>1806</v>
      </c>
      <c r="AN365" s="1" t="s">
        <v>4747</v>
      </c>
      <c r="AO365" s="1" t="s">
        <v>5014</v>
      </c>
      <c r="AP365" s="1">
        <v>0</v>
      </c>
      <c r="AQ365" s="1" t="s">
        <v>1118</v>
      </c>
      <c r="AR365" s="1" t="s">
        <v>1119</v>
      </c>
      <c r="AS365" s="1" t="s">
        <v>1120</v>
      </c>
      <c r="AT365" s="1" t="s">
        <v>328</v>
      </c>
      <c r="AU365" s="1">
        <v>1003</v>
      </c>
      <c r="AV365" s="1">
        <v>1</v>
      </c>
      <c r="AW365" s="1" t="s">
        <v>5387</v>
      </c>
      <c r="AX365" s="1" t="s">
        <v>5388</v>
      </c>
      <c r="AY365" s="1">
        <v>7</v>
      </c>
      <c r="AZ365" s="1">
        <v>0</v>
      </c>
      <c r="BA365" s="1" t="s">
        <v>328</v>
      </c>
      <c r="BB365" s="1" t="s">
        <v>328</v>
      </c>
      <c r="BC365" s="1" t="s">
        <v>5386</v>
      </c>
      <c r="BD365" s="1">
        <v>0</v>
      </c>
      <c r="BE365" s="1"/>
      <c r="BH365">
        <f>COUNTIF(Dropdowns!$I:$AF,C365)</f>
        <v>0</v>
      </c>
    </row>
    <row r="366" spans="1:60" x14ac:dyDescent="0.3">
      <c r="A366" s="1">
        <v>1004</v>
      </c>
      <c r="B366" s="1" t="s">
        <v>4120</v>
      </c>
      <c r="C366" s="207" t="s">
        <v>820</v>
      </c>
      <c r="D366" s="1" t="s">
        <v>4121</v>
      </c>
      <c r="E366" s="1"/>
      <c r="F366" s="1"/>
      <c r="G366" s="1" t="s">
        <v>4122</v>
      </c>
      <c r="H366" s="1" t="s">
        <v>4123</v>
      </c>
      <c r="I366" s="1" t="s">
        <v>4124</v>
      </c>
      <c r="J366" s="1">
        <v>3</v>
      </c>
      <c r="K366" s="1">
        <v>5</v>
      </c>
      <c r="L366" s="1">
        <v>17400</v>
      </c>
      <c r="M366" s="1">
        <v>15</v>
      </c>
      <c r="N366" s="1">
        <v>30</v>
      </c>
      <c r="O366" s="1">
        <v>10</v>
      </c>
      <c r="P366" s="1">
        <v>15</v>
      </c>
      <c r="Q366" s="1">
        <v>5</v>
      </c>
      <c r="R366" s="1">
        <v>2</v>
      </c>
      <c r="S366" s="1">
        <v>5</v>
      </c>
      <c r="T366" s="1">
        <v>0</v>
      </c>
      <c r="U366" s="1">
        <v>95</v>
      </c>
      <c r="V366" s="1">
        <v>135</v>
      </c>
      <c r="W366" s="1">
        <v>98</v>
      </c>
      <c r="X366" s="1">
        <v>100</v>
      </c>
      <c r="Y366" s="1">
        <v>105</v>
      </c>
      <c r="Z366" s="1">
        <v>95</v>
      </c>
      <c r="AA366" s="1">
        <v>0</v>
      </c>
      <c r="AB366" s="1">
        <v>15</v>
      </c>
      <c r="AC366" s="1">
        <v>40</v>
      </c>
      <c r="AD366" s="1">
        <v>0</v>
      </c>
      <c r="AE366" s="1">
        <v>120</v>
      </c>
      <c r="AF366" s="1">
        <v>100</v>
      </c>
      <c r="AG366" s="1">
        <v>107401</v>
      </c>
      <c r="AH366" s="1">
        <v>0</v>
      </c>
      <c r="AI366" s="1">
        <v>300104</v>
      </c>
      <c r="AJ366" s="1" t="s">
        <v>1361</v>
      </c>
      <c r="AK366" s="1" t="s">
        <v>328</v>
      </c>
      <c r="AL366" s="1">
        <v>13</v>
      </c>
      <c r="AM366" s="1" t="s">
        <v>4762</v>
      </c>
      <c r="AN366" s="1" t="s">
        <v>5389</v>
      </c>
      <c r="AO366" s="1" t="s">
        <v>4845</v>
      </c>
      <c r="AP366" s="1">
        <v>0</v>
      </c>
      <c r="AQ366" s="1" t="s">
        <v>1140</v>
      </c>
      <c r="AR366" s="1" t="s">
        <v>1141</v>
      </c>
      <c r="AS366" s="1" t="s">
        <v>1142</v>
      </c>
      <c r="AT366" s="1" t="s">
        <v>328</v>
      </c>
      <c r="AU366" s="1">
        <v>1004</v>
      </c>
      <c r="AV366" s="1">
        <v>1</v>
      </c>
      <c r="AW366" s="1" t="s">
        <v>5387</v>
      </c>
      <c r="AX366" s="1" t="s">
        <v>5390</v>
      </c>
      <c r="AY366" s="1">
        <v>7</v>
      </c>
      <c r="AZ366" s="1">
        <v>0</v>
      </c>
      <c r="BA366" s="1" t="s">
        <v>328</v>
      </c>
      <c r="BB366" s="1" t="s">
        <v>328</v>
      </c>
      <c r="BC366" s="1" t="s">
        <v>5386</v>
      </c>
      <c r="BD366" s="1">
        <v>0</v>
      </c>
      <c r="BE366" s="1"/>
      <c r="BH366">
        <f>COUNTIF(Dropdowns!$I:$AF,C366)</f>
        <v>1</v>
      </c>
    </row>
    <row r="367" spans="1:60" x14ac:dyDescent="0.3">
      <c r="A367" s="1">
        <v>1005</v>
      </c>
      <c r="B367" s="1" t="s">
        <v>4125</v>
      </c>
      <c r="C367" s="207" t="s">
        <v>821</v>
      </c>
      <c r="D367" s="1" t="s">
        <v>821</v>
      </c>
      <c r="E367" s="1"/>
      <c r="F367" s="1"/>
      <c r="G367" s="1" t="s">
        <v>4126</v>
      </c>
      <c r="H367" s="1" t="s">
        <v>4127</v>
      </c>
      <c r="I367" s="1" t="s">
        <v>4128</v>
      </c>
      <c r="J367" s="1">
        <v>3</v>
      </c>
      <c r="K367" s="1">
        <v>5</v>
      </c>
      <c r="L367" s="1">
        <v>17400</v>
      </c>
      <c r="M367" s="1">
        <v>15</v>
      </c>
      <c r="N367" s="1">
        <v>30</v>
      </c>
      <c r="O367" s="1">
        <v>10</v>
      </c>
      <c r="P367" s="1">
        <v>15</v>
      </c>
      <c r="Q367" s="1">
        <v>5</v>
      </c>
      <c r="R367" s="1">
        <v>2</v>
      </c>
      <c r="S367" s="1">
        <v>5</v>
      </c>
      <c r="T367" s="1">
        <v>0</v>
      </c>
      <c r="U367" s="1">
        <v>92</v>
      </c>
      <c r="V367" s="1">
        <v>122</v>
      </c>
      <c r="W367" s="1">
        <v>110</v>
      </c>
      <c r="X367" s="1">
        <v>100</v>
      </c>
      <c r="Y367" s="1">
        <v>115</v>
      </c>
      <c r="Z367" s="1">
        <v>100</v>
      </c>
      <c r="AA367" s="1">
        <v>0</v>
      </c>
      <c r="AB367" s="1">
        <v>15</v>
      </c>
      <c r="AC367" s="1">
        <v>40</v>
      </c>
      <c r="AD367" s="1">
        <v>0</v>
      </c>
      <c r="AE367" s="1">
        <v>120</v>
      </c>
      <c r="AF367" s="1">
        <v>100</v>
      </c>
      <c r="AG367" s="1">
        <v>107101</v>
      </c>
      <c r="AH367" s="1">
        <v>0</v>
      </c>
      <c r="AI367" s="1">
        <v>300104</v>
      </c>
      <c r="AJ367" s="1" t="s">
        <v>1361</v>
      </c>
      <c r="AK367" s="1" t="s">
        <v>328</v>
      </c>
      <c r="AL367" s="1">
        <v>13</v>
      </c>
      <c r="AM367" s="1" t="s">
        <v>4762</v>
      </c>
      <c r="AN367" s="1" t="s">
        <v>5113</v>
      </c>
      <c r="AO367" s="1" t="s">
        <v>4845</v>
      </c>
      <c r="AP367" s="1">
        <v>0</v>
      </c>
      <c r="AQ367" s="1" t="s">
        <v>1140</v>
      </c>
      <c r="AR367" s="1" t="s">
        <v>1141</v>
      </c>
      <c r="AS367" s="1" t="s">
        <v>1142</v>
      </c>
      <c r="AT367" s="1" t="s">
        <v>328</v>
      </c>
      <c r="AU367" s="1">
        <v>1005</v>
      </c>
      <c r="AV367" s="1">
        <v>1</v>
      </c>
      <c r="AW367" s="1" t="s">
        <v>5387</v>
      </c>
      <c r="AX367" s="1" t="s">
        <v>5390</v>
      </c>
      <c r="AY367" s="1">
        <v>7</v>
      </c>
      <c r="AZ367" s="1">
        <v>0</v>
      </c>
      <c r="BA367" s="1" t="s">
        <v>328</v>
      </c>
      <c r="BB367" s="1" t="s">
        <v>328</v>
      </c>
      <c r="BC367" s="1" t="s">
        <v>5386</v>
      </c>
      <c r="BD367" s="1">
        <v>0</v>
      </c>
      <c r="BE367" s="1"/>
      <c r="BH367">
        <f>COUNTIF(Dropdowns!$I:$AF,C367)</f>
        <v>1</v>
      </c>
    </row>
    <row r="368" spans="1:60" x14ac:dyDescent="0.3">
      <c r="A368" s="1">
        <v>1006</v>
      </c>
      <c r="B368" s="1" t="s">
        <v>4129</v>
      </c>
      <c r="C368" s="207" t="s">
        <v>822</v>
      </c>
      <c r="D368" s="1" t="s">
        <v>822</v>
      </c>
      <c r="E368" s="1"/>
      <c r="F368" s="1"/>
      <c r="G368" s="1" t="s">
        <v>4130</v>
      </c>
      <c r="H368" s="1" t="s">
        <v>4131</v>
      </c>
      <c r="I368" s="1" t="s">
        <v>4132</v>
      </c>
      <c r="J368" s="1">
        <v>1</v>
      </c>
      <c r="K368" s="1">
        <v>5</v>
      </c>
      <c r="L368" s="1">
        <v>3600</v>
      </c>
      <c r="M368" s="1">
        <v>10</v>
      </c>
      <c r="N368" s="1">
        <v>10</v>
      </c>
      <c r="O368" s="1">
        <v>5</v>
      </c>
      <c r="P368" s="1">
        <v>5</v>
      </c>
      <c r="Q368" s="1">
        <v>2</v>
      </c>
      <c r="R368" s="1">
        <v>2</v>
      </c>
      <c r="S368" s="1">
        <v>2</v>
      </c>
      <c r="T368" s="1">
        <v>0</v>
      </c>
      <c r="U368" s="1">
        <v>125</v>
      </c>
      <c r="V368" s="1">
        <v>120</v>
      </c>
      <c r="W368" s="1">
        <v>105</v>
      </c>
      <c r="X368" s="1">
        <v>100</v>
      </c>
      <c r="Y368" s="1">
        <v>105</v>
      </c>
      <c r="Z368" s="1">
        <v>120</v>
      </c>
      <c r="AA368" s="1">
        <v>0</v>
      </c>
      <c r="AB368" s="1">
        <v>15</v>
      </c>
      <c r="AC368" s="1">
        <v>20</v>
      </c>
      <c r="AD368" s="1">
        <v>0</v>
      </c>
      <c r="AE368" s="1">
        <v>104</v>
      </c>
      <c r="AF368" s="1">
        <v>100</v>
      </c>
      <c r="AG368" s="1">
        <v>107501</v>
      </c>
      <c r="AH368" s="1">
        <v>0</v>
      </c>
      <c r="AI368" s="1">
        <v>301901</v>
      </c>
      <c r="AJ368" s="1" t="s">
        <v>1132</v>
      </c>
      <c r="AK368" s="1" t="s">
        <v>1362</v>
      </c>
      <c r="AL368" s="1">
        <v>13</v>
      </c>
      <c r="AM368" s="1" t="s">
        <v>1806</v>
      </c>
      <c r="AN368" s="1" t="s">
        <v>4958</v>
      </c>
      <c r="AO368" s="1" t="s">
        <v>4817</v>
      </c>
      <c r="AP368" s="1">
        <v>0</v>
      </c>
      <c r="AQ368" s="1" t="s">
        <v>1118</v>
      </c>
      <c r="AR368" s="1" t="s">
        <v>1119</v>
      </c>
      <c r="AS368" s="1" t="s">
        <v>1120</v>
      </c>
      <c r="AT368" s="1" t="s">
        <v>328</v>
      </c>
      <c r="AU368" s="1">
        <v>1006</v>
      </c>
      <c r="AV368" s="1">
        <v>1</v>
      </c>
      <c r="AW368" s="1" t="s">
        <v>5387</v>
      </c>
      <c r="AX368" s="1" t="s">
        <v>5391</v>
      </c>
      <c r="AY368" s="1">
        <v>7</v>
      </c>
      <c r="AZ368" s="1">
        <v>0</v>
      </c>
      <c r="BA368" s="1" t="s">
        <v>328</v>
      </c>
      <c r="BB368" s="1" t="s">
        <v>328</v>
      </c>
      <c r="BC368" s="1" t="s">
        <v>5386</v>
      </c>
      <c r="BD368" s="1">
        <v>0</v>
      </c>
      <c r="BE368" s="1"/>
      <c r="BH368">
        <f>COUNTIF(Dropdowns!$I:$AF,C368)</f>
        <v>0</v>
      </c>
    </row>
    <row r="369" spans="1:60" x14ac:dyDescent="0.3">
      <c r="A369" s="1">
        <v>1007</v>
      </c>
      <c r="B369" s="1" t="s">
        <v>4133</v>
      </c>
      <c r="C369" s="207" t="s">
        <v>823</v>
      </c>
      <c r="D369" s="1" t="s">
        <v>823</v>
      </c>
      <c r="E369" s="1"/>
      <c r="F369" s="1"/>
      <c r="G369" s="1" t="s">
        <v>4134</v>
      </c>
      <c r="H369" s="1" t="s">
        <v>4135</v>
      </c>
      <c r="I369" s="1" t="s">
        <v>4136</v>
      </c>
      <c r="J369" s="1">
        <v>4</v>
      </c>
      <c r="K369" s="1">
        <v>5</v>
      </c>
      <c r="L369" s="1">
        <v>14100</v>
      </c>
      <c r="M369" s="1">
        <v>20</v>
      </c>
      <c r="N369" s="1">
        <v>20</v>
      </c>
      <c r="O369" s="1">
        <v>10</v>
      </c>
      <c r="P369" s="1">
        <v>10</v>
      </c>
      <c r="Q369" s="1">
        <v>2</v>
      </c>
      <c r="R369" s="1">
        <v>5</v>
      </c>
      <c r="S369" s="1">
        <v>5</v>
      </c>
      <c r="T369" s="1">
        <v>0</v>
      </c>
      <c r="U369" s="1">
        <v>110</v>
      </c>
      <c r="V369" s="1">
        <v>126</v>
      </c>
      <c r="W369" s="1">
        <v>95</v>
      </c>
      <c r="X369" s="1">
        <v>100</v>
      </c>
      <c r="Y369" s="1">
        <v>105</v>
      </c>
      <c r="Z369" s="1">
        <v>100</v>
      </c>
      <c r="AA369" s="1">
        <v>0</v>
      </c>
      <c r="AB369" s="1">
        <v>15</v>
      </c>
      <c r="AC369" s="1">
        <v>20</v>
      </c>
      <c r="AD369" s="1">
        <v>0</v>
      </c>
      <c r="AE369" s="1">
        <v>122</v>
      </c>
      <c r="AF369" s="1">
        <v>100</v>
      </c>
      <c r="AG369" s="1">
        <v>107601</v>
      </c>
      <c r="AH369" s="1">
        <v>0</v>
      </c>
      <c r="AI369" s="1">
        <v>302001</v>
      </c>
      <c r="AJ369" s="1" t="s">
        <v>1361</v>
      </c>
      <c r="AK369" s="1" t="s">
        <v>1363</v>
      </c>
      <c r="AL369" s="1">
        <v>13</v>
      </c>
      <c r="AM369" s="1" t="s">
        <v>4719</v>
      </c>
      <c r="AN369" s="1" t="s">
        <v>475</v>
      </c>
      <c r="AO369" s="1" t="s">
        <v>5392</v>
      </c>
      <c r="AP369" s="1">
        <v>0</v>
      </c>
      <c r="AQ369" s="1" t="s">
        <v>1130</v>
      </c>
      <c r="AR369" s="1" t="s">
        <v>1154</v>
      </c>
      <c r="AS369" s="1" t="s">
        <v>1129</v>
      </c>
      <c r="AT369" s="1" t="s">
        <v>328</v>
      </c>
      <c r="AU369" s="1">
        <v>1007</v>
      </c>
      <c r="AV369" s="1">
        <v>1</v>
      </c>
      <c r="AW369" s="1" t="s">
        <v>5387</v>
      </c>
      <c r="AX369" s="1" t="s">
        <v>5393</v>
      </c>
      <c r="AY369" s="1">
        <v>7</v>
      </c>
      <c r="AZ369" s="1">
        <v>0</v>
      </c>
      <c r="BA369" s="1" t="s">
        <v>328</v>
      </c>
      <c r="BB369" s="1" t="s">
        <v>328</v>
      </c>
      <c r="BC369" s="1" t="s">
        <v>5386</v>
      </c>
      <c r="BD369" s="1">
        <v>0</v>
      </c>
      <c r="BE369" s="1"/>
      <c r="BH369">
        <f>COUNTIF(Dropdowns!$I:$AF,C369)</f>
        <v>1</v>
      </c>
    </row>
    <row r="370" spans="1:60" x14ac:dyDescent="0.3">
      <c r="A370" s="1">
        <v>1008</v>
      </c>
      <c r="B370" s="1" t="s">
        <v>4137</v>
      </c>
      <c r="C370" s="207" t="s">
        <v>824</v>
      </c>
      <c r="D370" s="1" t="s">
        <v>824</v>
      </c>
      <c r="E370" s="1"/>
      <c r="F370" s="1"/>
      <c r="G370" s="1" t="s">
        <v>4138</v>
      </c>
      <c r="H370" s="1" t="s">
        <v>4139</v>
      </c>
      <c r="I370" s="1" t="s">
        <v>4140</v>
      </c>
      <c r="J370" s="1">
        <v>6</v>
      </c>
      <c r="K370" s="1">
        <v>5</v>
      </c>
      <c r="L370" s="1">
        <v>28800</v>
      </c>
      <c r="M370" s="1">
        <v>30</v>
      </c>
      <c r="N370" s="1">
        <v>40</v>
      </c>
      <c r="O370" s="1">
        <v>15</v>
      </c>
      <c r="P370" s="1">
        <v>25</v>
      </c>
      <c r="Q370" s="1">
        <v>5</v>
      </c>
      <c r="R370" s="1">
        <v>2</v>
      </c>
      <c r="S370" s="1">
        <v>5</v>
      </c>
      <c r="T370" s="1">
        <v>5</v>
      </c>
      <c r="U370" s="1">
        <v>112</v>
      </c>
      <c r="V370" s="1">
        <v>128</v>
      </c>
      <c r="W370" s="1">
        <v>108</v>
      </c>
      <c r="X370" s="1">
        <v>100</v>
      </c>
      <c r="Y370" s="1">
        <v>110</v>
      </c>
      <c r="Z370" s="1">
        <v>130</v>
      </c>
      <c r="AA370" s="1">
        <v>120</v>
      </c>
      <c r="AB370" s="1">
        <v>15</v>
      </c>
      <c r="AC370" s="1">
        <v>40</v>
      </c>
      <c r="AD370" s="1">
        <v>5</v>
      </c>
      <c r="AE370" s="1">
        <v>90</v>
      </c>
      <c r="AF370" s="1">
        <v>100</v>
      </c>
      <c r="AG370" s="1">
        <v>107001</v>
      </c>
      <c r="AH370" s="1">
        <v>0</v>
      </c>
      <c r="AI370" s="1">
        <v>300110</v>
      </c>
      <c r="AJ370" s="1" t="s">
        <v>1364</v>
      </c>
      <c r="AK370" s="1" t="s">
        <v>328</v>
      </c>
      <c r="AL370" s="1">
        <v>8</v>
      </c>
      <c r="AM370" s="1" t="s">
        <v>4716</v>
      </c>
      <c r="AN370" s="1" t="s">
        <v>398</v>
      </c>
      <c r="AO370" s="1" t="s">
        <v>5394</v>
      </c>
      <c r="AP370" s="1">
        <v>0</v>
      </c>
      <c r="AQ370" s="1" t="s">
        <v>1200</v>
      </c>
      <c r="AR370" s="1" t="s">
        <v>1201</v>
      </c>
      <c r="AS370" s="1" t="s">
        <v>1202</v>
      </c>
      <c r="AT370" s="1" t="s">
        <v>328</v>
      </c>
      <c r="AU370" s="1">
        <v>1008</v>
      </c>
      <c r="AV370" s="1">
        <v>1</v>
      </c>
      <c r="AW370" s="1" t="s">
        <v>5387</v>
      </c>
      <c r="AX370" s="1" t="s">
        <v>5391</v>
      </c>
      <c r="AY370" s="1">
        <v>7</v>
      </c>
      <c r="AZ370" s="1">
        <v>0</v>
      </c>
      <c r="BA370" s="1" t="s">
        <v>328</v>
      </c>
      <c r="BB370" s="1" t="s">
        <v>328</v>
      </c>
      <c r="BC370" s="1" t="s">
        <v>5386</v>
      </c>
      <c r="BD370" s="1">
        <v>0</v>
      </c>
      <c r="BE370" s="1"/>
      <c r="BH370">
        <f>COUNTIF(Dropdowns!$I:$AF,C370)</f>
        <v>1</v>
      </c>
    </row>
    <row r="371" spans="1:60" x14ac:dyDescent="0.3">
      <c r="A371" s="1">
        <v>1009</v>
      </c>
      <c r="B371" s="1" t="s">
        <v>4141</v>
      </c>
      <c r="C371" s="207" t="s">
        <v>195</v>
      </c>
      <c r="D371" s="1" t="s">
        <v>195</v>
      </c>
      <c r="E371" s="1"/>
      <c r="F371" s="1"/>
      <c r="G371" s="1" t="s">
        <v>4142</v>
      </c>
      <c r="H371" s="1" t="s">
        <v>4143</v>
      </c>
      <c r="I371" s="1" t="s">
        <v>4144</v>
      </c>
      <c r="J371" s="1">
        <v>1</v>
      </c>
      <c r="K371" s="1">
        <v>5</v>
      </c>
      <c r="L371" s="1">
        <v>3600</v>
      </c>
      <c r="M371" s="1">
        <v>10</v>
      </c>
      <c r="N371" s="1">
        <v>10</v>
      </c>
      <c r="O371" s="1">
        <v>5</v>
      </c>
      <c r="P371" s="1">
        <v>5</v>
      </c>
      <c r="Q371" s="1">
        <v>2</v>
      </c>
      <c r="R371" s="1">
        <v>2</v>
      </c>
      <c r="S371" s="1">
        <v>2</v>
      </c>
      <c r="T371" s="1">
        <v>0</v>
      </c>
      <c r="U371" s="1">
        <v>100</v>
      </c>
      <c r="V371" s="1">
        <v>100</v>
      </c>
      <c r="W371" s="1">
        <v>106</v>
      </c>
      <c r="X371" s="1">
        <v>100</v>
      </c>
      <c r="Y371" s="1">
        <v>108</v>
      </c>
      <c r="Z371" s="1">
        <v>103</v>
      </c>
      <c r="AA371" s="1">
        <v>0</v>
      </c>
      <c r="AB371" s="1">
        <v>15</v>
      </c>
      <c r="AC371" s="1">
        <v>20</v>
      </c>
      <c r="AD371" s="1">
        <v>0</v>
      </c>
      <c r="AE371" s="1">
        <v>140</v>
      </c>
      <c r="AF371" s="1">
        <v>100</v>
      </c>
      <c r="AG371" s="1">
        <v>109401</v>
      </c>
      <c r="AH371" s="1">
        <v>0</v>
      </c>
      <c r="AI371" s="1">
        <v>109403</v>
      </c>
      <c r="AJ371" s="1" t="s">
        <v>1365</v>
      </c>
      <c r="AK371" s="1" t="s">
        <v>1366</v>
      </c>
      <c r="AL371" s="1">
        <v>13</v>
      </c>
      <c r="AM371" s="1" t="s">
        <v>1806</v>
      </c>
      <c r="AN371" s="1" t="s">
        <v>4947</v>
      </c>
      <c r="AO371" s="1" t="s">
        <v>4817</v>
      </c>
      <c r="AP371" s="1">
        <v>0</v>
      </c>
      <c r="AQ371" s="1" t="s">
        <v>4742</v>
      </c>
      <c r="AR371" s="1" t="s">
        <v>1119</v>
      </c>
      <c r="AS371" s="1" t="s">
        <v>1120</v>
      </c>
      <c r="AT371" s="1" t="s">
        <v>328</v>
      </c>
      <c r="AU371" s="1">
        <v>1009</v>
      </c>
      <c r="AV371" s="1">
        <v>1</v>
      </c>
      <c r="AW371" s="1" t="s">
        <v>5162</v>
      </c>
      <c r="AX371" s="1" t="s">
        <v>5395</v>
      </c>
      <c r="AY371" s="1">
        <v>7</v>
      </c>
      <c r="AZ371" s="1">
        <v>0</v>
      </c>
      <c r="BA371" s="1" t="s">
        <v>328</v>
      </c>
      <c r="BB371" s="1" t="s">
        <v>328</v>
      </c>
      <c r="BC371" s="1" t="s">
        <v>5386</v>
      </c>
      <c r="BD371" s="1">
        <v>0</v>
      </c>
      <c r="BE371" s="1"/>
      <c r="BH371">
        <f>COUNTIF(Dropdowns!$I:$AF,C371)</f>
        <v>0</v>
      </c>
    </row>
    <row r="372" spans="1:60" x14ac:dyDescent="0.3">
      <c r="A372" s="1">
        <v>1010</v>
      </c>
      <c r="B372" s="1" t="s">
        <v>4145</v>
      </c>
      <c r="C372" s="207" t="s">
        <v>196</v>
      </c>
      <c r="D372" s="1" t="s">
        <v>196</v>
      </c>
      <c r="E372" s="1"/>
      <c r="F372" s="1"/>
      <c r="G372" s="1" t="s">
        <v>4146</v>
      </c>
      <c r="H372" s="1" t="s">
        <v>4147</v>
      </c>
      <c r="I372" s="1" t="s">
        <v>4148</v>
      </c>
      <c r="J372" s="1">
        <v>1</v>
      </c>
      <c r="K372" s="1">
        <v>5</v>
      </c>
      <c r="L372" s="1">
        <v>3600</v>
      </c>
      <c r="M372" s="1">
        <v>10</v>
      </c>
      <c r="N372" s="1">
        <v>10</v>
      </c>
      <c r="O372" s="1">
        <v>5</v>
      </c>
      <c r="P372" s="1">
        <v>5</v>
      </c>
      <c r="Q372" s="1">
        <v>2</v>
      </c>
      <c r="R372" s="1">
        <v>2</v>
      </c>
      <c r="S372" s="1">
        <v>2</v>
      </c>
      <c r="T372" s="1">
        <v>0</v>
      </c>
      <c r="U372" s="1">
        <v>100</v>
      </c>
      <c r="V372" s="1">
        <v>100</v>
      </c>
      <c r="W372" s="1">
        <v>106</v>
      </c>
      <c r="X372" s="1">
        <v>100</v>
      </c>
      <c r="Y372" s="1">
        <v>108</v>
      </c>
      <c r="Z372" s="1">
        <v>103</v>
      </c>
      <c r="AA372" s="1">
        <v>0</v>
      </c>
      <c r="AB372" s="1">
        <v>15</v>
      </c>
      <c r="AC372" s="1">
        <v>20</v>
      </c>
      <c r="AD372" s="1">
        <v>0</v>
      </c>
      <c r="AE372" s="1">
        <v>140</v>
      </c>
      <c r="AF372" s="1">
        <v>100</v>
      </c>
      <c r="AG372" s="1">
        <v>109501</v>
      </c>
      <c r="AH372" s="1">
        <v>0</v>
      </c>
      <c r="AI372" s="1">
        <v>109503</v>
      </c>
      <c r="AJ372" s="1" t="s">
        <v>328</v>
      </c>
      <c r="AK372" s="1" t="s">
        <v>1367</v>
      </c>
      <c r="AL372" s="1">
        <v>13</v>
      </c>
      <c r="AM372" s="1" t="s">
        <v>1806</v>
      </c>
      <c r="AN372" s="1" t="s">
        <v>4861</v>
      </c>
      <c r="AO372" s="1" t="s">
        <v>4875</v>
      </c>
      <c r="AP372" s="1">
        <v>0</v>
      </c>
      <c r="AQ372" s="1" t="s">
        <v>4742</v>
      </c>
      <c r="AR372" s="1" t="s">
        <v>1119</v>
      </c>
      <c r="AS372" s="1" t="s">
        <v>1120</v>
      </c>
      <c r="AT372" s="1" t="s">
        <v>328</v>
      </c>
      <c r="AU372" s="1">
        <v>1010</v>
      </c>
      <c r="AV372" s="1">
        <v>1</v>
      </c>
      <c r="AW372" s="1" t="s">
        <v>5162</v>
      </c>
      <c r="AX372" s="1" t="s">
        <v>5391</v>
      </c>
      <c r="AY372" s="1">
        <v>7</v>
      </c>
      <c r="AZ372" s="1">
        <v>0</v>
      </c>
      <c r="BA372" s="1" t="s">
        <v>328</v>
      </c>
      <c r="BB372" s="1" t="s">
        <v>328</v>
      </c>
      <c r="BC372" s="1" t="s">
        <v>5386</v>
      </c>
      <c r="BD372" s="1">
        <v>0</v>
      </c>
      <c r="BE372" s="1"/>
      <c r="BH372">
        <f>COUNTIF(Dropdowns!$I:$AF,C372)</f>
        <v>0</v>
      </c>
    </row>
    <row r="373" spans="1:60" x14ac:dyDescent="0.3">
      <c r="A373" s="1">
        <v>1017</v>
      </c>
      <c r="B373" s="1" t="s">
        <v>4149</v>
      </c>
      <c r="C373" s="207" t="s">
        <v>1692</v>
      </c>
      <c r="D373" s="1" t="s">
        <v>1692</v>
      </c>
      <c r="E373" s="1"/>
      <c r="F373" s="1"/>
      <c r="G373" s="1" t="s">
        <v>4150</v>
      </c>
      <c r="H373" s="1" t="s">
        <v>4151</v>
      </c>
      <c r="I373" s="1" t="s">
        <v>4152</v>
      </c>
      <c r="J373" s="1">
        <v>1</v>
      </c>
      <c r="K373" s="1">
        <v>5</v>
      </c>
      <c r="L373" s="1">
        <v>3600</v>
      </c>
      <c r="M373" s="1">
        <v>10</v>
      </c>
      <c r="N373" s="1">
        <v>10</v>
      </c>
      <c r="O373" s="1">
        <v>5</v>
      </c>
      <c r="P373" s="1">
        <v>5</v>
      </c>
      <c r="Q373" s="1">
        <v>2</v>
      </c>
      <c r="R373" s="1">
        <v>2</v>
      </c>
      <c r="S373" s="1">
        <v>2</v>
      </c>
      <c r="T373" s="1">
        <v>0</v>
      </c>
      <c r="U373" s="1">
        <v>120</v>
      </c>
      <c r="V373" s="1">
        <v>102</v>
      </c>
      <c r="W373" s="1">
        <v>100</v>
      </c>
      <c r="X373" s="1">
        <v>100</v>
      </c>
      <c r="Y373" s="1">
        <v>100</v>
      </c>
      <c r="Z373" s="1">
        <v>120</v>
      </c>
      <c r="AA373" s="1">
        <v>0</v>
      </c>
      <c r="AB373" s="1">
        <v>15</v>
      </c>
      <c r="AC373" s="1">
        <v>20</v>
      </c>
      <c r="AD373" s="1">
        <v>0</v>
      </c>
      <c r="AE373" s="1">
        <v>130</v>
      </c>
      <c r="AF373" s="1">
        <v>100</v>
      </c>
      <c r="AG373" s="1">
        <v>710101</v>
      </c>
      <c r="AH373" s="1">
        <v>0</v>
      </c>
      <c r="AI373" s="1">
        <v>710119</v>
      </c>
      <c r="AJ373" s="1" t="s">
        <v>1368</v>
      </c>
      <c r="AK373" s="1" t="s">
        <v>1369</v>
      </c>
      <c r="AL373" s="1">
        <v>13</v>
      </c>
      <c r="AM373" s="1" t="s">
        <v>1806</v>
      </c>
      <c r="AN373" s="1" t="s">
        <v>4737</v>
      </c>
      <c r="AO373" s="1" t="s">
        <v>5057</v>
      </c>
      <c r="AP373" s="1">
        <v>0</v>
      </c>
      <c r="AQ373" s="1" t="s">
        <v>4742</v>
      </c>
      <c r="AR373" s="1" t="s">
        <v>1743</v>
      </c>
      <c r="AS373" s="1" t="s">
        <v>4761</v>
      </c>
      <c r="AT373" s="1" t="s">
        <v>328</v>
      </c>
      <c r="AU373" s="1">
        <v>1003</v>
      </c>
      <c r="AV373" s="1">
        <v>1</v>
      </c>
      <c r="AW373" s="1" t="s">
        <v>5396</v>
      </c>
      <c r="AX373" s="1" t="s">
        <v>5397</v>
      </c>
      <c r="AY373" s="1">
        <v>7</v>
      </c>
      <c r="AZ373" s="1">
        <v>0</v>
      </c>
      <c r="BA373" s="1" t="s">
        <v>328</v>
      </c>
      <c r="BB373" s="1" t="s">
        <v>328</v>
      </c>
      <c r="BC373" s="1" t="s">
        <v>5386</v>
      </c>
      <c r="BD373" s="1">
        <v>0</v>
      </c>
      <c r="BE373" s="1"/>
      <c r="BH373">
        <f>COUNTIF(Dropdowns!$I:$AF,C373)</f>
        <v>0</v>
      </c>
    </row>
    <row r="374" spans="1:60" x14ac:dyDescent="0.3">
      <c r="A374" s="1">
        <v>1018</v>
      </c>
      <c r="B374" s="1" t="s">
        <v>4153</v>
      </c>
      <c r="C374" s="207" t="s">
        <v>731</v>
      </c>
      <c r="D374" s="1" t="s">
        <v>4154</v>
      </c>
      <c r="E374" s="1"/>
      <c r="F374" s="1"/>
      <c r="G374" s="1" t="s">
        <v>4155</v>
      </c>
      <c r="H374" s="1" t="s">
        <v>4156</v>
      </c>
      <c r="I374" s="1" t="s">
        <v>4157</v>
      </c>
      <c r="J374" s="1">
        <v>1</v>
      </c>
      <c r="K374" s="1">
        <v>5</v>
      </c>
      <c r="L374" s="1">
        <v>3600</v>
      </c>
      <c r="M374" s="1">
        <v>10</v>
      </c>
      <c r="N374" s="1">
        <v>10</v>
      </c>
      <c r="O374" s="1">
        <v>5</v>
      </c>
      <c r="P374" s="1">
        <v>5</v>
      </c>
      <c r="Q374" s="1">
        <v>2</v>
      </c>
      <c r="R374" s="1">
        <v>2</v>
      </c>
      <c r="S374" s="1">
        <v>2</v>
      </c>
      <c r="T374" s="1">
        <v>0</v>
      </c>
      <c r="U374" s="1">
        <v>128</v>
      </c>
      <c r="V374" s="1">
        <v>108</v>
      </c>
      <c r="W374" s="1">
        <v>100</v>
      </c>
      <c r="X374" s="1">
        <v>100</v>
      </c>
      <c r="Y374" s="1">
        <v>120</v>
      </c>
      <c r="Z374" s="1">
        <v>105</v>
      </c>
      <c r="AA374" s="1">
        <v>0</v>
      </c>
      <c r="AB374" s="1">
        <v>15</v>
      </c>
      <c r="AC374" s="1">
        <v>20</v>
      </c>
      <c r="AD374" s="1">
        <v>0</v>
      </c>
      <c r="AE374" s="1">
        <v>118</v>
      </c>
      <c r="AF374" s="1">
        <v>100</v>
      </c>
      <c r="AG374" s="1">
        <v>710401</v>
      </c>
      <c r="AH374" s="1">
        <v>0</v>
      </c>
      <c r="AI374" s="1">
        <v>710402</v>
      </c>
      <c r="AJ374" s="1" t="s">
        <v>1370</v>
      </c>
      <c r="AK374" s="1" t="s">
        <v>1371</v>
      </c>
      <c r="AL374" s="1">
        <v>13</v>
      </c>
      <c r="AM374" s="1" t="s">
        <v>1806</v>
      </c>
      <c r="AN374" s="1" t="s">
        <v>5398</v>
      </c>
      <c r="AO374" s="1" t="s">
        <v>4954</v>
      </c>
      <c r="AP374" s="1">
        <v>0</v>
      </c>
      <c r="AQ374" s="1" t="s">
        <v>1118</v>
      </c>
      <c r="AR374" s="1" t="s">
        <v>1119</v>
      </c>
      <c r="AS374" s="1" t="s">
        <v>4761</v>
      </c>
      <c r="AT374" s="1" t="s">
        <v>328</v>
      </c>
      <c r="AU374" s="1">
        <v>1006</v>
      </c>
      <c r="AV374" s="1">
        <v>1</v>
      </c>
      <c r="AW374" s="1" t="s">
        <v>5396</v>
      </c>
      <c r="AX374" s="1" t="s">
        <v>1372</v>
      </c>
      <c r="AY374" s="1">
        <v>7</v>
      </c>
      <c r="AZ374" s="1">
        <v>0</v>
      </c>
      <c r="BA374" s="1" t="s">
        <v>328</v>
      </c>
      <c r="BB374" s="1" t="s">
        <v>328</v>
      </c>
      <c r="BC374" s="1" t="s">
        <v>5386</v>
      </c>
      <c r="BD374" s="1">
        <v>0</v>
      </c>
      <c r="BE374" s="1"/>
      <c r="BH374">
        <f>COUNTIF(Dropdowns!$I:$AF,C374)</f>
        <v>0</v>
      </c>
    </row>
    <row r="375" spans="1:60" x14ac:dyDescent="0.3">
      <c r="A375" s="1">
        <v>1019</v>
      </c>
      <c r="B375" s="1" t="s">
        <v>4158</v>
      </c>
      <c r="C375" s="207" t="s">
        <v>721</v>
      </c>
      <c r="D375" s="1" t="s">
        <v>721</v>
      </c>
      <c r="E375" s="1"/>
      <c r="F375" s="1"/>
      <c r="G375" s="1" t="s">
        <v>4159</v>
      </c>
      <c r="H375" s="1" t="s">
        <v>4160</v>
      </c>
      <c r="I375" s="1" t="s">
        <v>4161</v>
      </c>
      <c r="J375" s="1">
        <v>2</v>
      </c>
      <c r="K375" s="1">
        <v>5</v>
      </c>
      <c r="L375" s="1">
        <v>8880</v>
      </c>
      <c r="M375" s="1">
        <v>25</v>
      </c>
      <c r="N375" s="1">
        <v>20</v>
      </c>
      <c r="O375" s="1">
        <v>15</v>
      </c>
      <c r="P375" s="1">
        <v>10</v>
      </c>
      <c r="Q375" s="1">
        <v>5</v>
      </c>
      <c r="R375" s="1">
        <v>5</v>
      </c>
      <c r="S375" s="1">
        <v>2</v>
      </c>
      <c r="T375" s="1">
        <v>0</v>
      </c>
      <c r="U375" s="1">
        <v>100</v>
      </c>
      <c r="V375" s="1">
        <v>95</v>
      </c>
      <c r="W375" s="1">
        <v>96</v>
      </c>
      <c r="X375" s="1">
        <v>100</v>
      </c>
      <c r="Y375" s="1">
        <v>105</v>
      </c>
      <c r="Z375" s="1">
        <v>122</v>
      </c>
      <c r="AA375" s="1">
        <v>0</v>
      </c>
      <c r="AB375" s="1">
        <v>15</v>
      </c>
      <c r="AC375" s="1">
        <v>5</v>
      </c>
      <c r="AD375" s="1">
        <v>0</v>
      </c>
      <c r="AE375" s="1">
        <v>130</v>
      </c>
      <c r="AF375" s="1">
        <v>100</v>
      </c>
      <c r="AG375" s="1">
        <v>710301</v>
      </c>
      <c r="AH375" s="1">
        <v>0</v>
      </c>
      <c r="AI375" s="1">
        <v>710307</v>
      </c>
      <c r="AJ375" s="1" t="s">
        <v>1373</v>
      </c>
      <c r="AK375" s="1" t="s">
        <v>1374</v>
      </c>
      <c r="AL375" s="1">
        <v>13</v>
      </c>
      <c r="AM375" s="1" t="s">
        <v>354</v>
      </c>
      <c r="AN375" s="1" t="s">
        <v>388</v>
      </c>
      <c r="AO375" s="1" t="s">
        <v>4875</v>
      </c>
      <c r="AP375" s="1">
        <v>0</v>
      </c>
      <c r="AQ375" s="1" t="s">
        <v>1129</v>
      </c>
      <c r="AR375" s="1" t="s">
        <v>1743</v>
      </c>
      <c r="AS375" s="1" t="s">
        <v>1130</v>
      </c>
      <c r="AT375" s="1" t="s">
        <v>328</v>
      </c>
      <c r="AU375" s="1">
        <v>224</v>
      </c>
      <c r="AV375" s="1">
        <v>1</v>
      </c>
      <c r="AW375" s="1" t="s">
        <v>5396</v>
      </c>
      <c r="AX375" s="1" t="s">
        <v>5399</v>
      </c>
      <c r="AY375" s="1">
        <v>7</v>
      </c>
      <c r="AZ375" s="1">
        <v>0</v>
      </c>
      <c r="BA375" s="1" t="s">
        <v>328</v>
      </c>
      <c r="BB375" s="1" t="s">
        <v>328</v>
      </c>
      <c r="BC375" s="1" t="s">
        <v>5386</v>
      </c>
      <c r="BD375" s="1">
        <v>0</v>
      </c>
      <c r="BE375" s="1"/>
      <c r="BH375">
        <f>COUNTIF(Dropdowns!$I:$AF,C375)</f>
        <v>1</v>
      </c>
    </row>
    <row r="376" spans="1:60" x14ac:dyDescent="0.3">
      <c r="A376" s="1">
        <v>1020</v>
      </c>
      <c r="B376" s="1" t="s">
        <v>4162</v>
      </c>
      <c r="C376" s="207" t="s">
        <v>736</v>
      </c>
      <c r="D376" s="1" t="s">
        <v>736</v>
      </c>
      <c r="E376" s="1"/>
      <c r="F376" s="1"/>
      <c r="G376" s="1" t="s">
        <v>4163</v>
      </c>
      <c r="H376" s="1" t="s">
        <v>4164</v>
      </c>
      <c r="I376" s="1" t="s">
        <v>4165</v>
      </c>
      <c r="J376" s="1">
        <v>3</v>
      </c>
      <c r="K376" s="1">
        <v>5</v>
      </c>
      <c r="L376" s="1">
        <v>17400</v>
      </c>
      <c r="M376" s="1">
        <v>15</v>
      </c>
      <c r="N376" s="1">
        <v>30</v>
      </c>
      <c r="O376" s="1">
        <v>10</v>
      </c>
      <c r="P376" s="1">
        <v>15</v>
      </c>
      <c r="Q376" s="1">
        <v>5</v>
      </c>
      <c r="R376" s="1">
        <v>2</v>
      </c>
      <c r="S376" s="1">
        <v>5</v>
      </c>
      <c r="T376" s="1">
        <v>0</v>
      </c>
      <c r="U376" s="1">
        <v>102</v>
      </c>
      <c r="V376" s="1">
        <v>102</v>
      </c>
      <c r="W376" s="1">
        <v>102</v>
      </c>
      <c r="X376" s="1">
        <v>100</v>
      </c>
      <c r="Y376" s="1">
        <v>118</v>
      </c>
      <c r="Z376" s="1">
        <v>100</v>
      </c>
      <c r="AA376" s="1">
        <v>0</v>
      </c>
      <c r="AB376" s="1">
        <v>15</v>
      </c>
      <c r="AC376" s="1">
        <v>40</v>
      </c>
      <c r="AD376" s="1">
        <v>0</v>
      </c>
      <c r="AE376" s="1">
        <v>130</v>
      </c>
      <c r="AF376" s="1">
        <v>100</v>
      </c>
      <c r="AG376" s="1">
        <v>710501</v>
      </c>
      <c r="AH376" s="1">
        <v>0</v>
      </c>
      <c r="AI376" s="1">
        <v>710502</v>
      </c>
      <c r="AJ376" s="1" t="s">
        <v>1375</v>
      </c>
      <c r="AK376" s="1" t="s">
        <v>1376</v>
      </c>
      <c r="AL376" s="1">
        <v>13</v>
      </c>
      <c r="AM376" s="1" t="s">
        <v>4762</v>
      </c>
      <c r="AN376" s="1" t="s">
        <v>4834</v>
      </c>
      <c r="AO376" s="1" t="s">
        <v>4845</v>
      </c>
      <c r="AP376" s="1">
        <v>0</v>
      </c>
      <c r="AQ376" s="1" t="s">
        <v>1140</v>
      </c>
      <c r="AR376" s="1" t="s">
        <v>1141</v>
      </c>
      <c r="AS376" s="1" t="s">
        <v>4839</v>
      </c>
      <c r="AT376" s="1" t="s">
        <v>328</v>
      </c>
      <c r="AU376" s="1">
        <v>1005</v>
      </c>
      <c r="AV376" s="1">
        <v>1</v>
      </c>
      <c r="AW376" s="1" t="s">
        <v>5396</v>
      </c>
      <c r="AX376" s="1" t="s">
        <v>1372</v>
      </c>
      <c r="AY376" s="1">
        <v>7</v>
      </c>
      <c r="AZ376" s="1">
        <v>0</v>
      </c>
      <c r="BA376" s="1" t="s">
        <v>328</v>
      </c>
      <c r="BB376" s="1" t="s">
        <v>328</v>
      </c>
      <c r="BC376" s="1" t="s">
        <v>5386</v>
      </c>
      <c r="BD376" s="1">
        <v>0</v>
      </c>
      <c r="BE376" s="1"/>
      <c r="BH376">
        <f>COUNTIF(Dropdowns!$I:$AF,C376)</f>
        <v>1</v>
      </c>
    </row>
    <row r="377" spans="1:60" x14ac:dyDescent="0.3">
      <c r="A377" s="1">
        <v>1021</v>
      </c>
      <c r="B377" s="1" t="s">
        <v>4166</v>
      </c>
      <c r="C377" s="207" t="s">
        <v>737</v>
      </c>
      <c r="D377" s="1" t="s">
        <v>737</v>
      </c>
      <c r="E377" s="1"/>
      <c r="F377" s="1"/>
      <c r="G377" s="1" t="s">
        <v>4167</v>
      </c>
      <c r="H377" s="1" t="s">
        <v>4168</v>
      </c>
      <c r="I377" s="1" t="s">
        <v>4169</v>
      </c>
      <c r="J377" s="1">
        <v>5</v>
      </c>
      <c r="K377" s="1">
        <v>5</v>
      </c>
      <c r="L377" s="1">
        <v>23760</v>
      </c>
      <c r="M377" s="1">
        <v>40</v>
      </c>
      <c r="N377" s="1">
        <v>30</v>
      </c>
      <c r="O377" s="1">
        <v>25</v>
      </c>
      <c r="P377" s="1">
        <v>15</v>
      </c>
      <c r="Q377" s="1">
        <v>5</v>
      </c>
      <c r="R377" s="1">
        <v>5</v>
      </c>
      <c r="S377" s="1">
        <v>2</v>
      </c>
      <c r="T377" s="1">
        <v>5</v>
      </c>
      <c r="U377" s="1">
        <v>118</v>
      </c>
      <c r="V377" s="1">
        <v>108</v>
      </c>
      <c r="W377" s="1">
        <v>120</v>
      </c>
      <c r="X377" s="1">
        <v>100</v>
      </c>
      <c r="Y377" s="1">
        <v>120</v>
      </c>
      <c r="Z377" s="1">
        <v>90</v>
      </c>
      <c r="AA377" s="1">
        <v>0</v>
      </c>
      <c r="AB377" s="1">
        <v>15</v>
      </c>
      <c r="AC377" s="1">
        <v>5</v>
      </c>
      <c r="AD377" s="1">
        <v>9</v>
      </c>
      <c r="AE377" s="1">
        <v>122</v>
      </c>
      <c r="AF377" s="1">
        <v>100</v>
      </c>
      <c r="AG377" s="1">
        <v>710601</v>
      </c>
      <c r="AH377" s="1">
        <v>0</v>
      </c>
      <c r="AI377" s="1">
        <v>710608</v>
      </c>
      <c r="AJ377" s="1" t="s">
        <v>1377</v>
      </c>
      <c r="AK377" s="1" t="s">
        <v>1378</v>
      </c>
      <c r="AL377" s="1">
        <v>18</v>
      </c>
      <c r="AM377" s="1" t="s">
        <v>4858</v>
      </c>
      <c r="AN377" s="1" t="s">
        <v>4937</v>
      </c>
      <c r="AO377" s="1" t="s">
        <v>5155</v>
      </c>
      <c r="AP377" s="1">
        <v>0</v>
      </c>
      <c r="AQ377" s="1" t="s">
        <v>1167</v>
      </c>
      <c r="AR377" s="1" t="s">
        <v>1168</v>
      </c>
      <c r="AS377" s="1" t="s">
        <v>4912</v>
      </c>
      <c r="AT377" s="1" t="s">
        <v>328</v>
      </c>
      <c r="AU377" s="1">
        <v>238</v>
      </c>
      <c r="AV377" s="1">
        <v>1</v>
      </c>
      <c r="AW377" s="1" t="s">
        <v>5396</v>
      </c>
      <c r="AX377" s="1" t="s">
        <v>5399</v>
      </c>
      <c r="AY377" s="1">
        <v>7</v>
      </c>
      <c r="AZ377" s="1">
        <v>0</v>
      </c>
      <c r="BA377" s="1" t="s">
        <v>328</v>
      </c>
      <c r="BB377" s="1" t="s">
        <v>328</v>
      </c>
      <c r="BC377" s="1" t="s">
        <v>5386</v>
      </c>
      <c r="BD377" s="1">
        <v>0</v>
      </c>
      <c r="BE377" s="1"/>
      <c r="BH377">
        <f>COUNTIF(Dropdowns!$I:$AF,C377)</f>
        <v>1</v>
      </c>
    </row>
    <row r="378" spans="1:60" x14ac:dyDescent="0.3">
      <c r="A378" s="1">
        <v>1022</v>
      </c>
      <c r="B378" s="1" t="s">
        <v>4170</v>
      </c>
      <c r="C378" s="207" t="s">
        <v>735</v>
      </c>
      <c r="D378" s="1" t="s">
        <v>735</v>
      </c>
      <c r="E378" s="1"/>
      <c r="F378" s="1"/>
      <c r="G378" s="1" t="s">
        <v>4171</v>
      </c>
      <c r="H378" s="1" t="s">
        <v>4172</v>
      </c>
      <c r="I378" s="1" t="s">
        <v>4173</v>
      </c>
      <c r="J378" s="1">
        <v>6</v>
      </c>
      <c r="K378" s="1">
        <v>5</v>
      </c>
      <c r="L378" s="1">
        <v>28800</v>
      </c>
      <c r="M378" s="1">
        <v>30</v>
      </c>
      <c r="N378" s="1">
        <v>40</v>
      </c>
      <c r="O378" s="1">
        <v>15</v>
      </c>
      <c r="P378" s="1">
        <v>25</v>
      </c>
      <c r="Q378" s="1">
        <v>5</v>
      </c>
      <c r="R378" s="1">
        <v>2</v>
      </c>
      <c r="S378" s="1">
        <v>5</v>
      </c>
      <c r="T378" s="1">
        <v>5</v>
      </c>
      <c r="U378" s="1">
        <v>122</v>
      </c>
      <c r="V378" s="1">
        <v>128</v>
      </c>
      <c r="W378" s="1">
        <v>95</v>
      </c>
      <c r="X378" s="1">
        <v>100</v>
      </c>
      <c r="Y378" s="1">
        <v>132</v>
      </c>
      <c r="Z378" s="1">
        <v>110</v>
      </c>
      <c r="AA378" s="1">
        <v>122</v>
      </c>
      <c r="AB378" s="1">
        <v>15</v>
      </c>
      <c r="AC378" s="1">
        <v>40</v>
      </c>
      <c r="AD378" s="1">
        <v>1</v>
      </c>
      <c r="AE378" s="1">
        <v>105</v>
      </c>
      <c r="AF378" s="1">
        <v>100</v>
      </c>
      <c r="AG378" s="1">
        <v>710201</v>
      </c>
      <c r="AH378" s="1">
        <v>0</v>
      </c>
      <c r="AI378" s="1">
        <v>710204</v>
      </c>
      <c r="AJ378" s="1" t="s">
        <v>1379</v>
      </c>
      <c r="AK378" s="1" t="s">
        <v>1380</v>
      </c>
      <c r="AL378" s="1">
        <v>8</v>
      </c>
      <c r="AM378" s="1" t="s">
        <v>4716</v>
      </c>
      <c r="AN378" s="1" t="s">
        <v>4728</v>
      </c>
      <c r="AO378" s="1" t="s">
        <v>5267</v>
      </c>
      <c r="AP378" s="1">
        <v>0</v>
      </c>
      <c r="AQ378" s="1" t="s">
        <v>5067</v>
      </c>
      <c r="AR378" s="1" t="s">
        <v>1201</v>
      </c>
      <c r="AS378" s="1" t="s">
        <v>1202</v>
      </c>
      <c r="AT378" s="1" t="s">
        <v>328</v>
      </c>
      <c r="AU378" s="1">
        <v>1008</v>
      </c>
      <c r="AV378" s="1">
        <v>1</v>
      </c>
      <c r="AW378" s="1" t="s">
        <v>5396</v>
      </c>
      <c r="AX378" s="1" t="s">
        <v>5400</v>
      </c>
      <c r="AY378" s="1">
        <v>7</v>
      </c>
      <c r="AZ378" s="1">
        <v>0</v>
      </c>
      <c r="BA378" s="1" t="s">
        <v>328</v>
      </c>
      <c r="BB378" s="1" t="s">
        <v>328</v>
      </c>
      <c r="BC378" s="1" t="s">
        <v>5386</v>
      </c>
      <c r="BD378" s="1">
        <v>0</v>
      </c>
      <c r="BE378" s="1"/>
      <c r="BH378">
        <f>COUNTIF(Dropdowns!$I:$AF,C378)</f>
        <v>1</v>
      </c>
    </row>
    <row r="379" spans="1:60" x14ac:dyDescent="0.3">
      <c r="A379" s="1">
        <v>1023</v>
      </c>
      <c r="B379" s="1" t="s">
        <v>4174</v>
      </c>
      <c r="C379" s="207" t="s">
        <v>247</v>
      </c>
      <c r="D379" s="1" t="s">
        <v>247</v>
      </c>
      <c r="E379" s="1"/>
      <c r="F379" s="1"/>
      <c r="G379" s="1" t="s">
        <v>4175</v>
      </c>
      <c r="H379" s="1" t="s">
        <v>4176</v>
      </c>
      <c r="I379" s="1" t="s">
        <v>4177</v>
      </c>
      <c r="J379" s="1">
        <v>2</v>
      </c>
      <c r="K379" s="1">
        <v>5</v>
      </c>
      <c r="L379" s="1">
        <v>8880</v>
      </c>
      <c r="M379" s="1">
        <v>25</v>
      </c>
      <c r="N379" s="1">
        <v>20</v>
      </c>
      <c r="O379" s="1">
        <v>15</v>
      </c>
      <c r="P379" s="1">
        <v>10</v>
      </c>
      <c r="Q379" s="1">
        <v>5</v>
      </c>
      <c r="R379" s="1">
        <v>5</v>
      </c>
      <c r="S379" s="1">
        <v>2</v>
      </c>
      <c r="T379" s="1">
        <v>0</v>
      </c>
      <c r="U379" s="1">
        <v>108</v>
      </c>
      <c r="V379" s="1">
        <v>112</v>
      </c>
      <c r="W379" s="1">
        <v>115</v>
      </c>
      <c r="X379" s="1">
        <v>100</v>
      </c>
      <c r="Y379" s="1">
        <v>120</v>
      </c>
      <c r="Z379" s="1">
        <v>126</v>
      </c>
      <c r="AA379" s="1">
        <v>0</v>
      </c>
      <c r="AB379" s="1">
        <v>15</v>
      </c>
      <c r="AC379" s="1">
        <v>5</v>
      </c>
      <c r="AD379" s="1">
        <v>0</v>
      </c>
      <c r="AE379" s="1">
        <v>118</v>
      </c>
      <c r="AF379" s="1">
        <v>100</v>
      </c>
      <c r="AG379" s="1">
        <v>900680</v>
      </c>
      <c r="AH379" s="1">
        <v>0</v>
      </c>
      <c r="AI379" s="1">
        <v>300102</v>
      </c>
      <c r="AJ379" s="1" t="s">
        <v>1381</v>
      </c>
      <c r="AK379" s="1" t="s">
        <v>1382</v>
      </c>
      <c r="AL379" s="1">
        <v>14</v>
      </c>
      <c r="AM379" s="1" t="s">
        <v>398</v>
      </c>
      <c r="AN379" s="1" t="s">
        <v>5401</v>
      </c>
      <c r="AO379" s="1" t="s">
        <v>4903</v>
      </c>
      <c r="AP379" s="1">
        <v>0</v>
      </c>
      <c r="AQ379" s="1" t="s">
        <v>1129</v>
      </c>
      <c r="AR379" s="1" t="s">
        <v>1119</v>
      </c>
      <c r="AS379" s="1" t="s">
        <v>1745</v>
      </c>
      <c r="AT379" s="1" t="s">
        <v>328</v>
      </c>
      <c r="AU379" s="1">
        <v>1027</v>
      </c>
      <c r="AV379" s="1">
        <v>1</v>
      </c>
      <c r="AW379" s="1" t="s">
        <v>5402</v>
      </c>
      <c r="AX379" s="1" t="s">
        <v>5403</v>
      </c>
      <c r="AY379" s="1">
        <v>7</v>
      </c>
      <c r="AZ379" s="1">
        <v>0</v>
      </c>
      <c r="BA379" s="1" t="s">
        <v>328</v>
      </c>
      <c r="BB379" s="1" t="s">
        <v>328</v>
      </c>
      <c r="BC379" s="1" t="s">
        <v>5386</v>
      </c>
      <c r="BD379" s="1">
        <v>0</v>
      </c>
      <c r="BE379" s="1"/>
      <c r="BH379">
        <f>COUNTIF(Dropdowns!$I:$AF,C379)</f>
        <v>1</v>
      </c>
    </row>
    <row r="380" spans="1:60" x14ac:dyDescent="0.3">
      <c r="A380" s="1">
        <v>1024</v>
      </c>
      <c r="B380" s="1" t="s">
        <v>4178</v>
      </c>
      <c r="C380" s="207" t="s">
        <v>248</v>
      </c>
      <c r="D380" s="1" t="s">
        <v>248</v>
      </c>
      <c r="E380" s="1"/>
      <c r="F380" s="1"/>
      <c r="G380" s="1" t="s">
        <v>4179</v>
      </c>
      <c r="H380" s="1" t="s">
        <v>4180</v>
      </c>
      <c r="I380" s="1" t="s">
        <v>4181</v>
      </c>
      <c r="J380" s="1">
        <v>3</v>
      </c>
      <c r="K380" s="1">
        <v>5</v>
      </c>
      <c r="L380" s="1">
        <v>17400</v>
      </c>
      <c r="M380" s="1">
        <v>15</v>
      </c>
      <c r="N380" s="1">
        <v>30</v>
      </c>
      <c r="O380" s="1">
        <v>10</v>
      </c>
      <c r="P380" s="1">
        <v>15</v>
      </c>
      <c r="Q380" s="1">
        <v>5</v>
      </c>
      <c r="R380" s="1">
        <v>2</v>
      </c>
      <c r="S380" s="1">
        <v>5</v>
      </c>
      <c r="T380" s="1">
        <v>0</v>
      </c>
      <c r="U380" s="1">
        <v>90</v>
      </c>
      <c r="V380" s="1">
        <v>120</v>
      </c>
      <c r="W380" s="1">
        <v>110</v>
      </c>
      <c r="X380" s="1">
        <v>100</v>
      </c>
      <c r="Y380" s="1">
        <v>120</v>
      </c>
      <c r="Z380" s="1">
        <v>100</v>
      </c>
      <c r="AA380" s="1">
        <v>0</v>
      </c>
      <c r="AB380" s="1">
        <v>15</v>
      </c>
      <c r="AC380" s="1">
        <v>40</v>
      </c>
      <c r="AD380" s="1">
        <v>0</v>
      </c>
      <c r="AE380" s="1">
        <v>120</v>
      </c>
      <c r="AF380" s="1">
        <v>100</v>
      </c>
      <c r="AG380" s="1">
        <v>900692</v>
      </c>
      <c r="AH380" s="1">
        <v>0</v>
      </c>
      <c r="AI380" s="1">
        <v>900690</v>
      </c>
      <c r="AJ380" s="1" t="s">
        <v>328</v>
      </c>
      <c r="AK380" s="1" t="s">
        <v>1383</v>
      </c>
      <c r="AL380" s="1">
        <v>17</v>
      </c>
      <c r="AM380" s="1" t="s">
        <v>4762</v>
      </c>
      <c r="AN380" s="1" t="s">
        <v>5404</v>
      </c>
      <c r="AO380" s="1" t="s">
        <v>4845</v>
      </c>
      <c r="AP380" s="1">
        <v>0</v>
      </c>
      <c r="AQ380" s="1" t="s">
        <v>1140</v>
      </c>
      <c r="AR380" s="1" t="s">
        <v>1141</v>
      </c>
      <c r="AS380" s="1" t="s">
        <v>4839</v>
      </c>
      <c r="AT380" s="1" t="s">
        <v>328</v>
      </c>
      <c r="AU380" s="1">
        <v>1005</v>
      </c>
      <c r="AV380" s="1">
        <v>1</v>
      </c>
      <c r="AW380" s="1" t="s">
        <v>5402</v>
      </c>
      <c r="AX380" s="1" t="s">
        <v>5405</v>
      </c>
      <c r="AY380" s="1">
        <v>7</v>
      </c>
      <c r="AZ380" s="1">
        <v>0</v>
      </c>
      <c r="BA380" s="1" t="s">
        <v>328</v>
      </c>
      <c r="BB380" s="1" t="s">
        <v>328</v>
      </c>
      <c r="BC380" s="1" t="s">
        <v>5386</v>
      </c>
      <c r="BD380" s="1">
        <v>0</v>
      </c>
      <c r="BE380" s="1"/>
      <c r="BH380">
        <f>COUNTIF(Dropdowns!$I:$AF,C380)</f>
        <v>1</v>
      </c>
    </row>
    <row r="381" spans="1:60" x14ac:dyDescent="0.3">
      <c r="A381" s="1">
        <v>1025</v>
      </c>
      <c r="B381" s="1" t="s">
        <v>4182</v>
      </c>
      <c r="C381" s="207" t="s">
        <v>249</v>
      </c>
      <c r="D381" s="1" t="s">
        <v>249</v>
      </c>
      <c r="E381" s="1"/>
      <c r="F381" s="1"/>
      <c r="G381" s="1" t="s">
        <v>4183</v>
      </c>
      <c r="H381" s="1" t="s">
        <v>4184</v>
      </c>
      <c r="I381" s="1" t="s">
        <v>4185</v>
      </c>
      <c r="J381" s="1">
        <v>6</v>
      </c>
      <c r="K381" s="1">
        <v>5</v>
      </c>
      <c r="L381" s="1">
        <v>28800</v>
      </c>
      <c r="M381" s="1">
        <v>30</v>
      </c>
      <c r="N381" s="1">
        <v>40</v>
      </c>
      <c r="O381" s="1">
        <v>15</v>
      </c>
      <c r="P381" s="1">
        <v>25</v>
      </c>
      <c r="Q381" s="1">
        <v>5</v>
      </c>
      <c r="R381" s="1">
        <v>2</v>
      </c>
      <c r="S381" s="1">
        <v>5</v>
      </c>
      <c r="T381" s="1">
        <v>5</v>
      </c>
      <c r="U381" s="1">
        <v>115</v>
      </c>
      <c r="V381" s="1">
        <v>120</v>
      </c>
      <c r="W381" s="1">
        <v>100</v>
      </c>
      <c r="X381" s="1">
        <v>100</v>
      </c>
      <c r="Y381" s="1">
        <v>100</v>
      </c>
      <c r="Z381" s="1">
        <v>95</v>
      </c>
      <c r="AA381" s="1">
        <v>115</v>
      </c>
      <c r="AB381" s="1">
        <v>15</v>
      </c>
      <c r="AC381" s="1">
        <v>40</v>
      </c>
      <c r="AD381" s="1">
        <v>4</v>
      </c>
      <c r="AE381" s="1">
        <v>110</v>
      </c>
      <c r="AF381" s="1">
        <v>100</v>
      </c>
      <c r="AG381" s="1">
        <v>900704</v>
      </c>
      <c r="AH381" s="1">
        <v>0</v>
      </c>
      <c r="AI381" s="1">
        <v>900700</v>
      </c>
      <c r="AJ381" s="1" t="s">
        <v>1384</v>
      </c>
      <c r="AK381" s="1" t="s">
        <v>1385</v>
      </c>
      <c r="AL381" s="1">
        <v>8</v>
      </c>
      <c r="AM381" s="1" t="s">
        <v>4716</v>
      </c>
      <c r="AN381" s="1" t="s">
        <v>5406</v>
      </c>
      <c r="AO381" s="1" t="s">
        <v>4942</v>
      </c>
      <c r="AP381" s="1">
        <v>0</v>
      </c>
      <c r="AQ381" s="1" t="s">
        <v>1200</v>
      </c>
      <c r="AR381" s="1" t="s">
        <v>5060</v>
      </c>
      <c r="AS381" s="1" t="s">
        <v>1202</v>
      </c>
      <c r="AT381" s="1" t="s">
        <v>328</v>
      </c>
      <c r="AU381" s="1">
        <v>1008</v>
      </c>
      <c r="AV381" s="1">
        <v>1</v>
      </c>
      <c r="AW381" s="1" t="s">
        <v>5402</v>
      </c>
      <c r="AX381" s="1" t="s">
        <v>5405</v>
      </c>
      <c r="AY381" s="1">
        <v>7</v>
      </c>
      <c r="AZ381" s="1">
        <v>0</v>
      </c>
      <c r="BA381" s="1" t="s">
        <v>328</v>
      </c>
      <c r="BB381" s="1" t="s">
        <v>328</v>
      </c>
      <c r="BC381" s="1" t="s">
        <v>5386</v>
      </c>
      <c r="BD381" s="1">
        <v>0</v>
      </c>
      <c r="BE381" s="1"/>
      <c r="BH381">
        <f>COUNTIF(Dropdowns!$I:$AF,C381)</f>
        <v>1</v>
      </c>
    </row>
    <row r="382" spans="1:60" x14ac:dyDescent="0.3">
      <c r="A382" s="1">
        <v>1026</v>
      </c>
      <c r="B382" s="1" t="s">
        <v>4186</v>
      </c>
      <c r="C382" s="207" t="s">
        <v>250</v>
      </c>
      <c r="D382" s="1" t="s">
        <v>250</v>
      </c>
      <c r="E382" s="1"/>
      <c r="F382" s="1"/>
      <c r="G382" s="1" t="s">
        <v>4187</v>
      </c>
      <c r="H382" s="1" t="s">
        <v>4188</v>
      </c>
      <c r="I382" s="1" t="s">
        <v>4189</v>
      </c>
      <c r="J382" s="1">
        <v>5</v>
      </c>
      <c r="K382" s="1">
        <v>5</v>
      </c>
      <c r="L382" s="1">
        <v>23760</v>
      </c>
      <c r="M382" s="1">
        <v>40</v>
      </c>
      <c r="N382" s="1">
        <v>30</v>
      </c>
      <c r="O382" s="1">
        <v>25</v>
      </c>
      <c r="P382" s="1">
        <v>15</v>
      </c>
      <c r="Q382" s="1">
        <v>5</v>
      </c>
      <c r="R382" s="1">
        <v>5</v>
      </c>
      <c r="S382" s="1">
        <v>2</v>
      </c>
      <c r="T382" s="1">
        <v>5</v>
      </c>
      <c r="U382" s="1">
        <v>95</v>
      </c>
      <c r="V382" s="1">
        <v>90</v>
      </c>
      <c r="W382" s="1">
        <v>125</v>
      </c>
      <c r="X382" s="1">
        <v>100</v>
      </c>
      <c r="Y382" s="1">
        <v>125</v>
      </c>
      <c r="Z382" s="1">
        <v>130</v>
      </c>
      <c r="AA382" s="1">
        <v>0</v>
      </c>
      <c r="AB382" s="1">
        <v>15</v>
      </c>
      <c r="AC382" s="1">
        <v>5</v>
      </c>
      <c r="AD382" s="1">
        <v>8</v>
      </c>
      <c r="AE382" s="1">
        <v>135</v>
      </c>
      <c r="AF382" s="1">
        <v>100</v>
      </c>
      <c r="AG382" s="1">
        <v>900713</v>
      </c>
      <c r="AH382" s="1">
        <v>0</v>
      </c>
      <c r="AI382" s="1">
        <v>900710</v>
      </c>
      <c r="AJ382" s="1" t="s">
        <v>1386</v>
      </c>
      <c r="AK382" s="1" t="s">
        <v>1387</v>
      </c>
      <c r="AL382" s="1">
        <v>18</v>
      </c>
      <c r="AM382" s="1" t="s">
        <v>4858</v>
      </c>
      <c r="AN382" s="1" t="s">
        <v>4937</v>
      </c>
      <c r="AO382" s="1" t="s">
        <v>5155</v>
      </c>
      <c r="AP382" s="1">
        <v>0</v>
      </c>
      <c r="AQ382" s="1" t="s">
        <v>1167</v>
      </c>
      <c r="AR382" s="1" t="s">
        <v>4911</v>
      </c>
      <c r="AS382" s="1" t="s">
        <v>1169</v>
      </c>
      <c r="AT382" s="1" t="s">
        <v>328</v>
      </c>
      <c r="AU382" s="1">
        <v>1026</v>
      </c>
      <c r="AV382" s="1">
        <v>1</v>
      </c>
      <c r="AW382" s="1" t="s">
        <v>5402</v>
      </c>
      <c r="AX382" s="1" t="s">
        <v>5407</v>
      </c>
      <c r="AY382" s="1">
        <v>7</v>
      </c>
      <c r="AZ382" s="1">
        <v>0</v>
      </c>
      <c r="BA382" s="1" t="s">
        <v>328</v>
      </c>
      <c r="BB382" s="1" t="s">
        <v>328</v>
      </c>
      <c r="BC382" s="1" t="s">
        <v>5386</v>
      </c>
      <c r="BD382" s="1">
        <v>0</v>
      </c>
      <c r="BE382" s="1"/>
      <c r="BH382">
        <f>COUNTIF(Dropdowns!$I:$AF,C382)</f>
        <v>1</v>
      </c>
    </row>
    <row r="383" spans="1:60" x14ac:dyDescent="0.3">
      <c r="A383" s="1">
        <v>1027</v>
      </c>
      <c r="B383" s="1" t="s">
        <v>4190</v>
      </c>
      <c r="C383" s="207" t="s">
        <v>251</v>
      </c>
      <c r="D383" s="1" t="s">
        <v>251</v>
      </c>
      <c r="E383" s="1"/>
      <c r="F383" s="1"/>
      <c r="G383" s="1" t="s">
        <v>4191</v>
      </c>
      <c r="H383" s="1" t="s">
        <v>4192</v>
      </c>
      <c r="I383" s="1" t="s">
        <v>4193</v>
      </c>
      <c r="J383" s="1">
        <v>4</v>
      </c>
      <c r="K383" s="1">
        <v>5</v>
      </c>
      <c r="L383" s="1">
        <v>14100</v>
      </c>
      <c r="M383" s="1">
        <v>20</v>
      </c>
      <c r="N383" s="1">
        <v>20</v>
      </c>
      <c r="O383" s="1">
        <v>10</v>
      </c>
      <c r="P383" s="1">
        <v>10</v>
      </c>
      <c r="Q383" s="1">
        <v>2</v>
      </c>
      <c r="R383" s="1">
        <v>5</v>
      </c>
      <c r="S383" s="1">
        <v>5</v>
      </c>
      <c r="T383" s="1">
        <v>0</v>
      </c>
      <c r="U383" s="1">
        <v>110</v>
      </c>
      <c r="V383" s="1">
        <v>118</v>
      </c>
      <c r="W383" s="1">
        <v>110</v>
      </c>
      <c r="X383" s="1">
        <v>100</v>
      </c>
      <c r="Y383" s="1">
        <v>132</v>
      </c>
      <c r="Z383" s="1">
        <v>105</v>
      </c>
      <c r="AA383" s="1">
        <v>0</v>
      </c>
      <c r="AB383" s="1">
        <v>15</v>
      </c>
      <c r="AC383" s="1">
        <v>30</v>
      </c>
      <c r="AD383" s="1">
        <v>0</v>
      </c>
      <c r="AE383" s="1">
        <v>125</v>
      </c>
      <c r="AF383" s="1">
        <v>100</v>
      </c>
      <c r="AG383" s="1">
        <v>900721</v>
      </c>
      <c r="AH383" s="1">
        <v>0</v>
      </c>
      <c r="AI383" s="1">
        <v>900720</v>
      </c>
      <c r="AJ383" s="1" t="s">
        <v>1388</v>
      </c>
      <c r="AK383" s="1" t="s">
        <v>1389</v>
      </c>
      <c r="AL383" s="1">
        <v>13</v>
      </c>
      <c r="AM383" s="1" t="s">
        <v>398</v>
      </c>
      <c r="AN383" s="1" t="s">
        <v>5384</v>
      </c>
      <c r="AO383" s="1" t="s">
        <v>5258</v>
      </c>
      <c r="AP383" s="1">
        <v>0</v>
      </c>
      <c r="AQ383" s="1" t="s">
        <v>1130</v>
      </c>
      <c r="AR383" s="1" t="s">
        <v>1154</v>
      </c>
      <c r="AS383" s="1" t="s">
        <v>1744</v>
      </c>
      <c r="AT383" s="1" t="s">
        <v>328</v>
      </c>
      <c r="AU383" s="1">
        <v>1007</v>
      </c>
      <c r="AV383" s="1">
        <v>1</v>
      </c>
      <c r="AW383" s="1" t="s">
        <v>5402</v>
      </c>
      <c r="AX383" s="1" t="s">
        <v>5407</v>
      </c>
      <c r="AY383" s="1">
        <v>7</v>
      </c>
      <c r="AZ383" s="1">
        <v>0</v>
      </c>
      <c r="BA383" s="1" t="s">
        <v>328</v>
      </c>
      <c r="BB383" s="1" t="s">
        <v>328</v>
      </c>
      <c r="BC383" s="1" t="s">
        <v>5386</v>
      </c>
      <c r="BD383" s="1">
        <v>0</v>
      </c>
      <c r="BE383" s="1"/>
      <c r="BH383">
        <f>COUNTIF(Dropdowns!$I:$AF,C383)</f>
        <v>1</v>
      </c>
    </row>
    <row r="384" spans="1:60" x14ac:dyDescent="0.3">
      <c r="A384" s="1">
        <v>1028</v>
      </c>
      <c r="B384" s="1" t="s">
        <v>4194</v>
      </c>
      <c r="C384" s="207" t="s">
        <v>1688</v>
      </c>
      <c r="D384" s="1" t="s">
        <v>4195</v>
      </c>
      <c r="E384" s="1"/>
      <c r="F384" s="1"/>
      <c r="G384" s="1" t="s">
        <v>4196</v>
      </c>
      <c r="H384" s="1" t="s">
        <v>4197</v>
      </c>
      <c r="I384" s="1" t="s">
        <v>4198</v>
      </c>
      <c r="J384" s="1">
        <v>2</v>
      </c>
      <c r="K384" s="1">
        <v>5</v>
      </c>
      <c r="L384" s="1">
        <v>9300</v>
      </c>
      <c r="M384" s="1">
        <v>25</v>
      </c>
      <c r="N384" s="1">
        <v>20</v>
      </c>
      <c r="O384" s="1">
        <v>15</v>
      </c>
      <c r="P384" s="1">
        <v>10</v>
      </c>
      <c r="Q384" s="1">
        <v>5</v>
      </c>
      <c r="R384" s="1">
        <v>5</v>
      </c>
      <c r="S384" s="1">
        <v>2</v>
      </c>
      <c r="T384" s="1">
        <v>0</v>
      </c>
      <c r="U384" s="1">
        <v>105</v>
      </c>
      <c r="V384" s="1">
        <v>115</v>
      </c>
      <c r="W384" s="1">
        <v>130</v>
      </c>
      <c r="X384" s="1">
        <v>100</v>
      </c>
      <c r="Y384" s="1">
        <v>90</v>
      </c>
      <c r="Z384" s="1">
        <v>120</v>
      </c>
      <c r="AA384" s="1">
        <v>0</v>
      </c>
      <c r="AB384" s="1">
        <v>15</v>
      </c>
      <c r="AC384" s="1">
        <v>5</v>
      </c>
      <c r="AD384" s="1">
        <v>0</v>
      </c>
      <c r="AE384" s="1">
        <v>105</v>
      </c>
      <c r="AF384" s="1">
        <v>100</v>
      </c>
      <c r="AG384" s="1">
        <v>900991</v>
      </c>
      <c r="AH384" s="1">
        <v>0</v>
      </c>
      <c r="AI384" s="1">
        <v>300102</v>
      </c>
      <c r="AJ384" s="1" t="s">
        <v>328</v>
      </c>
      <c r="AK384" s="1" t="s">
        <v>1390</v>
      </c>
      <c r="AL384" s="1">
        <v>13</v>
      </c>
      <c r="AM384" s="1" t="s">
        <v>4790</v>
      </c>
      <c r="AN384" s="1" t="s">
        <v>4993</v>
      </c>
      <c r="AO384" s="1" t="s">
        <v>5184</v>
      </c>
      <c r="AP384" s="1">
        <v>0</v>
      </c>
      <c r="AQ384" s="1" t="s">
        <v>1744</v>
      </c>
      <c r="AR384" s="1" t="s">
        <v>1743</v>
      </c>
      <c r="AS384" s="1" t="s">
        <v>1745</v>
      </c>
      <c r="AT384" s="1" t="s">
        <v>328</v>
      </c>
      <c r="AU384" s="1">
        <v>1028</v>
      </c>
      <c r="AV384" s="1">
        <v>1</v>
      </c>
      <c r="AW384" s="1" t="s">
        <v>5408</v>
      </c>
      <c r="AX384" s="1" t="s">
        <v>5409</v>
      </c>
      <c r="AY384" s="1">
        <v>7</v>
      </c>
      <c r="AZ384" s="1">
        <v>0</v>
      </c>
      <c r="BA384" s="1" t="s">
        <v>328</v>
      </c>
      <c r="BB384" s="1" t="s">
        <v>328</v>
      </c>
      <c r="BC384" s="1" t="s">
        <v>5386</v>
      </c>
      <c r="BD384" s="1">
        <v>0</v>
      </c>
      <c r="BE384" s="1"/>
      <c r="BH384">
        <f>COUNTIF(Dropdowns!$I:$AF,C384)</f>
        <v>1</v>
      </c>
    </row>
    <row r="385" spans="1:60" x14ac:dyDescent="0.3">
      <c r="A385" s="1">
        <v>1029</v>
      </c>
      <c r="B385" s="1" t="s">
        <v>4199</v>
      </c>
      <c r="C385" s="207" t="s">
        <v>1689</v>
      </c>
      <c r="D385" s="1" t="s">
        <v>4200</v>
      </c>
      <c r="E385" s="1"/>
      <c r="F385" s="1"/>
      <c r="G385" s="1" t="s">
        <v>4201</v>
      </c>
      <c r="H385" s="1" t="s">
        <v>4202</v>
      </c>
      <c r="I385" s="1" t="s">
        <v>4203</v>
      </c>
      <c r="J385" s="1">
        <v>4</v>
      </c>
      <c r="K385" s="1">
        <v>5</v>
      </c>
      <c r="L385" s="1">
        <v>14100</v>
      </c>
      <c r="M385" s="1">
        <v>20</v>
      </c>
      <c r="N385" s="1">
        <v>20</v>
      </c>
      <c r="O385" s="1">
        <v>10</v>
      </c>
      <c r="P385" s="1">
        <v>10</v>
      </c>
      <c r="Q385" s="1">
        <v>2</v>
      </c>
      <c r="R385" s="1">
        <v>5</v>
      </c>
      <c r="S385" s="1">
        <v>5</v>
      </c>
      <c r="T385" s="1">
        <v>0</v>
      </c>
      <c r="U385" s="1">
        <v>110</v>
      </c>
      <c r="V385" s="1">
        <v>115</v>
      </c>
      <c r="W385" s="1">
        <v>115</v>
      </c>
      <c r="X385" s="1">
        <v>100</v>
      </c>
      <c r="Y385" s="1">
        <v>115</v>
      </c>
      <c r="Z385" s="1">
        <v>110</v>
      </c>
      <c r="AA385" s="1">
        <v>0</v>
      </c>
      <c r="AB385" s="1">
        <v>15</v>
      </c>
      <c r="AC385" s="1">
        <v>20</v>
      </c>
      <c r="AD385" s="1">
        <v>0</v>
      </c>
      <c r="AE385" s="1">
        <v>115</v>
      </c>
      <c r="AF385" s="1">
        <v>100</v>
      </c>
      <c r="AG385" s="1">
        <v>901011</v>
      </c>
      <c r="AH385" s="1">
        <v>0</v>
      </c>
      <c r="AI385" s="1">
        <v>300103</v>
      </c>
      <c r="AJ385" s="1" t="s">
        <v>328</v>
      </c>
      <c r="AK385" s="1" t="s">
        <v>1391</v>
      </c>
      <c r="AL385" s="1">
        <v>13</v>
      </c>
      <c r="AM385" s="1" t="s">
        <v>4719</v>
      </c>
      <c r="AN385" s="1" t="s">
        <v>4829</v>
      </c>
      <c r="AO385" s="1" t="s">
        <v>5169</v>
      </c>
      <c r="AP385" s="1">
        <v>0</v>
      </c>
      <c r="AQ385" s="1" t="s">
        <v>1745</v>
      </c>
      <c r="AR385" s="1" t="s">
        <v>4868</v>
      </c>
      <c r="AS385" s="1" t="s">
        <v>1744</v>
      </c>
      <c r="AT385" s="1" t="s">
        <v>328</v>
      </c>
      <c r="AU385" s="1">
        <v>1029</v>
      </c>
      <c r="AV385" s="1">
        <v>1</v>
      </c>
      <c r="AW385" s="1" t="s">
        <v>5408</v>
      </c>
      <c r="AX385" s="1" t="s">
        <v>5410</v>
      </c>
      <c r="AY385" s="1">
        <v>7</v>
      </c>
      <c r="AZ385" s="1">
        <v>0</v>
      </c>
      <c r="BA385" s="1" t="s">
        <v>328</v>
      </c>
      <c r="BB385" s="1" t="s">
        <v>328</v>
      </c>
      <c r="BC385" s="1" t="s">
        <v>5386</v>
      </c>
      <c r="BD385" s="1">
        <v>0</v>
      </c>
      <c r="BE385" s="1"/>
      <c r="BH385">
        <f>COUNTIF(Dropdowns!$I:$AF,C385)</f>
        <v>1</v>
      </c>
    </row>
    <row r="386" spans="1:60" x14ac:dyDescent="0.3">
      <c r="A386" s="1">
        <v>1030</v>
      </c>
      <c r="B386" s="1" t="s">
        <v>4204</v>
      </c>
      <c r="C386" s="207" t="s">
        <v>1691</v>
      </c>
      <c r="D386" s="1" t="s">
        <v>4205</v>
      </c>
      <c r="E386" s="1"/>
      <c r="F386" s="1"/>
      <c r="G386" s="1" t="s">
        <v>4206</v>
      </c>
      <c r="H386" s="1" t="s">
        <v>4207</v>
      </c>
      <c r="I386" s="1" t="s">
        <v>4208</v>
      </c>
      <c r="J386" s="1">
        <v>2</v>
      </c>
      <c r="K386" s="1">
        <v>5</v>
      </c>
      <c r="L386" s="1">
        <v>8880</v>
      </c>
      <c r="M386" s="1">
        <v>25</v>
      </c>
      <c r="N386" s="1">
        <v>20</v>
      </c>
      <c r="O386" s="1">
        <v>15</v>
      </c>
      <c r="P386" s="1">
        <v>10</v>
      </c>
      <c r="Q386" s="1">
        <v>5</v>
      </c>
      <c r="R386" s="1">
        <v>5</v>
      </c>
      <c r="S386" s="1">
        <v>2</v>
      </c>
      <c r="T386" s="1">
        <v>0</v>
      </c>
      <c r="U386" s="1">
        <v>115</v>
      </c>
      <c r="V386" s="1">
        <v>90</v>
      </c>
      <c r="W386" s="1">
        <v>100</v>
      </c>
      <c r="X386" s="1">
        <v>100</v>
      </c>
      <c r="Y386" s="1">
        <v>95</v>
      </c>
      <c r="Z386" s="1">
        <v>110</v>
      </c>
      <c r="AA386" s="1">
        <v>0</v>
      </c>
      <c r="AB386" s="1">
        <v>15</v>
      </c>
      <c r="AC386" s="1">
        <v>5</v>
      </c>
      <c r="AD386" s="1">
        <v>0</v>
      </c>
      <c r="AE386" s="1">
        <v>125</v>
      </c>
      <c r="AF386" s="1">
        <v>100</v>
      </c>
      <c r="AG386" s="1">
        <v>116401</v>
      </c>
      <c r="AH386" s="1">
        <v>0</v>
      </c>
      <c r="AI386" s="1">
        <v>116402</v>
      </c>
      <c r="AJ386" s="1" t="s">
        <v>1392</v>
      </c>
      <c r="AK386" s="1" t="s">
        <v>328</v>
      </c>
      <c r="AL386" s="1">
        <v>13</v>
      </c>
      <c r="AM386" s="1" t="s">
        <v>398</v>
      </c>
      <c r="AN386" s="1" t="s">
        <v>4795</v>
      </c>
      <c r="AO386" s="1" t="s">
        <v>5411</v>
      </c>
      <c r="AP386" s="1">
        <v>0</v>
      </c>
      <c r="AQ386" s="1" t="s">
        <v>1744</v>
      </c>
      <c r="AR386" s="1" t="s">
        <v>1119</v>
      </c>
      <c r="AS386" s="1" t="s">
        <v>1130</v>
      </c>
      <c r="AT386" s="1" t="s">
        <v>328</v>
      </c>
      <c r="AU386" s="1">
        <v>48</v>
      </c>
      <c r="AV386" s="1">
        <v>1</v>
      </c>
      <c r="AW386" s="1" t="s">
        <v>5412</v>
      </c>
      <c r="AX386" s="1" t="s">
        <v>5413</v>
      </c>
      <c r="AY386" s="1">
        <v>7</v>
      </c>
      <c r="AZ386" s="1">
        <v>0</v>
      </c>
      <c r="BA386" s="1" t="s">
        <v>328</v>
      </c>
      <c r="BB386" s="1" t="s">
        <v>328</v>
      </c>
      <c r="BC386" s="1" t="s">
        <v>5386</v>
      </c>
      <c r="BD386" s="1">
        <v>0</v>
      </c>
      <c r="BE386" s="1"/>
      <c r="BH386">
        <f>COUNTIF(Dropdowns!$I:$AF,C386)</f>
        <v>1</v>
      </c>
    </row>
    <row r="387" spans="1:60" x14ac:dyDescent="0.3">
      <c r="A387" s="1">
        <v>1031</v>
      </c>
      <c r="B387" s="1" t="s">
        <v>4209</v>
      </c>
      <c r="C387" s="207" t="s">
        <v>1393</v>
      </c>
      <c r="D387" s="1" t="s">
        <v>4210</v>
      </c>
      <c r="E387" s="1"/>
      <c r="F387" s="1"/>
      <c r="G387" s="1" t="s">
        <v>4211</v>
      </c>
      <c r="H387" s="1" t="s">
        <v>4212</v>
      </c>
      <c r="I387" s="1" t="s">
        <v>4213</v>
      </c>
      <c r="J387" s="1">
        <v>3</v>
      </c>
      <c r="K387" s="1">
        <v>5</v>
      </c>
      <c r="L387" s="1">
        <v>17400</v>
      </c>
      <c r="M387" s="1">
        <v>15</v>
      </c>
      <c r="N387" s="1">
        <v>30</v>
      </c>
      <c r="O387" s="1">
        <v>10</v>
      </c>
      <c r="P387" s="1">
        <v>15</v>
      </c>
      <c r="Q387" s="1">
        <v>5</v>
      </c>
      <c r="R387" s="1">
        <v>2</v>
      </c>
      <c r="S387" s="1">
        <v>5</v>
      </c>
      <c r="T387" s="1">
        <v>0</v>
      </c>
      <c r="U387" s="1">
        <v>100</v>
      </c>
      <c r="V387" s="1">
        <v>100</v>
      </c>
      <c r="W387" s="1">
        <v>100</v>
      </c>
      <c r="X387" s="1">
        <v>100</v>
      </c>
      <c r="Y387" s="1">
        <v>100</v>
      </c>
      <c r="Z387" s="1">
        <v>100</v>
      </c>
      <c r="AA387" s="1">
        <v>0</v>
      </c>
      <c r="AB387" s="1">
        <v>15</v>
      </c>
      <c r="AC387" s="1">
        <v>40</v>
      </c>
      <c r="AD387" s="1">
        <v>0</v>
      </c>
      <c r="AE387" s="1">
        <v>150</v>
      </c>
      <c r="AF387" s="1">
        <v>100</v>
      </c>
      <c r="AG387" s="1">
        <v>116701</v>
      </c>
      <c r="AH387" s="1">
        <v>0</v>
      </c>
      <c r="AI387" s="1">
        <v>116705</v>
      </c>
      <c r="AJ387" s="1" t="s">
        <v>1394</v>
      </c>
      <c r="AK387" s="1" t="s">
        <v>1395</v>
      </c>
      <c r="AL387" s="1">
        <v>13</v>
      </c>
      <c r="AM387" s="1" t="s">
        <v>4762</v>
      </c>
      <c r="AN387" s="1" t="s">
        <v>4834</v>
      </c>
      <c r="AO387" s="1" t="s">
        <v>4845</v>
      </c>
      <c r="AP387" s="1">
        <v>0</v>
      </c>
      <c r="AQ387" s="1" t="s">
        <v>1140</v>
      </c>
      <c r="AR387" s="1" t="s">
        <v>1141</v>
      </c>
      <c r="AS387" s="1" t="s">
        <v>4839</v>
      </c>
      <c r="AT387" s="1" t="s">
        <v>328</v>
      </c>
      <c r="AU387" s="1">
        <v>150</v>
      </c>
      <c r="AV387" s="1">
        <v>1</v>
      </c>
      <c r="AW387" s="1" t="s">
        <v>5412</v>
      </c>
      <c r="AX387" s="1" t="s">
        <v>5414</v>
      </c>
      <c r="AY387" s="1">
        <v>7</v>
      </c>
      <c r="AZ387" s="1">
        <v>0</v>
      </c>
      <c r="BA387" s="1" t="s">
        <v>328</v>
      </c>
      <c r="BB387" s="1" t="s">
        <v>328</v>
      </c>
      <c r="BC387" s="1" t="s">
        <v>5386</v>
      </c>
      <c r="BD387" s="1">
        <v>0</v>
      </c>
      <c r="BE387" s="1"/>
      <c r="BH387">
        <f>COUNTIF(Dropdowns!$I:$AF,C387)</f>
        <v>1</v>
      </c>
    </row>
    <row r="388" spans="1:60" x14ac:dyDescent="0.3">
      <c r="A388" s="1">
        <v>1032</v>
      </c>
      <c r="B388" s="1" t="s">
        <v>4214</v>
      </c>
      <c r="C388" s="207" t="s">
        <v>1396</v>
      </c>
      <c r="D388" s="1" t="s">
        <v>1396</v>
      </c>
      <c r="E388" s="1"/>
      <c r="F388" s="1"/>
      <c r="G388" s="1" t="s">
        <v>4215</v>
      </c>
      <c r="H388" s="1" t="s">
        <v>4216</v>
      </c>
      <c r="I388" s="1" t="s">
        <v>4217</v>
      </c>
      <c r="J388" s="1">
        <v>4</v>
      </c>
      <c r="K388" s="1">
        <v>5</v>
      </c>
      <c r="L388" s="1">
        <v>14100</v>
      </c>
      <c r="M388" s="1">
        <v>20</v>
      </c>
      <c r="N388" s="1">
        <v>20</v>
      </c>
      <c r="O388" s="1">
        <v>10</v>
      </c>
      <c r="P388" s="1">
        <v>10</v>
      </c>
      <c r="Q388" s="1">
        <v>2</v>
      </c>
      <c r="R388" s="1">
        <v>5</v>
      </c>
      <c r="S388" s="1">
        <v>5</v>
      </c>
      <c r="T388" s="1">
        <v>0</v>
      </c>
      <c r="U388" s="1">
        <v>110</v>
      </c>
      <c r="V388" s="1">
        <v>122</v>
      </c>
      <c r="W388" s="1">
        <v>105</v>
      </c>
      <c r="X388" s="1">
        <v>100</v>
      </c>
      <c r="Y388" s="1">
        <v>128</v>
      </c>
      <c r="Z388" s="1">
        <v>105</v>
      </c>
      <c r="AA388" s="1">
        <v>0</v>
      </c>
      <c r="AB388" s="1">
        <v>15</v>
      </c>
      <c r="AC388" s="1">
        <v>30</v>
      </c>
      <c r="AD388" s="1">
        <v>0</v>
      </c>
      <c r="AE388" s="1">
        <v>130</v>
      </c>
      <c r="AF388" s="1">
        <v>100</v>
      </c>
      <c r="AG388" s="1">
        <v>116601</v>
      </c>
      <c r="AH388" s="1">
        <v>0</v>
      </c>
      <c r="AI388" s="1">
        <v>116603</v>
      </c>
      <c r="AJ388" s="1" t="s">
        <v>328</v>
      </c>
      <c r="AK388" s="1" t="s">
        <v>1397</v>
      </c>
      <c r="AL388" s="1">
        <v>13</v>
      </c>
      <c r="AM388" s="1" t="s">
        <v>398</v>
      </c>
      <c r="AN388" s="1" t="s">
        <v>5384</v>
      </c>
      <c r="AO388" s="1" t="s">
        <v>5258</v>
      </c>
      <c r="AP388" s="1">
        <v>0</v>
      </c>
      <c r="AQ388" s="1" t="s">
        <v>1130</v>
      </c>
      <c r="AR388" s="1" t="s">
        <v>1154</v>
      </c>
      <c r="AS388" s="1" t="s">
        <v>1744</v>
      </c>
      <c r="AT388" s="1" t="s">
        <v>328</v>
      </c>
      <c r="AU388" s="1">
        <v>241</v>
      </c>
      <c r="AV388" s="1">
        <v>1</v>
      </c>
      <c r="AW388" s="1" t="s">
        <v>5412</v>
      </c>
      <c r="AX388" s="1" t="s">
        <v>5415</v>
      </c>
      <c r="AY388" s="1">
        <v>7</v>
      </c>
      <c r="AZ388" s="1">
        <v>0</v>
      </c>
      <c r="BA388" s="1" t="s">
        <v>328</v>
      </c>
      <c r="BB388" s="1" t="s">
        <v>328</v>
      </c>
      <c r="BC388" s="1" t="s">
        <v>5386</v>
      </c>
      <c r="BD388" s="1">
        <v>0</v>
      </c>
      <c r="BE388" s="1"/>
      <c r="BH388">
        <f>COUNTIF(Dropdowns!$I:$AF,C388)</f>
        <v>1</v>
      </c>
    </row>
    <row r="389" spans="1:60" x14ac:dyDescent="0.3">
      <c r="A389" s="1">
        <v>1033</v>
      </c>
      <c r="B389" s="1" t="s">
        <v>4218</v>
      </c>
      <c r="C389" s="207" t="s">
        <v>1690</v>
      </c>
      <c r="D389" s="1" t="s">
        <v>1690</v>
      </c>
      <c r="E389" s="1"/>
      <c r="F389" s="1"/>
      <c r="G389" s="1" t="s">
        <v>4219</v>
      </c>
      <c r="H389" s="1" t="s">
        <v>4220</v>
      </c>
      <c r="I389" s="1" t="s">
        <v>4221</v>
      </c>
      <c r="J389" s="1">
        <v>5</v>
      </c>
      <c r="K389" s="1">
        <v>5</v>
      </c>
      <c r="L389" s="1">
        <v>23760</v>
      </c>
      <c r="M389" s="1">
        <v>40</v>
      </c>
      <c r="N389" s="1">
        <v>30</v>
      </c>
      <c r="O389" s="1">
        <v>25</v>
      </c>
      <c r="P389" s="1">
        <v>15</v>
      </c>
      <c r="Q389" s="1">
        <v>5</v>
      </c>
      <c r="R389" s="1">
        <v>5</v>
      </c>
      <c r="S389" s="1">
        <v>2</v>
      </c>
      <c r="T389" s="1">
        <v>5</v>
      </c>
      <c r="U389" s="1">
        <v>110</v>
      </c>
      <c r="V389" s="1">
        <v>115</v>
      </c>
      <c r="W389" s="1">
        <v>120</v>
      </c>
      <c r="X389" s="1">
        <v>100</v>
      </c>
      <c r="Y389" s="1">
        <v>115</v>
      </c>
      <c r="Z389" s="1">
        <v>95</v>
      </c>
      <c r="AA389" s="1">
        <v>0</v>
      </c>
      <c r="AB389" s="1">
        <v>15</v>
      </c>
      <c r="AC389" s="1">
        <v>5</v>
      </c>
      <c r="AD389" s="1">
        <v>10</v>
      </c>
      <c r="AE389" s="1">
        <v>118</v>
      </c>
      <c r="AF389" s="1">
        <v>100</v>
      </c>
      <c r="AG389" s="1">
        <v>116501</v>
      </c>
      <c r="AH389" s="1">
        <v>0</v>
      </c>
      <c r="AI389" s="1">
        <v>116503</v>
      </c>
      <c r="AJ389" s="1" t="s">
        <v>1398</v>
      </c>
      <c r="AK389" s="1" t="s">
        <v>1399</v>
      </c>
      <c r="AL389" s="1">
        <v>18</v>
      </c>
      <c r="AM389" s="1" t="s">
        <v>4858</v>
      </c>
      <c r="AN389" s="1" t="s">
        <v>4937</v>
      </c>
      <c r="AO389" s="1" t="s">
        <v>5155</v>
      </c>
      <c r="AP389" s="1">
        <v>0</v>
      </c>
      <c r="AQ389" s="1" t="s">
        <v>1167</v>
      </c>
      <c r="AR389" s="1" t="s">
        <v>4911</v>
      </c>
      <c r="AS389" s="1" t="s">
        <v>1169</v>
      </c>
      <c r="AT389" s="1" t="s">
        <v>328</v>
      </c>
      <c r="AU389" s="1">
        <v>48</v>
      </c>
      <c r="AV389" s="1">
        <v>1</v>
      </c>
      <c r="AW389" s="1" t="s">
        <v>5412</v>
      </c>
      <c r="AX389" s="1" t="s">
        <v>5413</v>
      </c>
      <c r="AY389" s="1">
        <v>7</v>
      </c>
      <c r="AZ389" s="1">
        <v>0</v>
      </c>
      <c r="BA389" s="1" t="s">
        <v>328</v>
      </c>
      <c r="BB389" s="1" t="s">
        <v>328</v>
      </c>
      <c r="BC389" s="1" t="s">
        <v>5386</v>
      </c>
      <c r="BD389" s="1">
        <v>0</v>
      </c>
      <c r="BE389" s="1"/>
      <c r="BH389">
        <f>COUNTIF(Dropdowns!$I:$AF,C389)</f>
        <v>1</v>
      </c>
    </row>
    <row r="390" spans="1:60" x14ac:dyDescent="0.3">
      <c r="A390" s="1">
        <v>1034</v>
      </c>
      <c r="B390" s="1" t="s">
        <v>4222</v>
      </c>
      <c r="C390" s="207" t="s">
        <v>1400</v>
      </c>
      <c r="D390" s="1" t="s">
        <v>4223</v>
      </c>
      <c r="E390" s="1"/>
      <c r="F390" s="1"/>
      <c r="G390" s="1" t="s">
        <v>4224</v>
      </c>
      <c r="H390" s="1" t="s">
        <v>4225</v>
      </c>
      <c r="I390" s="1" t="s">
        <v>4226</v>
      </c>
      <c r="J390" s="1">
        <v>6</v>
      </c>
      <c r="K390" s="1">
        <v>5</v>
      </c>
      <c r="L390" s="1">
        <v>28800</v>
      </c>
      <c r="M390" s="1">
        <v>30</v>
      </c>
      <c r="N390" s="1">
        <v>40</v>
      </c>
      <c r="O390" s="1">
        <v>15</v>
      </c>
      <c r="P390" s="1">
        <v>25</v>
      </c>
      <c r="Q390" s="1">
        <v>5</v>
      </c>
      <c r="R390" s="1">
        <v>2</v>
      </c>
      <c r="S390" s="1">
        <v>5</v>
      </c>
      <c r="T390" s="1">
        <v>5</v>
      </c>
      <c r="U390" s="1">
        <v>130</v>
      </c>
      <c r="V390" s="1">
        <v>130</v>
      </c>
      <c r="W390" s="1">
        <v>90</v>
      </c>
      <c r="X390" s="1">
        <v>100</v>
      </c>
      <c r="Y390" s="1">
        <v>95</v>
      </c>
      <c r="Z390" s="1">
        <v>90</v>
      </c>
      <c r="AA390" s="1">
        <v>122</v>
      </c>
      <c r="AB390" s="1">
        <v>15</v>
      </c>
      <c r="AC390" s="1">
        <v>40</v>
      </c>
      <c r="AD390" s="1">
        <v>4</v>
      </c>
      <c r="AE390" s="1">
        <v>108</v>
      </c>
      <c r="AF390" s="1">
        <v>100</v>
      </c>
      <c r="AG390" s="1">
        <v>116801</v>
      </c>
      <c r="AH390" s="1">
        <v>0</v>
      </c>
      <c r="AI390" s="1">
        <v>116806</v>
      </c>
      <c r="AJ390" s="1" t="s">
        <v>1401</v>
      </c>
      <c r="AK390" s="1" t="s">
        <v>1402</v>
      </c>
      <c r="AL390" s="1">
        <v>8</v>
      </c>
      <c r="AM390" s="1" t="s">
        <v>4716</v>
      </c>
      <c r="AN390" s="1" t="s">
        <v>4728</v>
      </c>
      <c r="AO390" s="1" t="s">
        <v>5267</v>
      </c>
      <c r="AP390" s="1">
        <v>0</v>
      </c>
      <c r="AQ390" s="1" t="s">
        <v>1200</v>
      </c>
      <c r="AR390" s="1" t="s">
        <v>1201</v>
      </c>
      <c r="AS390" s="1" t="s">
        <v>5062</v>
      </c>
      <c r="AT390" s="1" t="s">
        <v>328</v>
      </c>
      <c r="AU390" s="1">
        <v>238</v>
      </c>
      <c r="AV390" s="1">
        <v>1</v>
      </c>
      <c r="AW390" s="1" t="s">
        <v>5412</v>
      </c>
      <c r="AX390" s="1" t="s">
        <v>5415</v>
      </c>
      <c r="AY390" s="1">
        <v>7</v>
      </c>
      <c r="AZ390" s="1">
        <v>0</v>
      </c>
      <c r="BA390" s="1" t="s">
        <v>328</v>
      </c>
      <c r="BB390" s="1" t="s">
        <v>328</v>
      </c>
      <c r="BC390" s="1" t="s">
        <v>5386</v>
      </c>
      <c r="BD390" s="1">
        <v>0</v>
      </c>
      <c r="BE390" s="1"/>
      <c r="BH390">
        <f>COUNTIF(Dropdowns!$I:$AF,C390)</f>
        <v>1</v>
      </c>
    </row>
    <row r="391" spans="1:60" x14ac:dyDescent="0.3">
      <c r="A391" s="1">
        <v>9001</v>
      </c>
      <c r="B391" s="1" t="s">
        <v>5781</v>
      </c>
      <c r="C391" s="207" t="s">
        <v>5782</v>
      </c>
      <c r="D391" s="1" t="s">
        <v>5783</v>
      </c>
      <c r="E391" s="1"/>
      <c r="F391" s="1"/>
      <c r="G391" s="1" t="s">
        <v>5784</v>
      </c>
      <c r="H391" s="1" t="s">
        <v>5785</v>
      </c>
      <c r="I391" s="1" t="s">
        <v>5786</v>
      </c>
      <c r="J391" s="1">
        <v>4</v>
      </c>
      <c r="K391" s="1">
        <v>5</v>
      </c>
      <c r="L391" s="1">
        <v>22500</v>
      </c>
      <c r="M391" s="1">
        <v>40</v>
      </c>
      <c r="N391" s="1">
        <v>30</v>
      </c>
      <c r="O391" s="1">
        <v>25</v>
      </c>
      <c r="P391" s="1">
        <v>15</v>
      </c>
      <c r="Q391" s="1">
        <v>5</v>
      </c>
      <c r="R391" s="1">
        <v>5</v>
      </c>
      <c r="S391" s="1">
        <v>2</v>
      </c>
      <c r="T391" s="1">
        <v>5</v>
      </c>
      <c r="U391" s="1">
        <v>100</v>
      </c>
      <c r="V391" s="1">
        <v>0</v>
      </c>
      <c r="W391" s="1">
        <v>0</v>
      </c>
      <c r="X391" s="1">
        <v>100</v>
      </c>
      <c r="Y391" s="1">
        <v>0</v>
      </c>
      <c r="Z391" s="1">
        <v>0</v>
      </c>
      <c r="AA391" s="1">
        <v>0</v>
      </c>
      <c r="AB391" s="1">
        <v>15</v>
      </c>
      <c r="AC391" s="1">
        <v>0</v>
      </c>
      <c r="AD391" s="1">
        <v>0</v>
      </c>
      <c r="AE391" s="1">
        <v>100</v>
      </c>
      <c r="AF391" s="1">
        <v>100</v>
      </c>
      <c r="AG391" s="1">
        <v>402606</v>
      </c>
      <c r="AH391" s="1">
        <v>0</v>
      </c>
      <c r="AI391" s="1">
        <v>300103</v>
      </c>
      <c r="AJ391" s="1" t="s">
        <v>5787</v>
      </c>
      <c r="AK391" s="1" t="s">
        <v>328</v>
      </c>
      <c r="AL391" s="1">
        <v>19</v>
      </c>
      <c r="AM391" s="1" t="s">
        <v>4762</v>
      </c>
      <c r="AN391" s="1" t="s">
        <v>328</v>
      </c>
      <c r="AO391" s="1" t="s">
        <v>328</v>
      </c>
      <c r="AP391" s="1">
        <v>0</v>
      </c>
      <c r="AQ391" s="1" t="s">
        <v>1140</v>
      </c>
      <c r="AR391" s="1" t="s">
        <v>5788</v>
      </c>
      <c r="AS391" s="1" t="s">
        <v>5789</v>
      </c>
      <c r="AT391" s="1" t="s">
        <v>328</v>
      </c>
      <c r="AU391" s="1">
        <v>10</v>
      </c>
      <c r="AV391" s="1">
        <v>1</v>
      </c>
      <c r="AW391" s="1" t="s">
        <v>5790</v>
      </c>
      <c r="AX391" s="1" t="s">
        <v>1806</v>
      </c>
      <c r="AY391" s="1">
        <v>5</v>
      </c>
      <c r="AZ391" s="1">
        <v>0</v>
      </c>
      <c r="BA391" s="1" t="s">
        <v>328</v>
      </c>
      <c r="BB391" s="1" t="s">
        <v>328</v>
      </c>
      <c r="BC391" s="1" t="s">
        <v>328</v>
      </c>
      <c r="BD391" s="1">
        <v>0</v>
      </c>
      <c r="BE391" s="1"/>
      <c r="BH391">
        <f>COUNTIF(Dropdowns!$I:$AF,C391)</f>
        <v>0</v>
      </c>
    </row>
    <row r="392" spans="1:60" x14ac:dyDescent="0.3">
      <c r="A392" s="1">
        <v>9002</v>
      </c>
      <c r="B392" s="1" t="s">
        <v>5791</v>
      </c>
      <c r="C392" s="207" t="s">
        <v>5792</v>
      </c>
      <c r="D392" s="1" t="s">
        <v>5793</v>
      </c>
      <c r="E392" s="1"/>
      <c r="F392" s="1"/>
      <c r="G392" s="1" t="s">
        <v>5794</v>
      </c>
      <c r="H392" s="1" t="s">
        <v>5795</v>
      </c>
      <c r="I392" s="1" t="s">
        <v>5796</v>
      </c>
      <c r="J392" s="1">
        <v>6</v>
      </c>
      <c r="K392" s="1">
        <v>5</v>
      </c>
      <c r="L392" s="1">
        <v>22500</v>
      </c>
      <c r="M392" s="1">
        <v>40</v>
      </c>
      <c r="N392" s="1">
        <v>30</v>
      </c>
      <c r="O392" s="1">
        <v>25</v>
      </c>
      <c r="P392" s="1">
        <v>15</v>
      </c>
      <c r="Q392" s="1">
        <v>5</v>
      </c>
      <c r="R392" s="1">
        <v>5</v>
      </c>
      <c r="S392" s="1">
        <v>2</v>
      </c>
      <c r="T392" s="1">
        <v>5</v>
      </c>
      <c r="U392" s="1">
        <v>100</v>
      </c>
      <c r="V392" s="1">
        <v>0</v>
      </c>
      <c r="W392" s="1">
        <v>0</v>
      </c>
      <c r="X392" s="1">
        <v>100</v>
      </c>
      <c r="Y392" s="1">
        <v>0</v>
      </c>
      <c r="Z392" s="1">
        <v>0</v>
      </c>
      <c r="AA392" s="1">
        <v>0</v>
      </c>
      <c r="AB392" s="1">
        <v>15</v>
      </c>
      <c r="AC392" s="1">
        <v>0</v>
      </c>
      <c r="AD392" s="1">
        <v>0</v>
      </c>
      <c r="AE392" s="1">
        <v>100</v>
      </c>
      <c r="AF392" s="1">
        <v>100</v>
      </c>
      <c r="AG392" s="1">
        <v>402606</v>
      </c>
      <c r="AH392" s="1">
        <v>0</v>
      </c>
      <c r="AI392" s="1">
        <v>300103</v>
      </c>
      <c r="AJ392" s="1" t="s">
        <v>5787</v>
      </c>
      <c r="AK392" s="1" t="s">
        <v>328</v>
      </c>
      <c r="AL392" s="1">
        <v>19</v>
      </c>
      <c r="AM392" s="1" t="s">
        <v>4762</v>
      </c>
      <c r="AN392" s="1" t="s">
        <v>328</v>
      </c>
      <c r="AO392" s="1" t="s">
        <v>328</v>
      </c>
      <c r="AP392" s="1">
        <v>0</v>
      </c>
      <c r="AQ392" s="1" t="s">
        <v>1140</v>
      </c>
      <c r="AR392" s="1" t="s">
        <v>5788</v>
      </c>
      <c r="AS392" s="1" t="s">
        <v>5789</v>
      </c>
      <c r="AT392" s="1" t="s">
        <v>328</v>
      </c>
      <c r="AU392" s="1">
        <v>10</v>
      </c>
      <c r="AV392" s="1">
        <v>1</v>
      </c>
      <c r="AW392" s="1" t="s">
        <v>5790</v>
      </c>
      <c r="AX392" s="1" t="s">
        <v>1806</v>
      </c>
      <c r="AY392" s="1">
        <v>5</v>
      </c>
      <c r="AZ392" s="1">
        <v>0</v>
      </c>
      <c r="BA392" s="1" t="s">
        <v>328</v>
      </c>
      <c r="BB392" s="1" t="s">
        <v>328</v>
      </c>
      <c r="BC392" s="1" t="s">
        <v>328</v>
      </c>
      <c r="BD392" s="1">
        <v>0</v>
      </c>
      <c r="BE392" s="1"/>
      <c r="BH392">
        <f>COUNTIF(Dropdowns!$I:$AF,C392)</f>
        <v>0</v>
      </c>
    </row>
    <row r="393" spans="1:60" x14ac:dyDescent="0.3">
      <c r="A393" s="1">
        <v>9003</v>
      </c>
      <c r="B393" s="1" t="s">
        <v>5797</v>
      </c>
      <c r="C393" s="207" t="s">
        <v>5798</v>
      </c>
      <c r="D393" s="1" t="s">
        <v>5799</v>
      </c>
      <c r="E393" s="1"/>
      <c r="F393" s="1"/>
      <c r="G393" s="1" t="s">
        <v>5800</v>
      </c>
      <c r="H393" s="1" t="s">
        <v>5801</v>
      </c>
      <c r="I393" s="1" t="s">
        <v>5802</v>
      </c>
      <c r="J393" s="1">
        <v>5</v>
      </c>
      <c r="K393" s="1">
        <v>5</v>
      </c>
      <c r="L393" s="1">
        <v>22500</v>
      </c>
      <c r="M393" s="1">
        <v>40</v>
      </c>
      <c r="N393" s="1">
        <v>30</v>
      </c>
      <c r="O393" s="1">
        <v>25</v>
      </c>
      <c r="P393" s="1">
        <v>15</v>
      </c>
      <c r="Q393" s="1">
        <v>5</v>
      </c>
      <c r="R393" s="1">
        <v>5</v>
      </c>
      <c r="S393" s="1">
        <v>2</v>
      </c>
      <c r="T393" s="1">
        <v>5</v>
      </c>
      <c r="U393" s="1">
        <v>150</v>
      </c>
      <c r="V393" s="1">
        <v>0</v>
      </c>
      <c r="W393" s="1">
        <v>0</v>
      </c>
      <c r="X393" s="1">
        <v>100</v>
      </c>
      <c r="Y393" s="1">
        <v>0</v>
      </c>
      <c r="Z393" s="1">
        <v>0</v>
      </c>
      <c r="AA393" s="1">
        <v>0</v>
      </c>
      <c r="AB393" s="1">
        <v>15</v>
      </c>
      <c r="AC393" s="1">
        <v>0</v>
      </c>
      <c r="AD393" s="1">
        <v>0</v>
      </c>
      <c r="AE393" s="1">
        <v>100</v>
      </c>
      <c r="AF393" s="1">
        <v>100</v>
      </c>
      <c r="AG393" s="1">
        <v>105902</v>
      </c>
      <c r="AH393" s="1">
        <v>0</v>
      </c>
      <c r="AI393" s="1">
        <v>300103</v>
      </c>
      <c r="AJ393" s="1" t="s">
        <v>328</v>
      </c>
      <c r="AK393" s="1" t="s">
        <v>328</v>
      </c>
      <c r="AL393" s="1">
        <v>19</v>
      </c>
      <c r="AM393" s="1" t="s">
        <v>4762</v>
      </c>
      <c r="AN393" s="1" t="s">
        <v>328</v>
      </c>
      <c r="AO393" s="1" t="s">
        <v>328</v>
      </c>
      <c r="AP393" s="1">
        <v>0</v>
      </c>
      <c r="AQ393" s="1" t="s">
        <v>1140</v>
      </c>
      <c r="AR393" s="1" t="s">
        <v>5788</v>
      </c>
      <c r="AS393" s="1" t="s">
        <v>5789</v>
      </c>
      <c r="AT393" s="1" t="s">
        <v>328</v>
      </c>
      <c r="AU393" s="1">
        <v>10</v>
      </c>
      <c r="AV393" s="1">
        <v>1</v>
      </c>
      <c r="AW393" s="1" t="s">
        <v>5790</v>
      </c>
      <c r="AX393" s="1" t="s">
        <v>1806</v>
      </c>
      <c r="AY393" s="1">
        <v>5</v>
      </c>
      <c r="AZ393" s="1">
        <v>0</v>
      </c>
      <c r="BA393" s="1" t="s">
        <v>328</v>
      </c>
      <c r="BB393" s="1" t="s">
        <v>328</v>
      </c>
      <c r="BC393" s="1" t="s">
        <v>328</v>
      </c>
      <c r="BD393" s="1">
        <v>0</v>
      </c>
      <c r="BE393" s="1"/>
      <c r="BH393">
        <f>COUNTIF(Dropdowns!$I:$AF,C393)</f>
        <v>0</v>
      </c>
    </row>
    <row r="394" spans="1:60" x14ac:dyDescent="0.3">
      <c r="A394" s="1">
        <v>9004</v>
      </c>
      <c r="B394" s="1" t="s">
        <v>5803</v>
      </c>
      <c r="C394" s="207" t="s">
        <v>5804</v>
      </c>
      <c r="D394" s="1" t="s">
        <v>5805</v>
      </c>
      <c r="E394" s="1"/>
      <c r="F394" s="1"/>
      <c r="G394" s="1" t="s">
        <v>5806</v>
      </c>
      <c r="H394" s="1" t="s">
        <v>5807</v>
      </c>
      <c r="I394" s="1" t="s">
        <v>5808</v>
      </c>
      <c r="J394" s="1">
        <v>5</v>
      </c>
      <c r="K394" s="1">
        <v>5</v>
      </c>
      <c r="L394" s="1">
        <v>22500</v>
      </c>
      <c r="M394" s="1">
        <v>40</v>
      </c>
      <c r="N394" s="1">
        <v>30</v>
      </c>
      <c r="O394" s="1">
        <v>25</v>
      </c>
      <c r="P394" s="1">
        <v>15</v>
      </c>
      <c r="Q394" s="1">
        <v>5</v>
      </c>
      <c r="R394" s="1">
        <v>5</v>
      </c>
      <c r="S394" s="1">
        <v>2</v>
      </c>
      <c r="T394" s="1">
        <v>5</v>
      </c>
      <c r="U394" s="1">
        <v>200</v>
      </c>
      <c r="V394" s="1">
        <v>0</v>
      </c>
      <c r="W394" s="1">
        <v>0</v>
      </c>
      <c r="X394" s="1">
        <v>100</v>
      </c>
      <c r="Y394" s="1">
        <v>0</v>
      </c>
      <c r="Z394" s="1">
        <v>0</v>
      </c>
      <c r="AA394" s="1">
        <v>0</v>
      </c>
      <c r="AB394" s="1">
        <v>15</v>
      </c>
      <c r="AC394" s="1">
        <v>0</v>
      </c>
      <c r="AD394" s="1">
        <v>0</v>
      </c>
      <c r="AE394" s="1">
        <v>100</v>
      </c>
      <c r="AF394" s="1">
        <v>100</v>
      </c>
      <c r="AG394" s="1">
        <v>402606</v>
      </c>
      <c r="AH394" s="1">
        <v>0</v>
      </c>
      <c r="AI394" s="1">
        <v>402601</v>
      </c>
      <c r="AJ394" s="1" t="s">
        <v>5809</v>
      </c>
      <c r="AK394" s="1" t="s">
        <v>328</v>
      </c>
      <c r="AL394" s="1">
        <v>19</v>
      </c>
      <c r="AM394" s="1" t="s">
        <v>4762</v>
      </c>
      <c r="AN394" s="1" t="s">
        <v>328</v>
      </c>
      <c r="AO394" s="1" t="s">
        <v>328</v>
      </c>
      <c r="AP394" s="1">
        <v>0</v>
      </c>
      <c r="AQ394" s="1" t="s">
        <v>1140</v>
      </c>
      <c r="AR394" s="1" t="s">
        <v>5788</v>
      </c>
      <c r="AS394" s="1" t="s">
        <v>5789</v>
      </c>
      <c r="AT394" s="1" t="s">
        <v>328</v>
      </c>
      <c r="AU394" s="1">
        <v>10</v>
      </c>
      <c r="AV394" s="1">
        <v>1</v>
      </c>
      <c r="AW394" s="1" t="s">
        <v>5790</v>
      </c>
      <c r="AX394" s="1" t="s">
        <v>1806</v>
      </c>
      <c r="AY394" s="1">
        <v>5</v>
      </c>
      <c r="AZ394" s="1">
        <v>0</v>
      </c>
      <c r="BA394" s="1" t="s">
        <v>328</v>
      </c>
      <c r="BB394" s="1" t="s">
        <v>328</v>
      </c>
      <c r="BC394" s="1" t="s">
        <v>328</v>
      </c>
      <c r="BD394" s="1">
        <v>0</v>
      </c>
      <c r="BE394" s="1"/>
      <c r="BH394">
        <f>COUNTIF(Dropdowns!$I:$AF,C394)</f>
        <v>0</v>
      </c>
    </row>
    <row r="395" spans="1:60" x14ac:dyDescent="0.3">
      <c r="A395" s="1">
        <v>9005</v>
      </c>
      <c r="B395" s="1" t="s">
        <v>5810</v>
      </c>
      <c r="C395" s="207" t="s">
        <v>5811</v>
      </c>
      <c r="D395" s="1" t="s">
        <v>5812</v>
      </c>
      <c r="E395" s="1"/>
      <c r="F395" s="1"/>
      <c r="G395" s="1" t="s">
        <v>5813</v>
      </c>
      <c r="H395" s="1" t="s">
        <v>5814</v>
      </c>
      <c r="I395" s="1" t="s">
        <v>5815</v>
      </c>
      <c r="J395" s="1">
        <v>6</v>
      </c>
      <c r="K395" s="1">
        <v>5</v>
      </c>
      <c r="L395" s="1">
        <v>22500</v>
      </c>
      <c r="M395" s="1">
        <v>40</v>
      </c>
      <c r="N395" s="1">
        <v>30</v>
      </c>
      <c r="O395" s="1">
        <v>25</v>
      </c>
      <c r="P395" s="1">
        <v>15</v>
      </c>
      <c r="Q395" s="1">
        <v>5</v>
      </c>
      <c r="R395" s="1">
        <v>5</v>
      </c>
      <c r="S395" s="1">
        <v>2</v>
      </c>
      <c r="T395" s="1">
        <v>5</v>
      </c>
      <c r="U395" s="1">
        <v>100</v>
      </c>
      <c r="V395" s="1">
        <v>0</v>
      </c>
      <c r="W395" s="1">
        <v>0</v>
      </c>
      <c r="X395" s="1">
        <v>100</v>
      </c>
      <c r="Y395" s="1">
        <v>0</v>
      </c>
      <c r="Z395" s="1">
        <v>0</v>
      </c>
      <c r="AA395" s="1">
        <v>0</v>
      </c>
      <c r="AB395" s="1">
        <v>15</v>
      </c>
      <c r="AC395" s="1">
        <v>0</v>
      </c>
      <c r="AD395" s="1">
        <v>0</v>
      </c>
      <c r="AE395" s="1">
        <v>100</v>
      </c>
      <c r="AF395" s="1">
        <v>100</v>
      </c>
      <c r="AG395" s="1">
        <v>105902</v>
      </c>
      <c r="AH395" s="1">
        <v>0</v>
      </c>
      <c r="AI395" s="1">
        <v>300103</v>
      </c>
      <c r="AJ395" s="1" t="s">
        <v>328</v>
      </c>
      <c r="AK395" s="1" t="s">
        <v>328</v>
      </c>
      <c r="AL395" s="1">
        <v>19</v>
      </c>
      <c r="AM395" s="1" t="s">
        <v>4762</v>
      </c>
      <c r="AN395" s="1" t="s">
        <v>328</v>
      </c>
      <c r="AO395" s="1" t="s">
        <v>328</v>
      </c>
      <c r="AP395" s="1">
        <v>0</v>
      </c>
      <c r="AQ395" s="1" t="s">
        <v>1140</v>
      </c>
      <c r="AR395" s="1" t="s">
        <v>5788</v>
      </c>
      <c r="AS395" s="1" t="s">
        <v>5789</v>
      </c>
      <c r="AT395" s="1" t="s">
        <v>328</v>
      </c>
      <c r="AU395" s="1">
        <v>10</v>
      </c>
      <c r="AV395" s="1">
        <v>1</v>
      </c>
      <c r="AW395" s="1" t="s">
        <v>5790</v>
      </c>
      <c r="AX395" s="1" t="s">
        <v>1806</v>
      </c>
      <c r="AY395" s="1">
        <v>5</v>
      </c>
      <c r="AZ395" s="1">
        <v>0</v>
      </c>
      <c r="BA395" s="1" t="s">
        <v>328</v>
      </c>
      <c r="BB395" s="1" t="s">
        <v>328</v>
      </c>
      <c r="BC395" s="1" t="s">
        <v>328</v>
      </c>
      <c r="BD395" s="1">
        <v>0</v>
      </c>
      <c r="BE395" s="1"/>
      <c r="BH395">
        <f>COUNTIF(Dropdowns!$I:$AF,C395)</f>
        <v>0</v>
      </c>
    </row>
    <row r="396" spans="1:60" x14ac:dyDescent="0.3">
      <c r="A396" s="1">
        <v>9006</v>
      </c>
      <c r="B396" s="1" t="s">
        <v>5816</v>
      </c>
      <c r="C396" s="207" t="s">
        <v>5782</v>
      </c>
      <c r="D396" s="1" t="s">
        <v>5783</v>
      </c>
      <c r="E396" s="1"/>
      <c r="F396" s="1"/>
      <c r="G396" s="1" t="s">
        <v>5817</v>
      </c>
      <c r="H396" s="1" t="s">
        <v>5818</v>
      </c>
      <c r="I396" s="1" t="s">
        <v>5819</v>
      </c>
      <c r="J396" s="1">
        <v>4</v>
      </c>
      <c r="K396" s="1">
        <v>5</v>
      </c>
      <c r="L396" s="1">
        <v>22500</v>
      </c>
      <c r="M396" s="1">
        <v>40</v>
      </c>
      <c r="N396" s="1">
        <v>30</v>
      </c>
      <c r="O396" s="1">
        <v>25</v>
      </c>
      <c r="P396" s="1">
        <v>15</v>
      </c>
      <c r="Q396" s="1">
        <v>5</v>
      </c>
      <c r="R396" s="1">
        <v>5</v>
      </c>
      <c r="S396" s="1">
        <v>2</v>
      </c>
      <c r="T396" s="1">
        <v>5</v>
      </c>
      <c r="U396" s="1">
        <v>100</v>
      </c>
      <c r="V396" s="1">
        <v>0</v>
      </c>
      <c r="W396" s="1">
        <v>0</v>
      </c>
      <c r="X396" s="1">
        <v>100</v>
      </c>
      <c r="Y396" s="1">
        <v>0</v>
      </c>
      <c r="Z396" s="1">
        <v>0</v>
      </c>
      <c r="AA396" s="1">
        <v>0</v>
      </c>
      <c r="AB396" s="1">
        <v>15</v>
      </c>
      <c r="AC396" s="1">
        <v>0</v>
      </c>
      <c r="AD396" s="1">
        <v>0</v>
      </c>
      <c r="AE396" s="1">
        <v>100</v>
      </c>
      <c r="AF396" s="1">
        <v>100</v>
      </c>
      <c r="AG396" s="1">
        <v>402606</v>
      </c>
      <c r="AH396" s="1">
        <v>0</v>
      </c>
      <c r="AI396" s="1">
        <v>300103</v>
      </c>
      <c r="AJ396" s="1" t="s">
        <v>5787</v>
      </c>
      <c r="AK396" s="1" t="s">
        <v>328</v>
      </c>
      <c r="AL396" s="1">
        <v>19</v>
      </c>
      <c r="AM396" s="1" t="s">
        <v>4762</v>
      </c>
      <c r="AN396" s="1" t="s">
        <v>328</v>
      </c>
      <c r="AO396" s="1" t="s">
        <v>328</v>
      </c>
      <c r="AP396" s="1">
        <v>0</v>
      </c>
      <c r="AQ396" s="1" t="s">
        <v>1140</v>
      </c>
      <c r="AR396" s="1" t="s">
        <v>5788</v>
      </c>
      <c r="AS396" s="1" t="s">
        <v>5789</v>
      </c>
      <c r="AT396" s="1" t="s">
        <v>328</v>
      </c>
      <c r="AU396" s="1">
        <v>10</v>
      </c>
      <c r="AV396" s="1">
        <v>1</v>
      </c>
      <c r="AW396" s="1" t="s">
        <v>5790</v>
      </c>
      <c r="AX396" s="1" t="s">
        <v>1806</v>
      </c>
      <c r="AY396" s="1">
        <v>5</v>
      </c>
      <c r="AZ396" s="1">
        <v>0</v>
      </c>
      <c r="BA396" s="1" t="s">
        <v>328</v>
      </c>
      <c r="BB396" s="1" t="s">
        <v>328</v>
      </c>
      <c r="BC396" s="1" t="s">
        <v>328</v>
      </c>
      <c r="BD396" s="1">
        <v>0</v>
      </c>
      <c r="BE396" s="1"/>
      <c r="BH396">
        <f>COUNTIF(Dropdowns!$I:$AF,C396)</f>
        <v>0</v>
      </c>
    </row>
    <row r="397" spans="1:60" x14ac:dyDescent="0.3">
      <c r="A397" s="1">
        <v>9007</v>
      </c>
      <c r="B397" s="1" t="s">
        <v>5820</v>
      </c>
      <c r="C397" s="207" t="s">
        <v>5782</v>
      </c>
      <c r="D397" s="1" t="s">
        <v>5783</v>
      </c>
      <c r="E397" s="1"/>
      <c r="F397" s="1"/>
      <c r="G397" s="1" t="s">
        <v>5821</v>
      </c>
      <c r="H397" s="1" t="s">
        <v>5822</v>
      </c>
      <c r="I397" s="1" t="s">
        <v>5823</v>
      </c>
      <c r="J397" s="1">
        <v>4</v>
      </c>
      <c r="K397" s="1">
        <v>5</v>
      </c>
      <c r="L397" s="1">
        <v>22500</v>
      </c>
      <c r="M397" s="1">
        <v>40</v>
      </c>
      <c r="N397" s="1">
        <v>30</v>
      </c>
      <c r="O397" s="1">
        <v>25</v>
      </c>
      <c r="P397" s="1">
        <v>15</v>
      </c>
      <c r="Q397" s="1">
        <v>5</v>
      </c>
      <c r="R397" s="1">
        <v>5</v>
      </c>
      <c r="S397" s="1">
        <v>2</v>
      </c>
      <c r="T397" s="1">
        <v>5</v>
      </c>
      <c r="U397" s="1">
        <v>100</v>
      </c>
      <c r="V397" s="1">
        <v>0</v>
      </c>
      <c r="W397" s="1">
        <v>0</v>
      </c>
      <c r="X397" s="1">
        <v>100</v>
      </c>
      <c r="Y397" s="1">
        <v>0</v>
      </c>
      <c r="Z397" s="1">
        <v>0</v>
      </c>
      <c r="AA397" s="1">
        <v>0</v>
      </c>
      <c r="AB397" s="1">
        <v>15</v>
      </c>
      <c r="AC397" s="1">
        <v>0</v>
      </c>
      <c r="AD397" s="1">
        <v>0</v>
      </c>
      <c r="AE397" s="1">
        <v>100</v>
      </c>
      <c r="AF397" s="1">
        <v>100</v>
      </c>
      <c r="AG397" s="1">
        <v>402606</v>
      </c>
      <c r="AH397" s="1">
        <v>0</v>
      </c>
      <c r="AI397" s="1">
        <v>300103</v>
      </c>
      <c r="AJ397" s="1" t="s">
        <v>5787</v>
      </c>
      <c r="AK397" s="1" t="s">
        <v>328</v>
      </c>
      <c r="AL397" s="1">
        <v>19</v>
      </c>
      <c r="AM397" s="1" t="s">
        <v>4762</v>
      </c>
      <c r="AN397" s="1" t="s">
        <v>328</v>
      </c>
      <c r="AO397" s="1" t="s">
        <v>328</v>
      </c>
      <c r="AP397" s="1">
        <v>0</v>
      </c>
      <c r="AQ397" s="1" t="s">
        <v>1140</v>
      </c>
      <c r="AR397" s="1" t="s">
        <v>5788</v>
      </c>
      <c r="AS397" s="1" t="s">
        <v>5789</v>
      </c>
      <c r="AT397" s="1" t="s">
        <v>328</v>
      </c>
      <c r="AU397" s="1">
        <v>10</v>
      </c>
      <c r="AV397" s="1">
        <v>1</v>
      </c>
      <c r="AW397" s="1" t="s">
        <v>5790</v>
      </c>
      <c r="AX397" s="1" t="s">
        <v>1806</v>
      </c>
      <c r="AY397" s="1">
        <v>5</v>
      </c>
      <c r="AZ397" s="1">
        <v>0</v>
      </c>
      <c r="BA397" s="1" t="s">
        <v>328</v>
      </c>
      <c r="BB397" s="1" t="s">
        <v>328</v>
      </c>
      <c r="BC397" s="1" t="s">
        <v>328</v>
      </c>
      <c r="BD397" s="1">
        <v>0</v>
      </c>
      <c r="BE397" s="1"/>
      <c r="BH397">
        <f>COUNTIF(Dropdowns!$I:$AF,C397)</f>
        <v>0</v>
      </c>
    </row>
    <row r="398" spans="1:60" x14ac:dyDescent="0.3">
      <c r="A398" s="1">
        <v>9008</v>
      </c>
      <c r="B398" s="1" t="s">
        <v>5824</v>
      </c>
      <c r="C398" s="207" t="s">
        <v>5792</v>
      </c>
      <c r="D398" s="1" t="s">
        <v>5793</v>
      </c>
      <c r="E398" s="1"/>
      <c r="F398" s="1"/>
      <c r="G398" s="1" t="s">
        <v>5825</v>
      </c>
      <c r="H398" s="1" t="s">
        <v>5826</v>
      </c>
      <c r="I398" s="1" t="s">
        <v>5827</v>
      </c>
      <c r="J398" s="1">
        <v>6</v>
      </c>
      <c r="K398" s="1">
        <v>5</v>
      </c>
      <c r="L398" s="1">
        <v>22500</v>
      </c>
      <c r="M398" s="1">
        <v>40</v>
      </c>
      <c r="N398" s="1">
        <v>30</v>
      </c>
      <c r="O398" s="1">
        <v>25</v>
      </c>
      <c r="P398" s="1">
        <v>15</v>
      </c>
      <c r="Q398" s="1">
        <v>5</v>
      </c>
      <c r="R398" s="1">
        <v>5</v>
      </c>
      <c r="S398" s="1">
        <v>2</v>
      </c>
      <c r="T398" s="1">
        <v>5</v>
      </c>
      <c r="U398" s="1">
        <v>100</v>
      </c>
      <c r="V398" s="1">
        <v>0</v>
      </c>
      <c r="W398" s="1">
        <v>0</v>
      </c>
      <c r="X398" s="1">
        <v>100</v>
      </c>
      <c r="Y398" s="1">
        <v>0</v>
      </c>
      <c r="Z398" s="1">
        <v>0</v>
      </c>
      <c r="AA398" s="1">
        <v>0</v>
      </c>
      <c r="AB398" s="1">
        <v>15</v>
      </c>
      <c r="AC398" s="1">
        <v>0</v>
      </c>
      <c r="AD398" s="1">
        <v>0</v>
      </c>
      <c r="AE398" s="1">
        <v>100</v>
      </c>
      <c r="AF398" s="1">
        <v>100</v>
      </c>
      <c r="AG398" s="1">
        <v>402606</v>
      </c>
      <c r="AH398" s="1">
        <v>0</v>
      </c>
      <c r="AI398" s="1">
        <v>300103</v>
      </c>
      <c r="AJ398" s="1" t="s">
        <v>5787</v>
      </c>
      <c r="AK398" s="1" t="s">
        <v>328</v>
      </c>
      <c r="AL398" s="1">
        <v>19</v>
      </c>
      <c r="AM398" s="1" t="s">
        <v>4762</v>
      </c>
      <c r="AN398" s="1" t="s">
        <v>328</v>
      </c>
      <c r="AO398" s="1" t="s">
        <v>328</v>
      </c>
      <c r="AP398" s="1">
        <v>0</v>
      </c>
      <c r="AQ398" s="1" t="s">
        <v>1140</v>
      </c>
      <c r="AR398" s="1" t="s">
        <v>5788</v>
      </c>
      <c r="AS398" s="1" t="s">
        <v>5789</v>
      </c>
      <c r="AT398" s="1" t="s">
        <v>328</v>
      </c>
      <c r="AU398" s="1">
        <v>10</v>
      </c>
      <c r="AV398" s="1">
        <v>1</v>
      </c>
      <c r="AW398" s="1" t="s">
        <v>5790</v>
      </c>
      <c r="AX398" s="1" t="s">
        <v>1806</v>
      </c>
      <c r="AY398" s="1">
        <v>5</v>
      </c>
      <c r="AZ398" s="1">
        <v>0</v>
      </c>
      <c r="BA398" s="1" t="s">
        <v>328</v>
      </c>
      <c r="BB398" s="1" t="s">
        <v>328</v>
      </c>
      <c r="BC398" s="1" t="s">
        <v>328</v>
      </c>
      <c r="BD398" s="1">
        <v>0</v>
      </c>
      <c r="BE398" s="1"/>
      <c r="BH398">
        <f>COUNTIF(Dropdowns!$I:$AF,C398)</f>
        <v>0</v>
      </c>
    </row>
    <row r="399" spans="1:60" x14ac:dyDescent="0.3">
      <c r="A399" s="1">
        <v>9009</v>
      </c>
      <c r="B399" s="1" t="s">
        <v>5828</v>
      </c>
      <c r="C399" s="207" t="s">
        <v>5792</v>
      </c>
      <c r="D399" s="1" t="s">
        <v>5793</v>
      </c>
      <c r="E399" s="1"/>
      <c r="F399" s="1"/>
      <c r="G399" s="1" t="s">
        <v>5829</v>
      </c>
      <c r="H399" s="1" t="s">
        <v>5830</v>
      </c>
      <c r="I399" s="1" t="s">
        <v>5831</v>
      </c>
      <c r="J399" s="1">
        <v>6</v>
      </c>
      <c r="K399" s="1">
        <v>5</v>
      </c>
      <c r="L399" s="1">
        <v>22500</v>
      </c>
      <c r="M399" s="1">
        <v>40</v>
      </c>
      <c r="N399" s="1">
        <v>30</v>
      </c>
      <c r="O399" s="1">
        <v>25</v>
      </c>
      <c r="P399" s="1">
        <v>15</v>
      </c>
      <c r="Q399" s="1">
        <v>5</v>
      </c>
      <c r="R399" s="1">
        <v>5</v>
      </c>
      <c r="S399" s="1">
        <v>2</v>
      </c>
      <c r="T399" s="1">
        <v>5</v>
      </c>
      <c r="U399" s="1">
        <v>100</v>
      </c>
      <c r="V399" s="1">
        <v>0</v>
      </c>
      <c r="W399" s="1">
        <v>0</v>
      </c>
      <c r="X399" s="1">
        <v>100</v>
      </c>
      <c r="Y399" s="1">
        <v>0</v>
      </c>
      <c r="Z399" s="1">
        <v>0</v>
      </c>
      <c r="AA399" s="1">
        <v>0</v>
      </c>
      <c r="AB399" s="1">
        <v>15</v>
      </c>
      <c r="AC399" s="1">
        <v>0</v>
      </c>
      <c r="AD399" s="1">
        <v>0</v>
      </c>
      <c r="AE399" s="1">
        <v>100</v>
      </c>
      <c r="AF399" s="1">
        <v>100</v>
      </c>
      <c r="AG399" s="1">
        <v>402606</v>
      </c>
      <c r="AH399" s="1">
        <v>0</v>
      </c>
      <c r="AI399" s="1">
        <v>300103</v>
      </c>
      <c r="AJ399" s="1" t="s">
        <v>5787</v>
      </c>
      <c r="AK399" s="1" t="s">
        <v>328</v>
      </c>
      <c r="AL399" s="1">
        <v>19</v>
      </c>
      <c r="AM399" s="1" t="s">
        <v>4762</v>
      </c>
      <c r="AN399" s="1" t="s">
        <v>328</v>
      </c>
      <c r="AO399" s="1" t="s">
        <v>328</v>
      </c>
      <c r="AP399" s="1">
        <v>0</v>
      </c>
      <c r="AQ399" s="1" t="s">
        <v>1140</v>
      </c>
      <c r="AR399" s="1" t="s">
        <v>5788</v>
      </c>
      <c r="AS399" s="1" t="s">
        <v>5789</v>
      </c>
      <c r="AT399" s="1" t="s">
        <v>328</v>
      </c>
      <c r="AU399" s="1">
        <v>10</v>
      </c>
      <c r="AV399" s="1">
        <v>1</v>
      </c>
      <c r="AW399" s="1" t="s">
        <v>5790</v>
      </c>
      <c r="AX399" s="1" t="s">
        <v>1806</v>
      </c>
      <c r="AY399" s="1">
        <v>5</v>
      </c>
      <c r="AZ399" s="1">
        <v>0</v>
      </c>
      <c r="BA399" s="1" t="s">
        <v>328</v>
      </c>
      <c r="BB399" s="1" t="s">
        <v>328</v>
      </c>
      <c r="BC399" s="1" t="s">
        <v>328</v>
      </c>
      <c r="BD399" s="1">
        <v>0</v>
      </c>
      <c r="BE399" s="1"/>
      <c r="BH399">
        <f>COUNTIF(Dropdowns!$I:$AF,C399)</f>
        <v>0</v>
      </c>
    </row>
    <row r="400" spans="1:60" x14ac:dyDescent="0.3">
      <c r="A400" s="1">
        <v>9010</v>
      </c>
      <c r="B400" s="1" t="s">
        <v>5832</v>
      </c>
      <c r="C400" s="207" t="s">
        <v>5804</v>
      </c>
      <c r="D400" s="1" t="s">
        <v>5805</v>
      </c>
      <c r="E400" s="1"/>
      <c r="F400" s="1"/>
      <c r="G400" s="1" t="s">
        <v>5833</v>
      </c>
      <c r="H400" s="1" t="s">
        <v>5834</v>
      </c>
      <c r="I400" s="1" t="s">
        <v>5835</v>
      </c>
      <c r="J400" s="1">
        <v>5</v>
      </c>
      <c r="K400" s="1">
        <v>5</v>
      </c>
      <c r="L400" s="1">
        <v>22500</v>
      </c>
      <c r="M400" s="1">
        <v>40</v>
      </c>
      <c r="N400" s="1">
        <v>30</v>
      </c>
      <c r="O400" s="1">
        <v>25</v>
      </c>
      <c r="P400" s="1">
        <v>15</v>
      </c>
      <c r="Q400" s="1">
        <v>5</v>
      </c>
      <c r="R400" s="1">
        <v>5</v>
      </c>
      <c r="S400" s="1">
        <v>2</v>
      </c>
      <c r="T400" s="1">
        <v>5</v>
      </c>
      <c r="U400" s="1">
        <v>200</v>
      </c>
      <c r="V400" s="1">
        <v>0</v>
      </c>
      <c r="W400" s="1">
        <v>0</v>
      </c>
      <c r="X400" s="1">
        <v>100</v>
      </c>
      <c r="Y400" s="1">
        <v>0</v>
      </c>
      <c r="Z400" s="1">
        <v>0</v>
      </c>
      <c r="AA400" s="1">
        <v>0</v>
      </c>
      <c r="AB400" s="1">
        <v>15</v>
      </c>
      <c r="AC400" s="1">
        <v>0</v>
      </c>
      <c r="AD400" s="1">
        <v>0</v>
      </c>
      <c r="AE400" s="1">
        <v>100</v>
      </c>
      <c r="AF400" s="1">
        <v>100</v>
      </c>
      <c r="AG400" s="1">
        <v>402606</v>
      </c>
      <c r="AH400" s="1">
        <v>0</v>
      </c>
      <c r="AI400" s="1">
        <v>402601</v>
      </c>
      <c r="AJ400" s="1" t="s">
        <v>5809</v>
      </c>
      <c r="AK400" s="1" t="s">
        <v>328</v>
      </c>
      <c r="AL400" s="1">
        <v>19</v>
      </c>
      <c r="AM400" s="1" t="s">
        <v>4762</v>
      </c>
      <c r="AN400" s="1" t="s">
        <v>328</v>
      </c>
      <c r="AO400" s="1" t="s">
        <v>328</v>
      </c>
      <c r="AP400" s="1">
        <v>0</v>
      </c>
      <c r="AQ400" s="1" t="s">
        <v>1140</v>
      </c>
      <c r="AR400" s="1" t="s">
        <v>5788</v>
      </c>
      <c r="AS400" s="1" t="s">
        <v>5789</v>
      </c>
      <c r="AT400" s="1" t="s">
        <v>328</v>
      </c>
      <c r="AU400" s="1">
        <v>10</v>
      </c>
      <c r="AV400" s="1">
        <v>1</v>
      </c>
      <c r="AW400" s="1" t="s">
        <v>5790</v>
      </c>
      <c r="AX400" s="1" t="s">
        <v>1806</v>
      </c>
      <c r="AY400" s="1">
        <v>5</v>
      </c>
      <c r="AZ400" s="1">
        <v>0</v>
      </c>
      <c r="BA400" s="1" t="s">
        <v>328</v>
      </c>
      <c r="BB400" s="1" t="s">
        <v>328</v>
      </c>
      <c r="BC400" s="1" t="s">
        <v>328</v>
      </c>
      <c r="BD400" s="1">
        <v>0</v>
      </c>
      <c r="BE400" s="1"/>
      <c r="BH400">
        <f>COUNTIF(Dropdowns!$I:$AF,C400)</f>
        <v>0</v>
      </c>
    </row>
    <row r="401" spans="1:60" x14ac:dyDescent="0.3">
      <c r="A401" s="1">
        <v>9011</v>
      </c>
      <c r="B401" s="1" t="s">
        <v>5836</v>
      </c>
      <c r="C401" s="207" t="s">
        <v>5804</v>
      </c>
      <c r="D401" s="1" t="s">
        <v>5805</v>
      </c>
      <c r="E401" s="1"/>
      <c r="F401" s="1"/>
      <c r="G401" s="1" t="s">
        <v>5837</v>
      </c>
      <c r="H401" s="1" t="s">
        <v>5838</v>
      </c>
      <c r="I401" s="1" t="s">
        <v>5839</v>
      </c>
      <c r="J401" s="1">
        <v>5</v>
      </c>
      <c r="K401" s="1">
        <v>5</v>
      </c>
      <c r="L401" s="1">
        <v>22500</v>
      </c>
      <c r="M401" s="1">
        <v>40</v>
      </c>
      <c r="N401" s="1">
        <v>30</v>
      </c>
      <c r="O401" s="1">
        <v>25</v>
      </c>
      <c r="P401" s="1">
        <v>15</v>
      </c>
      <c r="Q401" s="1">
        <v>5</v>
      </c>
      <c r="R401" s="1">
        <v>5</v>
      </c>
      <c r="S401" s="1">
        <v>2</v>
      </c>
      <c r="T401" s="1">
        <v>5</v>
      </c>
      <c r="U401" s="1">
        <v>200</v>
      </c>
      <c r="V401" s="1">
        <v>0</v>
      </c>
      <c r="W401" s="1">
        <v>0</v>
      </c>
      <c r="X401" s="1">
        <v>100</v>
      </c>
      <c r="Y401" s="1">
        <v>0</v>
      </c>
      <c r="Z401" s="1">
        <v>0</v>
      </c>
      <c r="AA401" s="1">
        <v>0</v>
      </c>
      <c r="AB401" s="1">
        <v>15</v>
      </c>
      <c r="AC401" s="1">
        <v>0</v>
      </c>
      <c r="AD401" s="1">
        <v>0</v>
      </c>
      <c r="AE401" s="1">
        <v>100</v>
      </c>
      <c r="AF401" s="1">
        <v>100</v>
      </c>
      <c r="AG401" s="1">
        <v>402606</v>
      </c>
      <c r="AH401" s="1">
        <v>0</v>
      </c>
      <c r="AI401" s="1">
        <v>402601</v>
      </c>
      <c r="AJ401" s="1" t="s">
        <v>5809</v>
      </c>
      <c r="AK401" s="1" t="s">
        <v>328</v>
      </c>
      <c r="AL401" s="1">
        <v>19</v>
      </c>
      <c r="AM401" s="1" t="s">
        <v>4762</v>
      </c>
      <c r="AN401" s="1" t="s">
        <v>328</v>
      </c>
      <c r="AO401" s="1" t="s">
        <v>328</v>
      </c>
      <c r="AP401" s="1">
        <v>0</v>
      </c>
      <c r="AQ401" s="1" t="s">
        <v>1140</v>
      </c>
      <c r="AR401" s="1" t="s">
        <v>5788</v>
      </c>
      <c r="AS401" s="1" t="s">
        <v>5789</v>
      </c>
      <c r="AT401" s="1" t="s">
        <v>328</v>
      </c>
      <c r="AU401" s="1">
        <v>10</v>
      </c>
      <c r="AV401" s="1">
        <v>1</v>
      </c>
      <c r="AW401" s="1" t="s">
        <v>5790</v>
      </c>
      <c r="AX401" s="1" t="s">
        <v>1806</v>
      </c>
      <c r="AY401" s="1">
        <v>5</v>
      </c>
      <c r="AZ401" s="1">
        <v>0</v>
      </c>
      <c r="BA401" s="1" t="s">
        <v>328</v>
      </c>
      <c r="BB401" s="1" t="s">
        <v>328</v>
      </c>
      <c r="BC401" s="1" t="s">
        <v>328</v>
      </c>
      <c r="BD401" s="1">
        <v>0</v>
      </c>
      <c r="BE401" s="1"/>
      <c r="BH401">
        <f>COUNTIF(Dropdowns!$I:$AF,C401)</f>
        <v>0</v>
      </c>
    </row>
    <row r="402" spans="1:60" x14ac:dyDescent="0.3">
      <c r="A402" s="1">
        <v>9012</v>
      </c>
      <c r="B402" s="1" t="s">
        <v>5840</v>
      </c>
      <c r="C402" s="207" t="s">
        <v>22</v>
      </c>
      <c r="D402" s="1" t="s">
        <v>255</v>
      </c>
      <c r="E402" s="1"/>
      <c r="F402" s="1"/>
      <c r="G402" s="1" t="s">
        <v>5841</v>
      </c>
      <c r="H402" s="1" t="s">
        <v>5842</v>
      </c>
      <c r="I402" s="1" t="s">
        <v>5843</v>
      </c>
      <c r="J402" s="1">
        <v>4</v>
      </c>
      <c r="K402" s="1">
        <v>5</v>
      </c>
      <c r="L402" s="1">
        <v>12900</v>
      </c>
      <c r="M402" s="1">
        <v>20</v>
      </c>
      <c r="N402" s="1">
        <v>20</v>
      </c>
      <c r="O402" s="1">
        <v>10</v>
      </c>
      <c r="P402" s="1">
        <v>10</v>
      </c>
      <c r="Q402" s="1">
        <v>2</v>
      </c>
      <c r="R402" s="1">
        <v>5</v>
      </c>
      <c r="S402" s="1">
        <v>5</v>
      </c>
      <c r="T402" s="1">
        <v>0</v>
      </c>
      <c r="U402" s="1">
        <v>100</v>
      </c>
      <c r="V402" s="1">
        <v>0</v>
      </c>
      <c r="W402" s="1">
        <v>0</v>
      </c>
      <c r="X402" s="1">
        <v>200</v>
      </c>
      <c r="Y402" s="1">
        <v>0</v>
      </c>
      <c r="Z402" s="1">
        <v>0</v>
      </c>
      <c r="AA402" s="1">
        <v>0</v>
      </c>
      <c r="AB402" s="1">
        <v>15</v>
      </c>
      <c r="AC402" s="1">
        <v>68</v>
      </c>
      <c r="AD402" s="1">
        <v>0</v>
      </c>
      <c r="AE402" s="1">
        <v>115</v>
      </c>
      <c r="AF402" s="1">
        <v>115</v>
      </c>
      <c r="AG402" s="1">
        <v>801201</v>
      </c>
      <c r="AH402" s="1">
        <v>0</v>
      </c>
      <c r="AI402" s="1">
        <v>801203</v>
      </c>
      <c r="AJ402" s="1" t="s">
        <v>328</v>
      </c>
      <c r="AK402" s="1" t="s">
        <v>5844</v>
      </c>
      <c r="AL402" s="1">
        <v>13</v>
      </c>
      <c r="AM402" s="1" t="s">
        <v>4790</v>
      </c>
      <c r="AN402" s="1" t="s">
        <v>4861</v>
      </c>
      <c r="AO402" s="1" t="s">
        <v>5845</v>
      </c>
      <c r="AP402" s="1">
        <v>0</v>
      </c>
      <c r="AQ402" s="1" t="s">
        <v>1130</v>
      </c>
      <c r="AR402" s="1" t="s">
        <v>1154</v>
      </c>
      <c r="AS402" s="1" t="s">
        <v>5846</v>
      </c>
      <c r="AT402" s="1" t="s">
        <v>328</v>
      </c>
      <c r="AU402" s="1">
        <v>55</v>
      </c>
      <c r="AV402" s="1">
        <v>0</v>
      </c>
      <c r="AW402" s="1" t="s">
        <v>5790</v>
      </c>
      <c r="AX402" s="1" t="s">
        <v>1806</v>
      </c>
      <c r="AY402" s="1">
        <v>5</v>
      </c>
      <c r="AZ402" s="1">
        <v>0</v>
      </c>
      <c r="BA402" s="1" t="s">
        <v>328</v>
      </c>
      <c r="BB402" s="1" t="s">
        <v>328</v>
      </c>
      <c r="BC402" s="1" t="s">
        <v>328</v>
      </c>
      <c r="BD402" s="1">
        <v>0</v>
      </c>
      <c r="BE402" s="1"/>
      <c r="BH402">
        <f>COUNTIF(Dropdowns!$I:$AF,C402)</f>
        <v>1</v>
      </c>
    </row>
    <row r="403" spans="1:60" x14ac:dyDescent="0.3">
      <c r="A403" s="1">
        <v>9013</v>
      </c>
      <c r="B403" s="1" t="s">
        <v>5847</v>
      </c>
      <c r="C403" s="207" t="s">
        <v>121</v>
      </c>
      <c r="D403" s="1" t="s">
        <v>121</v>
      </c>
      <c r="E403" s="1"/>
      <c r="F403" s="1"/>
      <c r="G403" s="1" t="s">
        <v>5848</v>
      </c>
      <c r="H403" s="1" t="s">
        <v>5849</v>
      </c>
      <c r="I403" s="1" t="s">
        <v>5850</v>
      </c>
      <c r="J403" s="1">
        <v>1</v>
      </c>
      <c r="K403" s="1">
        <v>5</v>
      </c>
      <c r="L403" s="1">
        <v>3900</v>
      </c>
      <c r="M403" s="1">
        <v>10</v>
      </c>
      <c r="N403" s="1">
        <v>10</v>
      </c>
      <c r="O403" s="1">
        <v>5</v>
      </c>
      <c r="P403" s="1">
        <v>5</v>
      </c>
      <c r="Q403" s="1">
        <v>2</v>
      </c>
      <c r="R403" s="1">
        <v>2</v>
      </c>
      <c r="S403" s="1">
        <v>2</v>
      </c>
      <c r="T403" s="1">
        <v>0</v>
      </c>
      <c r="U403" s="1">
        <v>757</v>
      </c>
      <c r="V403" s="1">
        <v>110</v>
      </c>
      <c r="W403" s="1">
        <v>135</v>
      </c>
      <c r="X403" s="1">
        <v>100</v>
      </c>
      <c r="Y403" s="1">
        <v>115</v>
      </c>
      <c r="Z403" s="1">
        <v>95</v>
      </c>
      <c r="AA403" s="1">
        <v>0</v>
      </c>
      <c r="AB403" s="1">
        <v>15</v>
      </c>
      <c r="AC403" s="1">
        <v>20</v>
      </c>
      <c r="AD403" s="1">
        <v>0</v>
      </c>
      <c r="AE403" s="1">
        <v>115</v>
      </c>
      <c r="AF403" s="1">
        <v>100</v>
      </c>
      <c r="AG403" s="1">
        <v>700201</v>
      </c>
      <c r="AH403" s="1">
        <v>0</v>
      </c>
      <c r="AI403" s="1">
        <v>700001</v>
      </c>
      <c r="AJ403" s="1" t="s">
        <v>5851</v>
      </c>
      <c r="AK403" s="1" t="s">
        <v>328</v>
      </c>
      <c r="AL403" s="1">
        <v>13</v>
      </c>
      <c r="AM403" s="1" t="s">
        <v>1806</v>
      </c>
      <c r="AN403" s="1" t="s">
        <v>4784</v>
      </c>
      <c r="AO403" s="1" t="s">
        <v>4817</v>
      </c>
      <c r="AP403" s="1">
        <v>0</v>
      </c>
      <c r="AQ403" s="1" t="s">
        <v>5852</v>
      </c>
      <c r="AR403" s="1" t="s">
        <v>1119</v>
      </c>
      <c r="AS403" s="1" t="s">
        <v>1129</v>
      </c>
      <c r="AT403" s="1" t="s">
        <v>328</v>
      </c>
      <c r="AU403" s="1">
        <v>97</v>
      </c>
      <c r="AV403" s="1">
        <v>0</v>
      </c>
      <c r="AW403" s="1" t="s">
        <v>5790</v>
      </c>
      <c r="AX403" s="1" t="s">
        <v>4762</v>
      </c>
      <c r="AY403" s="1">
        <v>5</v>
      </c>
      <c r="AZ403" s="1">
        <v>0</v>
      </c>
      <c r="BA403" s="1" t="s">
        <v>328</v>
      </c>
      <c r="BB403" s="1" t="s">
        <v>328</v>
      </c>
      <c r="BC403" s="1" t="s">
        <v>328</v>
      </c>
      <c r="BD403" s="1">
        <v>0</v>
      </c>
      <c r="BE403" s="1"/>
      <c r="BH403">
        <f>COUNTIF(Dropdowns!$I:$AF,C403)</f>
        <v>0</v>
      </c>
    </row>
    <row r="404" spans="1:60" x14ac:dyDescent="0.3">
      <c r="A404" s="1">
        <v>9014</v>
      </c>
      <c r="B404" s="1" t="s">
        <v>5853</v>
      </c>
      <c r="C404" s="207" t="s">
        <v>5854</v>
      </c>
      <c r="D404" s="1" t="s">
        <v>3485</v>
      </c>
      <c r="E404" s="1"/>
      <c r="F404" s="1"/>
      <c r="G404" s="1" t="s">
        <v>5855</v>
      </c>
      <c r="H404" s="1" t="s">
        <v>5856</v>
      </c>
      <c r="I404" s="1" t="s">
        <v>5857</v>
      </c>
      <c r="J404" s="1">
        <v>1</v>
      </c>
      <c r="K404" s="1">
        <v>4</v>
      </c>
      <c r="L404" s="1">
        <v>3600</v>
      </c>
      <c r="M404" s="1">
        <v>10</v>
      </c>
      <c r="N404" s="1">
        <v>10</v>
      </c>
      <c r="O404" s="1">
        <v>5</v>
      </c>
      <c r="P404" s="1">
        <v>5</v>
      </c>
      <c r="Q404" s="1">
        <v>2</v>
      </c>
      <c r="R404" s="1">
        <v>2</v>
      </c>
      <c r="S404" s="1">
        <v>2</v>
      </c>
      <c r="T404" s="1">
        <v>0</v>
      </c>
      <c r="U404" s="1">
        <v>757</v>
      </c>
      <c r="V404" s="1">
        <v>160</v>
      </c>
      <c r="W404" s="1">
        <v>65</v>
      </c>
      <c r="X404" s="1">
        <v>100</v>
      </c>
      <c r="Y404" s="1">
        <v>105</v>
      </c>
      <c r="Z404" s="1">
        <v>75</v>
      </c>
      <c r="AA404" s="1">
        <v>0</v>
      </c>
      <c r="AB404" s="1">
        <v>15</v>
      </c>
      <c r="AC404" s="1">
        <v>40</v>
      </c>
      <c r="AD404" s="1">
        <v>0</v>
      </c>
      <c r="AE404" s="1">
        <v>130</v>
      </c>
      <c r="AF404" s="1">
        <v>100</v>
      </c>
      <c r="AG404" s="1">
        <v>700202</v>
      </c>
      <c r="AH404" s="1">
        <v>0</v>
      </c>
      <c r="AI404" s="1">
        <v>700001</v>
      </c>
      <c r="AJ404" s="1" t="s">
        <v>5858</v>
      </c>
      <c r="AK404" s="1" t="s">
        <v>328</v>
      </c>
      <c r="AL404" s="1">
        <v>13</v>
      </c>
      <c r="AM404" s="1" t="s">
        <v>1806</v>
      </c>
      <c r="AN404" s="1" t="s">
        <v>4776</v>
      </c>
      <c r="AO404" s="1" t="s">
        <v>4824</v>
      </c>
      <c r="AP404" s="1">
        <v>0</v>
      </c>
      <c r="AQ404" s="1" t="s">
        <v>5852</v>
      </c>
      <c r="AR404" s="1" t="s">
        <v>1119</v>
      </c>
      <c r="AS404" s="1" t="s">
        <v>1129</v>
      </c>
      <c r="AT404" s="1" t="s">
        <v>328</v>
      </c>
      <c r="AU404" s="1">
        <v>202</v>
      </c>
      <c r="AV404" s="1">
        <v>0</v>
      </c>
      <c r="AW404" s="1" t="s">
        <v>5790</v>
      </c>
      <c r="AX404" s="1" t="s">
        <v>1723</v>
      </c>
      <c r="AY404" s="1">
        <v>4</v>
      </c>
      <c r="AZ404" s="1">
        <v>0</v>
      </c>
      <c r="BA404" s="1" t="s">
        <v>328</v>
      </c>
      <c r="BB404" s="1" t="s">
        <v>328</v>
      </c>
      <c r="BC404" s="1" t="s">
        <v>328</v>
      </c>
      <c r="BD404" s="1">
        <v>0</v>
      </c>
      <c r="BE404" s="1"/>
      <c r="BH404">
        <f>COUNTIF(Dropdowns!$I:$AF,C404)</f>
        <v>0</v>
      </c>
    </row>
    <row r="405" spans="1:60" x14ac:dyDescent="0.3">
      <c r="A405" s="1">
        <v>9015</v>
      </c>
      <c r="B405" s="1" t="s">
        <v>5859</v>
      </c>
      <c r="C405" s="207" t="s">
        <v>1631</v>
      </c>
      <c r="D405" s="1" t="s">
        <v>1631</v>
      </c>
      <c r="E405" s="1"/>
      <c r="F405" s="1"/>
      <c r="G405" s="1" t="s">
        <v>5860</v>
      </c>
      <c r="H405" s="1" t="s">
        <v>5861</v>
      </c>
      <c r="I405" s="1" t="s">
        <v>5862</v>
      </c>
      <c r="J405" s="1">
        <v>5</v>
      </c>
      <c r="K405" s="1">
        <v>4</v>
      </c>
      <c r="L405" s="1">
        <v>22800</v>
      </c>
      <c r="M405" s="1">
        <v>40</v>
      </c>
      <c r="N405" s="1">
        <v>30</v>
      </c>
      <c r="O405" s="1">
        <v>25</v>
      </c>
      <c r="P405" s="1">
        <v>15</v>
      </c>
      <c r="Q405" s="1">
        <v>5</v>
      </c>
      <c r="R405" s="1">
        <v>5</v>
      </c>
      <c r="S405" s="1">
        <v>2</v>
      </c>
      <c r="T405" s="1">
        <v>5</v>
      </c>
      <c r="U405" s="1">
        <v>303</v>
      </c>
      <c r="V405" s="1">
        <v>115</v>
      </c>
      <c r="W405" s="1">
        <v>115</v>
      </c>
      <c r="X405" s="1">
        <v>100</v>
      </c>
      <c r="Y405" s="1">
        <v>125</v>
      </c>
      <c r="Z405" s="1">
        <v>120</v>
      </c>
      <c r="AA405" s="1">
        <v>0</v>
      </c>
      <c r="AB405" s="1">
        <v>15</v>
      </c>
      <c r="AC405" s="1">
        <v>5</v>
      </c>
      <c r="AD405" s="1">
        <v>10</v>
      </c>
      <c r="AE405" s="1">
        <v>110</v>
      </c>
      <c r="AF405" s="1">
        <v>100</v>
      </c>
      <c r="AG405" s="1">
        <v>700203</v>
      </c>
      <c r="AH405" s="1">
        <v>0</v>
      </c>
      <c r="AI405" s="1">
        <v>700001</v>
      </c>
      <c r="AJ405" s="1" t="s">
        <v>5863</v>
      </c>
      <c r="AK405" s="1" t="s">
        <v>328</v>
      </c>
      <c r="AL405" s="1">
        <v>18</v>
      </c>
      <c r="AM405" s="1" t="s">
        <v>4858</v>
      </c>
      <c r="AN405" s="1" t="s">
        <v>4931</v>
      </c>
      <c r="AO405" s="1" t="s">
        <v>5054</v>
      </c>
      <c r="AP405" s="1">
        <v>0</v>
      </c>
      <c r="AQ405" s="1" t="s">
        <v>1140</v>
      </c>
      <c r="AR405" s="1" t="s">
        <v>5864</v>
      </c>
      <c r="AS405" s="1" t="s">
        <v>5789</v>
      </c>
      <c r="AT405" s="1" t="s">
        <v>328</v>
      </c>
      <c r="AU405" s="1">
        <v>149</v>
      </c>
      <c r="AV405" s="1">
        <v>0</v>
      </c>
      <c r="AW405" s="1" t="s">
        <v>5790</v>
      </c>
      <c r="AX405" s="1" t="s">
        <v>331</v>
      </c>
      <c r="AY405" s="1">
        <v>4</v>
      </c>
      <c r="AZ405" s="1">
        <v>0</v>
      </c>
      <c r="BA405" s="1" t="s">
        <v>328</v>
      </c>
      <c r="BB405" s="1" t="s">
        <v>328</v>
      </c>
      <c r="BC405" s="1" t="s">
        <v>328</v>
      </c>
      <c r="BD405" s="1">
        <v>0</v>
      </c>
      <c r="BE405" s="1"/>
      <c r="BH405">
        <f>COUNTIF(Dropdowns!$I:$AF,C405)</f>
        <v>1</v>
      </c>
    </row>
    <row r="406" spans="1:60" x14ac:dyDescent="0.3">
      <c r="A406" s="1">
        <v>9016</v>
      </c>
      <c r="B406" s="1" t="s">
        <v>5865</v>
      </c>
      <c r="C406" s="207" t="s">
        <v>156</v>
      </c>
      <c r="D406" s="1" t="s">
        <v>156</v>
      </c>
      <c r="E406" s="1"/>
      <c r="F406" s="1"/>
      <c r="G406" s="1" t="s">
        <v>5866</v>
      </c>
      <c r="H406" s="1" t="s">
        <v>5867</v>
      </c>
      <c r="I406" s="1" t="s">
        <v>5868</v>
      </c>
      <c r="J406" s="1">
        <v>2</v>
      </c>
      <c r="K406" s="1">
        <v>3</v>
      </c>
      <c r="L406" s="1">
        <v>7800</v>
      </c>
      <c r="M406" s="1">
        <v>25</v>
      </c>
      <c r="N406" s="1">
        <v>20</v>
      </c>
      <c r="O406" s="1">
        <v>15</v>
      </c>
      <c r="P406" s="1">
        <v>10</v>
      </c>
      <c r="Q406" s="1">
        <v>5</v>
      </c>
      <c r="R406" s="1">
        <v>5</v>
      </c>
      <c r="S406" s="1">
        <v>2</v>
      </c>
      <c r="T406" s="1">
        <v>0</v>
      </c>
      <c r="U406" s="1">
        <v>284</v>
      </c>
      <c r="V406" s="1">
        <v>110</v>
      </c>
      <c r="W406" s="1">
        <v>120</v>
      </c>
      <c r="X406" s="1">
        <v>100</v>
      </c>
      <c r="Y406" s="1">
        <v>125</v>
      </c>
      <c r="Z406" s="1">
        <v>130</v>
      </c>
      <c r="AA406" s="1">
        <v>0</v>
      </c>
      <c r="AB406" s="1">
        <v>15</v>
      </c>
      <c r="AC406" s="1">
        <v>5</v>
      </c>
      <c r="AD406" s="1">
        <v>0</v>
      </c>
      <c r="AE406" s="1">
        <v>105</v>
      </c>
      <c r="AF406" s="1">
        <v>100</v>
      </c>
      <c r="AG406" s="1">
        <v>700204</v>
      </c>
      <c r="AH406" s="1">
        <v>0</v>
      </c>
      <c r="AI406" s="1">
        <v>700001</v>
      </c>
      <c r="AJ406" s="1" t="s">
        <v>5869</v>
      </c>
      <c r="AK406" s="1" t="s">
        <v>328</v>
      </c>
      <c r="AL406" s="1">
        <v>12</v>
      </c>
      <c r="AM406" s="1" t="s">
        <v>4790</v>
      </c>
      <c r="AN406" s="1" t="s">
        <v>358</v>
      </c>
      <c r="AO406" s="1" t="s">
        <v>5063</v>
      </c>
      <c r="AP406" s="1">
        <v>0</v>
      </c>
      <c r="AQ406" s="1" t="s">
        <v>1129</v>
      </c>
      <c r="AR406" s="1" t="s">
        <v>1119</v>
      </c>
      <c r="AS406" s="1" t="s">
        <v>1130</v>
      </c>
      <c r="AT406" s="1" t="s">
        <v>328</v>
      </c>
      <c r="AU406" s="1">
        <v>176</v>
      </c>
      <c r="AV406" s="1">
        <v>0</v>
      </c>
      <c r="AW406" s="1" t="s">
        <v>5790</v>
      </c>
      <c r="AX406" s="1" t="s">
        <v>1806</v>
      </c>
      <c r="AY406" s="1">
        <v>3</v>
      </c>
      <c r="AZ406" s="1">
        <v>0</v>
      </c>
      <c r="BA406" s="1" t="s">
        <v>328</v>
      </c>
      <c r="BB406" s="1" t="s">
        <v>328</v>
      </c>
      <c r="BC406" s="1" t="s">
        <v>328</v>
      </c>
      <c r="BD406" s="1">
        <v>0</v>
      </c>
      <c r="BE406" s="1"/>
      <c r="BH406">
        <f>COUNTIF(Dropdowns!$I:$AF,C406)</f>
        <v>1</v>
      </c>
    </row>
    <row r="407" spans="1:60" x14ac:dyDescent="0.3">
      <c r="A407" s="1">
        <v>9017</v>
      </c>
      <c r="B407" s="1" t="s">
        <v>5870</v>
      </c>
      <c r="C407" s="207" t="s">
        <v>168</v>
      </c>
      <c r="D407" s="1" t="s">
        <v>168</v>
      </c>
      <c r="E407" s="1"/>
      <c r="F407" s="1"/>
      <c r="G407" s="1" t="s">
        <v>5871</v>
      </c>
      <c r="H407" s="1" t="s">
        <v>5872</v>
      </c>
      <c r="I407" s="1" t="s">
        <v>5873</v>
      </c>
      <c r="J407" s="1">
        <v>4</v>
      </c>
      <c r="K407" s="1">
        <v>5</v>
      </c>
      <c r="L407" s="1">
        <v>13920</v>
      </c>
      <c r="M407" s="1">
        <v>20</v>
      </c>
      <c r="N407" s="1">
        <v>20</v>
      </c>
      <c r="O407" s="1">
        <v>10</v>
      </c>
      <c r="P407" s="1">
        <v>10</v>
      </c>
      <c r="Q407" s="1">
        <v>2</v>
      </c>
      <c r="R407" s="1">
        <v>5</v>
      </c>
      <c r="S407" s="1">
        <v>5</v>
      </c>
      <c r="T407" s="1">
        <v>0</v>
      </c>
      <c r="U407" s="1">
        <v>454</v>
      </c>
      <c r="V407" s="1">
        <v>115</v>
      </c>
      <c r="W407" s="1">
        <v>120</v>
      </c>
      <c r="X407" s="1">
        <v>100</v>
      </c>
      <c r="Y407" s="1">
        <v>130</v>
      </c>
      <c r="Z407" s="1">
        <v>108</v>
      </c>
      <c r="AA407" s="1">
        <v>0</v>
      </c>
      <c r="AB407" s="1">
        <v>15</v>
      </c>
      <c r="AC407" s="1">
        <v>20</v>
      </c>
      <c r="AD407" s="1">
        <v>0</v>
      </c>
      <c r="AE407" s="1">
        <v>111</v>
      </c>
      <c r="AF407" s="1">
        <v>100</v>
      </c>
      <c r="AG407" s="1">
        <v>700201</v>
      </c>
      <c r="AH407" s="1">
        <v>0</v>
      </c>
      <c r="AI407" s="1">
        <v>700001</v>
      </c>
      <c r="AJ407" s="1" t="s">
        <v>5851</v>
      </c>
      <c r="AK407" s="1" t="s">
        <v>328</v>
      </c>
      <c r="AL407" s="1">
        <v>13</v>
      </c>
      <c r="AM407" s="1" t="s">
        <v>4719</v>
      </c>
      <c r="AN407" s="1" t="s">
        <v>4834</v>
      </c>
      <c r="AO407" s="1" t="s">
        <v>5002</v>
      </c>
      <c r="AP407" s="1">
        <v>0</v>
      </c>
      <c r="AQ407" s="1" t="s">
        <v>1130</v>
      </c>
      <c r="AR407" s="1" t="s">
        <v>1154</v>
      </c>
      <c r="AS407" s="1" t="s">
        <v>1129</v>
      </c>
      <c r="AT407" s="1" t="s">
        <v>328</v>
      </c>
      <c r="AU407" s="1">
        <v>194</v>
      </c>
      <c r="AV407" s="1">
        <v>0</v>
      </c>
      <c r="AW407" s="1" t="s">
        <v>5790</v>
      </c>
      <c r="AX407" s="1" t="s">
        <v>331</v>
      </c>
      <c r="AY407" s="1">
        <v>5</v>
      </c>
      <c r="AZ407" s="1">
        <v>0</v>
      </c>
      <c r="BA407" s="1" t="s">
        <v>328</v>
      </c>
      <c r="BB407" s="1" t="s">
        <v>328</v>
      </c>
      <c r="BC407" s="1" t="s">
        <v>328</v>
      </c>
      <c r="BD407" s="1">
        <v>0</v>
      </c>
      <c r="BE407" s="1"/>
      <c r="BH407">
        <f>COUNTIF(Dropdowns!$I:$AF,C407)</f>
        <v>1</v>
      </c>
    </row>
    <row r="408" spans="1:60" x14ac:dyDescent="0.3">
      <c r="A408" s="1">
        <v>9018</v>
      </c>
      <c r="B408" s="1" t="s">
        <v>5874</v>
      </c>
      <c r="C408" s="207" t="s">
        <v>5854</v>
      </c>
      <c r="D408" s="1" t="s">
        <v>3485</v>
      </c>
      <c r="E408" s="1"/>
      <c r="F408" s="1"/>
      <c r="G408" s="1" t="s">
        <v>5875</v>
      </c>
      <c r="H408" s="1" t="s">
        <v>5876</v>
      </c>
      <c r="I408" s="1" t="s">
        <v>5877</v>
      </c>
      <c r="J408" s="1">
        <v>1</v>
      </c>
      <c r="K408" s="1">
        <v>4</v>
      </c>
      <c r="L408" s="1">
        <v>3600</v>
      </c>
      <c r="M408" s="1">
        <v>10</v>
      </c>
      <c r="N408" s="1">
        <v>10</v>
      </c>
      <c r="O408" s="1">
        <v>5</v>
      </c>
      <c r="P408" s="1">
        <v>5</v>
      </c>
      <c r="Q408" s="1">
        <v>2</v>
      </c>
      <c r="R408" s="1">
        <v>2</v>
      </c>
      <c r="S408" s="1">
        <v>2</v>
      </c>
      <c r="T408" s="1">
        <v>0</v>
      </c>
      <c r="U408" s="1">
        <v>757</v>
      </c>
      <c r="V408" s="1">
        <v>160</v>
      </c>
      <c r="W408" s="1">
        <v>65</v>
      </c>
      <c r="X408" s="1">
        <v>100</v>
      </c>
      <c r="Y408" s="1">
        <v>105</v>
      </c>
      <c r="Z408" s="1">
        <v>75</v>
      </c>
      <c r="AA408" s="1">
        <v>0</v>
      </c>
      <c r="AB408" s="1">
        <v>15</v>
      </c>
      <c r="AC408" s="1">
        <v>40</v>
      </c>
      <c r="AD408" s="1">
        <v>0</v>
      </c>
      <c r="AE408" s="1">
        <v>130</v>
      </c>
      <c r="AF408" s="1">
        <v>100</v>
      </c>
      <c r="AG408" s="1">
        <v>700202</v>
      </c>
      <c r="AH408" s="1">
        <v>0</v>
      </c>
      <c r="AI408" s="1">
        <v>700001</v>
      </c>
      <c r="AJ408" s="1" t="s">
        <v>5858</v>
      </c>
      <c r="AK408" s="1" t="s">
        <v>328</v>
      </c>
      <c r="AL408" s="1">
        <v>13</v>
      </c>
      <c r="AM408" s="1" t="s">
        <v>1806</v>
      </c>
      <c r="AN408" s="1" t="s">
        <v>4776</v>
      </c>
      <c r="AO408" s="1" t="s">
        <v>4824</v>
      </c>
      <c r="AP408" s="1">
        <v>0</v>
      </c>
      <c r="AQ408" s="1" t="s">
        <v>5852</v>
      </c>
      <c r="AR408" s="1" t="s">
        <v>1119</v>
      </c>
      <c r="AS408" s="1" t="s">
        <v>1129</v>
      </c>
      <c r="AT408" s="1" t="s">
        <v>328</v>
      </c>
      <c r="AU408" s="1">
        <v>202</v>
      </c>
      <c r="AV408" s="1">
        <v>0</v>
      </c>
      <c r="AW408" s="1" t="s">
        <v>5790</v>
      </c>
      <c r="AX408" s="1" t="s">
        <v>1723</v>
      </c>
      <c r="AY408" s="1">
        <v>4</v>
      </c>
      <c r="AZ408" s="1">
        <v>0</v>
      </c>
      <c r="BA408" s="1" t="s">
        <v>328</v>
      </c>
      <c r="BB408" s="1" t="s">
        <v>328</v>
      </c>
      <c r="BC408" s="1" t="s">
        <v>328</v>
      </c>
      <c r="BD408" s="1">
        <v>0</v>
      </c>
      <c r="BE408" s="1"/>
      <c r="BH408">
        <f>COUNTIF(Dropdowns!$I:$AF,C408)</f>
        <v>0</v>
      </c>
    </row>
    <row r="409" spans="1:60" x14ac:dyDescent="0.3">
      <c r="A409" s="1">
        <v>9019</v>
      </c>
      <c r="B409" s="1" t="s">
        <v>5878</v>
      </c>
      <c r="C409" s="207" t="s">
        <v>1631</v>
      </c>
      <c r="D409" s="1" t="s">
        <v>1631</v>
      </c>
      <c r="E409" s="1"/>
      <c r="F409" s="1"/>
      <c r="G409" s="1" t="s">
        <v>5879</v>
      </c>
      <c r="H409" s="1" t="s">
        <v>5880</v>
      </c>
      <c r="I409" s="1" t="s">
        <v>5881</v>
      </c>
      <c r="J409" s="1">
        <v>5</v>
      </c>
      <c r="K409" s="1">
        <v>4</v>
      </c>
      <c r="L409" s="1">
        <v>22800</v>
      </c>
      <c r="M409" s="1">
        <v>40</v>
      </c>
      <c r="N409" s="1">
        <v>30</v>
      </c>
      <c r="O409" s="1">
        <v>25</v>
      </c>
      <c r="P409" s="1">
        <v>15</v>
      </c>
      <c r="Q409" s="1">
        <v>5</v>
      </c>
      <c r="R409" s="1">
        <v>5</v>
      </c>
      <c r="S409" s="1">
        <v>2</v>
      </c>
      <c r="T409" s="1">
        <v>5</v>
      </c>
      <c r="U409" s="1">
        <v>303</v>
      </c>
      <c r="V409" s="1">
        <v>115</v>
      </c>
      <c r="W409" s="1">
        <v>115</v>
      </c>
      <c r="X409" s="1">
        <v>100</v>
      </c>
      <c r="Y409" s="1">
        <v>125</v>
      </c>
      <c r="Z409" s="1">
        <v>120</v>
      </c>
      <c r="AA409" s="1">
        <v>0</v>
      </c>
      <c r="AB409" s="1">
        <v>15</v>
      </c>
      <c r="AC409" s="1">
        <v>5</v>
      </c>
      <c r="AD409" s="1">
        <v>10</v>
      </c>
      <c r="AE409" s="1">
        <v>110</v>
      </c>
      <c r="AF409" s="1">
        <v>100</v>
      </c>
      <c r="AG409" s="1">
        <v>700203</v>
      </c>
      <c r="AH409" s="1">
        <v>0</v>
      </c>
      <c r="AI409" s="1">
        <v>700001</v>
      </c>
      <c r="AJ409" s="1" t="s">
        <v>5863</v>
      </c>
      <c r="AK409" s="1" t="s">
        <v>328</v>
      </c>
      <c r="AL409" s="1">
        <v>18</v>
      </c>
      <c r="AM409" s="1" t="s">
        <v>4858</v>
      </c>
      <c r="AN409" s="1" t="s">
        <v>4931</v>
      </c>
      <c r="AO409" s="1" t="s">
        <v>5054</v>
      </c>
      <c r="AP409" s="1">
        <v>0</v>
      </c>
      <c r="AQ409" s="1" t="s">
        <v>1140</v>
      </c>
      <c r="AR409" s="1" t="s">
        <v>5864</v>
      </c>
      <c r="AS409" s="1" t="s">
        <v>5789</v>
      </c>
      <c r="AT409" s="1" t="s">
        <v>328</v>
      </c>
      <c r="AU409" s="1">
        <v>149</v>
      </c>
      <c r="AV409" s="1">
        <v>0</v>
      </c>
      <c r="AW409" s="1" t="s">
        <v>5790</v>
      </c>
      <c r="AX409" s="1" t="s">
        <v>331</v>
      </c>
      <c r="AY409" s="1">
        <v>4</v>
      </c>
      <c r="AZ409" s="1">
        <v>0</v>
      </c>
      <c r="BA409" s="1" t="s">
        <v>328</v>
      </c>
      <c r="BB409" s="1" t="s">
        <v>328</v>
      </c>
      <c r="BC409" s="1" t="s">
        <v>328</v>
      </c>
      <c r="BD409" s="1">
        <v>0</v>
      </c>
      <c r="BE409" s="1"/>
      <c r="BH409">
        <f>COUNTIF(Dropdowns!$I:$AF,C409)</f>
        <v>1</v>
      </c>
    </row>
    <row r="410" spans="1:60" x14ac:dyDescent="0.3">
      <c r="A410" s="1">
        <v>9020</v>
      </c>
      <c r="B410" s="1" t="s">
        <v>5882</v>
      </c>
      <c r="C410" s="207" t="s">
        <v>156</v>
      </c>
      <c r="D410" s="1" t="s">
        <v>156</v>
      </c>
      <c r="E410" s="1"/>
      <c r="F410" s="1"/>
      <c r="G410" s="1" t="s">
        <v>5883</v>
      </c>
      <c r="H410" s="1" t="s">
        <v>5884</v>
      </c>
      <c r="I410" s="1" t="s">
        <v>5885</v>
      </c>
      <c r="J410" s="1">
        <v>2</v>
      </c>
      <c r="K410" s="1">
        <v>3</v>
      </c>
      <c r="L410" s="1">
        <v>7800</v>
      </c>
      <c r="M410" s="1">
        <v>25</v>
      </c>
      <c r="N410" s="1">
        <v>20</v>
      </c>
      <c r="O410" s="1">
        <v>15</v>
      </c>
      <c r="P410" s="1">
        <v>10</v>
      </c>
      <c r="Q410" s="1">
        <v>5</v>
      </c>
      <c r="R410" s="1">
        <v>5</v>
      </c>
      <c r="S410" s="1">
        <v>2</v>
      </c>
      <c r="T410" s="1">
        <v>0</v>
      </c>
      <c r="U410" s="1">
        <v>284</v>
      </c>
      <c r="V410" s="1">
        <v>110</v>
      </c>
      <c r="W410" s="1">
        <v>120</v>
      </c>
      <c r="X410" s="1">
        <v>100</v>
      </c>
      <c r="Y410" s="1">
        <v>125</v>
      </c>
      <c r="Z410" s="1">
        <v>130</v>
      </c>
      <c r="AA410" s="1">
        <v>0</v>
      </c>
      <c r="AB410" s="1">
        <v>15</v>
      </c>
      <c r="AC410" s="1">
        <v>5</v>
      </c>
      <c r="AD410" s="1">
        <v>0</v>
      </c>
      <c r="AE410" s="1">
        <v>105</v>
      </c>
      <c r="AF410" s="1">
        <v>100</v>
      </c>
      <c r="AG410" s="1">
        <v>700204</v>
      </c>
      <c r="AH410" s="1">
        <v>0</v>
      </c>
      <c r="AI410" s="1">
        <v>700001</v>
      </c>
      <c r="AJ410" s="1" t="s">
        <v>5869</v>
      </c>
      <c r="AK410" s="1" t="s">
        <v>328</v>
      </c>
      <c r="AL410" s="1">
        <v>12</v>
      </c>
      <c r="AM410" s="1" t="s">
        <v>4790</v>
      </c>
      <c r="AN410" s="1" t="s">
        <v>358</v>
      </c>
      <c r="AO410" s="1" t="s">
        <v>5063</v>
      </c>
      <c r="AP410" s="1">
        <v>0</v>
      </c>
      <c r="AQ410" s="1" t="s">
        <v>1129</v>
      </c>
      <c r="AR410" s="1" t="s">
        <v>1119</v>
      </c>
      <c r="AS410" s="1" t="s">
        <v>1130</v>
      </c>
      <c r="AT410" s="1" t="s">
        <v>328</v>
      </c>
      <c r="AU410" s="1">
        <v>176</v>
      </c>
      <c r="AV410" s="1">
        <v>0</v>
      </c>
      <c r="AW410" s="1" t="s">
        <v>5790</v>
      </c>
      <c r="AX410" s="1" t="s">
        <v>1806</v>
      </c>
      <c r="AY410" s="1">
        <v>3</v>
      </c>
      <c r="AZ410" s="1">
        <v>0</v>
      </c>
      <c r="BA410" s="1" t="s">
        <v>328</v>
      </c>
      <c r="BB410" s="1" t="s">
        <v>328</v>
      </c>
      <c r="BC410" s="1" t="s">
        <v>328</v>
      </c>
      <c r="BD410" s="1">
        <v>0</v>
      </c>
      <c r="BE410" s="1"/>
      <c r="BH410">
        <f>COUNTIF(Dropdowns!$I:$AF,C410)</f>
        <v>1</v>
      </c>
    </row>
    <row r="411" spans="1:60" x14ac:dyDescent="0.3">
      <c r="A411" s="1">
        <v>9021</v>
      </c>
      <c r="B411" s="1" t="s">
        <v>5886</v>
      </c>
      <c r="C411" s="207" t="s">
        <v>168</v>
      </c>
      <c r="D411" s="1" t="s">
        <v>168</v>
      </c>
      <c r="E411" s="1"/>
      <c r="F411" s="1"/>
      <c r="G411" s="1" t="s">
        <v>5887</v>
      </c>
      <c r="H411" s="1" t="s">
        <v>5888</v>
      </c>
      <c r="I411" s="1" t="s">
        <v>5889</v>
      </c>
      <c r="J411" s="1">
        <v>4</v>
      </c>
      <c r="K411" s="1">
        <v>5</v>
      </c>
      <c r="L411" s="1">
        <v>13920</v>
      </c>
      <c r="M411" s="1">
        <v>20</v>
      </c>
      <c r="N411" s="1">
        <v>20</v>
      </c>
      <c r="O411" s="1">
        <v>10</v>
      </c>
      <c r="P411" s="1">
        <v>10</v>
      </c>
      <c r="Q411" s="1">
        <v>2</v>
      </c>
      <c r="R411" s="1">
        <v>5</v>
      </c>
      <c r="S411" s="1">
        <v>5</v>
      </c>
      <c r="T411" s="1">
        <v>0</v>
      </c>
      <c r="U411" s="1">
        <v>909</v>
      </c>
      <c r="V411" s="1">
        <v>115</v>
      </c>
      <c r="W411" s="1">
        <v>120</v>
      </c>
      <c r="X411" s="1">
        <v>100</v>
      </c>
      <c r="Y411" s="1">
        <v>130</v>
      </c>
      <c r="Z411" s="1">
        <v>108</v>
      </c>
      <c r="AA411" s="1">
        <v>0</v>
      </c>
      <c r="AB411" s="1">
        <v>15</v>
      </c>
      <c r="AC411" s="1">
        <v>20</v>
      </c>
      <c r="AD411" s="1">
        <v>0</v>
      </c>
      <c r="AE411" s="1">
        <v>111</v>
      </c>
      <c r="AF411" s="1">
        <v>100</v>
      </c>
      <c r="AG411" s="1">
        <v>700201</v>
      </c>
      <c r="AH411" s="1">
        <v>0</v>
      </c>
      <c r="AI411" s="1">
        <v>700001</v>
      </c>
      <c r="AJ411" s="1" t="s">
        <v>5851</v>
      </c>
      <c r="AK411" s="1" t="s">
        <v>328</v>
      </c>
      <c r="AL411" s="1">
        <v>13</v>
      </c>
      <c r="AM411" s="1" t="s">
        <v>4719</v>
      </c>
      <c r="AN411" s="1" t="s">
        <v>4834</v>
      </c>
      <c r="AO411" s="1" t="s">
        <v>5002</v>
      </c>
      <c r="AP411" s="1">
        <v>0</v>
      </c>
      <c r="AQ411" s="1" t="s">
        <v>1130</v>
      </c>
      <c r="AR411" s="1" t="s">
        <v>1154</v>
      </c>
      <c r="AS411" s="1" t="s">
        <v>1129</v>
      </c>
      <c r="AT411" s="1" t="s">
        <v>328</v>
      </c>
      <c r="AU411" s="1">
        <v>194</v>
      </c>
      <c r="AV411" s="1">
        <v>0</v>
      </c>
      <c r="AW411" s="1" t="s">
        <v>5790</v>
      </c>
      <c r="AX411" s="1" t="s">
        <v>331</v>
      </c>
      <c r="AY411" s="1">
        <v>5</v>
      </c>
      <c r="AZ411" s="1">
        <v>0</v>
      </c>
      <c r="BA411" s="1" t="s">
        <v>328</v>
      </c>
      <c r="BB411" s="1" t="s">
        <v>328</v>
      </c>
      <c r="BC411" s="1" t="s">
        <v>328</v>
      </c>
      <c r="BD411" s="1">
        <v>0</v>
      </c>
      <c r="BE411" s="1"/>
      <c r="BH411">
        <f>COUNTIF(Dropdowns!$I:$AF,C411)</f>
        <v>1</v>
      </c>
    </row>
    <row r="412" spans="1:60" x14ac:dyDescent="0.3">
      <c r="A412" s="1">
        <v>9022</v>
      </c>
      <c r="B412" s="1" t="s">
        <v>5890</v>
      </c>
      <c r="C412" s="207" t="s">
        <v>121</v>
      </c>
      <c r="D412" s="1" t="s">
        <v>121</v>
      </c>
      <c r="E412" s="1"/>
      <c r="F412" s="1"/>
      <c r="G412" s="1" t="s">
        <v>5891</v>
      </c>
      <c r="H412" s="1" t="s">
        <v>5892</v>
      </c>
      <c r="I412" s="1" t="s">
        <v>5893</v>
      </c>
      <c r="J412" s="1">
        <v>1</v>
      </c>
      <c r="K412" s="1">
        <v>5</v>
      </c>
      <c r="L412" s="1">
        <v>3900</v>
      </c>
      <c r="M412" s="1">
        <v>10</v>
      </c>
      <c r="N412" s="1">
        <v>10</v>
      </c>
      <c r="O412" s="1">
        <v>5</v>
      </c>
      <c r="P412" s="1">
        <v>5</v>
      </c>
      <c r="Q412" s="1">
        <v>2</v>
      </c>
      <c r="R412" s="1">
        <v>2</v>
      </c>
      <c r="S412" s="1">
        <v>2</v>
      </c>
      <c r="T412" s="1">
        <v>0</v>
      </c>
      <c r="U412" s="1">
        <v>1515</v>
      </c>
      <c r="V412" s="1">
        <v>110</v>
      </c>
      <c r="W412" s="1">
        <v>135</v>
      </c>
      <c r="X412" s="1">
        <v>100</v>
      </c>
      <c r="Y412" s="1">
        <v>115</v>
      </c>
      <c r="Z412" s="1">
        <v>95</v>
      </c>
      <c r="AA412" s="1">
        <v>0</v>
      </c>
      <c r="AB412" s="1">
        <v>15</v>
      </c>
      <c r="AC412" s="1">
        <v>20</v>
      </c>
      <c r="AD412" s="1">
        <v>0</v>
      </c>
      <c r="AE412" s="1">
        <v>115</v>
      </c>
      <c r="AF412" s="1">
        <v>100</v>
      </c>
      <c r="AG412" s="1">
        <v>700202</v>
      </c>
      <c r="AH412" s="1">
        <v>0</v>
      </c>
      <c r="AI412" s="1">
        <v>700001</v>
      </c>
      <c r="AJ412" s="1" t="s">
        <v>5858</v>
      </c>
      <c r="AK412" s="1" t="s">
        <v>328</v>
      </c>
      <c r="AL412" s="1">
        <v>13</v>
      </c>
      <c r="AM412" s="1" t="s">
        <v>1806</v>
      </c>
      <c r="AN412" s="1" t="s">
        <v>4784</v>
      </c>
      <c r="AO412" s="1" t="s">
        <v>4817</v>
      </c>
      <c r="AP412" s="1">
        <v>0</v>
      </c>
      <c r="AQ412" s="1" t="s">
        <v>5852</v>
      </c>
      <c r="AR412" s="1" t="s">
        <v>1119</v>
      </c>
      <c r="AS412" s="1" t="s">
        <v>1129</v>
      </c>
      <c r="AT412" s="1" t="s">
        <v>328</v>
      </c>
      <c r="AU412" s="1">
        <v>97</v>
      </c>
      <c r="AV412" s="1">
        <v>0</v>
      </c>
      <c r="AW412" s="1" t="s">
        <v>5790</v>
      </c>
      <c r="AX412" s="1" t="s">
        <v>4762</v>
      </c>
      <c r="AY412" s="1">
        <v>5</v>
      </c>
      <c r="AZ412" s="1">
        <v>0</v>
      </c>
      <c r="BA412" s="1" t="s">
        <v>328</v>
      </c>
      <c r="BB412" s="1" t="s">
        <v>328</v>
      </c>
      <c r="BC412" s="1" t="s">
        <v>328</v>
      </c>
      <c r="BD412" s="1">
        <v>0</v>
      </c>
      <c r="BE412" s="1"/>
      <c r="BH412">
        <f>COUNTIF(Dropdowns!$I:$AF,C412)</f>
        <v>0</v>
      </c>
    </row>
    <row r="413" spans="1:60" x14ac:dyDescent="0.3">
      <c r="A413" s="1">
        <v>9023</v>
      </c>
      <c r="B413" s="1" t="s">
        <v>5894</v>
      </c>
      <c r="C413" s="207" t="s">
        <v>5854</v>
      </c>
      <c r="D413" s="1" t="s">
        <v>3485</v>
      </c>
      <c r="E413" s="1"/>
      <c r="F413" s="1"/>
      <c r="G413" s="1" t="s">
        <v>5895</v>
      </c>
      <c r="H413" s="1" t="s">
        <v>5896</v>
      </c>
      <c r="I413" s="1" t="s">
        <v>5897</v>
      </c>
      <c r="J413" s="1">
        <v>1</v>
      </c>
      <c r="K413" s="1">
        <v>4</v>
      </c>
      <c r="L413" s="1">
        <v>3600</v>
      </c>
      <c r="M413" s="1">
        <v>10</v>
      </c>
      <c r="N413" s="1">
        <v>10</v>
      </c>
      <c r="O413" s="1">
        <v>5</v>
      </c>
      <c r="P413" s="1">
        <v>5</v>
      </c>
      <c r="Q413" s="1">
        <v>2</v>
      </c>
      <c r="R413" s="1">
        <v>2</v>
      </c>
      <c r="S413" s="1">
        <v>2</v>
      </c>
      <c r="T413" s="1">
        <v>0</v>
      </c>
      <c r="U413" s="1">
        <v>1515</v>
      </c>
      <c r="V413" s="1">
        <v>160</v>
      </c>
      <c r="W413" s="1">
        <v>65</v>
      </c>
      <c r="X413" s="1">
        <v>100</v>
      </c>
      <c r="Y413" s="1">
        <v>105</v>
      </c>
      <c r="Z413" s="1">
        <v>75</v>
      </c>
      <c r="AA413" s="1">
        <v>0</v>
      </c>
      <c r="AB413" s="1">
        <v>15</v>
      </c>
      <c r="AC413" s="1">
        <v>40</v>
      </c>
      <c r="AD413" s="1">
        <v>0</v>
      </c>
      <c r="AE413" s="1">
        <v>130</v>
      </c>
      <c r="AF413" s="1">
        <v>100</v>
      </c>
      <c r="AG413" s="1">
        <v>700203</v>
      </c>
      <c r="AH413" s="1">
        <v>0</v>
      </c>
      <c r="AI413" s="1">
        <v>700001</v>
      </c>
      <c r="AJ413" s="1" t="s">
        <v>5863</v>
      </c>
      <c r="AK413" s="1" t="s">
        <v>328</v>
      </c>
      <c r="AL413" s="1">
        <v>13</v>
      </c>
      <c r="AM413" s="1" t="s">
        <v>1806</v>
      </c>
      <c r="AN413" s="1" t="s">
        <v>4776</v>
      </c>
      <c r="AO413" s="1" t="s">
        <v>4824</v>
      </c>
      <c r="AP413" s="1">
        <v>0</v>
      </c>
      <c r="AQ413" s="1" t="s">
        <v>5852</v>
      </c>
      <c r="AR413" s="1" t="s">
        <v>1119</v>
      </c>
      <c r="AS413" s="1" t="s">
        <v>1129</v>
      </c>
      <c r="AT413" s="1" t="s">
        <v>328</v>
      </c>
      <c r="AU413" s="1">
        <v>202</v>
      </c>
      <c r="AV413" s="1">
        <v>0</v>
      </c>
      <c r="AW413" s="1" t="s">
        <v>5790</v>
      </c>
      <c r="AX413" s="1" t="s">
        <v>1723</v>
      </c>
      <c r="AY413" s="1">
        <v>4</v>
      </c>
      <c r="AZ413" s="1">
        <v>0</v>
      </c>
      <c r="BA413" s="1" t="s">
        <v>328</v>
      </c>
      <c r="BB413" s="1" t="s">
        <v>328</v>
      </c>
      <c r="BC413" s="1" t="s">
        <v>328</v>
      </c>
      <c r="BD413" s="1">
        <v>0</v>
      </c>
      <c r="BE413" s="1"/>
      <c r="BH413">
        <f>COUNTIF(Dropdowns!$I:$AF,C413)</f>
        <v>0</v>
      </c>
    </row>
    <row r="414" spans="1:60" x14ac:dyDescent="0.3">
      <c r="A414" s="1">
        <v>9024</v>
      </c>
      <c r="B414" s="1" t="s">
        <v>5898</v>
      </c>
      <c r="C414" s="207" t="s">
        <v>1631</v>
      </c>
      <c r="D414" s="1" t="s">
        <v>1631</v>
      </c>
      <c r="E414" s="1"/>
      <c r="F414" s="1"/>
      <c r="G414" s="1" t="s">
        <v>5899</v>
      </c>
      <c r="H414" s="1" t="s">
        <v>5900</v>
      </c>
      <c r="I414" s="1" t="s">
        <v>5901</v>
      </c>
      <c r="J414" s="1">
        <v>5</v>
      </c>
      <c r="K414" s="1">
        <v>4</v>
      </c>
      <c r="L414" s="1">
        <v>22800</v>
      </c>
      <c r="M414" s="1">
        <v>40</v>
      </c>
      <c r="N414" s="1">
        <v>30</v>
      </c>
      <c r="O414" s="1">
        <v>25</v>
      </c>
      <c r="P414" s="1">
        <v>15</v>
      </c>
      <c r="Q414" s="1">
        <v>5</v>
      </c>
      <c r="R414" s="1">
        <v>5</v>
      </c>
      <c r="S414" s="1">
        <v>2</v>
      </c>
      <c r="T414" s="1">
        <v>5</v>
      </c>
      <c r="U414" s="1">
        <v>606</v>
      </c>
      <c r="V414" s="1">
        <v>115</v>
      </c>
      <c r="W414" s="1">
        <v>115</v>
      </c>
      <c r="X414" s="1">
        <v>100</v>
      </c>
      <c r="Y414" s="1">
        <v>125</v>
      </c>
      <c r="Z414" s="1">
        <v>120</v>
      </c>
      <c r="AA414" s="1">
        <v>0</v>
      </c>
      <c r="AB414" s="1">
        <v>15</v>
      </c>
      <c r="AC414" s="1">
        <v>5</v>
      </c>
      <c r="AD414" s="1">
        <v>10</v>
      </c>
      <c r="AE414" s="1">
        <v>110</v>
      </c>
      <c r="AF414" s="1">
        <v>100</v>
      </c>
      <c r="AG414" s="1">
        <v>700204</v>
      </c>
      <c r="AH414" s="1">
        <v>0</v>
      </c>
      <c r="AI414" s="1">
        <v>700001</v>
      </c>
      <c r="AJ414" s="1" t="s">
        <v>5869</v>
      </c>
      <c r="AK414" s="1" t="s">
        <v>328</v>
      </c>
      <c r="AL414" s="1">
        <v>18</v>
      </c>
      <c r="AM414" s="1" t="s">
        <v>4858</v>
      </c>
      <c r="AN414" s="1" t="s">
        <v>4931</v>
      </c>
      <c r="AO414" s="1" t="s">
        <v>5054</v>
      </c>
      <c r="AP414" s="1">
        <v>0</v>
      </c>
      <c r="AQ414" s="1" t="s">
        <v>1140</v>
      </c>
      <c r="AR414" s="1" t="s">
        <v>5864</v>
      </c>
      <c r="AS414" s="1" t="s">
        <v>5789</v>
      </c>
      <c r="AT414" s="1" t="s">
        <v>328</v>
      </c>
      <c r="AU414" s="1">
        <v>149</v>
      </c>
      <c r="AV414" s="1">
        <v>0</v>
      </c>
      <c r="AW414" s="1" t="s">
        <v>5790</v>
      </c>
      <c r="AX414" s="1" t="s">
        <v>331</v>
      </c>
      <c r="AY414" s="1">
        <v>4</v>
      </c>
      <c r="AZ414" s="1">
        <v>0</v>
      </c>
      <c r="BA414" s="1" t="s">
        <v>328</v>
      </c>
      <c r="BB414" s="1" t="s">
        <v>328</v>
      </c>
      <c r="BC414" s="1" t="s">
        <v>328</v>
      </c>
      <c r="BD414" s="1">
        <v>0</v>
      </c>
      <c r="BE414" s="1"/>
      <c r="BH414">
        <f>COUNTIF(Dropdowns!$I:$AF,C414)</f>
        <v>1</v>
      </c>
    </row>
    <row r="415" spans="1:60" x14ac:dyDescent="0.3">
      <c r="A415" s="1">
        <v>9025</v>
      </c>
      <c r="B415" s="1" t="s">
        <v>5902</v>
      </c>
      <c r="C415" s="207" t="s">
        <v>168</v>
      </c>
      <c r="D415" s="1" t="s">
        <v>168</v>
      </c>
      <c r="E415" s="1"/>
      <c r="F415" s="1"/>
      <c r="G415" s="1" t="s">
        <v>5903</v>
      </c>
      <c r="H415" s="1" t="s">
        <v>5904</v>
      </c>
      <c r="I415" s="1" t="s">
        <v>5905</v>
      </c>
      <c r="J415" s="1">
        <v>4</v>
      </c>
      <c r="K415" s="1">
        <v>5</v>
      </c>
      <c r="L415" s="1">
        <v>13920</v>
      </c>
      <c r="M415" s="1">
        <v>20</v>
      </c>
      <c r="N415" s="1">
        <v>20</v>
      </c>
      <c r="O415" s="1">
        <v>10</v>
      </c>
      <c r="P415" s="1">
        <v>10</v>
      </c>
      <c r="Q415" s="1">
        <v>2</v>
      </c>
      <c r="R415" s="1">
        <v>5</v>
      </c>
      <c r="S415" s="1">
        <v>5</v>
      </c>
      <c r="T415" s="1">
        <v>0</v>
      </c>
      <c r="U415" s="1">
        <v>909</v>
      </c>
      <c r="V415" s="1">
        <v>115</v>
      </c>
      <c r="W415" s="1">
        <v>120</v>
      </c>
      <c r="X415" s="1">
        <v>100</v>
      </c>
      <c r="Y415" s="1">
        <v>130</v>
      </c>
      <c r="Z415" s="1">
        <v>108</v>
      </c>
      <c r="AA415" s="1">
        <v>0</v>
      </c>
      <c r="AB415" s="1">
        <v>15</v>
      </c>
      <c r="AC415" s="1">
        <v>20</v>
      </c>
      <c r="AD415" s="1">
        <v>0</v>
      </c>
      <c r="AE415" s="1">
        <v>111</v>
      </c>
      <c r="AF415" s="1">
        <v>100</v>
      </c>
      <c r="AG415" s="1">
        <v>700201</v>
      </c>
      <c r="AH415" s="1">
        <v>0</v>
      </c>
      <c r="AI415" s="1">
        <v>700001</v>
      </c>
      <c r="AJ415" s="1" t="s">
        <v>5851</v>
      </c>
      <c r="AK415" s="1" t="s">
        <v>328</v>
      </c>
      <c r="AL415" s="1">
        <v>13</v>
      </c>
      <c r="AM415" s="1" t="s">
        <v>4719</v>
      </c>
      <c r="AN415" s="1" t="s">
        <v>4834</v>
      </c>
      <c r="AO415" s="1" t="s">
        <v>5002</v>
      </c>
      <c r="AP415" s="1">
        <v>0</v>
      </c>
      <c r="AQ415" s="1" t="s">
        <v>1130</v>
      </c>
      <c r="AR415" s="1" t="s">
        <v>1154</v>
      </c>
      <c r="AS415" s="1" t="s">
        <v>1129</v>
      </c>
      <c r="AT415" s="1" t="s">
        <v>328</v>
      </c>
      <c r="AU415" s="1">
        <v>194</v>
      </c>
      <c r="AV415" s="1">
        <v>0</v>
      </c>
      <c r="AW415" s="1" t="s">
        <v>5790</v>
      </c>
      <c r="AX415" s="1" t="s">
        <v>331</v>
      </c>
      <c r="AY415" s="1">
        <v>5</v>
      </c>
      <c r="AZ415" s="1">
        <v>0</v>
      </c>
      <c r="BA415" s="1" t="s">
        <v>328</v>
      </c>
      <c r="BB415" s="1" t="s">
        <v>328</v>
      </c>
      <c r="BC415" s="1" t="s">
        <v>328</v>
      </c>
      <c r="BD415" s="1">
        <v>0</v>
      </c>
      <c r="BE415" s="1"/>
      <c r="BH415">
        <f>COUNTIF(Dropdowns!$I:$AF,C415)</f>
        <v>1</v>
      </c>
    </row>
    <row r="416" spans="1:60" x14ac:dyDescent="0.3">
      <c r="A416" s="1">
        <v>9026</v>
      </c>
      <c r="B416" s="1" t="s">
        <v>5906</v>
      </c>
      <c r="C416" s="207" t="s">
        <v>121</v>
      </c>
      <c r="D416" s="1" t="s">
        <v>121</v>
      </c>
      <c r="E416" s="1"/>
      <c r="F416" s="1"/>
      <c r="G416" s="1" t="s">
        <v>5907</v>
      </c>
      <c r="H416" s="1" t="s">
        <v>5908</v>
      </c>
      <c r="I416" s="1" t="s">
        <v>5909</v>
      </c>
      <c r="J416" s="1">
        <v>1</v>
      </c>
      <c r="K416" s="1">
        <v>5</v>
      </c>
      <c r="L416" s="1">
        <v>3900</v>
      </c>
      <c r="M416" s="1">
        <v>10</v>
      </c>
      <c r="N416" s="1">
        <v>10</v>
      </c>
      <c r="O416" s="1">
        <v>5</v>
      </c>
      <c r="P416" s="1">
        <v>5</v>
      </c>
      <c r="Q416" s="1">
        <v>2</v>
      </c>
      <c r="R416" s="1">
        <v>2</v>
      </c>
      <c r="S416" s="1">
        <v>2</v>
      </c>
      <c r="T416" s="1">
        <v>0</v>
      </c>
      <c r="U416" s="1">
        <v>1515</v>
      </c>
      <c r="V416" s="1">
        <v>110</v>
      </c>
      <c r="W416" s="1">
        <v>135</v>
      </c>
      <c r="X416" s="1">
        <v>100</v>
      </c>
      <c r="Y416" s="1">
        <v>115</v>
      </c>
      <c r="Z416" s="1">
        <v>95</v>
      </c>
      <c r="AA416" s="1">
        <v>0</v>
      </c>
      <c r="AB416" s="1">
        <v>15</v>
      </c>
      <c r="AC416" s="1">
        <v>20</v>
      </c>
      <c r="AD416" s="1">
        <v>0</v>
      </c>
      <c r="AE416" s="1">
        <v>115</v>
      </c>
      <c r="AF416" s="1">
        <v>100</v>
      </c>
      <c r="AG416" s="1">
        <v>700202</v>
      </c>
      <c r="AH416" s="1">
        <v>0</v>
      </c>
      <c r="AI416" s="1">
        <v>700001</v>
      </c>
      <c r="AJ416" s="1" t="s">
        <v>5858</v>
      </c>
      <c r="AK416" s="1" t="s">
        <v>328</v>
      </c>
      <c r="AL416" s="1">
        <v>13</v>
      </c>
      <c r="AM416" s="1" t="s">
        <v>1806</v>
      </c>
      <c r="AN416" s="1" t="s">
        <v>4784</v>
      </c>
      <c r="AO416" s="1" t="s">
        <v>4817</v>
      </c>
      <c r="AP416" s="1">
        <v>0</v>
      </c>
      <c r="AQ416" s="1" t="s">
        <v>5852</v>
      </c>
      <c r="AR416" s="1" t="s">
        <v>1119</v>
      </c>
      <c r="AS416" s="1" t="s">
        <v>1129</v>
      </c>
      <c r="AT416" s="1" t="s">
        <v>328</v>
      </c>
      <c r="AU416" s="1">
        <v>97</v>
      </c>
      <c r="AV416" s="1">
        <v>0</v>
      </c>
      <c r="AW416" s="1" t="s">
        <v>5790</v>
      </c>
      <c r="AX416" s="1" t="s">
        <v>4762</v>
      </c>
      <c r="AY416" s="1">
        <v>5</v>
      </c>
      <c r="AZ416" s="1">
        <v>0</v>
      </c>
      <c r="BA416" s="1" t="s">
        <v>328</v>
      </c>
      <c r="BB416" s="1" t="s">
        <v>328</v>
      </c>
      <c r="BC416" s="1" t="s">
        <v>328</v>
      </c>
      <c r="BD416" s="1">
        <v>0</v>
      </c>
      <c r="BE416" s="1"/>
      <c r="BH416">
        <f>COUNTIF(Dropdowns!$I:$AF,C416)</f>
        <v>0</v>
      </c>
    </row>
    <row r="417" spans="1:60" x14ac:dyDescent="0.3">
      <c r="A417" s="1">
        <v>9027</v>
      </c>
      <c r="B417" s="1" t="s">
        <v>5910</v>
      </c>
      <c r="C417" s="207" t="s">
        <v>5854</v>
      </c>
      <c r="D417" s="1" t="s">
        <v>3485</v>
      </c>
      <c r="E417" s="1"/>
      <c r="F417" s="1"/>
      <c r="G417" s="1" t="s">
        <v>5911</v>
      </c>
      <c r="H417" s="1" t="s">
        <v>5912</v>
      </c>
      <c r="I417" s="1" t="s">
        <v>5913</v>
      </c>
      <c r="J417" s="1">
        <v>1</v>
      </c>
      <c r="K417" s="1">
        <v>4</v>
      </c>
      <c r="L417" s="1">
        <v>3600</v>
      </c>
      <c r="M417" s="1">
        <v>10</v>
      </c>
      <c r="N417" s="1">
        <v>10</v>
      </c>
      <c r="O417" s="1">
        <v>5</v>
      </c>
      <c r="P417" s="1">
        <v>5</v>
      </c>
      <c r="Q417" s="1">
        <v>2</v>
      </c>
      <c r="R417" s="1">
        <v>2</v>
      </c>
      <c r="S417" s="1">
        <v>2</v>
      </c>
      <c r="T417" s="1">
        <v>0</v>
      </c>
      <c r="U417" s="1">
        <v>1515</v>
      </c>
      <c r="V417" s="1">
        <v>160</v>
      </c>
      <c r="W417" s="1">
        <v>65</v>
      </c>
      <c r="X417" s="1">
        <v>100</v>
      </c>
      <c r="Y417" s="1">
        <v>105</v>
      </c>
      <c r="Z417" s="1">
        <v>75</v>
      </c>
      <c r="AA417" s="1">
        <v>0</v>
      </c>
      <c r="AB417" s="1">
        <v>15</v>
      </c>
      <c r="AC417" s="1">
        <v>40</v>
      </c>
      <c r="AD417" s="1">
        <v>0</v>
      </c>
      <c r="AE417" s="1">
        <v>130</v>
      </c>
      <c r="AF417" s="1">
        <v>100</v>
      </c>
      <c r="AG417" s="1">
        <v>700203</v>
      </c>
      <c r="AH417" s="1">
        <v>0</v>
      </c>
      <c r="AI417" s="1">
        <v>700001</v>
      </c>
      <c r="AJ417" s="1" t="s">
        <v>5863</v>
      </c>
      <c r="AK417" s="1" t="s">
        <v>328</v>
      </c>
      <c r="AL417" s="1">
        <v>13</v>
      </c>
      <c r="AM417" s="1" t="s">
        <v>1806</v>
      </c>
      <c r="AN417" s="1" t="s">
        <v>4776</v>
      </c>
      <c r="AO417" s="1" t="s">
        <v>4824</v>
      </c>
      <c r="AP417" s="1">
        <v>0</v>
      </c>
      <c r="AQ417" s="1" t="s">
        <v>5852</v>
      </c>
      <c r="AR417" s="1" t="s">
        <v>1119</v>
      </c>
      <c r="AS417" s="1" t="s">
        <v>1129</v>
      </c>
      <c r="AT417" s="1" t="s">
        <v>328</v>
      </c>
      <c r="AU417" s="1">
        <v>202</v>
      </c>
      <c r="AV417" s="1">
        <v>0</v>
      </c>
      <c r="AW417" s="1" t="s">
        <v>5790</v>
      </c>
      <c r="AX417" s="1" t="s">
        <v>1723</v>
      </c>
      <c r="AY417" s="1">
        <v>4</v>
      </c>
      <c r="AZ417" s="1">
        <v>0</v>
      </c>
      <c r="BA417" s="1" t="s">
        <v>328</v>
      </c>
      <c r="BB417" s="1" t="s">
        <v>328</v>
      </c>
      <c r="BC417" s="1" t="s">
        <v>328</v>
      </c>
      <c r="BD417" s="1">
        <v>0</v>
      </c>
      <c r="BE417" s="1"/>
      <c r="BH417">
        <f>COUNTIF(Dropdowns!$I:$AF,C417)</f>
        <v>0</v>
      </c>
    </row>
    <row r="418" spans="1:60" x14ac:dyDescent="0.3">
      <c r="A418" s="1">
        <v>9028</v>
      </c>
      <c r="B418" s="1" t="s">
        <v>5914</v>
      </c>
      <c r="C418" s="207" t="s">
        <v>156</v>
      </c>
      <c r="D418" s="1" t="s">
        <v>156</v>
      </c>
      <c r="E418" s="1"/>
      <c r="F418" s="1"/>
      <c r="G418" s="1" t="s">
        <v>5915</v>
      </c>
      <c r="H418" s="1" t="s">
        <v>5916</v>
      </c>
      <c r="I418" s="1" t="s">
        <v>5917</v>
      </c>
      <c r="J418" s="1">
        <v>2</v>
      </c>
      <c r="K418" s="1">
        <v>3</v>
      </c>
      <c r="L418" s="1">
        <v>7800</v>
      </c>
      <c r="M418" s="1">
        <v>25</v>
      </c>
      <c r="N418" s="1">
        <v>20</v>
      </c>
      <c r="O418" s="1">
        <v>15</v>
      </c>
      <c r="P418" s="1">
        <v>10</v>
      </c>
      <c r="Q418" s="1">
        <v>5</v>
      </c>
      <c r="R418" s="1">
        <v>5</v>
      </c>
      <c r="S418" s="1">
        <v>2</v>
      </c>
      <c r="T418" s="1">
        <v>0</v>
      </c>
      <c r="U418" s="1">
        <v>568</v>
      </c>
      <c r="V418" s="1">
        <v>110</v>
      </c>
      <c r="W418" s="1">
        <v>120</v>
      </c>
      <c r="X418" s="1">
        <v>100</v>
      </c>
      <c r="Y418" s="1">
        <v>125</v>
      </c>
      <c r="Z418" s="1">
        <v>130</v>
      </c>
      <c r="AA418" s="1">
        <v>0</v>
      </c>
      <c r="AB418" s="1">
        <v>15</v>
      </c>
      <c r="AC418" s="1">
        <v>5</v>
      </c>
      <c r="AD418" s="1">
        <v>0</v>
      </c>
      <c r="AE418" s="1">
        <v>105</v>
      </c>
      <c r="AF418" s="1">
        <v>100</v>
      </c>
      <c r="AG418" s="1">
        <v>700204</v>
      </c>
      <c r="AH418" s="1">
        <v>0</v>
      </c>
      <c r="AI418" s="1">
        <v>700001</v>
      </c>
      <c r="AJ418" s="1" t="s">
        <v>5869</v>
      </c>
      <c r="AK418" s="1" t="s">
        <v>328</v>
      </c>
      <c r="AL418" s="1">
        <v>12</v>
      </c>
      <c r="AM418" s="1" t="s">
        <v>4790</v>
      </c>
      <c r="AN418" s="1" t="s">
        <v>358</v>
      </c>
      <c r="AO418" s="1" t="s">
        <v>5063</v>
      </c>
      <c r="AP418" s="1">
        <v>0</v>
      </c>
      <c r="AQ418" s="1" t="s">
        <v>1129</v>
      </c>
      <c r="AR418" s="1" t="s">
        <v>1119</v>
      </c>
      <c r="AS418" s="1" t="s">
        <v>1130</v>
      </c>
      <c r="AT418" s="1" t="s">
        <v>328</v>
      </c>
      <c r="AU418" s="1">
        <v>176</v>
      </c>
      <c r="AV418" s="1">
        <v>0</v>
      </c>
      <c r="AW418" s="1" t="s">
        <v>5790</v>
      </c>
      <c r="AX418" s="1" t="s">
        <v>1806</v>
      </c>
      <c r="AY418" s="1">
        <v>3</v>
      </c>
      <c r="AZ418" s="1">
        <v>0</v>
      </c>
      <c r="BA418" s="1" t="s">
        <v>328</v>
      </c>
      <c r="BB418" s="1" t="s">
        <v>328</v>
      </c>
      <c r="BC418" s="1" t="s">
        <v>328</v>
      </c>
      <c r="BD418" s="1">
        <v>0</v>
      </c>
      <c r="BE418" s="1"/>
      <c r="BH418">
        <f>COUNTIF(Dropdowns!$I:$AF,C418)</f>
        <v>1</v>
      </c>
    </row>
    <row r="419" spans="1:60" x14ac:dyDescent="0.3">
      <c r="A419" s="1">
        <v>9029</v>
      </c>
      <c r="B419" s="1" t="s">
        <v>5918</v>
      </c>
      <c r="C419" s="207" t="s">
        <v>168</v>
      </c>
      <c r="D419" s="1" t="s">
        <v>168</v>
      </c>
      <c r="E419" s="1"/>
      <c r="F419" s="1"/>
      <c r="G419" s="1" t="s">
        <v>5919</v>
      </c>
      <c r="H419" s="1" t="s">
        <v>5920</v>
      </c>
      <c r="I419" s="1" t="s">
        <v>5921</v>
      </c>
      <c r="J419" s="1">
        <v>4</v>
      </c>
      <c r="K419" s="1">
        <v>5</v>
      </c>
      <c r="L419" s="1">
        <v>13920</v>
      </c>
      <c r="M419" s="1">
        <v>20</v>
      </c>
      <c r="N419" s="1">
        <v>20</v>
      </c>
      <c r="O419" s="1">
        <v>10</v>
      </c>
      <c r="P419" s="1">
        <v>10</v>
      </c>
      <c r="Q419" s="1">
        <v>2</v>
      </c>
      <c r="R419" s="1">
        <v>5</v>
      </c>
      <c r="S419" s="1">
        <v>5</v>
      </c>
      <c r="T419" s="1">
        <v>0</v>
      </c>
      <c r="U419" s="1">
        <v>454</v>
      </c>
      <c r="V419" s="1">
        <v>115</v>
      </c>
      <c r="W419" s="1">
        <v>120</v>
      </c>
      <c r="X419" s="1">
        <v>100</v>
      </c>
      <c r="Y419" s="1">
        <v>130</v>
      </c>
      <c r="Z419" s="1">
        <v>108</v>
      </c>
      <c r="AA419" s="1">
        <v>0</v>
      </c>
      <c r="AB419" s="1">
        <v>15</v>
      </c>
      <c r="AC419" s="1">
        <v>20</v>
      </c>
      <c r="AD419" s="1">
        <v>0</v>
      </c>
      <c r="AE419" s="1">
        <v>111</v>
      </c>
      <c r="AF419" s="1">
        <v>100</v>
      </c>
      <c r="AG419" s="1">
        <v>700201</v>
      </c>
      <c r="AH419" s="1">
        <v>0</v>
      </c>
      <c r="AI419" s="1">
        <v>700001</v>
      </c>
      <c r="AJ419" s="1" t="s">
        <v>5851</v>
      </c>
      <c r="AK419" s="1" t="s">
        <v>328</v>
      </c>
      <c r="AL419" s="1">
        <v>13</v>
      </c>
      <c r="AM419" s="1" t="s">
        <v>4719</v>
      </c>
      <c r="AN419" s="1" t="s">
        <v>4834</v>
      </c>
      <c r="AO419" s="1" t="s">
        <v>5002</v>
      </c>
      <c r="AP419" s="1">
        <v>0</v>
      </c>
      <c r="AQ419" s="1" t="s">
        <v>1130</v>
      </c>
      <c r="AR419" s="1" t="s">
        <v>1154</v>
      </c>
      <c r="AS419" s="1" t="s">
        <v>1129</v>
      </c>
      <c r="AT419" s="1" t="s">
        <v>328</v>
      </c>
      <c r="AU419" s="1">
        <v>194</v>
      </c>
      <c r="AV419" s="1">
        <v>0</v>
      </c>
      <c r="AW419" s="1" t="s">
        <v>5790</v>
      </c>
      <c r="AX419" s="1" t="s">
        <v>331</v>
      </c>
      <c r="AY419" s="1">
        <v>5</v>
      </c>
      <c r="AZ419" s="1">
        <v>0</v>
      </c>
      <c r="BA419" s="1" t="s">
        <v>328</v>
      </c>
      <c r="BB419" s="1" t="s">
        <v>328</v>
      </c>
      <c r="BC419" s="1" t="s">
        <v>328</v>
      </c>
      <c r="BD419" s="1">
        <v>0</v>
      </c>
      <c r="BE419" s="1"/>
      <c r="BH419">
        <f>COUNTIF(Dropdowns!$I:$AF,C419)</f>
        <v>1</v>
      </c>
    </row>
    <row r="420" spans="1:60" x14ac:dyDescent="0.3">
      <c r="A420" s="1">
        <v>9030</v>
      </c>
      <c r="B420" s="1" t="s">
        <v>5922</v>
      </c>
      <c r="C420" s="207" t="s">
        <v>121</v>
      </c>
      <c r="D420" s="1" t="s">
        <v>121</v>
      </c>
      <c r="E420" s="1"/>
      <c r="F420" s="1"/>
      <c r="G420" s="1" t="s">
        <v>5923</v>
      </c>
      <c r="H420" s="1" t="s">
        <v>5924</v>
      </c>
      <c r="I420" s="1" t="s">
        <v>5925</v>
      </c>
      <c r="J420" s="1">
        <v>1</v>
      </c>
      <c r="K420" s="1">
        <v>5</v>
      </c>
      <c r="L420" s="1">
        <v>3900</v>
      </c>
      <c r="M420" s="1">
        <v>10</v>
      </c>
      <c r="N420" s="1">
        <v>10</v>
      </c>
      <c r="O420" s="1">
        <v>5</v>
      </c>
      <c r="P420" s="1">
        <v>5</v>
      </c>
      <c r="Q420" s="1">
        <v>2</v>
      </c>
      <c r="R420" s="1">
        <v>2</v>
      </c>
      <c r="S420" s="1">
        <v>2</v>
      </c>
      <c r="T420" s="1">
        <v>0</v>
      </c>
      <c r="U420" s="1">
        <v>757</v>
      </c>
      <c r="V420" s="1">
        <v>110</v>
      </c>
      <c r="W420" s="1">
        <v>135</v>
      </c>
      <c r="X420" s="1">
        <v>100</v>
      </c>
      <c r="Y420" s="1">
        <v>115</v>
      </c>
      <c r="Z420" s="1">
        <v>95</v>
      </c>
      <c r="AA420" s="1">
        <v>0</v>
      </c>
      <c r="AB420" s="1">
        <v>15</v>
      </c>
      <c r="AC420" s="1">
        <v>20</v>
      </c>
      <c r="AD420" s="1">
        <v>0</v>
      </c>
      <c r="AE420" s="1">
        <v>115</v>
      </c>
      <c r="AF420" s="1">
        <v>100</v>
      </c>
      <c r="AG420" s="1">
        <v>700202</v>
      </c>
      <c r="AH420" s="1">
        <v>0</v>
      </c>
      <c r="AI420" s="1">
        <v>700001</v>
      </c>
      <c r="AJ420" s="1" t="s">
        <v>5858</v>
      </c>
      <c r="AK420" s="1" t="s">
        <v>328</v>
      </c>
      <c r="AL420" s="1">
        <v>13</v>
      </c>
      <c r="AM420" s="1" t="s">
        <v>1806</v>
      </c>
      <c r="AN420" s="1" t="s">
        <v>4784</v>
      </c>
      <c r="AO420" s="1" t="s">
        <v>4817</v>
      </c>
      <c r="AP420" s="1">
        <v>0</v>
      </c>
      <c r="AQ420" s="1" t="s">
        <v>5852</v>
      </c>
      <c r="AR420" s="1" t="s">
        <v>1119</v>
      </c>
      <c r="AS420" s="1" t="s">
        <v>1129</v>
      </c>
      <c r="AT420" s="1" t="s">
        <v>328</v>
      </c>
      <c r="AU420" s="1">
        <v>97</v>
      </c>
      <c r="AV420" s="1">
        <v>0</v>
      </c>
      <c r="AW420" s="1" t="s">
        <v>5790</v>
      </c>
      <c r="AX420" s="1" t="s">
        <v>4762</v>
      </c>
      <c r="AY420" s="1">
        <v>5</v>
      </c>
      <c r="AZ420" s="1">
        <v>0</v>
      </c>
      <c r="BA420" s="1" t="s">
        <v>328</v>
      </c>
      <c r="BB420" s="1" t="s">
        <v>328</v>
      </c>
      <c r="BC420" s="1" t="s">
        <v>328</v>
      </c>
      <c r="BD420" s="1">
        <v>0</v>
      </c>
      <c r="BE420" s="1"/>
      <c r="BH420">
        <f>COUNTIF(Dropdowns!$I:$AF,C420)</f>
        <v>0</v>
      </c>
    </row>
    <row r="421" spans="1:60" x14ac:dyDescent="0.3">
      <c r="A421" s="1">
        <v>9031</v>
      </c>
      <c r="B421" s="1" t="s">
        <v>5926</v>
      </c>
      <c r="C421" s="207" t="s">
        <v>1631</v>
      </c>
      <c r="D421" s="1" t="s">
        <v>1631</v>
      </c>
      <c r="E421" s="1"/>
      <c r="F421" s="1"/>
      <c r="G421" s="1" t="s">
        <v>5927</v>
      </c>
      <c r="H421" s="1" t="s">
        <v>5928</v>
      </c>
      <c r="I421" s="1" t="s">
        <v>5929</v>
      </c>
      <c r="J421" s="1">
        <v>5</v>
      </c>
      <c r="K421" s="1">
        <v>4</v>
      </c>
      <c r="L421" s="1">
        <v>22800</v>
      </c>
      <c r="M421" s="1">
        <v>40</v>
      </c>
      <c r="N421" s="1">
        <v>30</v>
      </c>
      <c r="O421" s="1">
        <v>25</v>
      </c>
      <c r="P421" s="1">
        <v>15</v>
      </c>
      <c r="Q421" s="1">
        <v>5</v>
      </c>
      <c r="R421" s="1">
        <v>5</v>
      </c>
      <c r="S421" s="1">
        <v>2</v>
      </c>
      <c r="T421" s="1">
        <v>5</v>
      </c>
      <c r="U421" s="1">
        <v>303</v>
      </c>
      <c r="V421" s="1">
        <v>115</v>
      </c>
      <c r="W421" s="1">
        <v>115</v>
      </c>
      <c r="X421" s="1">
        <v>100</v>
      </c>
      <c r="Y421" s="1">
        <v>125</v>
      </c>
      <c r="Z421" s="1">
        <v>120</v>
      </c>
      <c r="AA421" s="1">
        <v>0</v>
      </c>
      <c r="AB421" s="1">
        <v>15</v>
      </c>
      <c r="AC421" s="1">
        <v>5</v>
      </c>
      <c r="AD421" s="1">
        <v>10</v>
      </c>
      <c r="AE421" s="1">
        <v>110</v>
      </c>
      <c r="AF421" s="1">
        <v>100</v>
      </c>
      <c r="AG421" s="1">
        <v>700203</v>
      </c>
      <c r="AH421" s="1">
        <v>0</v>
      </c>
      <c r="AI421" s="1">
        <v>700001</v>
      </c>
      <c r="AJ421" s="1" t="s">
        <v>5863</v>
      </c>
      <c r="AK421" s="1" t="s">
        <v>328</v>
      </c>
      <c r="AL421" s="1">
        <v>18</v>
      </c>
      <c r="AM421" s="1" t="s">
        <v>4858</v>
      </c>
      <c r="AN421" s="1" t="s">
        <v>4931</v>
      </c>
      <c r="AO421" s="1" t="s">
        <v>5054</v>
      </c>
      <c r="AP421" s="1">
        <v>0</v>
      </c>
      <c r="AQ421" s="1" t="s">
        <v>1140</v>
      </c>
      <c r="AR421" s="1" t="s">
        <v>5864</v>
      </c>
      <c r="AS421" s="1" t="s">
        <v>5789</v>
      </c>
      <c r="AT421" s="1" t="s">
        <v>328</v>
      </c>
      <c r="AU421" s="1">
        <v>149</v>
      </c>
      <c r="AV421" s="1">
        <v>0</v>
      </c>
      <c r="AW421" s="1" t="s">
        <v>5790</v>
      </c>
      <c r="AX421" s="1" t="s">
        <v>331</v>
      </c>
      <c r="AY421" s="1">
        <v>4</v>
      </c>
      <c r="AZ421" s="1">
        <v>0</v>
      </c>
      <c r="BA421" s="1" t="s">
        <v>328</v>
      </c>
      <c r="BB421" s="1" t="s">
        <v>328</v>
      </c>
      <c r="BC421" s="1" t="s">
        <v>328</v>
      </c>
      <c r="BD421" s="1">
        <v>0</v>
      </c>
      <c r="BE421" s="1"/>
      <c r="BH421">
        <f>COUNTIF(Dropdowns!$I:$AF,C421)</f>
        <v>1</v>
      </c>
    </row>
    <row r="422" spans="1:60" x14ac:dyDescent="0.3">
      <c r="A422" s="1">
        <v>9032</v>
      </c>
      <c r="B422" s="1" t="s">
        <v>5930</v>
      </c>
      <c r="C422" s="207" t="s">
        <v>156</v>
      </c>
      <c r="D422" s="1" t="s">
        <v>156</v>
      </c>
      <c r="E422" s="1"/>
      <c r="F422" s="1"/>
      <c r="G422" s="1" t="s">
        <v>5931</v>
      </c>
      <c r="H422" s="1" t="s">
        <v>5932</v>
      </c>
      <c r="I422" s="1" t="s">
        <v>5933</v>
      </c>
      <c r="J422" s="1">
        <v>2</v>
      </c>
      <c r="K422" s="1">
        <v>3</v>
      </c>
      <c r="L422" s="1">
        <v>7800</v>
      </c>
      <c r="M422" s="1">
        <v>25</v>
      </c>
      <c r="N422" s="1">
        <v>20</v>
      </c>
      <c r="O422" s="1">
        <v>15</v>
      </c>
      <c r="P422" s="1">
        <v>10</v>
      </c>
      <c r="Q422" s="1">
        <v>5</v>
      </c>
      <c r="R422" s="1">
        <v>5</v>
      </c>
      <c r="S422" s="1">
        <v>2</v>
      </c>
      <c r="T422" s="1">
        <v>0</v>
      </c>
      <c r="U422" s="1">
        <v>284</v>
      </c>
      <c r="V422" s="1">
        <v>110</v>
      </c>
      <c r="W422" s="1">
        <v>120</v>
      </c>
      <c r="X422" s="1">
        <v>100</v>
      </c>
      <c r="Y422" s="1">
        <v>125</v>
      </c>
      <c r="Z422" s="1">
        <v>130</v>
      </c>
      <c r="AA422" s="1">
        <v>0</v>
      </c>
      <c r="AB422" s="1">
        <v>15</v>
      </c>
      <c r="AC422" s="1">
        <v>5</v>
      </c>
      <c r="AD422" s="1">
        <v>0</v>
      </c>
      <c r="AE422" s="1">
        <v>105</v>
      </c>
      <c r="AF422" s="1">
        <v>100</v>
      </c>
      <c r="AG422" s="1">
        <v>700204</v>
      </c>
      <c r="AH422" s="1">
        <v>0</v>
      </c>
      <c r="AI422" s="1">
        <v>700001</v>
      </c>
      <c r="AJ422" s="1" t="s">
        <v>5869</v>
      </c>
      <c r="AK422" s="1" t="s">
        <v>328</v>
      </c>
      <c r="AL422" s="1">
        <v>12</v>
      </c>
      <c r="AM422" s="1" t="s">
        <v>4790</v>
      </c>
      <c r="AN422" s="1" t="s">
        <v>358</v>
      </c>
      <c r="AO422" s="1" t="s">
        <v>5063</v>
      </c>
      <c r="AP422" s="1">
        <v>0</v>
      </c>
      <c r="AQ422" s="1" t="s">
        <v>1129</v>
      </c>
      <c r="AR422" s="1" t="s">
        <v>1119</v>
      </c>
      <c r="AS422" s="1" t="s">
        <v>1130</v>
      </c>
      <c r="AT422" s="1" t="s">
        <v>328</v>
      </c>
      <c r="AU422" s="1">
        <v>176</v>
      </c>
      <c r="AV422" s="1">
        <v>0</v>
      </c>
      <c r="AW422" s="1" t="s">
        <v>5790</v>
      </c>
      <c r="AX422" s="1" t="s">
        <v>1806</v>
      </c>
      <c r="AY422" s="1">
        <v>3</v>
      </c>
      <c r="AZ422" s="1">
        <v>0</v>
      </c>
      <c r="BA422" s="1" t="s">
        <v>328</v>
      </c>
      <c r="BB422" s="1" t="s">
        <v>328</v>
      </c>
      <c r="BC422" s="1" t="s">
        <v>328</v>
      </c>
      <c r="BD422" s="1">
        <v>0</v>
      </c>
      <c r="BE422" s="1"/>
      <c r="BH422">
        <f>COUNTIF(Dropdowns!$I:$AF,C422)</f>
        <v>1</v>
      </c>
    </row>
    <row r="423" spans="1:60" x14ac:dyDescent="0.3">
      <c r="A423" s="1">
        <v>9034</v>
      </c>
      <c r="B423" s="1" t="s">
        <v>5934</v>
      </c>
      <c r="C423" s="207" t="s">
        <v>233</v>
      </c>
      <c r="D423" s="1" t="s">
        <v>233</v>
      </c>
      <c r="E423" s="1"/>
      <c r="F423" s="1"/>
      <c r="G423" s="1" t="s">
        <v>5935</v>
      </c>
      <c r="H423" s="1" t="s">
        <v>5936</v>
      </c>
      <c r="I423" s="1" t="s">
        <v>5937</v>
      </c>
      <c r="J423" s="1">
        <v>4</v>
      </c>
      <c r="K423" s="1">
        <v>5</v>
      </c>
      <c r="L423" s="1">
        <v>15120</v>
      </c>
      <c r="M423" s="1">
        <v>20</v>
      </c>
      <c r="N423" s="1">
        <v>20</v>
      </c>
      <c r="O423" s="1">
        <v>10</v>
      </c>
      <c r="P423" s="1">
        <v>10</v>
      </c>
      <c r="Q423" s="1">
        <v>2</v>
      </c>
      <c r="R423" s="1">
        <v>5</v>
      </c>
      <c r="S423" s="1">
        <v>5</v>
      </c>
      <c r="T423" s="1">
        <v>0</v>
      </c>
      <c r="U423" s="1">
        <v>100</v>
      </c>
      <c r="V423" s="1">
        <v>0</v>
      </c>
      <c r="W423" s="1">
        <v>0</v>
      </c>
      <c r="X423" s="1">
        <v>100</v>
      </c>
      <c r="Y423" s="1">
        <v>0</v>
      </c>
      <c r="Z423" s="1">
        <v>0</v>
      </c>
      <c r="AA423" s="1">
        <v>0</v>
      </c>
      <c r="AB423" s="1">
        <v>15</v>
      </c>
      <c r="AC423" s="1">
        <v>20</v>
      </c>
      <c r="AD423" s="1">
        <v>0</v>
      </c>
      <c r="AE423" s="1">
        <v>139</v>
      </c>
      <c r="AF423" s="1">
        <v>100</v>
      </c>
      <c r="AG423" s="1">
        <v>108501</v>
      </c>
      <c r="AH423" s="1">
        <v>0</v>
      </c>
      <c r="AI423" s="1">
        <v>108502</v>
      </c>
      <c r="AJ423" s="1" t="s">
        <v>5938</v>
      </c>
      <c r="AK423" s="1" t="s">
        <v>328</v>
      </c>
      <c r="AL423" s="1">
        <v>14</v>
      </c>
      <c r="AM423" s="1" t="s">
        <v>4719</v>
      </c>
      <c r="AN423" s="1" t="s">
        <v>5151</v>
      </c>
      <c r="AO423" s="1" t="s">
        <v>5152</v>
      </c>
      <c r="AP423" s="1">
        <v>0</v>
      </c>
      <c r="AQ423" s="1" t="s">
        <v>1130</v>
      </c>
      <c r="AR423" s="1" t="s">
        <v>1154</v>
      </c>
      <c r="AS423" s="1" t="s">
        <v>1129</v>
      </c>
      <c r="AT423" s="1" t="s">
        <v>328</v>
      </c>
      <c r="AU423" s="1">
        <v>206</v>
      </c>
      <c r="AV423" s="1">
        <v>0</v>
      </c>
      <c r="AW423" s="1" t="s">
        <v>5790</v>
      </c>
      <c r="AX423" s="1" t="s">
        <v>331</v>
      </c>
      <c r="AY423" s="1">
        <v>5</v>
      </c>
      <c r="AZ423" s="1">
        <v>0</v>
      </c>
      <c r="BA423" s="1" t="s">
        <v>328</v>
      </c>
      <c r="BB423" s="1" t="s">
        <v>328</v>
      </c>
      <c r="BC423" s="1" t="s">
        <v>328</v>
      </c>
      <c r="BD423" s="1">
        <v>0</v>
      </c>
      <c r="BE423" s="1"/>
      <c r="BH423">
        <f>COUNTIF(Dropdowns!$I:$AF,C423)</f>
        <v>1</v>
      </c>
    </row>
    <row r="424" spans="1:60" x14ac:dyDescent="0.3">
      <c r="A424" s="1">
        <v>9035</v>
      </c>
      <c r="B424" s="1" t="s">
        <v>5939</v>
      </c>
      <c r="C424" s="207" t="s">
        <v>232</v>
      </c>
      <c r="D424" s="1" t="s">
        <v>232</v>
      </c>
      <c r="E424" s="1"/>
      <c r="F424" s="1"/>
      <c r="G424" s="1" t="s">
        <v>5940</v>
      </c>
      <c r="H424" s="1" t="s">
        <v>5941</v>
      </c>
      <c r="I424" s="1" t="s">
        <v>5942</v>
      </c>
      <c r="J424" s="1">
        <v>4</v>
      </c>
      <c r="K424" s="1">
        <v>5</v>
      </c>
      <c r="L424" s="1">
        <v>14940</v>
      </c>
      <c r="M424" s="1">
        <v>20</v>
      </c>
      <c r="N424" s="1">
        <v>20</v>
      </c>
      <c r="O424" s="1">
        <v>10</v>
      </c>
      <c r="P424" s="1">
        <v>10</v>
      </c>
      <c r="Q424" s="1">
        <v>2</v>
      </c>
      <c r="R424" s="1">
        <v>5</v>
      </c>
      <c r="S424" s="1">
        <v>5</v>
      </c>
      <c r="T424" s="1">
        <v>0</v>
      </c>
      <c r="U424" s="1">
        <v>105</v>
      </c>
      <c r="V424" s="1">
        <v>0</v>
      </c>
      <c r="W424" s="1">
        <v>0</v>
      </c>
      <c r="X424" s="1">
        <v>100</v>
      </c>
      <c r="Y424" s="1">
        <v>0</v>
      </c>
      <c r="Z424" s="1">
        <v>0</v>
      </c>
      <c r="AA424" s="1">
        <v>0</v>
      </c>
      <c r="AB424" s="1">
        <v>15</v>
      </c>
      <c r="AC424" s="1">
        <v>20</v>
      </c>
      <c r="AD424" s="1">
        <v>0</v>
      </c>
      <c r="AE424" s="1">
        <v>148</v>
      </c>
      <c r="AF424" s="1">
        <v>100</v>
      </c>
      <c r="AG424" s="1">
        <v>108607</v>
      </c>
      <c r="AH424" s="1">
        <v>0</v>
      </c>
      <c r="AI424" s="1">
        <v>108612</v>
      </c>
      <c r="AJ424" s="1" t="s">
        <v>5943</v>
      </c>
      <c r="AK424" s="1" t="s">
        <v>328</v>
      </c>
      <c r="AL424" s="1">
        <v>12</v>
      </c>
      <c r="AM424" s="1" t="s">
        <v>4719</v>
      </c>
      <c r="AN424" s="1" t="s">
        <v>5147</v>
      </c>
      <c r="AO424" s="1" t="s">
        <v>5148</v>
      </c>
      <c r="AP424" s="1">
        <v>0</v>
      </c>
      <c r="AQ424" s="1" t="s">
        <v>1130</v>
      </c>
      <c r="AR424" s="1" t="s">
        <v>1154</v>
      </c>
      <c r="AS424" s="1" t="s">
        <v>1129</v>
      </c>
      <c r="AT424" s="1" t="s">
        <v>328</v>
      </c>
      <c r="AU424" s="1">
        <v>205</v>
      </c>
      <c r="AV424" s="1">
        <v>0</v>
      </c>
      <c r="AW424" s="1" t="s">
        <v>5790</v>
      </c>
      <c r="AX424" s="1" t="s">
        <v>331</v>
      </c>
      <c r="AY424" s="1">
        <v>5</v>
      </c>
      <c r="AZ424" s="1">
        <v>0</v>
      </c>
      <c r="BA424" s="1" t="s">
        <v>328</v>
      </c>
      <c r="BB424" s="1" t="s">
        <v>328</v>
      </c>
      <c r="BC424" s="1" t="s">
        <v>328</v>
      </c>
      <c r="BD424" s="1">
        <v>0</v>
      </c>
      <c r="BE424" s="1"/>
      <c r="BH424">
        <f>COUNTIF(Dropdowns!$I:$AF,C424)</f>
        <v>1</v>
      </c>
    </row>
    <row r="425" spans="1:60" x14ac:dyDescent="0.3">
      <c r="A425" s="1">
        <v>9036</v>
      </c>
      <c r="B425" s="1" t="s">
        <v>5944</v>
      </c>
      <c r="C425" s="207" t="s">
        <v>5945</v>
      </c>
      <c r="D425" s="1" t="s">
        <v>5945</v>
      </c>
      <c r="E425" s="1"/>
      <c r="F425" s="1"/>
      <c r="G425" s="1" t="s">
        <v>5946</v>
      </c>
      <c r="H425" s="1" t="s">
        <v>5947</v>
      </c>
      <c r="I425" s="1" t="s">
        <v>5948</v>
      </c>
      <c r="J425" s="1">
        <v>4</v>
      </c>
      <c r="K425" s="1">
        <v>4</v>
      </c>
      <c r="L425" s="1">
        <v>12900</v>
      </c>
      <c r="M425" s="1">
        <v>20</v>
      </c>
      <c r="N425" s="1">
        <v>20</v>
      </c>
      <c r="O425" s="1">
        <v>10</v>
      </c>
      <c r="P425" s="1">
        <v>10</v>
      </c>
      <c r="Q425" s="1">
        <v>2</v>
      </c>
      <c r="R425" s="1">
        <v>5</v>
      </c>
      <c r="S425" s="1">
        <v>5</v>
      </c>
      <c r="T425" s="1">
        <v>0</v>
      </c>
      <c r="U425" s="1">
        <v>1000</v>
      </c>
      <c r="V425" s="1">
        <v>525</v>
      </c>
      <c r="W425" s="1">
        <v>120</v>
      </c>
      <c r="X425" s="1">
        <v>100</v>
      </c>
      <c r="Y425" s="1">
        <v>120</v>
      </c>
      <c r="Z425" s="1">
        <v>120</v>
      </c>
      <c r="AA425" s="1">
        <v>0</v>
      </c>
      <c r="AB425" s="1">
        <v>15</v>
      </c>
      <c r="AC425" s="1">
        <v>20</v>
      </c>
      <c r="AD425" s="1">
        <v>0</v>
      </c>
      <c r="AE425" s="1">
        <v>115</v>
      </c>
      <c r="AF425" s="1">
        <v>115</v>
      </c>
      <c r="AG425" s="1">
        <v>501072</v>
      </c>
      <c r="AH425" s="1">
        <v>0</v>
      </c>
      <c r="AI425" s="1">
        <v>501042</v>
      </c>
      <c r="AJ425" s="1" t="s">
        <v>5949</v>
      </c>
      <c r="AK425" s="1" t="s">
        <v>328</v>
      </c>
      <c r="AL425" s="1">
        <v>13</v>
      </c>
      <c r="AM425" s="1" t="s">
        <v>4790</v>
      </c>
      <c r="AN425" s="1" t="s">
        <v>4861</v>
      </c>
      <c r="AO425" s="1" t="s">
        <v>4862</v>
      </c>
      <c r="AP425" s="1">
        <v>0</v>
      </c>
      <c r="AQ425" s="1" t="s">
        <v>1130</v>
      </c>
      <c r="AR425" s="1" t="s">
        <v>1154</v>
      </c>
      <c r="AS425" s="1" t="s">
        <v>5846</v>
      </c>
      <c r="AT425" s="1" t="s">
        <v>328</v>
      </c>
      <c r="AU425" s="1">
        <v>55</v>
      </c>
      <c r="AV425" s="1">
        <v>0</v>
      </c>
      <c r="AW425" s="1" t="s">
        <v>5790</v>
      </c>
      <c r="AX425" s="1" t="s">
        <v>4858</v>
      </c>
      <c r="AY425" s="1">
        <v>4</v>
      </c>
      <c r="AZ425" s="1">
        <v>0</v>
      </c>
      <c r="BA425" s="1" t="s">
        <v>328</v>
      </c>
      <c r="BB425" s="1" t="s">
        <v>328</v>
      </c>
      <c r="BC425" s="1" t="s">
        <v>328</v>
      </c>
      <c r="BD425" s="1">
        <v>0</v>
      </c>
      <c r="BE425" s="1"/>
      <c r="BH425">
        <f>COUNTIF(Dropdowns!$I:$AF,C425)</f>
        <v>0</v>
      </c>
    </row>
    <row r="426" spans="1:60" x14ac:dyDescent="0.3">
      <c r="A426" s="1">
        <v>9037</v>
      </c>
      <c r="B426" s="1" t="s">
        <v>5950</v>
      </c>
      <c r="C426" s="207" t="s">
        <v>5951</v>
      </c>
      <c r="D426" s="1" t="s">
        <v>5951</v>
      </c>
      <c r="E426" s="1"/>
      <c r="F426" s="1"/>
      <c r="G426" s="1" t="s">
        <v>5952</v>
      </c>
      <c r="H426" s="1" t="s">
        <v>5953</v>
      </c>
      <c r="I426" s="1" t="s">
        <v>5954</v>
      </c>
      <c r="J426" s="1">
        <v>4</v>
      </c>
      <c r="K426" s="1">
        <v>4</v>
      </c>
      <c r="L426" s="1">
        <v>12900</v>
      </c>
      <c r="M426" s="1">
        <v>20</v>
      </c>
      <c r="N426" s="1">
        <v>20</v>
      </c>
      <c r="O426" s="1">
        <v>10</v>
      </c>
      <c r="P426" s="1">
        <v>10</v>
      </c>
      <c r="Q426" s="1">
        <v>2</v>
      </c>
      <c r="R426" s="1">
        <v>5</v>
      </c>
      <c r="S426" s="1">
        <v>5</v>
      </c>
      <c r="T426" s="1">
        <v>0</v>
      </c>
      <c r="U426" s="1">
        <v>950</v>
      </c>
      <c r="V426" s="1">
        <v>525</v>
      </c>
      <c r="W426" s="1">
        <v>115</v>
      </c>
      <c r="X426" s="1">
        <v>100</v>
      </c>
      <c r="Y426" s="1">
        <v>120</v>
      </c>
      <c r="Z426" s="1">
        <v>120</v>
      </c>
      <c r="AA426" s="1">
        <v>0</v>
      </c>
      <c r="AB426" s="1">
        <v>15</v>
      </c>
      <c r="AC426" s="1">
        <v>20</v>
      </c>
      <c r="AD426" s="1">
        <v>0</v>
      </c>
      <c r="AE426" s="1">
        <v>120</v>
      </c>
      <c r="AF426" s="1">
        <v>125</v>
      </c>
      <c r="AG426" s="1">
        <v>501041</v>
      </c>
      <c r="AH426" s="1">
        <v>0</v>
      </c>
      <c r="AI426" s="1">
        <v>501043</v>
      </c>
      <c r="AJ426" s="1" t="s">
        <v>5955</v>
      </c>
      <c r="AK426" s="1" t="s">
        <v>328</v>
      </c>
      <c r="AL426" s="1">
        <v>13</v>
      </c>
      <c r="AM426" s="1" t="s">
        <v>4719</v>
      </c>
      <c r="AN426" s="1" t="s">
        <v>4864</v>
      </c>
      <c r="AO426" s="1" t="s">
        <v>4867</v>
      </c>
      <c r="AP426" s="1">
        <v>0</v>
      </c>
      <c r="AQ426" s="1" t="s">
        <v>5956</v>
      </c>
      <c r="AR426" s="1" t="s">
        <v>5956</v>
      </c>
      <c r="AS426" s="1" t="s">
        <v>1154</v>
      </c>
      <c r="AT426" s="1" t="s">
        <v>328</v>
      </c>
      <c r="AU426" s="1">
        <v>57</v>
      </c>
      <c r="AV426" s="1">
        <v>0</v>
      </c>
      <c r="AW426" s="1" t="s">
        <v>5790</v>
      </c>
      <c r="AX426" s="1" t="s">
        <v>4858</v>
      </c>
      <c r="AY426" s="1">
        <v>4</v>
      </c>
      <c r="AZ426" s="1">
        <v>0</v>
      </c>
      <c r="BA426" s="1" t="s">
        <v>328</v>
      </c>
      <c r="BB426" s="1" t="s">
        <v>328</v>
      </c>
      <c r="BC426" s="1" t="s">
        <v>328</v>
      </c>
      <c r="BD426" s="1">
        <v>0</v>
      </c>
      <c r="BE426" s="1"/>
      <c r="BH426">
        <f>COUNTIF(Dropdowns!$I:$AF,C426)</f>
        <v>0</v>
      </c>
    </row>
    <row r="427" spans="1:60" x14ac:dyDescent="0.3">
      <c r="A427" s="1">
        <v>9038</v>
      </c>
      <c r="B427" s="1" t="s">
        <v>5957</v>
      </c>
      <c r="C427" s="207" t="s">
        <v>5958</v>
      </c>
      <c r="D427" s="1" t="s">
        <v>5958</v>
      </c>
      <c r="E427" s="1"/>
      <c r="F427" s="1"/>
      <c r="G427" s="1" t="s">
        <v>5959</v>
      </c>
      <c r="H427" s="1" t="s">
        <v>5960</v>
      </c>
      <c r="I427" s="1" t="s">
        <v>5961</v>
      </c>
      <c r="J427" s="1">
        <v>4</v>
      </c>
      <c r="K427" s="1">
        <v>5</v>
      </c>
      <c r="L427" s="1">
        <v>15120</v>
      </c>
      <c r="M427" s="1">
        <v>20</v>
      </c>
      <c r="N427" s="1">
        <v>20</v>
      </c>
      <c r="O427" s="1">
        <v>10</v>
      </c>
      <c r="P427" s="1">
        <v>10</v>
      </c>
      <c r="Q427" s="1">
        <v>2</v>
      </c>
      <c r="R427" s="1">
        <v>5</v>
      </c>
      <c r="S427" s="1">
        <v>5</v>
      </c>
      <c r="T427" s="1">
        <v>0</v>
      </c>
      <c r="U427" s="1">
        <v>7200</v>
      </c>
      <c r="V427" s="1">
        <v>560</v>
      </c>
      <c r="W427" s="1">
        <v>110</v>
      </c>
      <c r="X427" s="1">
        <v>100</v>
      </c>
      <c r="Y427" s="1">
        <v>130</v>
      </c>
      <c r="Z427" s="1">
        <v>110</v>
      </c>
      <c r="AA427" s="1">
        <v>0</v>
      </c>
      <c r="AB427" s="1">
        <v>15</v>
      </c>
      <c r="AC427" s="1">
        <v>20</v>
      </c>
      <c r="AD427" s="1">
        <v>0</v>
      </c>
      <c r="AE427" s="1">
        <v>139</v>
      </c>
      <c r="AF427" s="1">
        <v>100</v>
      </c>
      <c r="AG427" s="1">
        <v>501071</v>
      </c>
      <c r="AH427" s="1">
        <v>0</v>
      </c>
      <c r="AI427" s="1">
        <v>501043</v>
      </c>
      <c r="AJ427" s="1" t="s">
        <v>5962</v>
      </c>
      <c r="AK427" s="1" t="s">
        <v>328</v>
      </c>
      <c r="AL427" s="1">
        <v>14</v>
      </c>
      <c r="AM427" s="1" t="s">
        <v>4719</v>
      </c>
      <c r="AN427" s="1" t="s">
        <v>5151</v>
      </c>
      <c r="AO427" s="1" t="s">
        <v>5152</v>
      </c>
      <c r="AP427" s="1">
        <v>0</v>
      </c>
      <c r="AQ427" s="1" t="s">
        <v>1130</v>
      </c>
      <c r="AR427" s="1" t="s">
        <v>1154</v>
      </c>
      <c r="AS427" s="1" t="s">
        <v>1129</v>
      </c>
      <c r="AT427" s="1" t="s">
        <v>328</v>
      </c>
      <c r="AU427" s="1">
        <v>206</v>
      </c>
      <c r="AV427" s="1">
        <v>0</v>
      </c>
      <c r="AW427" s="1" t="s">
        <v>5790</v>
      </c>
      <c r="AX427" s="1" t="s">
        <v>331</v>
      </c>
      <c r="AY427" s="1">
        <v>5</v>
      </c>
      <c r="AZ427" s="1">
        <v>0</v>
      </c>
      <c r="BA427" s="1" t="s">
        <v>328</v>
      </c>
      <c r="BB427" s="1" t="s">
        <v>328</v>
      </c>
      <c r="BC427" s="1" t="s">
        <v>328</v>
      </c>
      <c r="BD427" s="1">
        <v>0</v>
      </c>
      <c r="BE427" s="1"/>
      <c r="BH427">
        <f>COUNTIF(Dropdowns!$I:$AF,C427)</f>
        <v>0</v>
      </c>
    </row>
    <row r="428" spans="1:60" x14ac:dyDescent="0.3">
      <c r="A428" s="1">
        <v>9039</v>
      </c>
      <c r="B428" s="1" t="s">
        <v>5963</v>
      </c>
      <c r="C428" s="207" t="s">
        <v>5964</v>
      </c>
      <c r="D428" s="1" t="s">
        <v>5964</v>
      </c>
      <c r="E428" s="1"/>
      <c r="F428" s="1"/>
      <c r="G428" s="1" t="s">
        <v>5965</v>
      </c>
      <c r="H428" s="1" t="s">
        <v>5966</v>
      </c>
      <c r="I428" s="1" t="s">
        <v>5967</v>
      </c>
      <c r="J428" s="1">
        <v>4</v>
      </c>
      <c r="K428" s="1">
        <v>5</v>
      </c>
      <c r="L428" s="1">
        <v>14940</v>
      </c>
      <c r="M428" s="1">
        <v>20</v>
      </c>
      <c r="N428" s="1">
        <v>20</v>
      </c>
      <c r="O428" s="1">
        <v>10</v>
      </c>
      <c r="P428" s="1">
        <v>10</v>
      </c>
      <c r="Q428" s="1">
        <v>2</v>
      </c>
      <c r="R428" s="1">
        <v>5</v>
      </c>
      <c r="S428" s="1">
        <v>5</v>
      </c>
      <c r="T428" s="1">
        <v>0</v>
      </c>
      <c r="U428" s="1">
        <v>1050</v>
      </c>
      <c r="V428" s="1">
        <v>525</v>
      </c>
      <c r="W428" s="1">
        <v>105</v>
      </c>
      <c r="X428" s="1">
        <v>100</v>
      </c>
      <c r="Y428" s="1">
        <v>135</v>
      </c>
      <c r="Z428" s="1">
        <v>95</v>
      </c>
      <c r="AA428" s="1">
        <v>0</v>
      </c>
      <c r="AB428" s="1">
        <v>15</v>
      </c>
      <c r="AC428" s="1">
        <v>20</v>
      </c>
      <c r="AD428" s="1">
        <v>0</v>
      </c>
      <c r="AE428" s="1">
        <v>148</v>
      </c>
      <c r="AF428" s="1">
        <v>100</v>
      </c>
      <c r="AG428" s="1">
        <v>501040</v>
      </c>
      <c r="AH428" s="1">
        <v>0</v>
      </c>
      <c r="AI428" s="1">
        <v>501043</v>
      </c>
      <c r="AJ428" s="1" t="s">
        <v>5968</v>
      </c>
      <c r="AK428" s="1" t="s">
        <v>328</v>
      </c>
      <c r="AL428" s="1">
        <v>12</v>
      </c>
      <c r="AM428" s="1" t="s">
        <v>4719</v>
      </c>
      <c r="AN428" s="1" t="s">
        <v>5147</v>
      </c>
      <c r="AO428" s="1" t="s">
        <v>5148</v>
      </c>
      <c r="AP428" s="1">
        <v>0</v>
      </c>
      <c r="AQ428" s="1" t="s">
        <v>1130</v>
      </c>
      <c r="AR428" s="1" t="s">
        <v>1154</v>
      </c>
      <c r="AS428" s="1" t="s">
        <v>1129</v>
      </c>
      <c r="AT428" s="1" t="s">
        <v>328</v>
      </c>
      <c r="AU428" s="1">
        <v>205</v>
      </c>
      <c r="AV428" s="1">
        <v>0</v>
      </c>
      <c r="AW428" s="1" t="s">
        <v>5790</v>
      </c>
      <c r="AX428" s="1" t="s">
        <v>331</v>
      </c>
      <c r="AY428" s="1">
        <v>5</v>
      </c>
      <c r="AZ428" s="1">
        <v>0</v>
      </c>
      <c r="BA428" s="1" t="s">
        <v>328</v>
      </c>
      <c r="BB428" s="1" t="s">
        <v>328</v>
      </c>
      <c r="BC428" s="1" t="s">
        <v>328</v>
      </c>
      <c r="BD428" s="1">
        <v>0</v>
      </c>
      <c r="BE428" s="1"/>
      <c r="BH428">
        <f>COUNTIF(Dropdowns!$I:$AF,C428)</f>
        <v>0</v>
      </c>
    </row>
    <row r="429" spans="1:60" x14ac:dyDescent="0.3">
      <c r="A429" s="1">
        <v>9040</v>
      </c>
      <c r="B429" s="1" t="s">
        <v>5969</v>
      </c>
      <c r="C429" s="207" t="s">
        <v>22</v>
      </c>
      <c r="D429" s="1" t="s">
        <v>5945</v>
      </c>
      <c r="E429" s="1"/>
      <c r="F429" s="1"/>
      <c r="G429" s="1" t="s">
        <v>5970</v>
      </c>
      <c r="H429" s="1" t="s">
        <v>5971</v>
      </c>
      <c r="I429" s="1" t="s">
        <v>5972</v>
      </c>
      <c r="J429" s="1">
        <v>1</v>
      </c>
      <c r="K429" s="1">
        <v>5</v>
      </c>
      <c r="L429" s="1">
        <v>9300</v>
      </c>
      <c r="M429" s="1">
        <v>25</v>
      </c>
      <c r="N429" s="1">
        <v>20</v>
      </c>
      <c r="O429" s="1">
        <v>15</v>
      </c>
      <c r="P429" s="1">
        <v>10</v>
      </c>
      <c r="Q429" s="1">
        <v>5</v>
      </c>
      <c r="R429" s="1">
        <v>5</v>
      </c>
      <c r="S429" s="1">
        <v>2</v>
      </c>
      <c r="T429" s="1">
        <v>0</v>
      </c>
      <c r="U429" s="1">
        <v>110</v>
      </c>
      <c r="V429" s="1">
        <v>105</v>
      </c>
      <c r="W429" s="1">
        <v>125</v>
      </c>
      <c r="X429" s="1">
        <v>100</v>
      </c>
      <c r="Y429" s="1">
        <v>125</v>
      </c>
      <c r="Z429" s="1">
        <v>120</v>
      </c>
      <c r="AA429" s="1">
        <v>0</v>
      </c>
      <c r="AB429" s="1">
        <v>10</v>
      </c>
      <c r="AC429" s="1">
        <v>5</v>
      </c>
      <c r="AD429" s="1">
        <v>0</v>
      </c>
      <c r="AE429" s="1">
        <v>105</v>
      </c>
      <c r="AF429" s="1">
        <v>100</v>
      </c>
      <c r="AG429" s="1">
        <v>701001</v>
      </c>
      <c r="AH429" s="1">
        <v>0</v>
      </c>
      <c r="AI429" s="1">
        <v>700001</v>
      </c>
      <c r="AJ429" s="1" t="s">
        <v>5973</v>
      </c>
      <c r="AK429" s="1" t="s">
        <v>328</v>
      </c>
      <c r="AL429" s="1">
        <v>13</v>
      </c>
      <c r="AM429" s="1" t="s">
        <v>4790</v>
      </c>
      <c r="AN429" s="1" t="s">
        <v>4947</v>
      </c>
      <c r="AO429" s="1" t="s">
        <v>5046</v>
      </c>
      <c r="AP429" s="1">
        <v>0</v>
      </c>
      <c r="AQ429" s="1" t="s">
        <v>1129</v>
      </c>
      <c r="AR429" s="1" t="s">
        <v>1119</v>
      </c>
      <c r="AS429" s="1" t="s">
        <v>1130</v>
      </c>
      <c r="AT429" s="1" t="s">
        <v>328</v>
      </c>
      <c r="AU429" s="1">
        <v>143</v>
      </c>
      <c r="AV429" s="1">
        <v>0</v>
      </c>
      <c r="AW429" s="1" t="s">
        <v>5790</v>
      </c>
      <c r="AX429" s="1" t="s">
        <v>4858</v>
      </c>
      <c r="AY429" s="1">
        <v>4</v>
      </c>
      <c r="AZ429" s="1">
        <v>0</v>
      </c>
      <c r="BA429" s="1" t="s">
        <v>328</v>
      </c>
      <c r="BB429" s="1" t="s">
        <v>328</v>
      </c>
      <c r="BC429" s="1" t="s">
        <v>328</v>
      </c>
      <c r="BD429" s="1">
        <v>0</v>
      </c>
      <c r="BE429" s="1"/>
      <c r="BH429">
        <f>COUNTIF(Dropdowns!$I:$AF,C429)</f>
        <v>1</v>
      </c>
    </row>
    <row r="430" spans="1:60" x14ac:dyDescent="0.3">
      <c r="A430" s="1">
        <v>9041</v>
      </c>
      <c r="B430" s="1" t="s">
        <v>5974</v>
      </c>
      <c r="C430" s="207" t="s">
        <v>22</v>
      </c>
      <c r="D430" s="1" t="s">
        <v>5945</v>
      </c>
      <c r="E430" s="1"/>
      <c r="F430" s="1"/>
      <c r="G430" s="1" t="s">
        <v>5975</v>
      </c>
      <c r="H430" s="1" t="s">
        <v>5976</v>
      </c>
      <c r="I430" s="1" t="s">
        <v>5977</v>
      </c>
      <c r="J430" s="1">
        <v>1</v>
      </c>
      <c r="K430" s="1">
        <v>5</v>
      </c>
      <c r="L430" s="1">
        <v>9300</v>
      </c>
      <c r="M430" s="1">
        <v>25</v>
      </c>
      <c r="N430" s="1">
        <v>20</v>
      </c>
      <c r="O430" s="1">
        <v>15</v>
      </c>
      <c r="P430" s="1">
        <v>10</v>
      </c>
      <c r="Q430" s="1">
        <v>5</v>
      </c>
      <c r="R430" s="1">
        <v>5</v>
      </c>
      <c r="S430" s="1">
        <v>2</v>
      </c>
      <c r="T430" s="1">
        <v>0</v>
      </c>
      <c r="U430" s="1">
        <v>110</v>
      </c>
      <c r="V430" s="1">
        <v>105</v>
      </c>
      <c r="W430" s="1">
        <v>125</v>
      </c>
      <c r="X430" s="1">
        <v>100</v>
      </c>
      <c r="Y430" s="1">
        <v>125</v>
      </c>
      <c r="Z430" s="1">
        <v>120</v>
      </c>
      <c r="AA430" s="1">
        <v>0</v>
      </c>
      <c r="AB430" s="1">
        <v>10</v>
      </c>
      <c r="AC430" s="1">
        <v>5</v>
      </c>
      <c r="AD430" s="1">
        <v>0</v>
      </c>
      <c r="AE430" s="1">
        <v>105</v>
      </c>
      <c r="AF430" s="1">
        <v>100</v>
      </c>
      <c r="AG430" s="1">
        <v>701004</v>
      </c>
      <c r="AH430" s="1">
        <v>0</v>
      </c>
      <c r="AI430" s="1">
        <v>700001</v>
      </c>
      <c r="AJ430" s="1" t="s">
        <v>5978</v>
      </c>
      <c r="AK430" s="1" t="s">
        <v>328</v>
      </c>
      <c r="AL430" s="1">
        <v>13</v>
      </c>
      <c r="AM430" s="1" t="s">
        <v>4790</v>
      </c>
      <c r="AN430" s="1" t="s">
        <v>4947</v>
      </c>
      <c r="AO430" s="1" t="s">
        <v>5046</v>
      </c>
      <c r="AP430" s="1">
        <v>0</v>
      </c>
      <c r="AQ430" s="1" t="s">
        <v>1129</v>
      </c>
      <c r="AR430" s="1" t="s">
        <v>1119</v>
      </c>
      <c r="AS430" s="1" t="s">
        <v>1130</v>
      </c>
      <c r="AT430" s="1" t="s">
        <v>328</v>
      </c>
      <c r="AU430" s="1">
        <v>143</v>
      </c>
      <c r="AV430" s="1">
        <v>0</v>
      </c>
      <c r="AW430" s="1" t="s">
        <v>5790</v>
      </c>
      <c r="AX430" s="1" t="s">
        <v>331</v>
      </c>
      <c r="AY430" s="1">
        <v>5</v>
      </c>
      <c r="AZ430" s="1">
        <v>0</v>
      </c>
      <c r="BA430" s="1" t="s">
        <v>328</v>
      </c>
      <c r="BB430" s="1" t="s">
        <v>328</v>
      </c>
      <c r="BC430" s="1" t="s">
        <v>328</v>
      </c>
      <c r="BD430" s="1">
        <v>0</v>
      </c>
      <c r="BE430" s="1"/>
      <c r="BH430">
        <f>COUNTIF(Dropdowns!$I:$AF,C430)</f>
        <v>1</v>
      </c>
    </row>
    <row r="431" spans="1:60" x14ac:dyDescent="0.3">
      <c r="A431" s="1">
        <v>9042</v>
      </c>
      <c r="B431" s="1" t="s">
        <v>5979</v>
      </c>
      <c r="C431" s="207" t="s">
        <v>22</v>
      </c>
      <c r="D431" s="1" t="s">
        <v>5945</v>
      </c>
      <c r="E431" s="1"/>
      <c r="F431" s="1"/>
      <c r="G431" s="1" t="s">
        <v>5980</v>
      </c>
      <c r="H431" s="1" t="s">
        <v>5981</v>
      </c>
      <c r="I431" s="1" t="s">
        <v>5982</v>
      </c>
      <c r="J431" s="1">
        <v>1</v>
      </c>
      <c r="K431" s="1">
        <v>5</v>
      </c>
      <c r="L431" s="1">
        <v>9300</v>
      </c>
      <c r="M431" s="1">
        <v>25</v>
      </c>
      <c r="N431" s="1">
        <v>20</v>
      </c>
      <c r="O431" s="1">
        <v>15</v>
      </c>
      <c r="P431" s="1">
        <v>10</v>
      </c>
      <c r="Q431" s="1">
        <v>5</v>
      </c>
      <c r="R431" s="1">
        <v>5</v>
      </c>
      <c r="S431" s="1">
        <v>2</v>
      </c>
      <c r="T431" s="1">
        <v>0</v>
      </c>
      <c r="U431" s="1">
        <v>110</v>
      </c>
      <c r="V431" s="1">
        <v>105</v>
      </c>
      <c r="W431" s="1">
        <v>125</v>
      </c>
      <c r="X431" s="1">
        <v>100</v>
      </c>
      <c r="Y431" s="1">
        <v>125</v>
      </c>
      <c r="Z431" s="1">
        <v>120</v>
      </c>
      <c r="AA431" s="1">
        <v>0</v>
      </c>
      <c r="AB431" s="1">
        <v>10</v>
      </c>
      <c r="AC431" s="1">
        <v>5</v>
      </c>
      <c r="AD431" s="1">
        <v>0</v>
      </c>
      <c r="AE431" s="1">
        <v>105</v>
      </c>
      <c r="AF431" s="1">
        <v>100</v>
      </c>
      <c r="AG431" s="1">
        <v>701002</v>
      </c>
      <c r="AH431" s="1">
        <v>0</v>
      </c>
      <c r="AI431" s="1">
        <v>700001</v>
      </c>
      <c r="AJ431" s="1" t="s">
        <v>5978</v>
      </c>
      <c r="AK431" s="1" t="s">
        <v>328</v>
      </c>
      <c r="AL431" s="1">
        <v>13</v>
      </c>
      <c r="AM431" s="1" t="s">
        <v>4790</v>
      </c>
      <c r="AN431" s="1" t="s">
        <v>4947</v>
      </c>
      <c r="AO431" s="1" t="s">
        <v>5046</v>
      </c>
      <c r="AP431" s="1">
        <v>0</v>
      </c>
      <c r="AQ431" s="1" t="s">
        <v>1129</v>
      </c>
      <c r="AR431" s="1" t="s">
        <v>1119</v>
      </c>
      <c r="AS431" s="1" t="s">
        <v>1130</v>
      </c>
      <c r="AT431" s="1" t="s">
        <v>328</v>
      </c>
      <c r="AU431" s="1">
        <v>143</v>
      </c>
      <c r="AV431" s="1">
        <v>0</v>
      </c>
      <c r="AW431" s="1" t="s">
        <v>5790</v>
      </c>
      <c r="AX431" s="1" t="s">
        <v>4858</v>
      </c>
      <c r="AY431" s="1">
        <v>4</v>
      </c>
      <c r="AZ431" s="1">
        <v>0</v>
      </c>
      <c r="BA431" s="1" t="s">
        <v>328</v>
      </c>
      <c r="BB431" s="1" t="s">
        <v>328</v>
      </c>
      <c r="BC431" s="1" t="s">
        <v>328</v>
      </c>
      <c r="BD431" s="1">
        <v>0</v>
      </c>
      <c r="BE431" s="1"/>
      <c r="BH431">
        <f>COUNTIF(Dropdowns!$I:$AF,C431)</f>
        <v>1</v>
      </c>
    </row>
    <row r="432" spans="1:60" x14ac:dyDescent="0.3">
      <c r="A432" s="1">
        <v>9043</v>
      </c>
      <c r="B432" s="1" t="s">
        <v>5983</v>
      </c>
      <c r="C432" s="207" t="s">
        <v>22</v>
      </c>
      <c r="D432" s="1" t="s">
        <v>5945</v>
      </c>
      <c r="E432" s="1"/>
      <c r="F432" s="1"/>
      <c r="G432" s="1" t="s">
        <v>5984</v>
      </c>
      <c r="H432" s="1" t="s">
        <v>5985</v>
      </c>
      <c r="I432" s="1" t="s">
        <v>5986</v>
      </c>
      <c r="J432" s="1">
        <v>1</v>
      </c>
      <c r="K432" s="1">
        <v>5</v>
      </c>
      <c r="L432" s="1">
        <v>9300</v>
      </c>
      <c r="M432" s="1">
        <v>25</v>
      </c>
      <c r="N432" s="1">
        <v>20</v>
      </c>
      <c r="O432" s="1">
        <v>15</v>
      </c>
      <c r="P432" s="1">
        <v>10</v>
      </c>
      <c r="Q432" s="1">
        <v>5</v>
      </c>
      <c r="R432" s="1">
        <v>5</v>
      </c>
      <c r="S432" s="1">
        <v>2</v>
      </c>
      <c r="T432" s="1">
        <v>0</v>
      </c>
      <c r="U432" s="1">
        <v>110</v>
      </c>
      <c r="V432" s="1">
        <v>105</v>
      </c>
      <c r="W432" s="1">
        <v>125</v>
      </c>
      <c r="X432" s="1">
        <v>100</v>
      </c>
      <c r="Y432" s="1">
        <v>125</v>
      </c>
      <c r="Z432" s="1">
        <v>120</v>
      </c>
      <c r="AA432" s="1">
        <v>0</v>
      </c>
      <c r="AB432" s="1">
        <v>10</v>
      </c>
      <c r="AC432" s="1">
        <v>5</v>
      </c>
      <c r="AD432" s="1">
        <v>0</v>
      </c>
      <c r="AE432" s="1">
        <v>105</v>
      </c>
      <c r="AF432" s="1">
        <v>100</v>
      </c>
      <c r="AG432" s="1">
        <v>701003</v>
      </c>
      <c r="AH432" s="1">
        <v>0</v>
      </c>
      <c r="AI432" s="1">
        <v>700001</v>
      </c>
      <c r="AJ432" s="1" t="s">
        <v>5978</v>
      </c>
      <c r="AK432" s="1" t="s">
        <v>328</v>
      </c>
      <c r="AL432" s="1">
        <v>13</v>
      </c>
      <c r="AM432" s="1" t="s">
        <v>4790</v>
      </c>
      <c r="AN432" s="1" t="s">
        <v>4947</v>
      </c>
      <c r="AO432" s="1" t="s">
        <v>5046</v>
      </c>
      <c r="AP432" s="1">
        <v>0</v>
      </c>
      <c r="AQ432" s="1" t="s">
        <v>1129</v>
      </c>
      <c r="AR432" s="1" t="s">
        <v>1119</v>
      </c>
      <c r="AS432" s="1" t="s">
        <v>1130</v>
      </c>
      <c r="AT432" s="1" t="s">
        <v>328</v>
      </c>
      <c r="AU432" s="1">
        <v>143</v>
      </c>
      <c r="AV432" s="1">
        <v>0</v>
      </c>
      <c r="AW432" s="1" t="s">
        <v>5790</v>
      </c>
      <c r="AX432" s="1" t="s">
        <v>331</v>
      </c>
      <c r="AY432" s="1">
        <v>5</v>
      </c>
      <c r="AZ432" s="1">
        <v>0</v>
      </c>
      <c r="BA432" s="1" t="s">
        <v>328</v>
      </c>
      <c r="BB432" s="1" t="s">
        <v>328</v>
      </c>
      <c r="BC432" s="1" t="s">
        <v>328</v>
      </c>
      <c r="BD432" s="1">
        <v>0</v>
      </c>
      <c r="BE432" s="1"/>
      <c r="BH432">
        <f>COUNTIF(Dropdowns!$I:$AF,C432)</f>
        <v>1</v>
      </c>
    </row>
    <row r="433" spans="1:60" x14ac:dyDescent="0.3">
      <c r="A433" s="1">
        <v>9044</v>
      </c>
      <c r="B433" s="1" t="s">
        <v>5987</v>
      </c>
      <c r="C433" s="207" t="s">
        <v>98</v>
      </c>
      <c r="D433" s="1" t="s">
        <v>5988</v>
      </c>
      <c r="E433" s="1"/>
      <c r="F433" s="1"/>
      <c r="G433" s="1" t="s">
        <v>5989</v>
      </c>
      <c r="H433" s="1" t="s">
        <v>5990</v>
      </c>
      <c r="I433" s="1" t="s">
        <v>5991</v>
      </c>
      <c r="J433" s="1">
        <v>4</v>
      </c>
      <c r="K433" s="1">
        <v>4</v>
      </c>
      <c r="L433" s="1">
        <v>12900</v>
      </c>
      <c r="M433" s="1">
        <v>20</v>
      </c>
      <c r="N433" s="1">
        <v>20</v>
      </c>
      <c r="O433" s="1">
        <v>10</v>
      </c>
      <c r="P433" s="1">
        <v>10</v>
      </c>
      <c r="Q433" s="1">
        <v>2</v>
      </c>
      <c r="R433" s="1">
        <v>5</v>
      </c>
      <c r="S433" s="1">
        <v>5</v>
      </c>
      <c r="T433" s="1">
        <v>0</v>
      </c>
      <c r="U433" s="1">
        <v>1100</v>
      </c>
      <c r="V433" s="1">
        <v>440</v>
      </c>
      <c r="W433" s="1">
        <v>115</v>
      </c>
      <c r="X433" s="1">
        <v>100</v>
      </c>
      <c r="Y433" s="1">
        <v>120</v>
      </c>
      <c r="Z433" s="1">
        <v>115</v>
      </c>
      <c r="AA433" s="1">
        <v>0</v>
      </c>
      <c r="AB433" s="1">
        <v>15</v>
      </c>
      <c r="AC433" s="1">
        <v>50</v>
      </c>
      <c r="AD433" s="1">
        <v>0</v>
      </c>
      <c r="AE433" s="1">
        <v>110</v>
      </c>
      <c r="AF433" s="1">
        <v>100</v>
      </c>
      <c r="AG433" s="1">
        <v>403414</v>
      </c>
      <c r="AH433" s="1">
        <v>0</v>
      </c>
      <c r="AI433" s="1">
        <v>403402</v>
      </c>
      <c r="AJ433" s="1" t="s">
        <v>5992</v>
      </c>
      <c r="AK433" s="1" t="s">
        <v>328</v>
      </c>
      <c r="AL433" s="1">
        <v>13</v>
      </c>
      <c r="AM433" s="1" t="s">
        <v>4719</v>
      </c>
      <c r="AN433" s="1" t="s">
        <v>4747</v>
      </c>
      <c r="AO433" s="1" t="s">
        <v>4799</v>
      </c>
      <c r="AP433" s="1">
        <v>0</v>
      </c>
      <c r="AQ433" s="1" t="s">
        <v>1154</v>
      </c>
      <c r="AR433" s="1" t="s">
        <v>5993</v>
      </c>
      <c r="AS433" s="1" t="s">
        <v>5993</v>
      </c>
      <c r="AT433" s="1" t="s">
        <v>328</v>
      </c>
      <c r="AU433" s="1">
        <v>54</v>
      </c>
      <c r="AV433" s="1">
        <v>0</v>
      </c>
      <c r="AW433" s="1" t="s">
        <v>5790</v>
      </c>
      <c r="AX433" s="1" t="s">
        <v>1806</v>
      </c>
      <c r="AY433" s="1">
        <v>5</v>
      </c>
      <c r="AZ433" s="1">
        <v>0</v>
      </c>
      <c r="BA433" s="1" t="s">
        <v>328</v>
      </c>
      <c r="BB433" s="1" t="s">
        <v>328</v>
      </c>
      <c r="BC433" s="1" t="s">
        <v>328</v>
      </c>
      <c r="BD433" s="1">
        <v>0</v>
      </c>
      <c r="BE433" s="1"/>
      <c r="BH433">
        <f>COUNTIF(Dropdowns!$I:$AF,C433)</f>
        <v>1</v>
      </c>
    </row>
    <row r="434" spans="1:60" x14ac:dyDescent="0.3">
      <c r="A434" s="1">
        <v>9045</v>
      </c>
      <c r="B434" s="1" t="s">
        <v>5994</v>
      </c>
      <c r="C434" s="207" t="s">
        <v>5995</v>
      </c>
      <c r="D434" s="1" t="s">
        <v>5996</v>
      </c>
      <c r="E434" s="1"/>
      <c r="F434" s="1"/>
      <c r="G434" s="1" t="s">
        <v>5997</v>
      </c>
      <c r="H434" s="1" t="s">
        <v>5998</v>
      </c>
      <c r="I434" s="1" t="s">
        <v>5999</v>
      </c>
      <c r="J434" s="1">
        <v>4</v>
      </c>
      <c r="K434" s="1">
        <v>4</v>
      </c>
      <c r="L434" s="1">
        <v>12900</v>
      </c>
      <c r="M434" s="1">
        <v>20</v>
      </c>
      <c r="N434" s="1">
        <v>20</v>
      </c>
      <c r="O434" s="1">
        <v>10</v>
      </c>
      <c r="P434" s="1">
        <v>10</v>
      </c>
      <c r="Q434" s="1">
        <v>2</v>
      </c>
      <c r="R434" s="1">
        <v>5</v>
      </c>
      <c r="S434" s="1">
        <v>5</v>
      </c>
      <c r="T434" s="1">
        <v>0</v>
      </c>
      <c r="U434" s="1">
        <v>100</v>
      </c>
      <c r="V434" s="1">
        <v>0</v>
      </c>
      <c r="W434" s="1">
        <v>0</v>
      </c>
      <c r="X434" s="1">
        <v>100</v>
      </c>
      <c r="Y434" s="1">
        <v>0</v>
      </c>
      <c r="Z434" s="1">
        <v>0</v>
      </c>
      <c r="AA434" s="1">
        <v>0</v>
      </c>
      <c r="AB434" s="1">
        <v>15</v>
      </c>
      <c r="AC434" s="1">
        <v>50</v>
      </c>
      <c r="AD434" s="1">
        <v>0</v>
      </c>
      <c r="AE434" s="1">
        <v>110</v>
      </c>
      <c r="AF434" s="1">
        <v>100</v>
      </c>
      <c r="AG434" s="1">
        <v>403414</v>
      </c>
      <c r="AH434" s="1">
        <v>0</v>
      </c>
      <c r="AI434" s="1">
        <v>403402</v>
      </c>
      <c r="AJ434" s="1" t="s">
        <v>5992</v>
      </c>
      <c r="AK434" s="1" t="s">
        <v>328</v>
      </c>
      <c r="AL434" s="1">
        <v>13</v>
      </c>
      <c r="AM434" s="1" t="s">
        <v>4719</v>
      </c>
      <c r="AN434" s="1" t="s">
        <v>4747</v>
      </c>
      <c r="AO434" s="1" t="s">
        <v>4799</v>
      </c>
      <c r="AP434" s="1">
        <v>0</v>
      </c>
      <c r="AQ434" s="1" t="s">
        <v>1154</v>
      </c>
      <c r="AR434" s="1" t="s">
        <v>5993</v>
      </c>
      <c r="AS434" s="1" t="s">
        <v>5993</v>
      </c>
      <c r="AT434" s="1" t="s">
        <v>328</v>
      </c>
      <c r="AU434" s="1">
        <v>54</v>
      </c>
      <c r="AV434" s="1">
        <v>0</v>
      </c>
      <c r="AW434" s="1" t="s">
        <v>5790</v>
      </c>
      <c r="AX434" s="1" t="s">
        <v>1806</v>
      </c>
      <c r="AY434" s="1">
        <v>5</v>
      </c>
      <c r="AZ434" s="1">
        <v>0</v>
      </c>
      <c r="BA434" s="1" t="s">
        <v>328</v>
      </c>
      <c r="BB434" s="1" t="s">
        <v>328</v>
      </c>
      <c r="BC434" s="1" t="s">
        <v>328</v>
      </c>
      <c r="BD434" s="1">
        <v>0</v>
      </c>
      <c r="BE434" s="1"/>
      <c r="BH434">
        <f>COUNTIF(Dropdowns!$I:$AF,C434)</f>
        <v>0</v>
      </c>
    </row>
    <row r="435" spans="1:60" x14ac:dyDescent="0.3">
      <c r="A435" s="1">
        <v>9046</v>
      </c>
      <c r="B435" s="1" t="s">
        <v>6000</v>
      </c>
      <c r="C435" s="207" t="s">
        <v>6001</v>
      </c>
      <c r="D435" s="1" t="s">
        <v>6002</v>
      </c>
      <c r="E435" s="1"/>
      <c r="F435" s="1"/>
      <c r="G435" s="1" t="s">
        <v>6003</v>
      </c>
      <c r="H435" s="1" t="s">
        <v>6004</v>
      </c>
      <c r="I435" s="1" t="s">
        <v>6005</v>
      </c>
      <c r="J435" s="1">
        <v>4</v>
      </c>
      <c r="K435" s="1">
        <v>4</v>
      </c>
      <c r="L435" s="1">
        <v>12900</v>
      </c>
      <c r="M435" s="1">
        <v>20</v>
      </c>
      <c r="N435" s="1">
        <v>20</v>
      </c>
      <c r="O435" s="1">
        <v>10</v>
      </c>
      <c r="P435" s="1">
        <v>10</v>
      </c>
      <c r="Q435" s="1">
        <v>2</v>
      </c>
      <c r="R435" s="1">
        <v>5</v>
      </c>
      <c r="S435" s="1">
        <v>5</v>
      </c>
      <c r="T435" s="1">
        <v>0</v>
      </c>
      <c r="U435" s="1">
        <v>100</v>
      </c>
      <c r="V435" s="1">
        <v>0</v>
      </c>
      <c r="W435" s="1">
        <v>0</v>
      </c>
      <c r="X435" s="1">
        <v>100</v>
      </c>
      <c r="Y435" s="1">
        <v>0</v>
      </c>
      <c r="Z435" s="1">
        <v>0</v>
      </c>
      <c r="AA435" s="1">
        <v>0</v>
      </c>
      <c r="AB435" s="1">
        <v>15</v>
      </c>
      <c r="AC435" s="1">
        <v>50</v>
      </c>
      <c r="AD435" s="1">
        <v>0</v>
      </c>
      <c r="AE435" s="1">
        <v>110</v>
      </c>
      <c r="AF435" s="1">
        <v>100</v>
      </c>
      <c r="AG435" s="1">
        <v>403414</v>
      </c>
      <c r="AH435" s="1">
        <v>0</v>
      </c>
      <c r="AI435" s="1">
        <v>403402</v>
      </c>
      <c r="AJ435" s="1" t="s">
        <v>5992</v>
      </c>
      <c r="AK435" s="1" t="s">
        <v>328</v>
      </c>
      <c r="AL435" s="1">
        <v>13</v>
      </c>
      <c r="AM435" s="1" t="s">
        <v>4719</v>
      </c>
      <c r="AN435" s="1" t="s">
        <v>4747</v>
      </c>
      <c r="AO435" s="1" t="s">
        <v>4799</v>
      </c>
      <c r="AP435" s="1">
        <v>0</v>
      </c>
      <c r="AQ435" s="1" t="s">
        <v>1154</v>
      </c>
      <c r="AR435" s="1" t="s">
        <v>5993</v>
      </c>
      <c r="AS435" s="1" t="s">
        <v>5993</v>
      </c>
      <c r="AT435" s="1" t="s">
        <v>328</v>
      </c>
      <c r="AU435" s="1">
        <v>54</v>
      </c>
      <c r="AV435" s="1">
        <v>0</v>
      </c>
      <c r="AW435" s="1" t="s">
        <v>5790</v>
      </c>
      <c r="AX435" s="1" t="s">
        <v>1806</v>
      </c>
      <c r="AY435" s="1">
        <v>5</v>
      </c>
      <c r="AZ435" s="1">
        <v>0</v>
      </c>
      <c r="BA435" s="1" t="s">
        <v>328</v>
      </c>
      <c r="BB435" s="1" t="s">
        <v>328</v>
      </c>
      <c r="BC435" s="1" t="s">
        <v>328</v>
      </c>
      <c r="BD435" s="1">
        <v>0</v>
      </c>
      <c r="BE435" s="1"/>
      <c r="BH435">
        <f>COUNTIF(Dropdowns!$I:$AF,C435)</f>
        <v>0</v>
      </c>
    </row>
    <row r="436" spans="1:60" x14ac:dyDescent="0.3">
      <c r="A436" s="1">
        <v>9047</v>
      </c>
      <c r="B436" s="1" t="s">
        <v>6006</v>
      </c>
      <c r="C436" s="207" t="s">
        <v>6007</v>
      </c>
      <c r="D436" s="1" t="s">
        <v>6008</v>
      </c>
      <c r="E436" s="1"/>
      <c r="F436" s="1"/>
      <c r="G436" s="1" t="s">
        <v>6009</v>
      </c>
      <c r="H436" s="1" t="s">
        <v>6010</v>
      </c>
      <c r="I436" s="1" t="s">
        <v>6011</v>
      </c>
      <c r="J436" s="1">
        <v>4</v>
      </c>
      <c r="K436" s="1">
        <v>4</v>
      </c>
      <c r="L436" s="1">
        <v>12900</v>
      </c>
      <c r="M436" s="1">
        <v>20</v>
      </c>
      <c r="N436" s="1">
        <v>20</v>
      </c>
      <c r="O436" s="1">
        <v>10</v>
      </c>
      <c r="P436" s="1">
        <v>10</v>
      </c>
      <c r="Q436" s="1">
        <v>2</v>
      </c>
      <c r="R436" s="1">
        <v>5</v>
      </c>
      <c r="S436" s="1">
        <v>5</v>
      </c>
      <c r="T436" s="1">
        <v>0</v>
      </c>
      <c r="U436" s="1">
        <v>100</v>
      </c>
      <c r="V436" s="1">
        <v>0</v>
      </c>
      <c r="W436" s="1">
        <v>0</v>
      </c>
      <c r="X436" s="1">
        <v>100</v>
      </c>
      <c r="Y436" s="1">
        <v>0</v>
      </c>
      <c r="Z436" s="1">
        <v>0</v>
      </c>
      <c r="AA436" s="1">
        <v>0</v>
      </c>
      <c r="AB436" s="1">
        <v>15</v>
      </c>
      <c r="AC436" s="1">
        <v>50</v>
      </c>
      <c r="AD436" s="1">
        <v>0</v>
      </c>
      <c r="AE436" s="1">
        <v>110</v>
      </c>
      <c r="AF436" s="1">
        <v>100</v>
      </c>
      <c r="AG436" s="1">
        <v>403414</v>
      </c>
      <c r="AH436" s="1">
        <v>0</v>
      </c>
      <c r="AI436" s="1">
        <v>403402</v>
      </c>
      <c r="AJ436" s="1" t="s">
        <v>5992</v>
      </c>
      <c r="AK436" s="1" t="s">
        <v>328</v>
      </c>
      <c r="AL436" s="1">
        <v>13</v>
      </c>
      <c r="AM436" s="1" t="s">
        <v>4719</v>
      </c>
      <c r="AN436" s="1" t="s">
        <v>4747</v>
      </c>
      <c r="AO436" s="1" t="s">
        <v>4799</v>
      </c>
      <c r="AP436" s="1">
        <v>0</v>
      </c>
      <c r="AQ436" s="1" t="s">
        <v>1154</v>
      </c>
      <c r="AR436" s="1" t="s">
        <v>5993</v>
      </c>
      <c r="AS436" s="1" t="s">
        <v>5993</v>
      </c>
      <c r="AT436" s="1" t="s">
        <v>328</v>
      </c>
      <c r="AU436" s="1">
        <v>54</v>
      </c>
      <c r="AV436" s="1">
        <v>0</v>
      </c>
      <c r="AW436" s="1" t="s">
        <v>5790</v>
      </c>
      <c r="AX436" s="1" t="s">
        <v>1806</v>
      </c>
      <c r="AY436" s="1">
        <v>5</v>
      </c>
      <c r="AZ436" s="1">
        <v>0</v>
      </c>
      <c r="BA436" s="1" t="s">
        <v>328</v>
      </c>
      <c r="BB436" s="1" t="s">
        <v>328</v>
      </c>
      <c r="BC436" s="1" t="s">
        <v>328</v>
      </c>
      <c r="BD436" s="1">
        <v>0</v>
      </c>
      <c r="BE436" s="1"/>
      <c r="BH436">
        <f>COUNTIF(Dropdowns!$I:$AF,C436)</f>
        <v>0</v>
      </c>
    </row>
    <row r="437" spans="1:60" x14ac:dyDescent="0.3">
      <c r="A437" s="1">
        <v>9048</v>
      </c>
      <c r="B437" s="1" t="s">
        <v>6012</v>
      </c>
      <c r="C437" s="207" t="s">
        <v>22</v>
      </c>
      <c r="D437" s="1" t="s">
        <v>6013</v>
      </c>
      <c r="E437" s="1"/>
      <c r="F437" s="1"/>
      <c r="G437" s="1" t="s">
        <v>6014</v>
      </c>
      <c r="H437" s="1" t="s">
        <v>6015</v>
      </c>
      <c r="I437" s="1" t="s">
        <v>6016</v>
      </c>
      <c r="J437" s="1">
        <v>4</v>
      </c>
      <c r="K437" s="1">
        <v>5</v>
      </c>
      <c r="L437" s="1">
        <v>12900</v>
      </c>
      <c r="M437" s="1">
        <v>20</v>
      </c>
      <c r="N437" s="1">
        <v>20</v>
      </c>
      <c r="O437" s="1">
        <v>10</v>
      </c>
      <c r="P437" s="1">
        <v>10</v>
      </c>
      <c r="Q437" s="1">
        <v>2</v>
      </c>
      <c r="R437" s="1">
        <v>5</v>
      </c>
      <c r="S437" s="1">
        <v>5</v>
      </c>
      <c r="T437" s="1">
        <v>0</v>
      </c>
      <c r="U437" s="1">
        <v>1600</v>
      </c>
      <c r="V437" s="1">
        <v>180</v>
      </c>
      <c r="W437" s="1">
        <v>120</v>
      </c>
      <c r="X437" s="1">
        <v>120</v>
      </c>
      <c r="Y437" s="1">
        <v>100</v>
      </c>
      <c r="Z437" s="1">
        <v>100</v>
      </c>
      <c r="AA437" s="1">
        <v>0</v>
      </c>
      <c r="AB437" s="1">
        <v>15</v>
      </c>
      <c r="AC437" s="1">
        <v>50</v>
      </c>
      <c r="AD437" s="1">
        <v>0</v>
      </c>
      <c r="AE437" s="1">
        <v>100</v>
      </c>
      <c r="AF437" s="1">
        <v>100</v>
      </c>
      <c r="AG437" s="1">
        <v>100107</v>
      </c>
      <c r="AH437" s="1">
        <v>0</v>
      </c>
      <c r="AI437" s="1">
        <v>405401</v>
      </c>
      <c r="AJ437" s="1" t="s">
        <v>6017</v>
      </c>
      <c r="AK437" s="1" t="s">
        <v>328</v>
      </c>
      <c r="AL437" s="1">
        <v>13</v>
      </c>
      <c r="AM437" s="1" t="s">
        <v>4790</v>
      </c>
      <c r="AN437" s="1" t="s">
        <v>4861</v>
      </c>
      <c r="AO437" s="1" t="s">
        <v>4862</v>
      </c>
      <c r="AP437" s="1">
        <v>0</v>
      </c>
      <c r="AQ437" s="1" t="s">
        <v>1130</v>
      </c>
      <c r="AR437" s="1" t="s">
        <v>1154</v>
      </c>
      <c r="AS437" s="1" t="s">
        <v>5846</v>
      </c>
      <c r="AT437" s="1" t="s">
        <v>328</v>
      </c>
      <c r="AU437" s="1">
        <v>55</v>
      </c>
      <c r="AV437" s="1">
        <v>0</v>
      </c>
      <c r="AW437" s="1" t="s">
        <v>5790</v>
      </c>
      <c r="AX437" s="1" t="s">
        <v>1806</v>
      </c>
      <c r="AY437" s="1">
        <v>5</v>
      </c>
      <c r="AZ437" s="1">
        <v>0</v>
      </c>
      <c r="BA437" s="1" t="s">
        <v>328</v>
      </c>
      <c r="BB437" s="1" t="s">
        <v>328</v>
      </c>
      <c r="BC437" s="1" t="s">
        <v>328</v>
      </c>
      <c r="BD437" s="1">
        <v>0</v>
      </c>
      <c r="BE437" s="1"/>
      <c r="BH437">
        <f>COUNTIF(Dropdowns!$I:$AF,C437)</f>
        <v>1</v>
      </c>
    </row>
    <row r="438" spans="1:60" x14ac:dyDescent="0.3">
      <c r="A438" s="1">
        <v>9049</v>
      </c>
      <c r="B438" s="1" t="s">
        <v>6018</v>
      </c>
      <c r="C438" s="207" t="s">
        <v>6019</v>
      </c>
      <c r="D438" s="1" t="s">
        <v>6019</v>
      </c>
      <c r="E438" s="1"/>
      <c r="F438" s="1"/>
      <c r="G438" s="1" t="s">
        <v>6020</v>
      </c>
      <c r="H438" s="1" t="s">
        <v>6021</v>
      </c>
      <c r="I438" s="1" t="s">
        <v>6022</v>
      </c>
      <c r="J438" s="1">
        <v>1</v>
      </c>
      <c r="K438" s="1">
        <v>5</v>
      </c>
      <c r="L438" s="1">
        <v>12900</v>
      </c>
      <c r="M438" s="1">
        <v>20</v>
      </c>
      <c r="N438" s="1">
        <v>20</v>
      </c>
      <c r="O438" s="1">
        <v>10</v>
      </c>
      <c r="P438" s="1">
        <v>10</v>
      </c>
      <c r="Q438" s="1">
        <v>2</v>
      </c>
      <c r="R438" s="1">
        <v>5</v>
      </c>
      <c r="S438" s="1">
        <v>5</v>
      </c>
      <c r="T438" s="1">
        <v>0</v>
      </c>
      <c r="U438" s="1">
        <v>13000</v>
      </c>
      <c r="V438" s="1">
        <v>1800</v>
      </c>
      <c r="W438" s="1">
        <v>200</v>
      </c>
      <c r="X438" s="1">
        <v>100</v>
      </c>
      <c r="Y438" s="1">
        <v>360</v>
      </c>
      <c r="Z438" s="1">
        <v>600</v>
      </c>
      <c r="AA438" s="1">
        <v>0</v>
      </c>
      <c r="AB438" s="1">
        <v>15</v>
      </c>
      <c r="AC438" s="1">
        <v>20</v>
      </c>
      <c r="AD438" s="1">
        <v>0</v>
      </c>
      <c r="AE438" s="1">
        <v>100</v>
      </c>
      <c r="AF438" s="1">
        <v>100</v>
      </c>
      <c r="AG438" s="1">
        <v>900515</v>
      </c>
      <c r="AH438" s="1">
        <v>0</v>
      </c>
      <c r="AI438" s="1">
        <v>900510</v>
      </c>
      <c r="AJ438" s="1" t="s">
        <v>6023</v>
      </c>
      <c r="AK438" s="1" t="s">
        <v>328</v>
      </c>
      <c r="AL438" s="1">
        <v>13</v>
      </c>
      <c r="AM438" s="1" t="s">
        <v>4719</v>
      </c>
      <c r="AN438" s="1" t="s">
        <v>4747</v>
      </c>
      <c r="AO438" s="1" t="s">
        <v>4799</v>
      </c>
      <c r="AP438" s="1">
        <v>0</v>
      </c>
      <c r="AQ438" s="1" t="s">
        <v>1154</v>
      </c>
      <c r="AR438" s="1" t="s">
        <v>5993</v>
      </c>
      <c r="AS438" s="1" t="s">
        <v>5993</v>
      </c>
      <c r="AT438" s="1" t="s">
        <v>328</v>
      </c>
      <c r="AU438" s="1">
        <v>54</v>
      </c>
      <c r="AV438" s="1">
        <v>0</v>
      </c>
      <c r="AW438" s="1" t="s">
        <v>5790</v>
      </c>
      <c r="AX438" s="1" t="s">
        <v>1806</v>
      </c>
      <c r="AY438" s="1">
        <v>5</v>
      </c>
      <c r="AZ438" s="1">
        <v>0</v>
      </c>
      <c r="BA438" s="1" t="s">
        <v>328</v>
      </c>
      <c r="BB438" s="1" t="s">
        <v>328</v>
      </c>
      <c r="BC438" s="1" t="s">
        <v>328</v>
      </c>
      <c r="BD438" s="1">
        <v>0</v>
      </c>
      <c r="BE438" s="1"/>
      <c r="BH438">
        <f>COUNTIF(Dropdowns!$I:$AF,C438)</f>
        <v>0</v>
      </c>
    </row>
    <row r="439" spans="1:60" x14ac:dyDescent="0.3">
      <c r="A439" s="1">
        <v>9050</v>
      </c>
      <c r="B439" s="1" t="s">
        <v>6024</v>
      </c>
      <c r="C439" s="207" t="s">
        <v>6025</v>
      </c>
      <c r="D439" s="1" t="s">
        <v>6025</v>
      </c>
      <c r="E439" s="1"/>
      <c r="F439" s="1"/>
      <c r="G439" s="1" t="s">
        <v>6026</v>
      </c>
      <c r="H439" s="1" t="s">
        <v>6027</v>
      </c>
      <c r="I439" s="1" t="s">
        <v>6028</v>
      </c>
      <c r="J439" s="1">
        <v>1</v>
      </c>
      <c r="K439" s="1">
        <v>5</v>
      </c>
      <c r="L439" s="1">
        <v>12900</v>
      </c>
      <c r="M439" s="1">
        <v>20</v>
      </c>
      <c r="N439" s="1">
        <v>20</v>
      </c>
      <c r="O439" s="1">
        <v>10</v>
      </c>
      <c r="P439" s="1">
        <v>10</v>
      </c>
      <c r="Q439" s="1">
        <v>2</v>
      </c>
      <c r="R439" s="1">
        <v>5</v>
      </c>
      <c r="S439" s="1">
        <v>5</v>
      </c>
      <c r="T439" s="1">
        <v>0</v>
      </c>
      <c r="U439" s="1">
        <v>18000</v>
      </c>
      <c r="V439" s="1">
        <v>2400</v>
      </c>
      <c r="W439" s="1">
        <v>160</v>
      </c>
      <c r="X439" s="1">
        <v>100</v>
      </c>
      <c r="Y439" s="1">
        <v>450</v>
      </c>
      <c r="Z439" s="1">
        <v>300</v>
      </c>
      <c r="AA439" s="1">
        <v>0</v>
      </c>
      <c r="AB439" s="1">
        <v>15</v>
      </c>
      <c r="AC439" s="1">
        <v>50</v>
      </c>
      <c r="AD439" s="1">
        <v>0</v>
      </c>
      <c r="AE439" s="1">
        <v>100</v>
      </c>
      <c r="AF439" s="1">
        <v>100</v>
      </c>
      <c r="AG439" s="1">
        <v>600310</v>
      </c>
      <c r="AH439" s="1">
        <v>0</v>
      </c>
      <c r="AI439" s="1">
        <v>600311</v>
      </c>
      <c r="AJ439" s="1" t="s">
        <v>328</v>
      </c>
      <c r="AK439" s="1" t="s">
        <v>328</v>
      </c>
      <c r="AL439" s="1">
        <v>13</v>
      </c>
      <c r="AM439" s="1" t="s">
        <v>4719</v>
      </c>
      <c r="AN439" s="1" t="s">
        <v>4747</v>
      </c>
      <c r="AO439" s="1" t="s">
        <v>4799</v>
      </c>
      <c r="AP439" s="1">
        <v>0</v>
      </c>
      <c r="AQ439" s="1" t="s">
        <v>1154</v>
      </c>
      <c r="AR439" s="1" t="s">
        <v>5993</v>
      </c>
      <c r="AS439" s="1" t="s">
        <v>5993</v>
      </c>
      <c r="AT439" s="1" t="s">
        <v>328</v>
      </c>
      <c r="AU439" s="1">
        <v>54</v>
      </c>
      <c r="AV439" s="1">
        <v>0</v>
      </c>
      <c r="AW439" s="1" t="s">
        <v>5790</v>
      </c>
      <c r="AX439" s="1" t="s">
        <v>1806</v>
      </c>
      <c r="AY439" s="1">
        <v>5</v>
      </c>
      <c r="AZ439" s="1">
        <v>0</v>
      </c>
      <c r="BA439" s="1" t="s">
        <v>328</v>
      </c>
      <c r="BB439" s="1" t="s">
        <v>328</v>
      </c>
      <c r="BC439" s="1" t="s">
        <v>328</v>
      </c>
      <c r="BD439" s="1">
        <v>0</v>
      </c>
      <c r="BE439" s="1"/>
      <c r="BH439">
        <f>COUNTIF(Dropdowns!$I:$AF,C439)</f>
        <v>0</v>
      </c>
    </row>
    <row r="440" spans="1:60" x14ac:dyDescent="0.3">
      <c r="A440" s="1">
        <v>9051</v>
      </c>
      <c r="B440" s="1" t="s">
        <v>6029</v>
      </c>
      <c r="C440" s="207" t="s">
        <v>6030</v>
      </c>
      <c r="D440" s="1" t="s">
        <v>6030</v>
      </c>
      <c r="E440" s="1"/>
      <c r="F440" s="1"/>
      <c r="G440" s="1" t="s">
        <v>6031</v>
      </c>
      <c r="H440" s="1" t="s">
        <v>6032</v>
      </c>
      <c r="I440" s="1" t="s">
        <v>6033</v>
      </c>
      <c r="J440" s="1">
        <v>3</v>
      </c>
      <c r="K440" s="1">
        <v>5</v>
      </c>
      <c r="L440" s="1">
        <v>12900</v>
      </c>
      <c r="M440" s="1">
        <v>20</v>
      </c>
      <c r="N440" s="1">
        <v>20</v>
      </c>
      <c r="O440" s="1">
        <v>10</v>
      </c>
      <c r="P440" s="1">
        <v>10</v>
      </c>
      <c r="Q440" s="1">
        <v>2</v>
      </c>
      <c r="R440" s="1">
        <v>5</v>
      </c>
      <c r="S440" s="1">
        <v>5</v>
      </c>
      <c r="T440" s="1">
        <v>0</v>
      </c>
      <c r="U440" s="1">
        <v>10000</v>
      </c>
      <c r="V440" s="1">
        <v>2200</v>
      </c>
      <c r="W440" s="1">
        <v>150</v>
      </c>
      <c r="X440" s="1">
        <v>100</v>
      </c>
      <c r="Y440" s="1">
        <v>600</v>
      </c>
      <c r="Z440" s="1">
        <v>300</v>
      </c>
      <c r="AA440" s="1">
        <v>0</v>
      </c>
      <c r="AB440" s="1">
        <v>15</v>
      </c>
      <c r="AC440" s="1">
        <v>100</v>
      </c>
      <c r="AD440" s="1">
        <v>0</v>
      </c>
      <c r="AE440" s="1">
        <v>100</v>
      </c>
      <c r="AF440" s="1">
        <v>100</v>
      </c>
      <c r="AG440" s="1">
        <v>600408</v>
      </c>
      <c r="AH440" s="1">
        <v>0</v>
      </c>
      <c r="AI440" s="1">
        <v>600406</v>
      </c>
      <c r="AJ440" s="1" t="s">
        <v>328</v>
      </c>
      <c r="AK440" s="1" t="s">
        <v>328</v>
      </c>
      <c r="AL440" s="1">
        <v>13</v>
      </c>
      <c r="AM440" s="1" t="s">
        <v>4719</v>
      </c>
      <c r="AN440" s="1" t="s">
        <v>4747</v>
      </c>
      <c r="AO440" s="1" t="s">
        <v>4799</v>
      </c>
      <c r="AP440" s="1">
        <v>0</v>
      </c>
      <c r="AQ440" s="1" t="s">
        <v>1154</v>
      </c>
      <c r="AR440" s="1" t="s">
        <v>5993</v>
      </c>
      <c r="AS440" s="1" t="s">
        <v>5993</v>
      </c>
      <c r="AT440" s="1" t="s">
        <v>328</v>
      </c>
      <c r="AU440" s="1">
        <v>54</v>
      </c>
      <c r="AV440" s="1">
        <v>0</v>
      </c>
      <c r="AW440" s="1" t="s">
        <v>5790</v>
      </c>
      <c r="AX440" s="1" t="s">
        <v>1806</v>
      </c>
      <c r="AY440" s="1">
        <v>5</v>
      </c>
      <c r="AZ440" s="1">
        <v>0</v>
      </c>
      <c r="BA440" s="1" t="s">
        <v>328</v>
      </c>
      <c r="BB440" s="1" t="s">
        <v>328</v>
      </c>
      <c r="BC440" s="1" t="s">
        <v>328</v>
      </c>
      <c r="BD440" s="1">
        <v>0</v>
      </c>
      <c r="BE440" s="1"/>
      <c r="BH440">
        <f>COUNTIF(Dropdowns!$I:$AF,C440)</f>
        <v>0</v>
      </c>
    </row>
    <row r="441" spans="1:60" x14ac:dyDescent="0.3">
      <c r="A441" s="1">
        <v>9052</v>
      </c>
      <c r="B441" s="1" t="s">
        <v>6034</v>
      </c>
      <c r="C441" s="207" t="s">
        <v>6035</v>
      </c>
      <c r="D441" s="1" t="s">
        <v>6035</v>
      </c>
      <c r="E441" s="1"/>
      <c r="F441" s="1"/>
      <c r="G441" s="1" t="s">
        <v>6036</v>
      </c>
      <c r="H441" s="1" t="s">
        <v>6037</v>
      </c>
      <c r="I441" s="1" t="s">
        <v>6038</v>
      </c>
      <c r="J441" s="1">
        <v>1</v>
      </c>
      <c r="K441" s="1">
        <v>5</v>
      </c>
      <c r="L441" s="1">
        <v>12900</v>
      </c>
      <c r="M441" s="1">
        <v>20</v>
      </c>
      <c r="N441" s="1">
        <v>20</v>
      </c>
      <c r="O441" s="1">
        <v>10</v>
      </c>
      <c r="P441" s="1">
        <v>10</v>
      </c>
      <c r="Q441" s="1">
        <v>2</v>
      </c>
      <c r="R441" s="1">
        <v>5</v>
      </c>
      <c r="S441" s="1">
        <v>5</v>
      </c>
      <c r="T441" s="1">
        <v>0</v>
      </c>
      <c r="U441" s="1">
        <v>11000</v>
      </c>
      <c r="V441" s="1">
        <v>1800</v>
      </c>
      <c r="W441" s="1">
        <v>240</v>
      </c>
      <c r="X441" s="1">
        <v>100</v>
      </c>
      <c r="Y441" s="1">
        <v>450</v>
      </c>
      <c r="Z441" s="1">
        <v>450</v>
      </c>
      <c r="AA441" s="1">
        <v>0</v>
      </c>
      <c r="AB441" s="1">
        <v>15</v>
      </c>
      <c r="AC441" s="1">
        <v>50</v>
      </c>
      <c r="AD441" s="1">
        <v>0</v>
      </c>
      <c r="AE441" s="1">
        <v>100</v>
      </c>
      <c r="AF441" s="1">
        <v>100</v>
      </c>
      <c r="AG441" s="1">
        <v>600207</v>
      </c>
      <c r="AH441" s="1">
        <v>0</v>
      </c>
      <c r="AI441" s="1">
        <v>600204</v>
      </c>
      <c r="AJ441" s="1" t="s">
        <v>328</v>
      </c>
      <c r="AK441" s="1" t="s">
        <v>328</v>
      </c>
      <c r="AL441" s="1">
        <v>13</v>
      </c>
      <c r="AM441" s="1" t="s">
        <v>4719</v>
      </c>
      <c r="AN441" s="1" t="s">
        <v>4747</v>
      </c>
      <c r="AO441" s="1" t="s">
        <v>4799</v>
      </c>
      <c r="AP441" s="1">
        <v>0</v>
      </c>
      <c r="AQ441" s="1" t="s">
        <v>1154</v>
      </c>
      <c r="AR441" s="1" t="s">
        <v>5993</v>
      </c>
      <c r="AS441" s="1" t="s">
        <v>5993</v>
      </c>
      <c r="AT441" s="1" t="s">
        <v>328</v>
      </c>
      <c r="AU441" s="1">
        <v>54</v>
      </c>
      <c r="AV441" s="1">
        <v>0</v>
      </c>
      <c r="AW441" s="1" t="s">
        <v>5790</v>
      </c>
      <c r="AX441" s="1" t="s">
        <v>1806</v>
      </c>
      <c r="AY441" s="1">
        <v>5</v>
      </c>
      <c r="AZ441" s="1">
        <v>0</v>
      </c>
      <c r="BA441" s="1" t="s">
        <v>328</v>
      </c>
      <c r="BB441" s="1" t="s">
        <v>328</v>
      </c>
      <c r="BC441" s="1" t="s">
        <v>328</v>
      </c>
      <c r="BD441" s="1">
        <v>0</v>
      </c>
      <c r="BE441" s="1"/>
      <c r="BH441">
        <f>COUNTIF(Dropdowns!$I:$AF,C441)</f>
        <v>0</v>
      </c>
    </row>
    <row r="442" spans="1:60" x14ac:dyDescent="0.3">
      <c r="A442" s="1">
        <v>9053</v>
      </c>
      <c r="B442" s="1" t="s">
        <v>6039</v>
      </c>
      <c r="C442" s="207" t="s">
        <v>22</v>
      </c>
      <c r="D442" s="1" t="s">
        <v>6013</v>
      </c>
      <c r="E442" s="1"/>
      <c r="F442" s="1"/>
      <c r="G442" s="1" t="s">
        <v>6040</v>
      </c>
      <c r="H442" s="1" t="s">
        <v>6041</v>
      </c>
      <c r="I442" s="1" t="s">
        <v>6042</v>
      </c>
      <c r="J442" s="1">
        <v>4</v>
      </c>
      <c r="K442" s="1">
        <v>5</v>
      </c>
      <c r="L442" s="1">
        <v>12900</v>
      </c>
      <c r="M442" s="1">
        <v>20</v>
      </c>
      <c r="N442" s="1">
        <v>20</v>
      </c>
      <c r="O442" s="1">
        <v>10</v>
      </c>
      <c r="P442" s="1">
        <v>10</v>
      </c>
      <c r="Q442" s="1">
        <v>2</v>
      </c>
      <c r="R442" s="1">
        <v>5</v>
      </c>
      <c r="S442" s="1">
        <v>5</v>
      </c>
      <c r="T442" s="1">
        <v>0</v>
      </c>
      <c r="U442" s="1">
        <v>1800</v>
      </c>
      <c r="V442" s="1">
        <v>600</v>
      </c>
      <c r="W442" s="1">
        <v>280</v>
      </c>
      <c r="X442" s="1">
        <v>120</v>
      </c>
      <c r="Y442" s="1">
        <v>180</v>
      </c>
      <c r="Z442" s="1">
        <v>180</v>
      </c>
      <c r="AA442" s="1">
        <v>0</v>
      </c>
      <c r="AB442" s="1">
        <v>15</v>
      </c>
      <c r="AC442" s="1">
        <v>50</v>
      </c>
      <c r="AD442" s="1">
        <v>0</v>
      </c>
      <c r="AE442" s="1">
        <v>100</v>
      </c>
      <c r="AF442" s="1">
        <v>100</v>
      </c>
      <c r="AG442" s="1">
        <v>801101</v>
      </c>
      <c r="AH442" s="1">
        <v>801108</v>
      </c>
      <c r="AI442" s="1">
        <v>801102</v>
      </c>
      <c r="AJ442" s="1" t="s">
        <v>6043</v>
      </c>
      <c r="AK442" s="1" t="s">
        <v>1403</v>
      </c>
      <c r="AL442" s="1">
        <v>13</v>
      </c>
      <c r="AM442" s="1" t="s">
        <v>4790</v>
      </c>
      <c r="AN442" s="1" t="s">
        <v>4861</v>
      </c>
      <c r="AO442" s="1" t="s">
        <v>5428</v>
      </c>
      <c r="AP442" s="1">
        <v>0</v>
      </c>
      <c r="AQ442" s="1" t="s">
        <v>1130</v>
      </c>
      <c r="AR442" s="1" t="s">
        <v>1154</v>
      </c>
      <c r="AS442" s="1" t="s">
        <v>5846</v>
      </c>
      <c r="AT442" s="1" t="s">
        <v>328</v>
      </c>
      <c r="AU442" s="1">
        <v>55</v>
      </c>
      <c r="AV442" s="1">
        <v>0</v>
      </c>
      <c r="AW442" s="1" t="s">
        <v>5790</v>
      </c>
      <c r="AX442" s="1" t="s">
        <v>1806</v>
      </c>
      <c r="AY442" s="1">
        <v>5</v>
      </c>
      <c r="AZ442" s="1">
        <v>0</v>
      </c>
      <c r="BA442" s="1" t="s">
        <v>328</v>
      </c>
      <c r="BB442" s="1" t="s">
        <v>328</v>
      </c>
      <c r="BC442" s="1" t="s">
        <v>328</v>
      </c>
      <c r="BD442" s="1">
        <v>0</v>
      </c>
      <c r="BE442" s="1"/>
      <c r="BH442">
        <f>COUNTIF(Dropdowns!$I:$AF,C442)</f>
        <v>1</v>
      </c>
    </row>
    <row r="443" spans="1:60" x14ac:dyDescent="0.3">
      <c r="A443" s="1">
        <v>9054</v>
      </c>
      <c r="B443" s="1" t="s">
        <v>6044</v>
      </c>
      <c r="C443" s="207" t="s">
        <v>6045</v>
      </c>
      <c r="D443" s="1" t="s">
        <v>6045</v>
      </c>
      <c r="E443" s="1"/>
      <c r="F443" s="1"/>
      <c r="G443" s="1" t="s">
        <v>6046</v>
      </c>
      <c r="H443" s="1" t="s">
        <v>6047</v>
      </c>
      <c r="I443" s="1" t="s">
        <v>6048</v>
      </c>
      <c r="J443" s="1">
        <v>1</v>
      </c>
      <c r="K443" s="1">
        <v>5</v>
      </c>
      <c r="L443" s="1">
        <v>12900</v>
      </c>
      <c r="M443" s="1">
        <v>20</v>
      </c>
      <c r="N443" s="1">
        <v>20</v>
      </c>
      <c r="O443" s="1">
        <v>10</v>
      </c>
      <c r="P443" s="1">
        <v>10</v>
      </c>
      <c r="Q443" s="1">
        <v>2</v>
      </c>
      <c r="R443" s="1">
        <v>5</v>
      </c>
      <c r="S443" s="1">
        <v>5</v>
      </c>
      <c r="T443" s="1">
        <v>0</v>
      </c>
      <c r="U443" s="1">
        <v>100</v>
      </c>
      <c r="V443" s="1">
        <v>100</v>
      </c>
      <c r="W443" s="1">
        <v>100</v>
      </c>
      <c r="X443" s="1">
        <v>100</v>
      </c>
      <c r="Y443" s="1">
        <v>100</v>
      </c>
      <c r="Z443" s="1">
        <v>100</v>
      </c>
      <c r="AA443" s="1">
        <v>0</v>
      </c>
      <c r="AB443" s="1">
        <v>15</v>
      </c>
      <c r="AC443" s="1">
        <v>20</v>
      </c>
      <c r="AD443" s="1">
        <v>0</v>
      </c>
      <c r="AE443" s="1">
        <v>100</v>
      </c>
      <c r="AF443" s="1">
        <v>100</v>
      </c>
      <c r="AG443" s="1">
        <v>900515</v>
      </c>
      <c r="AH443" s="1">
        <v>0</v>
      </c>
      <c r="AI443" s="1">
        <v>900510</v>
      </c>
      <c r="AJ443" s="1" t="s">
        <v>6023</v>
      </c>
      <c r="AK443" s="1" t="s">
        <v>328</v>
      </c>
      <c r="AL443" s="1">
        <v>13</v>
      </c>
      <c r="AM443" s="1" t="s">
        <v>4719</v>
      </c>
      <c r="AN443" s="1" t="s">
        <v>4747</v>
      </c>
      <c r="AO443" s="1" t="s">
        <v>4799</v>
      </c>
      <c r="AP443" s="1">
        <v>0</v>
      </c>
      <c r="AQ443" s="1" t="s">
        <v>1154</v>
      </c>
      <c r="AR443" s="1" t="s">
        <v>5993</v>
      </c>
      <c r="AS443" s="1" t="s">
        <v>5993</v>
      </c>
      <c r="AT443" s="1" t="s">
        <v>328</v>
      </c>
      <c r="AU443" s="1">
        <v>54</v>
      </c>
      <c r="AV443" s="1">
        <v>0</v>
      </c>
      <c r="AW443" s="1" t="s">
        <v>5790</v>
      </c>
      <c r="AX443" s="1" t="s">
        <v>1806</v>
      </c>
      <c r="AY443" s="1">
        <v>5</v>
      </c>
      <c r="AZ443" s="1">
        <v>0</v>
      </c>
      <c r="BA443" s="1" t="s">
        <v>328</v>
      </c>
      <c r="BB443" s="1" t="s">
        <v>328</v>
      </c>
      <c r="BC443" s="1" t="s">
        <v>328</v>
      </c>
      <c r="BD443" s="1">
        <v>0</v>
      </c>
      <c r="BE443" s="1"/>
      <c r="BH443">
        <f>COUNTIF(Dropdowns!$I:$AF,C443)</f>
        <v>0</v>
      </c>
    </row>
    <row r="444" spans="1:60" x14ac:dyDescent="0.3">
      <c r="A444" s="1">
        <v>9055</v>
      </c>
      <c r="B444" s="1" t="s">
        <v>6049</v>
      </c>
      <c r="C444" s="207" t="s">
        <v>6050</v>
      </c>
      <c r="D444" s="1" t="s">
        <v>6050</v>
      </c>
      <c r="E444" s="1"/>
      <c r="F444" s="1"/>
      <c r="G444" s="1" t="s">
        <v>6051</v>
      </c>
      <c r="H444" s="1" t="s">
        <v>6052</v>
      </c>
      <c r="I444" s="1" t="s">
        <v>6053</v>
      </c>
      <c r="J444" s="1">
        <v>1</v>
      </c>
      <c r="K444" s="1">
        <v>3</v>
      </c>
      <c r="L444" s="1">
        <v>2700</v>
      </c>
      <c r="M444" s="1">
        <v>10</v>
      </c>
      <c r="N444" s="1">
        <v>10</v>
      </c>
      <c r="O444" s="1">
        <v>5</v>
      </c>
      <c r="P444" s="1">
        <v>5</v>
      </c>
      <c r="Q444" s="1">
        <v>2</v>
      </c>
      <c r="R444" s="1">
        <v>2</v>
      </c>
      <c r="S444" s="1">
        <v>2</v>
      </c>
      <c r="T444" s="1">
        <v>0</v>
      </c>
      <c r="U444" s="1">
        <v>650</v>
      </c>
      <c r="V444" s="1">
        <v>120</v>
      </c>
      <c r="W444" s="1">
        <v>100</v>
      </c>
      <c r="X444" s="1">
        <v>100</v>
      </c>
      <c r="Y444" s="1">
        <v>105</v>
      </c>
      <c r="Z444" s="1">
        <v>100</v>
      </c>
      <c r="AA444" s="1">
        <v>0</v>
      </c>
      <c r="AB444" s="1">
        <v>15</v>
      </c>
      <c r="AC444" s="1">
        <v>20</v>
      </c>
      <c r="AD444" s="1">
        <v>0</v>
      </c>
      <c r="AE444" s="1">
        <v>105</v>
      </c>
      <c r="AF444" s="1">
        <v>120</v>
      </c>
      <c r="AG444" s="1">
        <v>100602</v>
      </c>
      <c r="AH444" s="1">
        <v>0</v>
      </c>
      <c r="AI444" s="1">
        <v>300101</v>
      </c>
      <c r="AJ444" s="1" t="s">
        <v>328</v>
      </c>
      <c r="AK444" s="1" t="s">
        <v>328</v>
      </c>
      <c r="AL444" s="1">
        <v>13</v>
      </c>
      <c r="AM444" s="1" t="s">
        <v>1806</v>
      </c>
      <c r="AN444" s="1" t="s">
        <v>4747</v>
      </c>
      <c r="AO444" s="1" t="s">
        <v>4744</v>
      </c>
      <c r="AP444" s="1">
        <v>0</v>
      </c>
      <c r="AQ444" s="1" t="s">
        <v>5852</v>
      </c>
      <c r="AR444" s="1" t="s">
        <v>1119</v>
      </c>
      <c r="AS444" s="1" t="s">
        <v>1129</v>
      </c>
      <c r="AT444" s="1" t="s">
        <v>328</v>
      </c>
      <c r="AU444" s="1">
        <v>6</v>
      </c>
      <c r="AV444" s="1">
        <v>0</v>
      </c>
      <c r="AW444" s="1" t="s">
        <v>5790</v>
      </c>
      <c r="AX444" s="1" t="s">
        <v>1806</v>
      </c>
      <c r="AY444" s="1">
        <v>3</v>
      </c>
      <c r="AZ444" s="1">
        <v>0</v>
      </c>
      <c r="BA444" s="1" t="s">
        <v>328</v>
      </c>
      <c r="BB444" s="1" t="s">
        <v>328</v>
      </c>
      <c r="BC444" s="1" t="s">
        <v>328</v>
      </c>
      <c r="BD444" s="1">
        <v>0</v>
      </c>
      <c r="BE444" s="1"/>
      <c r="BH444">
        <f>COUNTIF(Dropdowns!$I:$AF,C444)</f>
        <v>0</v>
      </c>
    </row>
    <row r="445" spans="1:60" x14ac:dyDescent="0.3">
      <c r="A445" s="1">
        <v>9056</v>
      </c>
      <c r="B445" s="1" t="s">
        <v>6054</v>
      </c>
      <c r="C445" s="207" t="s">
        <v>248</v>
      </c>
      <c r="D445" s="1" t="s">
        <v>248</v>
      </c>
      <c r="E445" s="1"/>
      <c r="F445" s="1"/>
      <c r="G445" s="1" t="s">
        <v>6055</v>
      </c>
      <c r="H445" s="1" t="s">
        <v>6056</v>
      </c>
      <c r="I445" s="1" t="s">
        <v>6057</v>
      </c>
      <c r="J445" s="1">
        <v>3</v>
      </c>
      <c r="K445" s="1">
        <v>5</v>
      </c>
      <c r="L445" s="1">
        <v>17400</v>
      </c>
      <c r="M445" s="1">
        <v>15</v>
      </c>
      <c r="N445" s="1">
        <v>30</v>
      </c>
      <c r="O445" s="1">
        <v>10</v>
      </c>
      <c r="P445" s="1">
        <v>15</v>
      </c>
      <c r="Q445" s="1">
        <v>5</v>
      </c>
      <c r="R445" s="1">
        <v>2</v>
      </c>
      <c r="S445" s="1">
        <v>5</v>
      </c>
      <c r="T445" s="1">
        <v>0</v>
      </c>
      <c r="U445" s="1">
        <v>90</v>
      </c>
      <c r="V445" s="1">
        <v>120</v>
      </c>
      <c r="W445" s="1">
        <v>110</v>
      </c>
      <c r="X445" s="1">
        <v>100</v>
      </c>
      <c r="Y445" s="1">
        <v>120</v>
      </c>
      <c r="Z445" s="1">
        <v>100</v>
      </c>
      <c r="AA445" s="1">
        <v>0</v>
      </c>
      <c r="AB445" s="1">
        <v>15</v>
      </c>
      <c r="AC445" s="1">
        <v>40</v>
      </c>
      <c r="AD445" s="1">
        <v>0</v>
      </c>
      <c r="AE445" s="1">
        <v>120</v>
      </c>
      <c r="AF445" s="1">
        <v>100</v>
      </c>
      <c r="AG445" s="1">
        <v>406601</v>
      </c>
      <c r="AH445" s="1">
        <v>0</v>
      </c>
      <c r="AI445" s="1">
        <v>900107</v>
      </c>
      <c r="AJ445" s="1" t="s">
        <v>6058</v>
      </c>
      <c r="AK445" s="1" t="s">
        <v>328</v>
      </c>
      <c r="AL445" s="1">
        <v>17</v>
      </c>
      <c r="AM445" s="1" t="s">
        <v>4762</v>
      </c>
      <c r="AN445" s="1" t="s">
        <v>5404</v>
      </c>
      <c r="AO445" s="1" t="s">
        <v>4845</v>
      </c>
      <c r="AP445" s="1">
        <v>0</v>
      </c>
      <c r="AQ445" s="1" t="s">
        <v>1140</v>
      </c>
      <c r="AR445" s="1" t="s">
        <v>1141</v>
      </c>
      <c r="AS445" s="1" t="s">
        <v>6059</v>
      </c>
      <c r="AT445" s="1" t="s">
        <v>328</v>
      </c>
      <c r="AU445" s="1">
        <v>1005</v>
      </c>
      <c r="AV445" s="1">
        <v>1</v>
      </c>
      <c r="AW445" s="1" t="s">
        <v>5790</v>
      </c>
      <c r="AX445" s="1" t="s">
        <v>1372</v>
      </c>
      <c r="AY445" s="1">
        <v>7</v>
      </c>
      <c r="AZ445" s="1">
        <v>0</v>
      </c>
      <c r="BA445" s="1" t="s">
        <v>328</v>
      </c>
      <c r="BB445" s="1" t="s">
        <v>328</v>
      </c>
      <c r="BC445" s="1" t="s">
        <v>5386</v>
      </c>
      <c r="BD445" s="1">
        <v>0</v>
      </c>
      <c r="BE445" s="1"/>
      <c r="BH445">
        <f>COUNTIF(Dropdowns!$I:$AF,C445)</f>
        <v>1</v>
      </c>
    </row>
    <row r="446" spans="1:60" x14ac:dyDescent="0.3">
      <c r="A446" s="1">
        <v>9057</v>
      </c>
      <c r="B446" s="1" t="s">
        <v>6060</v>
      </c>
      <c r="C446" s="207" t="s">
        <v>248</v>
      </c>
      <c r="D446" s="1" t="s">
        <v>248</v>
      </c>
      <c r="E446" s="1"/>
      <c r="F446" s="1"/>
      <c r="G446" s="1" t="s">
        <v>6061</v>
      </c>
      <c r="H446" s="1" t="s">
        <v>6062</v>
      </c>
      <c r="I446" s="1" t="s">
        <v>6063</v>
      </c>
      <c r="J446" s="1">
        <v>3</v>
      </c>
      <c r="K446" s="1">
        <v>5</v>
      </c>
      <c r="L446" s="1">
        <v>17400</v>
      </c>
      <c r="M446" s="1">
        <v>15</v>
      </c>
      <c r="N446" s="1">
        <v>30</v>
      </c>
      <c r="O446" s="1">
        <v>10</v>
      </c>
      <c r="P446" s="1">
        <v>15</v>
      </c>
      <c r="Q446" s="1">
        <v>5</v>
      </c>
      <c r="R446" s="1">
        <v>2</v>
      </c>
      <c r="S446" s="1">
        <v>5</v>
      </c>
      <c r="T446" s="1">
        <v>0</v>
      </c>
      <c r="U446" s="1">
        <v>90</v>
      </c>
      <c r="V446" s="1">
        <v>120</v>
      </c>
      <c r="W446" s="1">
        <v>110</v>
      </c>
      <c r="X446" s="1">
        <v>100</v>
      </c>
      <c r="Y446" s="1">
        <v>120</v>
      </c>
      <c r="Z446" s="1">
        <v>100</v>
      </c>
      <c r="AA446" s="1">
        <v>0</v>
      </c>
      <c r="AB446" s="1">
        <v>15</v>
      </c>
      <c r="AC446" s="1">
        <v>40</v>
      </c>
      <c r="AD446" s="1">
        <v>0</v>
      </c>
      <c r="AE446" s="1">
        <v>120</v>
      </c>
      <c r="AF446" s="1">
        <v>100</v>
      </c>
      <c r="AG446" s="1">
        <v>406601</v>
      </c>
      <c r="AH446" s="1">
        <v>0</v>
      </c>
      <c r="AI446" s="1">
        <v>900107</v>
      </c>
      <c r="AJ446" s="1" t="s">
        <v>6064</v>
      </c>
      <c r="AK446" s="1" t="s">
        <v>328</v>
      </c>
      <c r="AL446" s="1">
        <v>17</v>
      </c>
      <c r="AM446" s="1" t="s">
        <v>4762</v>
      </c>
      <c r="AN446" s="1" t="s">
        <v>5404</v>
      </c>
      <c r="AO446" s="1" t="s">
        <v>4845</v>
      </c>
      <c r="AP446" s="1">
        <v>0</v>
      </c>
      <c r="AQ446" s="1" t="s">
        <v>1140</v>
      </c>
      <c r="AR446" s="1" t="s">
        <v>1141</v>
      </c>
      <c r="AS446" s="1" t="s">
        <v>6059</v>
      </c>
      <c r="AT446" s="1" t="s">
        <v>328</v>
      </c>
      <c r="AU446" s="1">
        <v>1005</v>
      </c>
      <c r="AV446" s="1">
        <v>1</v>
      </c>
      <c r="AW446" s="1" t="s">
        <v>5790</v>
      </c>
      <c r="AX446" s="1" t="s">
        <v>1372</v>
      </c>
      <c r="AY446" s="1">
        <v>7</v>
      </c>
      <c r="AZ446" s="1">
        <v>0</v>
      </c>
      <c r="BA446" s="1" t="s">
        <v>328</v>
      </c>
      <c r="BB446" s="1" t="s">
        <v>328</v>
      </c>
      <c r="BC446" s="1" t="s">
        <v>5386</v>
      </c>
      <c r="BD446" s="1">
        <v>0</v>
      </c>
      <c r="BE446" s="1"/>
      <c r="BH446">
        <f>COUNTIF(Dropdowns!$I:$AF,C446)</f>
        <v>1</v>
      </c>
    </row>
    <row r="447" spans="1:60" x14ac:dyDescent="0.3">
      <c r="A447" s="1">
        <v>9058</v>
      </c>
      <c r="B447" s="1" t="s">
        <v>6065</v>
      </c>
      <c r="C447" s="207" t="s">
        <v>5804</v>
      </c>
      <c r="D447" s="1" t="s">
        <v>5805</v>
      </c>
      <c r="E447" s="1"/>
      <c r="F447" s="1"/>
      <c r="G447" s="1" t="s">
        <v>6066</v>
      </c>
      <c r="H447" s="1" t="s">
        <v>6067</v>
      </c>
      <c r="I447" s="1" t="s">
        <v>6068</v>
      </c>
      <c r="J447" s="1">
        <v>5</v>
      </c>
      <c r="K447" s="1">
        <v>5</v>
      </c>
      <c r="L447" s="1">
        <v>22500</v>
      </c>
      <c r="M447" s="1">
        <v>40</v>
      </c>
      <c r="N447" s="1">
        <v>30</v>
      </c>
      <c r="O447" s="1">
        <v>25</v>
      </c>
      <c r="P447" s="1">
        <v>15</v>
      </c>
      <c r="Q447" s="1">
        <v>5</v>
      </c>
      <c r="R447" s="1">
        <v>5</v>
      </c>
      <c r="S447" s="1">
        <v>2</v>
      </c>
      <c r="T447" s="1">
        <v>5</v>
      </c>
      <c r="U447" s="1">
        <v>400</v>
      </c>
      <c r="V447" s="1">
        <v>0</v>
      </c>
      <c r="W447" s="1">
        <v>0</v>
      </c>
      <c r="X447" s="1">
        <v>100</v>
      </c>
      <c r="Y447" s="1">
        <v>0</v>
      </c>
      <c r="Z447" s="1">
        <v>0</v>
      </c>
      <c r="AA447" s="1">
        <v>0</v>
      </c>
      <c r="AB447" s="1">
        <v>15</v>
      </c>
      <c r="AC447" s="1">
        <v>0</v>
      </c>
      <c r="AD447" s="1">
        <v>0</v>
      </c>
      <c r="AE447" s="1">
        <v>100</v>
      </c>
      <c r="AF447" s="1">
        <v>100</v>
      </c>
      <c r="AG447" s="1">
        <v>402606</v>
      </c>
      <c r="AH447" s="1">
        <v>0</v>
      </c>
      <c r="AI447" s="1">
        <v>402601</v>
      </c>
      <c r="AJ447" s="1" t="s">
        <v>5809</v>
      </c>
      <c r="AK447" s="1" t="s">
        <v>328</v>
      </c>
      <c r="AL447" s="1">
        <v>19</v>
      </c>
      <c r="AM447" s="1" t="s">
        <v>4762</v>
      </c>
      <c r="AN447" s="1" t="s">
        <v>328</v>
      </c>
      <c r="AO447" s="1" t="s">
        <v>328</v>
      </c>
      <c r="AP447" s="1">
        <v>0</v>
      </c>
      <c r="AQ447" s="1" t="s">
        <v>1140</v>
      </c>
      <c r="AR447" s="1" t="s">
        <v>5788</v>
      </c>
      <c r="AS447" s="1" t="s">
        <v>5789</v>
      </c>
      <c r="AT447" s="1" t="s">
        <v>328</v>
      </c>
      <c r="AU447" s="1">
        <v>10</v>
      </c>
      <c r="AV447" s="1">
        <v>1</v>
      </c>
      <c r="AW447" s="1" t="s">
        <v>5790</v>
      </c>
      <c r="AX447" s="1" t="s">
        <v>1806</v>
      </c>
      <c r="AY447" s="1">
        <v>5</v>
      </c>
      <c r="AZ447" s="1">
        <v>0</v>
      </c>
      <c r="BA447" s="1" t="s">
        <v>328</v>
      </c>
      <c r="BB447" s="1" t="s">
        <v>328</v>
      </c>
      <c r="BC447" s="1" t="s">
        <v>328</v>
      </c>
      <c r="BD447" s="1">
        <v>0</v>
      </c>
      <c r="BE447" s="1"/>
      <c r="BH447">
        <f>COUNTIF(Dropdowns!$I:$AF,C447)</f>
        <v>0</v>
      </c>
    </row>
    <row r="448" spans="1:60" x14ac:dyDescent="0.3">
      <c r="A448" s="1">
        <v>9059</v>
      </c>
      <c r="B448" s="1" t="s">
        <v>6069</v>
      </c>
      <c r="C448" s="207" t="s">
        <v>5804</v>
      </c>
      <c r="D448" s="1" t="s">
        <v>5805</v>
      </c>
      <c r="E448" s="1"/>
      <c r="F448" s="1"/>
      <c r="G448" s="1" t="s">
        <v>6070</v>
      </c>
      <c r="H448" s="1" t="s">
        <v>6071</v>
      </c>
      <c r="I448" s="1" t="s">
        <v>6072</v>
      </c>
      <c r="J448" s="1">
        <v>5</v>
      </c>
      <c r="K448" s="1">
        <v>5</v>
      </c>
      <c r="L448" s="1">
        <v>22500</v>
      </c>
      <c r="M448" s="1">
        <v>40</v>
      </c>
      <c r="N448" s="1">
        <v>30</v>
      </c>
      <c r="O448" s="1">
        <v>25</v>
      </c>
      <c r="P448" s="1">
        <v>15</v>
      </c>
      <c r="Q448" s="1">
        <v>5</v>
      </c>
      <c r="R448" s="1">
        <v>5</v>
      </c>
      <c r="S448" s="1">
        <v>2</v>
      </c>
      <c r="T448" s="1">
        <v>5</v>
      </c>
      <c r="U448" s="1">
        <v>400</v>
      </c>
      <c r="V448" s="1">
        <v>0</v>
      </c>
      <c r="W448" s="1">
        <v>0</v>
      </c>
      <c r="X448" s="1">
        <v>100</v>
      </c>
      <c r="Y448" s="1">
        <v>0</v>
      </c>
      <c r="Z448" s="1">
        <v>0</v>
      </c>
      <c r="AA448" s="1">
        <v>0</v>
      </c>
      <c r="AB448" s="1">
        <v>15</v>
      </c>
      <c r="AC448" s="1">
        <v>0</v>
      </c>
      <c r="AD448" s="1">
        <v>0</v>
      </c>
      <c r="AE448" s="1">
        <v>100</v>
      </c>
      <c r="AF448" s="1">
        <v>100</v>
      </c>
      <c r="AG448" s="1">
        <v>402606</v>
      </c>
      <c r="AH448" s="1">
        <v>0</v>
      </c>
      <c r="AI448" s="1">
        <v>402601</v>
      </c>
      <c r="AJ448" s="1" t="s">
        <v>5809</v>
      </c>
      <c r="AK448" s="1" t="s">
        <v>328</v>
      </c>
      <c r="AL448" s="1">
        <v>19</v>
      </c>
      <c r="AM448" s="1" t="s">
        <v>4762</v>
      </c>
      <c r="AN448" s="1" t="s">
        <v>328</v>
      </c>
      <c r="AO448" s="1" t="s">
        <v>328</v>
      </c>
      <c r="AP448" s="1">
        <v>0</v>
      </c>
      <c r="AQ448" s="1" t="s">
        <v>1140</v>
      </c>
      <c r="AR448" s="1" t="s">
        <v>5788</v>
      </c>
      <c r="AS448" s="1" t="s">
        <v>5789</v>
      </c>
      <c r="AT448" s="1" t="s">
        <v>328</v>
      </c>
      <c r="AU448" s="1">
        <v>10</v>
      </c>
      <c r="AV448" s="1">
        <v>1</v>
      </c>
      <c r="AW448" s="1" t="s">
        <v>5790</v>
      </c>
      <c r="AX448" s="1" t="s">
        <v>1806</v>
      </c>
      <c r="AY448" s="1">
        <v>5</v>
      </c>
      <c r="AZ448" s="1">
        <v>0</v>
      </c>
      <c r="BA448" s="1" t="s">
        <v>328</v>
      </c>
      <c r="BB448" s="1" t="s">
        <v>328</v>
      </c>
      <c r="BC448" s="1" t="s">
        <v>328</v>
      </c>
      <c r="BD448" s="1">
        <v>0</v>
      </c>
      <c r="BE448" s="1"/>
      <c r="BH448">
        <f>COUNTIF(Dropdowns!$I:$AF,C448)</f>
        <v>0</v>
      </c>
    </row>
    <row r="449" spans="1:60" x14ac:dyDescent="0.3">
      <c r="A449" s="1">
        <v>9060</v>
      </c>
      <c r="B449" s="1" t="s">
        <v>6073</v>
      </c>
      <c r="C449" s="207" t="s">
        <v>6074</v>
      </c>
      <c r="D449" s="1" t="s">
        <v>6074</v>
      </c>
      <c r="E449" s="1"/>
      <c r="F449" s="1"/>
      <c r="G449" s="1" t="s">
        <v>6075</v>
      </c>
      <c r="H449" s="1" t="s">
        <v>6076</v>
      </c>
      <c r="I449" s="1" t="s">
        <v>6077</v>
      </c>
      <c r="J449" s="1">
        <v>4</v>
      </c>
      <c r="K449" s="1">
        <v>5</v>
      </c>
      <c r="L449" s="1">
        <v>12900</v>
      </c>
      <c r="M449" s="1">
        <v>20</v>
      </c>
      <c r="N449" s="1">
        <v>20</v>
      </c>
      <c r="O449" s="1">
        <v>10</v>
      </c>
      <c r="P449" s="1">
        <v>10</v>
      </c>
      <c r="Q449" s="1">
        <v>2</v>
      </c>
      <c r="R449" s="1">
        <v>5</v>
      </c>
      <c r="S449" s="1">
        <v>5</v>
      </c>
      <c r="T449" s="1">
        <v>0</v>
      </c>
      <c r="U449" s="1">
        <v>1800</v>
      </c>
      <c r="V449" s="1">
        <v>600</v>
      </c>
      <c r="W449" s="1">
        <v>280</v>
      </c>
      <c r="X449" s="1">
        <v>0</v>
      </c>
      <c r="Y449" s="1">
        <v>180</v>
      </c>
      <c r="Z449" s="1">
        <v>180</v>
      </c>
      <c r="AA449" s="1">
        <v>0</v>
      </c>
      <c r="AB449" s="1">
        <v>15</v>
      </c>
      <c r="AC449" s="1">
        <v>50</v>
      </c>
      <c r="AD449" s="1">
        <v>0</v>
      </c>
      <c r="AE449" s="1">
        <v>100</v>
      </c>
      <c r="AF449" s="1">
        <v>100</v>
      </c>
      <c r="AG449" s="1">
        <v>900107</v>
      </c>
      <c r="AH449" s="1">
        <v>0</v>
      </c>
      <c r="AI449" s="1">
        <v>900107</v>
      </c>
      <c r="AJ449" s="1" t="s">
        <v>6078</v>
      </c>
      <c r="AK449" s="1" t="s">
        <v>328</v>
      </c>
      <c r="AL449" s="1">
        <v>13</v>
      </c>
      <c r="AM449" s="1" t="s">
        <v>4790</v>
      </c>
      <c r="AN449" s="1" t="s">
        <v>4861</v>
      </c>
      <c r="AO449" s="1" t="s">
        <v>5428</v>
      </c>
      <c r="AP449" s="1">
        <v>0</v>
      </c>
      <c r="AQ449" s="1" t="s">
        <v>1130</v>
      </c>
      <c r="AR449" s="1" t="s">
        <v>1154</v>
      </c>
      <c r="AS449" s="1" t="s">
        <v>5846</v>
      </c>
      <c r="AT449" s="1" t="s">
        <v>328</v>
      </c>
      <c r="AU449" s="1">
        <v>55</v>
      </c>
      <c r="AV449" s="1">
        <v>0</v>
      </c>
      <c r="AW449" s="1" t="s">
        <v>5790</v>
      </c>
      <c r="AX449" s="1" t="s">
        <v>1806</v>
      </c>
      <c r="AY449" s="1">
        <v>5</v>
      </c>
      <c r="AZ449" s="1">
        <v>0</v>
      </c>
      <c r="BA449" s="1" t="s">
        <v>328</v>
      </c>
      <c r="BB449" s="1" t="s">
        <v>328</v>
      </c>
      <c r="BC449" s="1" t="s">
        <v>328</v>
      </c>
      <c r="BD449" s="1">
        <v>0</v>
      </c>
      <c r="BE449" s="1"/>
      <c r="BH449">
        <f>COUNTIF(Dropdowns!$I:$AF,C449)</f>
        <v>0</v>
      </c>
    </row>
    <row r="450" spans="1:60" x14ac:dyDescent="0.3">
      <c r="A450" s="1">
        <v>9061</v>
      </c>
      <c r="B450" s="1" t="s">
        <v>6079</v>
      </c>
      <c r="C450" s="207" t="s">
        <v>6080</v>
      </c>
      <c r="D450" s="1" t="s">
        <v>6080</v>
      </c>
      <c r="E450" s="1"/>
      <c r="F450" s="1"/>
      <c r="G450" s="1" t="s">
        <v>6081</v>
      </c>
      <c r="H450" s="1" t="s">
        <v>6082</v>
      </c>
      <c r="I450" s="1" t="s">
        <v>6083</v>
      </c>
      <c r="J450" s="1">
        <v>1</v>
      </c>
      <c r="K450" s="1">
        <v>4</v>
      </c>
      <c r="L450" s="1">
        <v>3000</v>
      </c>
      <c r="M450" s="1">
        <v>10</v>
      </c>
      <c r="N450" s="1">
        <v>10</v>
      </c>
      <c r="O450" s="1">
        <v>5</v>
      </c>
      <c r="P450" s="1">
        <v>5</v>
      </c>
      <c r="Q450" s="1">
        <v>2</v>
      </c>
      <c r="R450" s="1">
        <v>2</v>
      </c>
      <c r="S450" s="1">
        <v>2</v>
      </c>
      <c r="T450" s="1">
        <v>0</v>
      </c>
      <c r="U450" s="1">
        <v>120</v>
      </c>
      <c r="V450" s="1">
        <v>125</v>
      </c>
      <c r="W450" s="1">
        <v>85</v>
      </c>
      <c r="X450" s="1">
        <v>100</v>
      </c>
      <c r="Y450" s="1">
        <v>90</v>
      </c>
      <c r="Z450" s="1">
        <v>95</v>
      </c>
      <c r="AA450" s="1">
        <v>0</v>
      </c>
      <c r="AB450" s="1">
        <v>15</v>
      </c>
      <c r="AC450" s="1">
        <v>20</v>
      </c>
      <c r="AD450" s="1">
        <v>0</v>
      </c>
      <c r="AE450" s="1">
        <v>130</v>
      </c>
      <c r="AF450" s="1">
        <v>95</v>
      </c>
      <c r="AG450" s="1">
        <v>100503</v>
      </c>
      <c r="AH450" s="1">
        <v>0</v>
      </c>
      <c r="AI450" s="1">
        <v>300115</v>
      </c>
      <c r="AJ450" s="1" t="s">
        <v>328</v>
      </c>
      <c r="AK450" s="1" t="s">
        <v>328</v>
      </c>
      <c r="AL450" s="1">
        <v>13</v>
      </c>
      <c r="AM450" s="1" t="s">
        <v>1806</v>
      </c>
      <c r="AN450" s="1" t="s">
        <v>4740</v>
      </c>
      <c r="AO450" s="1" t="s">
        <v>4741</v>
      </c>
      <c r="AP450" s="1">
        <v>0</v>
      </c>
      <c r="AQ450" s="1" t="s">
        <v>1140</v>
      </c>
      <c r="AR450" s="1" t="s">
        <v>5788</v>
      </c>
      <c r="AS450" s="1" t="s">
        <v>5789</v>
      </c>
      <c r="AT450" s="1" t="s">
        <v>328</v>
      </c>
      <c r="AU450" s="1">
        <v>1</v>
      </c>
      <c r="AV450" s="1">
        <v>0</v>
      </c>
      <c r="AW450" s="1" t="s">
        <v>5790</v>
      </c>
      <c r="AX450" s="1" t="s">
        <v>1806</v>
      </c>
      <c r="AY450" s="1">
        <v>4</v>
      </c>
      <c r="AZ450" s="1">
        <v>0</v>
      </c>
      <c r="BA450" s="1" t="s">
        <v>328</v>
      </c>
      <c r="BB450" s="1" t="s">
        <v>328</v>
      </c>
      <c r="BC450" s="1" t="s">
        <v>328</v>
      </c>
      <c r="BD450" s="1">
        <v>0</v>
      </c>
      <c r="BE450" s="1"/>
      <c r="BH450">
        <f>COUNTIF(Dropdowns!$I:$AF,C450)</f>
        <v>0</v>
      </c>
    </row>
    <row r="451" spans="1:60" x14ac:dyDescent="0.3">
      <c r="A451" s="1">
        <v>9062</v>
      </c>
      <c r="B451" s="1" t="s">
        <v>6084</v>
      </c>
      <c r="C451" s="207" t="s">
        <v>6085</v>
      </c>
      <c r="D451" s="1" t="s">
        <v>6085</v>
      </c>
      <c r="E451" s="1"/>
      <c r="F451" s="1"/>
      <c r="G451" s="1" t="s">
        <v>6086</v>
      </c>
      <c r="H451" s="1" t="s">
        <v>6087</v>
      </c>
      <c r="I451" s="1" t="s">
        <v>6088</v>
      </c>
      <c r="J451" s="1">
        <v>1</v>
      </c>
      <c r="K451" s="1">
        <v>4</v>
      </c>
      <c r="L451" s="1">
        <v>3000</v>
      </c>
      <c r="M451" s="1">
        <v>10</v>
      </c>
      <c r="N451" s="1">
        <v>10</v>
      </c>
      <c r="O451" s="1">
        <v>5</v>
      </c>
      <c r="P451" s="1">
        <v>5</v>
      </c>
      <c r="Q451" s="1">
        <v>2</v>
      </c>
      <c r="R451" s="1">
        <v>2</v>
      </c>
      <c r="S451" s="1">
        <v>2</v>
      </c>
      <c r="T451" s="1">
        <v>0</v>
      </c>
      <c r="U451" s="1">
        <v>120</v>
      </c>
      <c r="V451" s="1">
        <v>125</v>
      </c>
      <c r="W451" s="1">
        <v>85</v>
      </c>
      <c r="X451" s="1">
        <v>100</v>
      </c>
      <c r="Y451" s="1">
        <v>90</v>
      </c>
      <c r="Z451" s="1">
        <v>95</v>
      </c>
      <c r="AA451" s="1">
        <v>0</v>
      </c>
      <c r="AB451" s="1">
        <v>15</v>
      </c>
      <c r="AC451" s="1">
        <v>20</v>
      </c>
      <c r="AD451" s="1">
        <v>0</v>
      </c>
      <c r="AE451" s="1">
        <v>130</v>
      </c>
      <c r="AF451" s="1">
        <v>95</v>
      </c>
      <c r="AG451" s="1">
        <v>100503</v>
      </c>
      <c r="AH451" s="1">
        <v>0</v>
      </c>
      <c r="AI451" s="1">
        <v>300115</v>
      </c>
      <c r="AJ451" s="1" t="s">
        <v>328</v>
      </c>
      <c r="AK451" s="1" t="s">
        <v>328</v>
      </c>
      <c r="AL451" s="1">
        <v>13</v>
      </c>
      <c r="AM451" s="1" t="s">
        <v>1806</v>
      </c>
      <c r="AN451" s="1" t="s">
        <v>4740</v>
      </c>
      <c r="AO451" s="1" t="s">
        <v>4741</v>
      </c>
      <c r="AP451" s="1">
        <v>0</v>
      </c>
      <c r="AQ451" s="1" t="s">
        <v>1140</v>
      </c>
      <c r="AR451" s="1" t="s">
        <v>5788</v>
      </c>
      <c r="AS451" s="1" t="s">
        <v>5789</v>
      </c>
      <c r="AT451" s="1" t="s">
        <v>328</v>
      </c>
      <c r="AU451" s="1">
        <v>1</v>
      </c>
      <c r="AV451" s="1">
        <v>0</v>
      </c>
      <c r="AW451" s="1" t="s">
        <v>5790</v>
      </c>
      <c r="AX451" s="1" t="s">
        <v>1806</v>
      </c>
      <c r="AY451" s="1">
        <v>4</v>
      </c>
      <c r="AZ451" s="1">
        <v>0</v>
      </c>
      <c r="BA451" s="1" t="s">
        <v>328</v>
      </c>
      <c r="BB451" s="1" t="s">
        <v>328</v>
      </c>
      <c r="BC451" s="1" t="s">
        <v>328</v>
      </c>
      <c r="BD451" s="1">
        <v>0</v>
      </c>
      <c r="BE451" s="1"/>
      <c r="BH451">
        <f>COUNTIF(Dropdowns!$I:$AF,C451)</f>
        <v>0</v>
      </c>
    </row>
    <row r="452" spans="1:60" x14ac:dyDescent="0.3">
      <c r="A452" s="1">
        <v>9063</v>
      </c>
      <c r="B452" s="1" t="s">
        <v>6089</v>
      </c>
      <c r="C452" s="207" t="s">
        <v>6090</v>
      </c>
      <c r="D452" s="1" t="s">
        <v>6090</v>
      </c>
      <c r="E452" s="1"/>
      <c r="F452" s="1"/>
      <c r="G452" s="1" t="s">
        <v>6091</v>
      </c>
      <c r="H452" s="1" t="s">
        <v>6092</v>
      </c>
      <c r="I452" s="1" t="s">
        <v>6093</v>
      </c>
      <c r="J452" s="1">
        <v>1</v>
      </c>
      <c r="K452" s="1">
        <v>5</v>
      </c>
      <c r="L452" s="1">
        <v>12900</v>
      </c>
      <c r="M452" s="1">
        <v>20</v>
      </c>
      <c r="N452" s="1">
        <v>20</v>
      </c>
      <c r="O452" s="1">
        <v>10</v>
      </c>
      <c r="P452" s="1">
        <v>10</v>
      </c>
      <c r="Q452" s="1">
        <v>2</v>
      </c>
      <c r="R452" s="1">
        <v>5</v>
      </c>
      <c r="S452" s="1">
        <v>5</v>
      </c>
      <c r="T452" s="1">
        <v>0</v>
      </c>
      <c r="U452" s="1">
        <v>1800</v>
      </c>
      <c r="V452" s="1">
        <v>600</v>
      </c>
      <c r="W452" s="1">
        <v>280</v>
      </c>
      <c r="X452" s="1">
        <v>100</v>
      </c>
      <c r="Y452" s="1">
        <v>180</v>
      </c>
      <c r="Z452" s="1">
        <v>180</v>
      </c>
      <c r="AA452" s="1">
        <v>0</v>
      </c>
      <c r="AB452" s="1">
        <v>15</v>
      </c>
      <c r="AC452" s="1">
        <v>50</v>
      </c>
      <c r="AD452" s="1">
        <v>0</v>
      </c>
      <c r="AE452" s="1">
        <v>100</v>
      </c>
      <c r="AF452" s="1">
        <v>100</v>
      </c>
      <c r="AG452" s="1">
        <v>900943</v>
      </c>
      <c r="AH452" s="1">
        <v>0</v>
      </c>
      <c r="AI452" s="1">
        <v>900944</v>
      </c>
      <c r="AJ452" s="1" t="s">
        <v>6094</v>
      </c>
      <c r="AK452" s="1" t="s">
        <v>328</v>
      </c>
      <c r="AL452" s="1">
        <v>13</v>
      </c>
      <c r="AM452" s="1" t="s">
        <v>4790</v>
      </c>
      <c r="AN452" s="1" t="s">
        <v>4861</v>
      </c>
      <c r="AO452" s="1" t="s">
        <v>5428</v>
      </c>
      <c r="AP452" s="1">
        <v>0</v>
      </c>
      <c r="AQ452" s="1" t="s">
        <v>1130</v>
      </c>
      <c r="AR452" s="1" t="s">
        <v>1154</v>
      </c>
      <c r="AS452" s="1" t="s">
        <v>5846</v>
      </c>
      <c r="AT452" s="1" t="s">
        <v>328</v>
      </c>
      <c r="AU452" s="1">
        <v>55</v>
      </c>
      <c r="AV452" s="1">
        <v>0</v>
      </c>
      <c r="AW452" s="1" t="s">
        <v>5790</v>
      </c>
      <c r="AX452" s="1" t="s">
        <v>1806</v>
      </c>
      <c r="AY452" s="1">
        <v>5</v>
      </c>
      <c r="AZ452" s="1">
        <v>0</v>
      </c>
      <c r="BA452" s="1" t="s">
        <v>328</v>
      </c>
      <c r="BB452" s="1" t="s">
        <v>328</v>
      </c>
      <c r="BC452" s="1" t="s">
        <v>328</v>
      </c>
      <c r="BD452" s="1">
        <v>0</v>
      </c>
      <c r="BE452" s="1"/>
      <c r="BH452">
        <f>COUNTIF(Dropdowns!$I:$AF,C452)</f>
        <v>0</v>
      </c>
    </row>
    <row r="453" spans="1:60" x14ac:dyDescent="0.3">
      <c r="A453" s="1">
        <v>9064</v>
      </c>
      <c r="B453" s="1" t="s">
        <v>6095</v>
      </c>
      <c r="C453" s="207" t="s">
        <v>223</v>
      </c>
      <c r="D453" s="1" t="s">
        <v>4200</v>
      </c>
      <c r="E453" s="1"/>
      <c r="F453" s="1"/>
      <c r="G453" s="1" t="s">
        <v>6096</v>
      </c>
      <c r="H453" s="1" t="s">
        <v>6097</v>
      </c>
      <c r="I453" s="1" t="s">
        <v>6098</v>
      </c>
      <c r="J453" s="1">
        <v>4</v>
      </c>
      <c r="K453" s="1">
        <v>5</v>
      </c>
      <c r="L453" s="1">
        <v>14100</v>
      </c>
      <c r="M453" s="1">
        <v>20</v>
      </c>
      <c r="N453" s="1">
        <v>20</v>
      </c>
      <c r="O453" s="1">
        <v>10</v>
      </c>
      <c r="P453" s="1">
        <v>10</v>
      </c>
      <c r="Q453" s="1">
        <v>2</v>
      </c>
      <c r="R453" s="1">
        <v>5</v>
      </c>
      <c r="S453" s="1">
        <v>5</v>
      </c>
      <c r="T453" s="1">
        <v>0</v>
      </c>
      <c r="U453" s="1">
        <v>108</v>
      </c>
      <c r="V453" s="1">
        <v>120</v>
      </c>
      <c r="W453" s="1">
        <v>112</v>
      </c>
      <c r="X453" s="1">
        <v>60</v>
      </c>
      <c r="Y453" s="1">
        <v>120</v>
      </c>
      <c r="Z453" s="1">
        <v>98</v>
      </c>
      <c r="AA453" s="1">
        <v>0</v>
      </c>
      <c r="AB453" s="1">
        <v>15</v>
      </c>
      <c r="AC453" s="1">
        <v>20</v>
      </c>
      <c r="AD453" s="1">
        <v>0</v>
      </c>
      <c r="AE453" s="1">
        <v>122</v>
      </c>
      <c r="AF453" s="1">
        <v>999</v>
      </c>
      <c r="AG453" s="1">
        <v>901087</v>
      </c>
      <c r="AH453" s="1">
        <v>0</v>
      </c>
      <c r="AI453" s="1">
        <v>901087</v>
      </c>
      <c r="AJ453" s="1" t="s">
        <v>6099</v>
      </c>
      <c r="AK453" s="1" t="s">
        <v>328</v>
      </c>
      <c r="AL453" s="1">
        <v>13</v>
      </c>
      <c r="AM453" s="1" t="s">
        <v>4719</v>
      </c>
      <c r="AN453" s="1" t="s">
        <v>475</v>
      </c>
      <c r="AO453" s="1" t="s">
        <v>4887</v>
      </c>
      <c r="AP453" s="1">
        <v>0</v>
      </c>
      <c r="AQ453" s="1" t="s">
        <v>1130</v>
      </c>
      <c r="AR453" s="1" t="s">
        <v>1154</v>
      </c>
      <c r="AS453" s="1" t="s">
        <v>5846</v>
      </c>
      <c r="AT453" s="1" t="s">
        <v>328</v>
      </c>
      <c r="AU453" s="1">
        <v>65</v>
      </c>
      <c r="AV453" s="1">
        <v>0</v>
      </c>
      <c r="AW453" s="1" t="s">
        <v>5790</v>
      </c>
      <c r="AX453" s="1" t="s">
        <v>1806</v>
      </c>
      <c r="AY453" s="1">
        <v>5</v>
      </c>
      <c r="AZ453" s="1">
        <v>0</v>
      </c>
      <c r="BA453" s="1" t="s">
        <v>328</v>
      </c>
      <c r="BB453" s="1" t="s">
        <v>328</v>
      </c>
      <c r="BC453" s="1" t="s">
        <v>328</v>
      </c>
      <c r="BD453" s="1">
        <v>0</v>
      </c>
      <c r="BE453" s="1"/>
      <c r="BH453">
        <f>COUNTIF(Dropdowns!$I:$AF,C453)</f>
        <v>1</v>
      </c>
    </row>
    <row r="454" spans="1:60" x14ac:dyDescent="0.3">
      <c r="A454" s="1">
        <v>9065</v>
      </c>
      <c r="B454" s="1" t="s">
        <v>6100</v>
      </c>
      <c r="C454" s="207" t="s">
        <v>79</v>
      </c>
      <c r="D454" s="1" t="s">
        <v>4195</v>
      </c>
      <c r="E454" s="1"/>
      <c r="F454" s="1"/>
      <c r="G454" s="1" t="s">
        <v>6101</v>
      </c>
      <c r="H454" s="1" t="s">
        <v>6102</v>
      </c>
      <c r="I454" s="1" t="s">
        <v>6103</v>
      </c>
      <c r="J454" s="1">
        <v>2</v>
      </c>
      <c r="K454" s="1">
        <v>5</v>
      </c>
      <c r="L454" s="1">
        <v>9300</v>
      </c>
      <c r="M454" s="1">
        <v>20</v>
      </c>
      <c r="N454" s="1">
        <v>20</v>
      </c>
      <c r="O454" s="1">
        <v>10</v>
      </c>
      <c r="P454" s="1">
        <v>10</v>
      </c>
      <c r="Q454" s="1">
        <v>2</v>
      </c>
      <c r="R454" s="1">
        <v>5</v>
      </c>
      <c r="S454" s="1">
        <v>5</v>
      </c>
      <c r="T454" s="1">
        <v>0</v>
      </c>
      <c r="U454" s="1">
        <v>68</v>
      </c>
      <c r="V454" s="1">
        <v>120</v>
      </c>
      <c r="W454" s="1">
        <v>112</v>
      </c>
      <c r="X454" s="1">
        <v>60</v>
      </c>
      <c r="Y454" s="1">
        <v>120</v>
      </c>
      <c r="Z454" s="1">
        <v>98</v>
      </c>
      <c r="AA454" s="1">
        <v>0</v>
      </c>
      <c r="AB454" s="1">
        <v>15</v>
      </c>
      <c r="AC454" s="1">
        <v>20</v>
      </c>
      <c r="AD454" s="1">
        <v>0</v>
      </c>
      <c r="AE454" s="1">
        <v>100</v>
      </c>
      <c r="AF454" s="1">
        <v>999</v>
      </c>
      <c r="AG454" s="1">
        <v>901087</v>
      </c>
      <c r="AH454" s="1">
        <v>0</v>
      </c>
      <c r="AI454" s="1">
        <v>901087</v>
      </c>
      <c r="AJ454" s="1" t="s">
        <v>6104</v>
      </c>
      <c r="AK454" s="1" t="s">
        <v>328</v>
      </c>
      <c r="AL454" s="1">
        <v>13</v>
      </c>
      <c r="AM454" s="1" t="s">
        <v>4790</v>
      </c>
      <c r="AN454" s="1" t="s">
        <v>4793</v>
      </c>
      <c r="AO454" s="1" t="s">
        <v>4802</v>
      </c>
      <c r="AP454" s="1">
        <v>0</v>
      </c>
      <c r="AQ454" s="1" t="s">
        <v>1129</v>
      </c>
      <c r="AR454" s="1" t="s">
        <v>1119</v>
      </c>
      <c r="AS454" s="1" t="s">
        <v>1130</v>
      </c>
      <c r="AT454" s="1" t="s">
        <v>328</v>
      </c>
      <c r="AU454" s="1">
        <v>20</v>
      </c>
      <c r="AV454" s="1">
        <v>0</v>
      </c>
      <c r="AW454" s="1" t="s">
        <v>5790</v>
      </c>
      <c r="AX454" s="1" t="s">
        <v>1806</v>
      </c>
      <c r="AY454" s="1">
        <v>5</v>
      </c>
      <c r="AZ454" s="1">
        <v>0</v>
      </c>
      <c r="BA454" s="1" t="s">
        <v>328</v>
      </c>
      <c r="BB454" s="1" t="s">
        <v>328</v>
      </c>
      <c r="BC454" s="1" t="s">
        <v>328</v>
      </c>
      <c r="BD454" s="1">
        <v>0</v>
      </c>
      <c r="BE454" s="1"/>
      <c r="BH454">
        <f>COUNTIF(Dropdowns!$I:$AF,C454)</f>
        <v>1</v>
      </c>
    </row>
    <row r="455" spans="1:60" x14ac:dyDescent="0.3">
      <c r="A455" s="1">
        <v>9066</v>
      </c>
      <c r="B455" s="1" t="s">
        <v>6105</v>
      </c>
      <c r="C455" s="207" t="s">
        <v>6106</v>
      </c>
      <c r="D455" s="1" t="s">
        <v>6106</v>
      </c>
      <c r="E455" s="1"/>
      <c r="F455" s="1"/>
      <c r="G455" s="1" t="s">
        <v>6107</v>
      </c>
      <c r="H455" s="1" t="s">
        <v>6108</v>
      </c>
      <c r="I455" s="1" t="s">
        <v>6109</v>
      </c>
      <c r="J455" s="1">
        <v>4</v>
      </c>
      <c r="K455" s="1">
        <v>5</v>
      </c>
      <c r="L455" s="1">
        <v>14100</v>
      </c>
      <c r="M455" s="1">
        <v>20</v>
      </c>
      <c r="N455" s="1">
        <v>20</v>
      </c>
      <c r="O455" s="1">
        <v>10</v>
      </c>
      <c r="P455" s="1">
        <v>10</v>
      </c>
      <c r="Q455" s="1">
        <v>2</v>
      </c>
      <c r="R455" s="1">
        <v>5</v>
      </c>
      <c r="S455" s="1">
        <v>5</v>
      </c>
      <c r="T455" s="1">
        <v>0</v>
      </c>
      <c r="U455" s="1">
        <v>108</v>
      </c>
      <c r="V455" s="1">
        <v>120</v>
      </c>
      <c r="W455" s="1">
        <v>112</v>
      </c>
      <c r="X455" s="1">
        <v>60</v>
      </c>
      <c r="Y455" s="1">
        <v>120</v>
      </c>
      <c r="Z455" s="1">
        <v>98</v>
      </c>
      <c r="AA455" s="1">
        <v>0</v>
      </c>
      <c r="AB455" s="1">
        <v>15</v>
      </c>
      <c r="AC455" s="1">
        <v>20</v>
      </c>
      <c r="AD455" s="1">
        <v>0</v>
      </c>
      <c r="AE455" s="1">
        <v>122</v>
      </c>
      <c r="AF455" s="1">
        <v>999</v>
      </c>
      <c r="AG455" s="1">
        <v>901087</v>
      </c>
      <c r="AH455" s="1">
        <v>0</v>
      </c>
      <c r="AI455" s="1">
        <v>901087</v>
      </c>
      <c r="AJ455" s="1" t="s">
        <v>6099</v>
      </c>
      <c r="AK455" s="1" t="s">
        <v>328</v>
      </c>
      <c r="AL455" s="1">
        <v>13</v>
      </c>
      <c r="AM455" s="1" t="s">
        <v>4719</v>
      </c>
      <c r="AN455" s="1" t="s">
        <v>475</v>
      </c>
      <c r="AO455" s="1" t="s">
        <v>4887</v>
      </c>
      <c r="AP455" s="1">
        <v>0</v>
      </c>
      <c r="AQ455" s="1" t="s">
        <v>1130</v>
      </c>
      <c r="AR455" s="1" t="s">
        <v>1154</v>
      </c>
      <c r="AS455" s="1" t="s">
        <v>5846</v>
      </c>
      <c r="AT455" s="1" t="s">
        <v>328</v>
      </c>
      <c r="AU455" s="1">
        <v>65</v>
      </c>
      <c r="AV455" s="1">
        <v>0</v>
      </c>
      <c r="AW455" s="1" t="s">
        <v>5790</v>
      </c>
      <c r="AX455" s="1" t="s">
        <v>1806</v>
      </c>
      <c r="AY455" s="1">
        <v>5</v>
      </c>
      <c r="AZ455" s="1">
        <v>0</v>
      </c>
      <c r="BA455" s="1" t="s">
        <v>328</v>
      </c>
      <c r="BB455" s="1" t="s">
        <v>328</v>
      </c>
      <c r="BC455" s="1" t="s">
        <v>328</v>
      </c>
      <c r="BD455" s="1">
        <v>0</v>
      </c>
      <c r="BE455" s="1"/>
      <c r="BH455">
        <f>COUNTIF(Dropdowns!$I:$AF,C455)</f>
        <v>0</v>
      </c>
    </row>
    <row r="456" spans="1:60" x14ac:dyDescent="0.3">
      <c r="A456" s="1">
        <v>9067</v>
      </c>
      <c r="B456" s="1" t="s">
        <v>6110</v>
      </c>
      <c r="C456" s="207" t="s">
        <v>6111</v>
      </c>
      <c r="D456" s="1" t="s">
        <v>6111</v>
      </c>
      <c r="E456" s="1"/>
      <c r="F456" s="1"/>
      <c r="G456" s="1" t="s">
        <v>6112</v>
      </c>
      <c r="H456" s="1" t="s">
        <v>6113</v>
      </c>
      <c r="I456" s="1" t="s">
        <v>6114</v>
      </c>
      <c r="J456" s="1">
        <v>2</v>
      </c>
      <c r="K456" s="1">
        <v>5</v>
      </c>
      <c r="L456" s="1">
        <v>9300</v>
      </c>
      <c r="M456" s="1">
        <v>20</v>
      </c>
      <c r="N456" s="1">
        <v>20</v>
      </c>
      <c r="O456" s="1">
        <v>10</v>
      </c>
      <c r="P456" s="1">
        <v>10</v>
      </c>
      <c r="Q456" s="1">
        <v>2</v>
      </c>
      <c r="R456" s="1">
        <v>5</v>
      </c>
      <c r="S456" s="1">
        <v>5</v>
      </c>
      <c r="T456" s="1">
        <v>0</v>
      </c>
      <c r="U456" s="1">
        <v>68</v>
      </c>
      <c r="V456" s="1">
        <v>120</v>
      </c>
      <c r="W456" s="1">
        <v>112</v>
      </c>
      <c r="X456" s="1">
        <v>60</v>
      </c>
      <c r="Y456" s="1">
        <v>120</v>
      </c>
      <c r="Z456" s="1">
        <v>98</v>
      </c>
      <c r="AA456" s="1">
        <v>0</v>
      </c>
      <c r="AB456" s="1">
        <v>15</v>
      </c>
      <c r="AC456" s="1">
        <v>20</v>
      </c>
      <c r="AD456" s="1">
        <v>0</v>
      </c>
      <c r="AE456" s="1">
        <v>100</v>
      </c>
      <c r="AF456" s="1">
        <v>999</v>
      </c>
      <c r="AG456" s="1">
        <v>901087</v>
      </c>
      <c r="AH456" s="1">
        <v>0</v>
      </c>
      <c r="AI456" s="1">
        <v>901087</v>
      </c>
      <c r="AJ456" s="1" t="s">
        <v>6104</v>
      </c>
      <c r="AK456" s="1" t="s">
        <v>328</v>
      </c>
      <c r="AL456" s="1">
        <v>13</v>
      </c>
      <c r="AM456" s="1" t="s">
        <v>4790</v>
      </c>
      <c r="AN456" s="1" t="s">
        <v>4793</v>
      </c>
      <c r="AO456" s="1" t="s">
        <v>4802</v>
      </c>
      <c r="AP456" s="1">
        <v>0</v>
      </c>
      <c r="AQ456" s="1" t="s">
        <v>1129</v>
      </c>
      <c r="AR456" s="1" t="s">
        <v>1119</v>
      </c>
      <c r="AS456" s="1" t="s">
        <v>1130</v>
      </c>
      <c r="AT456" s="1" t="s">
        <v>328</v>
      </c>
      <c r="AU456" s="1">
        <v>20</v>
      </c>
      <c r="AV456" s="1">
        <v>0</v>
      </c>
      <c r="AW456" s="1" t="s">
        <v>5790</v>
      </c>
      <c r="AX456" s="1" t="s">
        <v>1806</v>
      </c>
      <c r="AY456" s="1">
        <v>5</v>
      </c>
      <c r="AZ456" s="1">
        <v>0</v>
      </c>
      <c r="BA456" s="1" t="s">
        <v>328</v>
      </c>
      <c r="BB456" s="1" t="s">
        <v>328</v>
      </c>
      <c r="BC456" s="1" t="s">
        <v>328</v>
      </c>
      <c r="BD456" s="1">
        <v>0</v>
      </c>
      <c r="BE456" s="1"/>
      <c r="BH456">
        <f>COUNTIF(Dropdowns!$I:$AF,C456)</f>
        <v>0</v>
      </c>
    </row>
    <row r="457" spans="1:60" x14ac:dyDescent="0.3">
      <c r="A457" s="1">
        <v>9068</v>
      </c>
      <c r="B457" s="1" t="s">
        <v>6115</v>
      </c>
      <c r="C457" s="207" t="s">
        <v>6111</v>
      </c>
      <c r="D457" s="1" t="s">
        <v>6111</v>
      </c>
      <c r="E457" s="1"/>
      <c r="F457" s="1"/>
      <c r="G457" s="1" t="s">
        <v>6116</v>
      </c>
      <c r="H457" s="1" t="s">
        <v>6117</v>
      </c>
      <c r="I457" s="1" t="s">
        <v>6118</v>
      </c>
      <c r="J457" s="1">
        <v>1</v>
      </c>
      <c r="K457" s="1">
        <v>5</v>
      </c>
      <c r="L457" s="1">
        <v>3000</v>
      </c>
      <c r="M457" s="1">
        <v>10</v>
      </c>
      <c r="N457" s="1">
        <v>10</v>
      </c>
      <c r="O457" s="1">
        <v>5</v>
      </c>
      <c r="P457" s="1">
        <v>5</v>
      </c>
      <c r="Q457" s="1">
        <v>2</v>
      </c>
      <c r="R457" s="1">
        <v>2</v>
      </c>
      <c r="S457" s="1">
        <v>2</v>
      </c>
      <c r="T457" s="1">
        <v>0</v>
      </c>
      <c r="U457" s="1">
        <v>226</v>
      </c>
      <c r="V457" s="1">
        <v>100</v>
      </c>
      <c r="W457" s="1">
        <v>98</v>
      </c>
      <c r="X457" s="1">
        <v>100</v>
      </c>
      <c r="Y457" s="1">
        <v>100</v>
      </c>
      <c r="Z457" s="1">
        <v>0</v>
      </c>
      <c r="AA457" s="1">
        <v>0</v>
      </c>
      <c r="AB457" s="1">
        <v>0</v>
      </c>
      <c r="AC457" s="1">
        <v>0</v>
      </c>
      <c r="AD457" s="1">
        <v>0</v>
      </c>
      <c r="AE457" s="1">
        <v>98</v>
      </c>
      <c r="AF457" s="1">
        <v>999</v>
      </c>
      <c r="AG457" s="1">
        <v>901087</v>
      </c>
      <c r="AH457" s="1">
        <v>0</v>
      </c>
      <c r="AI457" s="1">
        <v>903101</v>
      </c>
      <c r="AJ457" s="1" t="s">
        <v>6119</v>
      </c>
      <c r="AK457" s="1" t="s">
        <v>328</v>
      </c>
      <c r="AL457" s="1">
        <v>13</v>
      </c>
      <c r="AM457" s="1" t="s">
        <v>4790</v>
      </c>
      <c r="AN457" s="1" t="s">
        <v>4793</v>
      </c>
      <c r="AO457" s="1" t="s">
        <v>4802</v>
      </c>
      <c r="AP457" s="1">
        <v>0</v>
      </c>
      <c r="AQ457" s="1" t="s">
        <v>1129</v>
      </c>
      <c r="AR457" s="1" t="s">
        <v>1119</v>
      </c>
      <c r="AS457" s="1" t="s">
        <v>1130</v>
      </c>
      <c r="AT457" s="1" t="s">
        <v>328</v>
      </c>
      <c r="AU457" s="1">
        <v>20</v>
      </c>
      <c r="AV457" s="1">
        <v>0</v>
      </c>
      <c r="AW457" s="1" t="s">
        <v>5790</v>
      </c>
      <c r="AX457" s="1" t="s">
        <v>1806</v>
      </c>
      <c r="AY457" s="1">
        <v>5</v>
      </c>
      <c r="AZ457" s="1">
        <v>0</v>
      </c>
      <c r="BA457" s="1" t="s">
        <v>328</v>
      </c>
      <c r="BB457" s="1" t="s">
        <v>328</v>
      </c>
      <c r="BC457" s="1" t="s">
        <v>328</v>
      </c>
      <c r="BD457" s="1">
        <v>0</v>
      </c>
      <c r="BE457" s="1"/>
      <c r="BH457">
        <f>COUNTIF(Dropdowns!$I:$AF,C457)</f>
        <v>0</v>
      </c>
    </row>
    <row r="458" spans="1:60" x14ac:dyDescent="0.3">
      <c r="A458" s="1">
        <v>9069</v>
      </c>
      <c r="B458" s="1" t="s">
        <v>6120</v>
      </c>
      <c r="C458" s="207" t="s">
        <v>6121</v>
      </c>
      <c r="D458" s="1" t="s">
        <v>6121</v>
      </c>
      <c r="E458" s="1"/>
      <c r="F458" s="1"/>
      <c r="G458" s="1" t="s">
        <v>6122</v>
      </c>
      <c r="H458" s="1" t="s">
        <v>6123</v>
      </c>
      <c r="I458" s="1" t="s">
        <v>6124</v>
      </c>
      <c r="J458" s="1">
        <v>1</v>
      </c>
      <c r="K458" s="1">
        <v>5</v>
      </c>
      <c r="L458" s="1">
        <v>2700</v>
      </c>
      <c r="M458" s="1">
        <v>10</v>
      </c>
      <c r="N458" s="1">
        <v>10</v>
      </c>
      <c r="O458" s="1">
        <v>5</v>
      </c>
      <c r="P458" s="1">
        <v>5</v>
      </c>
      <c r="Q458" s="1">
        <v>2</v>
      </c>
      <c r="R458" s="1">
        <v>2</v>
      </c>
      <c r="S458" s="1">
        <v>2</v>
      </c>
      <c r="T458" s="1">
        <v>0</v>
      </c>
      <c r="U458" s="1">
        <v>650</v>
      </c>
      <c r="V458" s="1">
        <v>120</v>
      </c>
      <c r="W458" s="1">
        <v>100</v>
      </c>
      <c r="X458" s="1">
        <v>100</v>
      </c>
      <c r="Y458" s="1">
        <v>105</v>
      </c>
      <c r="Z458" s="1">
        <v>100</v>
      </c>
      <c r="AA458" s="1">
        <v>0</v>
      </c>
      <c r="AB458" s="1">
        <v>15</v>
      </c>
      <c r="AC458" s="1">
        <v>20</v>
      </c>
      <c r="AD458" s="1">
        <v>0</v>
      </c>
      <c r="AE458" s="1">
        <v>105</v>
      </c>
      <c r="AF458" s="1">
        <v>120</v>
      </c>
      <c r="AG458" s="1">
        <v>100602</v>
      </c>
      <c r="AH458" s="1">
        <v>0</v>
      </c>
      <c r="AI458" s="1">
        <v>300101</v>
      </c>
      <c r="AJ458" s="1" t="s">
        <v>328</v>
      </c>
      <c r="AK458" s="1" t="s">
        <v>328</v>
      </c>
      <c r="AL458" s="1">
        <v>13</v>
      </c>
      <c r="AM458" s="1" t="s">
        <v>1806</v>
      </c>
      <c r="AN458" s="1" t="s">
        <v>4747</v>
      </c>
      <c r="AO458" s="1" t="s">
        <v>4744</v>
      </c>
      <c r="AP458" s="1">
        <v>0</v>
      </c>
      <c r="AQ458" s="1" t="s">
        <v>5852</v>
      </c>
      <c r="AR458" s="1" t="s">
        <v>1119</v>
      </c>
      <c r="AS458" s="1" t="s">
        <v>1129</v>
      </c>
      <c r="AT458" s="1" t="s">
        <v>328</v>
      </c>
      <c r="AU458" s="1">
        <v>6</v>
      </c>
      <c r="AV458" s="1">
        <v>0</v>
      </c>
      <c r="AW458" s="1" t="s">
        <v>5790</v>
      </c>
      <c r="AX458" s="1" t="s">
        <v>1806</v>
      </c>
      <c r="AY458" s="1">
        <v>5</v>
      </c>
      <c r="AZ458" s="1">
        <v>0</v>
      </c>
      <c r="BA458" s="1" t="s">
        <v>328</v>
      </c>
      <c r="BB458" s="1" t="s">
        <v>328</v>
      </c>
      <c r="BC458" s="1" t="s">
        <v>328</v>
      </c>
      <c r="BD458" s="1">
        <v>0</v>
      </c>
      <c r="BE458" s="1"/>
      <c r="BH458">
        <f>COUNTIF(Dropdowns!$I:$AF,C458)</f>
        <v>0</v>
      </c>
    </row>
    <row r="459" spans="1:60" x14ac:dyDescent="0.3">
      <c r="A459" s="1">
        <v>9070</v>
      </c>
      <c r="B459" s="1" t="s">
        <v>6125</v>
      </c>
      <c r="C459" s="207" t="s">
        <v>5780</v>
      </c>
      <c r="D459" s="1" t="s">
        <v>4205</v>
      </c>
      <c r="E459" s="1"/>
      <c r="F459" s="1"/>
      <c r="G459" s="1" t="s">
        <v>6126</v>
      </c>
      <c r="H459" s="1" t="s">
        <v>6127</v>
      </c>
      <c r="I459" s="1" t="s">
        <v>6128</v>
      </c>
      <c r="J459" s="1">
        <v>2</v>
      </c>
      <c r="K459" s="1">
        <v>5</v>
      </c>
      <c r="L459" s="1">
        <v>8880</v>
      </c>
      <c r="M459" s="1">
        <v>25</v>
      </c>
      <c r="N459" s="1">
        <v>20</v>
      </c>
      <c r="O459" s="1">
        <v>15</v>
      </c>
      <c r="P459" s="1">
        <v>10</v>
      </c>
      <c r="Q459" s="1">
        <v>5</v>
      </c>
      <c r="R459" s="1">
        <v>5</v>
      </c>
      <c r="S459" s="1">
        <v>2</v>
      </c>
      <c r="T459" s="1">
        <v>0</v>
      </c>
      <c r="U459" s="1">
        <v>115</v>
      </c>
      <c r="V459" s="1">
        <v>90</v>
      </c>
      <c r="W459" s="1">
        <v>100</v>
      </c>
      <c r="X459" s="1">
        <v>100</v>
      </c>
      <c r="Y459" s="1">
        <v>95</v>
      </c>
      <c r="Z459" s="1">
        <v>110</v>
      </c>
      <c r="AA459" s="1">
        <v>0</v>
      </c>
      <c r="AB459" s="1">
        <v>15</v>
      </c>
      <c r="AC459" s="1">
        <v>5</v>
      </c>
      <c r="AD459" s="1">
        <v>0</v>
      </c>
      <c r="AE459" s="1">
        <v>125</v>
      </c>
      <c r="AF459" s="1">
        <v>100</v>
      </c>
      <c r="AG459" s="1">
        <v>116401</v>
      </c>
      <c r="AH459" s="1">
        <v>0</v>
      </c>
      <c r="AI459" s="1">
        <v>116402</v>
      </c>
      <c r="AJ459" s="1" t="s">
        <v>6129</v>
      </c>
      <c r="AK459" s="1" t="s">
        <v>328</v>
      </c>
      <c r="AL459" s="1">
        <v>13</v>
      </c>
      <c r="AM459" s="1" t="s">
        <v>398</v>
      </c>
      <c r="AN459" s="1" t="s">
        <v>4795</v>
      </c>
      <c r="AO459" s="1" t="s">
        <v>5411</v>
      </c>
      <c r="AP459" s="1">
        <v>0</v>
      </c>
      <c r="AQ459" s="1" t="s">
        <v>1129</v>
      </c>
      <c r="AR459" s="1" t="s">
        <v>1119</v>
      </c>
      <c r="AS459" s="1" t="s">
        <v>1130</v>
      </c>
      <c r="AT459" s="1" t="s">
        <v>328</v>
      </c>
      <c r="AU459" s="1">
        <v>48</v>
      </c>
      <c r="AV459" s="1">
        <v>0</v>
      </c>
      <c r="AW459" s="1" t="s">
        <v>5790</v>
      </c>
      <c r="AX459" s="1" t="s">
        <v>1806</v>
      </c>
      <c r="AY459" s="1">
        <v>5</v>
      </c>
      <c r="AZ459" s="1">
        <v>0</v>
      </c>
      <c r="BA459" s="1" t="s">
        <v>328</v>
      </c>
      <c r="BB459" s="1" t="s">
        <v>328</v>
      </c>
      <c r="BC459" s="1" t="s">
        <v>5386</v>
      </c>
      <c r="BD459" s="1">
        <v>0</v>
      </c>
      <c r="BE459" s="1"/>
      <c r="BH459">
        <f>COUNTIF(Dropdowns!$I:$AF,C459)</f>
        <v>0</v>
      </c>
    </row>
    <row r="460" spans="1:60" x14ac:dyDescent="0.3">
      <c r="A460" s="1">
        <v>9071</v>
      </c>
      <c r="B460" s="1" t="s">
        <v>6130</v>
      </c>
      <c r="C460" s="207" t="s">
        <v>6131</v>
      </c>
      <c r="D460" s="1" t="s">
        <v>6131</v>
      </c>
      <c r="E460" s="1"/>
      <c r="F460" s="1"/>
      <c r="G460" s="1" t="s">
        <v>6132</v>
      </c>
      <c r="H460" s="1" t="s">
        <v>6133</v>
      </c>
      <c r="I460" s="1" t="s">
        <v>6134</v>
      </c>
      <c r="J460" s="1">
        <v>1</v>
      </c>
      <c r="K460" s="1">
        <v>5</v>
      </c>
      <c r="L460" s="1">
        <v>12900</v>
      </c>
      <c r="M460" s="1">
        <v>20</v>
      </c>
      <c r="N460" s="1">
        <v>20</v>
      </c>
      <c r="O460" s="1">
        <v>10</v>
      </c>
      <c r="P460" s="1">
        <v>10</v>
      </c>
      <c r="Q460" s="1">
        <v>2</v>
      </c>
      <c r="R460" s="1">
        <v>5</v>
      </c>
      <c r="S460" s="1">
        <v>5</v>
      </c>
      <c r="T460" s="1">
        <v>0</v>
      </c>
      <c r="U460" s="1">
        <v>1800</v>
      </c>
      <c r="V460" s="1">
        <v>600</v>
      </c>
      <c r="W460" s="1">
        <v>280</v>
      </c>
      <c r="X460" s="1">
        <v>100</v>
      </c>
      <c r="Y460" s="1">
        <v>180</v>
      </c>
      <c r="Z460" s="1">
        <v>180</v>
      </c>
      <c r="AA460" s="1">
        <v>0</v>
      </c>
      <c r="AB460" s="1">
        <v>15</v>
      </c>
      <c r="AC460" s="1">
        <v>50</v>
      </c>
      <c r="AD460" s="1">
        <v>0</v>
      </c>
      <c r="AE460" s="1">
        <v>100</v>
      </c>
      <c r="AF460" s="1">
        <v>100</v>
      </c>
      <c r="AG460" s="1">
        <v>100107</v>
      </c>
      <c r="AH460" s="1">
        <v>0</v>
      </c>
      <c r="AI460" s="1">
        <v>759009</v>
      </c>
      <c r="AJ460" s="1" t="s">
        <v>328</v>
      </c>
      <c r="AK460" s="1" t="s">
        <v>328</v>
      </c>
      <c r="AL460" s="1">
        <v>13</v>
      </c>
      <c r="AM460" s="1" t="s">
        <v>4790</v>
      </c>
      <c r="AN460" s="1" t="s">
        <v>4861</v>
      </c>
      <c r="AO460" s="1" t="s">
        <v>5428</v>
      </c>
      <c r="AP460" s="1">
        <v>0</v>
      </c>
      <c r="AQ460" s="1" t="s">
        <v>1130</v>
      </c>
      <c r="AR460" s="1" t="s">
        <v>1154</v>
      </c>
      <c r="AS460" s="1" t="s">
        <v>5846</v>
      </c>
      <c r="AT460" s="1" t="s">
        <v>328</v>
      </c>
      <c r="AU460" s="1">
        <v>55</v>
      </c>
      <c r="AV460" s="1">
        <v>0</v>
      </c>
      <c r="AW460" s="1" t="s">
        <v>5790</v>
      </c>
      <c r="AX460" s="1" t="s">
        <v>1806</v>
      </c>
      <c r="AY460" s="1">
        <v>5</v>
      </c>
      <c r="AZ460" s="1">
        <v>0</v>
      </c>
      <c r="BA460" s="1" t="s">
        <v>328</v>
      </c>
      <c r="BB460" s="1" t="s">
        <v>328</v>
      </c>
      <c r="BC460" s="1" t="s">
        <v>328</v>
      </c>
      <c r="BD460" s="1">
        <v>0</v>
      </c>
      <c r="BE460" s="1"/>
      <c r="BH460">
        <f>COUNTIF(Dropdowns!$I:$AF,C460)</f>
        <v>0</v>
      </c>
    </row>
    <row r="461" spans="1:60" x14ac:dyDescent="0.3">
      <c r="A461" s="1">
        <v>9072</v>
      </c>
      <c r="B461" s="1" t="s">
        <v>6135</v>
      </c>
      <c r="C461" s="207" t="s">
        <v>6136</v>
      </c>
      <c r="D461" s="1" t="s">
        <v>6136</v>
      </c>
      <c r="E461" s="1"/>
      <c r="F461" s="1"/>
      <c r="G461" s="1" t="s">
        <v>6137</v>
      </c>
      <c r="H461" s="1" t="s">
        <v>6138</v>
      </c>
      <c r="I461" s="1" t="s">
        <v>6139</v>
      </c>
      <c r="J461" s="1">
        <v>1</v>
      </c>
      <c r="K461" s="1">
        <v>5</v>
      </c>
      <c r="L461" s="1">
        <v>12900</v>
      </c>
      <c r="M461" s="1">
        <v>20</v>
      </c>
      <c r="N461" s="1">
        <v>20</v>
      </c>
      <c r="O461" s="1">
        <v>10</v>
      </c>
      <c r="P461" s="1">
        <v>10</v>
      </c>
      <c r="Q461" s="1">
        <v>2</v>
      </c>
      <c r="R461" s="1">
        <v>5</v>
      </c>
      <c r="S461" s="1">
        <v>5</v>
      </c>
      <c r="T461" s="1">
        <v>0</v>
      </c>
      <c r="U461" s="1">
        <v>1800</v>
      </c>
      <c r="V461" s="1">
        <v>600</v>
      </c>
      <c r="W461" s="1">
        <v>280</v>
      </c>
      <c r="X461" s="1">
        <v>100</v>
      </c>
      <c r="Y461" s="1">
        <v>180</v>
      </c>
      <c r="Z461" s="1">
        <v>180</v>
      </c>
      <c r="AA461" s="1">
        <v>0</v>
      </c>
      <c r="AB461" s="1">
        <v>15</v>
      </c>
      <c r="AC461" s="1">
        <v>50</v>
      </c>
      <c r="AD461" s="1">
        <v>0</v>
      </c>
      <c r="AE461" s="1">
        <v>100</v>
      </c>
      <c r="AF461" s="1">
        <v>100</v>
      </c>
      <c r="AG461" s="1">
        <v>100107</v>
      </c>
      <c r="AH461" s="1">
        <v>0</v>
      </c>
      <c r="AI461" s="1">
        <v>300103</v>
      </c>
      <c r="AJ461" s="1" t="s">
        <v>328</v>
      </c>
      <c r="AK461" s="1" t="s">
        <v>328</v>
      </c>
      <c r="AL461" s="1">
        <v>13</v>
      </c>
      <c r="AM461" s="1" t="s">
        <v>4790</v>
      </c>
      <c r="AN461" s="1" t="s">
        <v>4861</v>
      </c>
      <c r="AO461" s="1" t="s">
        <v>5428</v>
      </c>
      <c r="AP461" s="1">
        <v>0</v>
      </c>
      <c r="AQ461" s="1" t="s">
        <v>1130</v>
      </c>
      <c r="AR461" s="1" t="s">
        <v>1154</v>
      </c>
      <c r="AS461" s="1" t="s">
        <v>5846</v>
      </c>
      <c r="AT461" s="1" t="s">
        <v>328</v>
      </c>
      <c r="AU461" s="1">
        <v>55</v>
      </c>
      <c r="AV461" s="1">
        <v>0</v>
      </c>
      <c r="AW461" s="1" t="s">
        <v>5790</v>
      </c>
      <c r="AX461" s="1" t="s">
        <v>1806</v>
      </c>
      <c r="AY461" s="1">
        <v>5</v>
      </c>
      <c r="AZ461" s="1">
        <v>0</v>
      </c>
      <c r="BA461" s="1" t="s">
        <v>328</v>
      </c>
      <c r="BB461" s="1" t="s">
        <v>328</v>
      </c>
      <c r="BC461" s="1" t="s">
        <v>328</v>
      </c>
      <c r="BD461" s="1">
        <v>0</v>
      </c>
      <c r="BE461" s="1"/>
      <c r="BH461">
        <f>COUNTIF(Dropdowns!$I:$AF,C461)</f>
        <v>0</v>
      </c>
    </row>
    <row r="462" spans="1:60" x14ac:dyDescent="0.3">
      <c r="A462" s="1">
        <v>9073</v>
      </c>
      <c r="B462" s="1" t="s">
        <v>6140</v>
      </c>
      <c r="C462" s="207" t="s">
        <v>6141</v>
      </c>
      <c r="D462" s="1" t="s">
        <v>6141</v>
      </c>
      <c r="E462" s="1"/>
      <c r="F462" s="1"/>
      <c r="G462" s="1" t="s">
        <v>6142</v>
      </c>
      <c r="H462" s="1" t="s">
        <v>6143</v>
      </c>
      <c r="I462" s="1" t="s">
        <v>6144</v>
      </c>
      <c r="J462" s="1">
        <v>6</v>
      </c>
      <c r="K462" s="1">
        <v>5</v>
      </c>
      <c r="L462" s="1">
        <v>22500</v>
      </c>
      <c r="M462" s="1">
        <v>40</v>
      </c>
      <c r="N462" s="1">
        <v>30</v>
      </c>
      <c r="O462" s="1">
        <v>25</v>
      </c>
      <c r="P462" s="1">
        <v>15</v>
      </c>
      <c r="Q462" s="1">
        <v>5</v>
      </c>
      <c r="R462" s="1">
        <v>5</v>
      </c>
      <c r="S462" s="1">
        <v>2</v>
      </c>
      <c r="T462" s="1">
        <v>5</v>
      </c>
      <c r="U462" s="1">
        <v>100</v>
      </c>
      <c r="V462" s="1">
        <v>100</v>
      </c>
      <c r="W462" s="1">
        <v>100</v>
      </c>
      <c r="X462" s="1">
        <v>100</v>
      </c>
      <c r="Y462" s="1">
        <v>100</v>
      </c>
      <c r="Z462" s="1">
        <v>100</v>
      </c>
      <c r="AA462" s="1">
        <v>100</v>
      </c>
      <c r="AB462" s="1">
        <v>15</v>
      </c>
      <c r="AC462" s="1">
        <v>0</v>
      </c>
      <c r="AD462" s="1">
        <v>1</v>
      </c>
      <c r="AE462" s="1">
        <v>100</v>
      </c>
      <c r="AF462" s="1">
        <v>100</v>
      </c>
      <c r="AG462" s="1">
        <v>100107</v>
      </c>
      <c r="AH462" s="1">
        <v>0</v>
      </c>
      <c r="AI462" s="1">
        <v>300103</v>
      </c>
      <c r="AJ462" s="1" t="s">
        <v>328</v>
      </c>
      <c r="AK462" s="1" t="s">
        <v>328</v>
      </c>
      <c r="AL462" s="1">
        <v>19</v>
      </c>
      <c r="AM462" s="1" t="s">
        <v>4762</v>
      </c>
      <c r="AN462" s="1" t="s">
        <v>328</v>
      </c>
      <c r="AO462" s="1" t="s">
        <v>328</v>
      </c>
      <c r="AP462" s="1">
        <v>0</v>
      </c>
      <c r="AQ462" s="1" t="s">
        <v>1140</v>
      </c>
      <c r="AR462" s="1" t="s">
        <v>5788</v>
      </c>
      <c r="AS462" s="1" t="s">
        <v>5789</v>
      </c>
      <c r="AT462" s="1" t="s">
        <v>328</v>
      </c>
      <c r="AU462" s="1">
        <v>10</v>
      </c>
      <c r="AV462" s="1">
        <v>1</v>
      </c>
      <c r="AW462" s="1" t="s">
        <v>5790</v>
      </c>
      <c r="AX462" s="1" t="s">
        <v>1806</v>
      </c>
      <c r="AY462" s="1">
        <v>5</v>
      </c>
      <c r="AZ462" s="1">
        <v>0</v>
      </c>
      <c r="BA462" s="1" t="s">
        <v>328</v>
      </c>
      <c r="BB462" s="1" t="s">
        <v>328</v>
      </c>
      <c r="BC462" s="1" t="s">
        <v>328</v>
      </c>
      <c r="BD462" s="1">
        <v>0</v>
      </c>
      <c r="BE462" s="1"/>
      <c r="BH462">
        <f>COUNTIF(Dropdowns!$I:$AF,C462)</f>
        <v>0</v>
      </c>
    </row>
    <row r="463" spans="1:60" x14ac:dyDescent="0.3">
      <c r="A463" s="1">
        <v>9074</v>
      </c>
      <c r="B463" s="1" t="s">
        <v>6145</v>
      </c>
      <c r="C463" s="207" t="s">
        <v>6146</v>
      </c>
      <c r="D463" s="1" t="s">
        <v>6146</v>
      </c>
      <c r="E463" s="1"/>
      <c r="F463" s="1"/>
      <c r="G463" s="1" t="s">
        <v>6147</v>
      </c>
      <c r="H463" s="1" t="s">
        <v>6148</v>
      </c>
      <c r="I463" s="1" t="s">
        <v>6149</v>
      </c>
      <c r="J463" s="1">
        <v>6</v>
      </c>
      <c r="K463" s="1">
        <v>5</v>
      </c>
      <c r="L463" s="1">
        <v>22500</v>
      </c>
      <c r="M463" s="1">
        <v>40</v>
      </c>
      <c r="N463" s="1">
        <v>30</v>
      </c>
      <c r="O463" s="1">
        <v>25</v>
      </c>
      <c r="P463" s="1">
        <v>15</v>
      </c>
      <c r="Q463" s="1">
        <v>5</v>
      </c>
      <c r="R463" s="1">
        <v>5</v>
      </c>
      <c r="S463" s="1">
        <v>2</v>
      </c>
      <c r="T463" s="1">
        <v>5</v>
      </c>
      <c r="U463" s="1">
        <v>500</v>
      </c>
      <c r="V463" s="1">
        <v>120</v>
      </c>
      <c r="W463" s="1">
        <v>100</v>
      </c>
      <c r="X463" s="1">
        <v>100</v>
      </c>
      <c r="Y463" s="1">
        <v>100</v>
      </c>
      <c r="Z463" s="1">
        <v>100</v>
      </c>
      <c r="AA463" s="1">
        <v>120</v>
      </c>
      <c r="AB463" s="1">
        <v>15</v>
      </c>
      <c r="AC463" s="1">
        <v>0</v>
      </c>
      <c r="AD463" s="1">
        <v>1</v>
      </c>
      <c r="AE463" s="1">
        <v>100</v>
      </c>
      <c r="AF463" s="1">
        <v>100</v>
      </c>
      <c r="AG463" s="1">
        <v>100107</v>
      </c>
      <c r="AH463" s="1">
        <v>0</v>
      </c>
      <c r="AI463" s="1">
        <v>756122</v>
      </c>
      <c r="AJ463" s="1" t="s">
        <v>1199</v>
      </c>
      <c r="AK463" s="1" t="s">
        <v>328</v>
      </c>
      <c r="AL463" s="1">
        <v>19</v>
      </c>
      <c r="AM463" s="1" t="s">
        <v>4762</v>
      </c>
      <c r="AN463" s="1" t="s">
        <v>328</v>
      </c>
      <c r="AO463" s="1" t="s">
        <v>328</v>
      </c>
      <c r="AP463" s="1">
        <v>0</v>
      </c>
      <c r="AQ463" s="1" t="s">
        <v>1140</v>
      </c>
      <c r="AR463" s="1" t="s">
        <v>5788</v>
      </c>
      <c r="AS463" s="1" t="s">
        <v>5789</v>
      </c>
      <c r="AT463" s="1" t="s">
        <v>328</v>
      </c>
      <c r="AU463" s="1">
        <v>10</v>
      </c>
      <c r="AV463" s="1">
        <v>1</v>
      </c>
      <c r="AW463" s="1" t="s">
        <v>5790</v>
      </c>
      <c r="AX463" s="1" t="s">
        <v>1806</v>
      </c>
      <c r="AY463" s="1">
        <v>5</v>
      </c>
      <c r="AZ463" s="1">
        <v>0</v>
      </c>
      <c r="BA463" s="1" t="s">
        <v>328</v>
      </c>
      <c r="BB463" s="1" t="s">
        <v>328</v>
      </c>
      <c r="BC463" s="1" t="s">
        <v>328</v>
      </c>
      <c r="BD463" s="1">
        <v>0</v>
      </c>
      <c r="BE463" s="1"/>
      <c r="BH463">
        <f>COUNTIF(Dropdowns!$I:$AF,C463)</f>
        <v>0</v>
      </c>
    </row>
    <row r="464" spans="1:60" x14ac:dyDescent="0.3">
      <c r="A464" s="1">
        <v>9075</v>
      </c>
      <c r="B464" s="1" t="s">
        <v>6150</v>
      </c>
      <c r="C464" s="207" t="s">
        <v>6151</v>
      </c>
      <c r="D464" s="1" t="s">
        <v>6151</v>
      </c>
      <c r="E464" s="1"/>
      <c r="F464" s="1"/>
      <c r="G464" s="1" t="s">
        <v>6152</v>
      </c>
      <c r="H464" s="1" t="s">
        <v>6153</v>
      </c>
      <c r="I464" s="1" t="s">
        <v>6154</v>
      </c>
      <c r="J464" s="1">
        <v>1</v>
      </c>
      <c r="K464" s="1">
        <v>5</v>
      </c>
      <c r="L464" s="1">
        <v>3000</v>
      </c>
      <c r="M464" s="1">
        <v>10</v>
      </c>
      <c r="N464" s="1">
        <v>10</v>
      </c>
      <c r="O464" s="1">
        <v>5</v>
      </c>
      <c r="P464" s="1">
        <v>5</v>
      </c>
      <c r="Q464" s="1">
        <v>2</v>
      </c>
      <c r="R464" s="1">
        <v>2</v>
      </c>
      <c r="S464" s="1">
        <v>2</v>
      </c>
      <c r="T464" s="1">
        <v>0</v>
      </c>
      <c r="U464" s="1">
        <v>226</v>
      </c>
      <c r="V464" s="1">
        <v>100</v>
      </c>
      <c r="W464" s="1">
        <v>98</v>
      </c>
      <c r="X464" s="1">
        <v>100</v>
      </c>
      <c r="Y464" s="1">
        <v>100</v>
      </c>
      <c r="Z464" s="1">
        <v>100</v>
      </c>
      <c r="AA464" s="1">
        <v>0</v>
      </c>
      <c r="AB464" s="1">
        <v>0</v>
      </c>
      <c r="AC464" s="1">
        <v>0</v>
      </c>
      <c r="AD464" s="1">
        <v>0</v>
      </c>
      <c r="AE464" s="1">
        <v>98</v>
      </c>
      <c r="AF464" s="1">
        <v>100</v>
      </c>
      <c r="AG464" s="1">
        <v>100107</v>
      </c>
      <c r="AH464" s="1">
        <v>0</v>
      </c>
      <c r="AI464" s="1">
        <v>300103</v>
      </c>
      <c r="AJ464" s="1" t="s">
        <v>328</v>
      </c>
      <c r="AK464" s="1" t="s">
        <v>328</v>
      </c>
      <c r="AL464" s="1">
        <v>13</v>
      </c>
      <c r="AM464" s="1" t="s">
        <v>4790</v>
      </c>
      <c r="AN464" s="1" t="s">
        <v>4793</v>
      </c>
      <c r="AO464" s="1" t="s">
        <v>4802</v>
      </c>
      <c r="AP464" s="1">
        <v>0</v>
      </c>
      <c r="AQ464" s="1" t="s">
        <v>1129</v>
      </c>
      <c r="AR464" s="1" t="s">
        <v>1119</v>
      </c>
      <c r="AS464" s="1" t="s">
        <v>1130</v>
      </c>
      <c r="AT464" s="1" t="s">
        <v>328</v>
      </c>
      <c r="AU464" s="1">
        <v>20</v>
      </c>
      <c r="AV464" s="1">
        <v>0</v>
      </c>
      <c r="AW464" s="1" t="s">
        <v>5790</v>
      </c>
      <c r="AX464" s="1" t="s">
        <v>1806</v>
      </c>
      <c r="AY464" s="1">
        <v>5</v>
      </c>
      <c r="AZ464" s="1">
        <v>0</v>
      </c>
      <c r="BA464" s="1" t="s">
        <v>328</v>
      </c>
      <c r="BB464" s="1" t="s">
        <v>328</v>
      </c>
      <c r="BC464" s="1" t="s">
        <v>328</v>
      </c>
      <c r="BD464" s="1">
        <v>0</v>
      </c>
      <c r="BE464" s="1"/>
      <c r="BH464">
        <f>COUNTIF(Dropdowns!$I:$AF,C464)</f>
        <v>0</v>
      </c>
    </row>
    <row r="465" spans="1:60" x14ac:dyDescent="0.3">
      <c r="A465" s="1">
        <v>9076</v>
      </c>
      <c r="B465" s="1" t="s">
        <v>6155</v>
      </c>
      <c r="C465" s="207" t="s">
        <v>6156</v>
      </c>
      <c r="D465" s="1" t="s">
        <v>6156</v>
      </c>
      <c r="E465" s="1"/>
      <c r="F465" s="1"/>
      <c r="G465" s="1" t="s">
        <v>6157</v>
      </c>
      <c r="H465" s="1" t="s">
        <v>6158</v>
      </c>
      <c r="I465" s="1" t="s">
        <v>6159</v>
      </c>
      <c r="J465" s="1">
        <v>1</v>
      </c>
      <c r="K465" s="1">
        <v>5</v>
      </c>
      <c r="L465" s="1">
        <v>3000</v>
      </c>
      <c r="M465" s="1">
        <v>10</v>
      </c>
      <c r="N465" s="1">
        <v>10</v>
      </c>
      <c r="O465" s="1">
        <v>5</v>
      </c>
      <c r="P465" s="1">
        <v>5</v>
      </c>
      <c r="Q465" s="1">
        <v>2</v>
      </c>
      <c r="R465" s="1">
        <v>2</v>
      </c>
      <c r="S465" s="1">
        <v>2</v>
      </c>
      <c r="T465" s="1">
        <v>0</v>
      </c>
      <c r="U465" s="1">
        <v>226</v>
      </c>
      <c r="V465" s="1">
        <v>100</v>
      </c>
      <c r="W465" s="1">
        <v>98</v>
      </c>
      <c r="X465" s="1">
        <v>100</v>
      </c>
      <c r="Y465" s="1">
        <v>100</v>
      </c>
      <c r="Z465" s="1">
        <v>100</v>
      </c>
      <c r="AA465" s="1">
        <v>0</v>
      </c>
      <c r="AB465" s="1">
        <v>0</v>
      </c>
      <c r="AC465" s="1">
        <v>0</v>
      </c>
      <c r="AD465" s="1">
        <v>0</v>
      </c>
      <c r="AE465" s="1">
        <v>98</v>
      </c>
      <c r="AF465" s="1">
        <v>100</v>
      </c>
      <c r="AG465" s="1">
        <v>100107</v>
      </c>
      <c r="AH465" s="1">
        <v>0</v>
      </c>
      <c r="AI465" s="1">
        <v>300103</v>
      </c>
      <c r="AJ465" s="1" t="s">
        <v>328</v>
      </c>
      <c r="AK465" s="1" t="s">
        <v>328</v>
      </c>
      <c r="AL465" s="1">
        <v>13</v>
      </c>
      <c r="AM465" s="1" t="s">
        <v>4790</v>
      </c>
      <c r="AN465" s="1" t="s">
        <v>4793</v>
      </c>
      <c r="AO465" s="1" t="s">
        <v>4802</v>
      </c>
      <c r="AP465" s="1">
        <v>0</v>
      </c>
      <c r="AQ465" s="1" t="s">
        <v>1129</v>
      </c>
      <c r="AR465" s="1" t="s">
        <v>1119</v>
      </c>
      <c r="AS465" s="1" t="s">
        <v>1130</v>
      </c>
      <c r="AT465" s="1" t="s">
        <v>328</v>
      </c>
      <c r="AU465" s="1">
        <v>20</v>
      </c>
      <c r="AV465" s="1">
        <v>0</v>
      </c>
      <c r="AW465" s="1" t="s">
        <v>5790</v>
      </c>
      <c r="AX465" s="1" t="s">
        <v>1806</v>
      </c>
      <c r="AY465" s="1">
        <v>5</v>
      </c>
      <c r="AZ465" s="1">
        <v>0</v>
      </c>
      <c r="BA465" s="1" t="s">
        <v>328</v>
      </c>
      <c r="BB465" s="1" t="s">
        <v>328</v>
      </c>
      <c r="BC465" s="1" t="s">
        <v>328</v>
      </c>
      <c r="BD465" s="1">
        <v>0</v>
      </c>
      <c r="BE465" s="1"/>
      <c r="BH465">
        <f>COUNTIF(Dropdowns!$I:$AF,C465)</f>
        <v>0</v>
      </c>
    </row>
    <row r="466" spans="1:60" x14ac:dyDescent="0.3">
      <c r="A466" s="1">
        <v>9077</v>
      </c>
      <c r="B466" s="1" t="s">
        <v>6160</v>
      </c>
      <c r="C466" s="207" t="s">
        <v>6161</v>
      </c>
      <c r="D466" s="1" t="s">
        <v>6161</v>
      </c>
      <c r="E466" s="1"/>
      <c r="F466" s="1"/>
      <c r="G466" s="1" t="s">
        <v>6162</v>
      </c>
      <c r="H466" s="1" t="s">
        <v>6163</v>
      </c>
      <c r="I466" s="1" t="s">
        <v>6164</v>
      </c>
      <c r="J466" s="1">
        <v>2</v>
      </c>
      <c r="K466" s="1">
        <v>5</v>
      </c>
      <c r="L466" s="1">
        <v>9300</v>
      </c>
      <c r="M466" s="1">
        <v>20</v>
      </c>
      <c r="N466" s="1">
        <v>20</v>
      </c>
      <c r="O466" s="1">
        <v>10</v>
      </c>
      <c r="P466" s="1">
        <v>10</v>
      </c>
      <c r="Q466" s="1">
        <v>2</v>
      </c>
      <c r="R466" s="1">
        <v>5</v>
      </c>
      <c r="S466" s="1">
        <v>5</v>
      </c>
      <c r="T466" s="1">
        <v>0</v>
      </c>
      <c r="U466" s="1">
        <v>500</v>
      </c>
      <c r="V466" s="1">
        <v>120</v>
      </c>
      <c r="W466" s="1">
        <v>112</v>
      </c>
      <c r="X466" s="1">
        <v>60</v>
      </c>
      <c r="Y466" s="1">
        <v>120</v>
      </c>
      <c r="Z466" s="1">
        <v>150</v>
      </c>
      <c r="AA466" s="1">
        <v>0</v>
      </c>
      <c r="AB466" s="1">
        <v>15</v>
      </c>
      <c r="AC466" s="1">
        <v>20</v>
      </c>
      <c r="AD466" s="1">
        <v>0</v>
      </c>
      <c r="AE466" s="1">
        <v>100</v>
      </c>
      <c r="AF466" s="1">
        <v>100</v>
      </c>
      <c r="AG466" s="1">
        <v>100107</v>
      </c>
      <c r="AH466" s="1">
        <v>0</v>
      </c>
      <c r="AI466" s="1">
        <v>300103</v>
      </c>
      <c r="AJ466" s="1" t="s">
        <v>328</v>
      </c>
      <c r="AK466" s="1" t="s">
        <v>328</v>
      </c>
      <c r="AL466" s="1">
        <v>13</v>
      </c>
      <c r="AM466" s="1" t="s">
        <v>4790</v>
      </c>
      <c r="AN466" s="1" t="s">
        <v>4793</v>
      </c>
      <c r="AO466" s="1" t="s">
        <v>4802</v>
      </c>
      <c r="AP466" s="1">
        <v>0</v>
      </c>
      <c r="AQ466" s="1" t="s">
        <v>1129</v>
      </c>
      <c r="AR466" s="1" t="s">
        <v>1119</v>
      </c>
      <c r="AS466" s="1" t="s">
        <v>1130</v>
      </c>
      <c r="AT466" s="1" t="s">
        <v>328</v>
      </c>
      <c r="AU466" s="1">
        <v>20</v>
      </c>
      <c r="AV466" s="1">
        <v>0</v>
      </c>
      <c r="AW466" s="1" t="s">
        <v>5790</v>
      </c>
      <c r="AX466" s="1" t="s">
        <v>1806</v>
      </c>
      <c r="AY466" s="1">
        <v>5</v>
      </c>
      <c r="AZ466" s="1">
        <v>0</v>
      </c>
      <c r="BA466" s="1" t="s">
        <v>328</v>
      </c>
      <c r="BB466" s="1" t="s">
        <v>328</v>
      </c>
      <c r="BC466" s="1" t="s">
        <v>328</v>
      </c>
      <c r="BD466" s="1">
        <v>0</v>
      </c>
      <c r="BE466" s="1"/>
      <c r="BH466">
        <f>COUNTIF(Dropdowns!$I:$AF,C466)</f>
        <v>0</v>
      </c>
    </row>
    <row r="467" spans="1:60" x14ac:dyDescent="0.3">
      <c r="A467" s="1">
        <v>9078</v>
      </c>
      <c r="B467" s="1" t="s">
        <v>6165</v>
      </c>
      <c r="C467" s="207" t="s">
        <v>6166</v>
      </c>
      <c r="D467" s="1" t="s">
        <v>6166</v>
      </c>
      <c r="E467" s="1"/>
      <c r="F467" s="1"/>
      <c r="G467" s="1" t="s">
        <v>6167</v>
      </c>
      <c r="H467" s="1" t="s">
        <v>6168</v>
      </c>
      <c r="I467" s="1" t="s">
        <v>6169</v>
      </c>
      <c r="J467" s="1">
        <v>1</v>
      </c>
      <c r="K467" s="1">
        <v>5</v>
      </c>
      <c r="L467" s="1">
        <v>12900</v>
      </c>
      <c r="M467" s="1">
        <v>20</v>
      </c>
      <c r="N467" s="1">
        <v>20</v>
      </c>
      <c r="O467" s="1">
        <v>10</v>
      </c>
      <c r="P467" s="1">
        <v>10</v>
      </c>
      <c r="Q467" s="1">
        <v>2</v>
      </c>
      <c r="R467" s="1">
        <v>5</v>
      </c>
      <c r="S467" s="1">
        <v>5</v>
      </c>
      <c r="T467" s="1">
        <v>0</v>
      </c>
      <c r="U467" s="1">
        <v>100</v>
      </c>
      <c r="V467" s="1">
        <v>100</v>
      </c>
      <c r="W467" s="1">
        <v>100</v>
      </c>
      <c r="X467" s="1">
        <v>100</v>
      </c>
      <c r="Y467" s="1">
        <v>100</v>
      </c>
      <c r="Z467" s="1">
        <v>100</v>
      </c>
      <c r="AA467" s="1">
        <v>0</v>
      </c>
      <c r="AB467" s="1">
        <v>15</v>
      </c>
      <c r="AC467" s="1">
        <v>50</v>
      </c>
      <c r="AD467" s="1">
        <v>0</v>
      </c>
      <c r="AE467" s="1">
        <v>100</v>
      </c>
      <c r="AF467" s="1">
        <v>100</v>
      </c>
      <c r="AG467" s="1">
        <v>100107</v>
      </c>
      <c r="AH467" s="1">
        <v>0</v>
      </c>
      <c r="AI467" s="1">
        <v>900944</v>
      </c>
      <c r="AJ467" s="1" t="s">
        <v>6094</v>
      </c>
      <c r="AK467" s="1" t="s">
        <v>328</v>
      </c>
      <c r="AL467" s="1">
        <v>13</v>
      </c>
      <c r="AM467" s="1" t="s">
        <v>4790</v>
      </c>
      <c r="AN467" s="1" t="s">
        <v>4861</v>
      </c>
      <c r="AO467" s="1" t="s">
        <v>5428</v>
      </c>
      <c r="AP467" s="1">
        <v>0</v>
      </c>
      <c r="AQ467" s="1" t="s">
        <v>1130</v>
      </c>
      <c r="AR467" s="1" t="s">
        <v>1154</v>
      </c>
      <c r="AS467" s="1" t="s">
        <v>5846</v>
      </c>
      <c r="AT467" s="1" t="s">
        <v>328</v>
      </c>
      <c r="AU467" s="1">
        <v>55</v>
      </c>
      <c r="AV467" s="1">
        <v>0</v>
      </c>
      <c r="AW467" s="1" t="s">
        <v>5790</v>
      </c>
      <c r="AX467" s="1" t="s">
        <v>1806</v>
      </c>
      <c r="AY467" s="1">
        <v>5</v>
      </c>
      <c r="AZ467" s="1">
        <v>0</v>
      </c>
      <c r="BA467" s="1" t="s">
        <v>328</v>
      </c>
      <c r="BB467" s="1" t="s">
        <v>328</v>
      </c>
      <c r="BC467" s="1" t="s">
        <v>328</v>
      </c>
      <c r="BD467" s="1">
        <v>0</v>
      </c>
      <c r="BE467" s="1"/>
      <c r="BH467">
        <f>COUNTIF(Dropdowns!$I:$AF,C467)</f>
        <v>0</v>
      </c>
    </row>
    <row r="468" spans="1:60" x14ac:dyDescent="0.3">
      <c r="A468" s="1">
        <v>9079</v>
      </c>
      <c r="B468" s="1" t="s">
        <v>6170</v>
      </c>
      <c r="C468" s="207" t="s">
        <v>6171</v>
      </c>
      <c r="D468" s="1" t="s">
        <v>6171</v>
      </c>
      <c r="E468" s="1"/>
      <c r="F468" s="1"/>
      <c r="G468" s="1" t="s">
        <v>6172</v>
      </c>
      <c r="H468" s="1" t="s">
        <v>6173</v>
      </c>
      <c r="I468" s="1" t="s">
        <v>6174</v>
      </c>
      <c r="J468" s="1">
        <v>1</v>
      </c>
      <c r="K468" s="1">
        <v>5</v>
      </c>
      <c r="L468" s="1">
        <v>2700</v>
      </c>
      <c r="M468" s="1">
        <v>10</v>
      </c>
      <c r="N468" s="1">
        <v>10</v>
      </c>
      <c r="O468" s="1">
        <v>5</v>
      </c>
      <c r="P468" s="1">
        <v>5</v>
      </c>
      <c r="Q468" s="1">
        <v>2</v>
      </c>
      <c r="R468" s="1">
        <v>2</v>
      </c>
      <c r="S468" s="1">
        <v>2</v>
      </c>
      <c r="T468" s="1">
        <v>0</v>
      </c>
      <c r="U468" s="1">
        <v>75</v>
      </c>
      <c r="V468" s="1">
        <v>120</v>
      </c>
      <c r="W468" s="1">
        <v>100</v>
      </c>
      <c r="X468" s="1">
        <v>17</v>
      </c>
      <c r="Y468" s="1">
        <v>105</v>
      </c>
      <c r="Z468" s="1">
        <v>100</v>
      </c>
      <c r="AA468" s="1">
        <v>0</v>
      </c>
      <c r="AB468" s="1">
        <v>15</v>
      </c>
      <c r="AC468" s="1">
        <v>20</v>
      </c>
      <c r="AD468" s="1">
        <v>0</v>
      </c>
      <c r="AE468" s="1">
        <v>105</v>
      </c>
      <c r="AF468" s="1">
        <v>120</v>
      </c>
      <c r="AG468" s="1">
        <v>117602</v>
      </c>
      <c r="AH468" s="1">
        <v>0</v>
      </c>
      <c r="AI468" s="1">
        <v>900107</v>
      </c>
      <c r="AJ468" s="1" t="s">
        <v>6175</v>
      </c>
      <c r="AK468" s="1" t="s">
        <v>328</v>
      </c>
      <c r="AL468" s="1">
        <v>13</v>
      </c>
      <c r="AM468" s="1" t="s">
        <v>1806</v>
      </c>
      <c r="AN468" s="1" t="s">
        <v>4747</v>
      </c>
      <c r="AO468" s="1" t="s">
        <v>4744</v>
      </c>
      <c r="AP468" s="1">
        <v>0</v>
      </c>
      <c r="AQ468" s="1" t="s">
        <v>5852</v>
      </c>
      <c r="AR468" s="1" t="s">
        <v>1119</v>
      </c>
      <c r="AS468" s="1" t="s">
        <v>1129</v>
      </c>
      <c r="AT468" s="1" t="s">
        <v>328</v>
      </c>
      <c r="AU468" s="1">
        <v>6</v>
      </c>
      <c r="AV468" s="1">
        <v>0</v>
      </c>
      <c r="AW468" s="1" t="s">
        <v>5790</v>
      </c>
      <c r="AX468" s="1" t="s">
        <v>1806</v>
      </c>
      <c r="AY468" s="1">
        <v>5</v>
      </c>
      <c r="AZ468" s="1">
        <v>0</v>
      </c>
      <c r="BA468" s="1" t="s">
        <v>328</v>
      </c>
      <c r="BB468" s="1" t="s">
        <v>328</v>
      </c>
      <c r="BC468" s="1" t="s">
        <v>328</v>
      </c>
      <c r="BD468" s="1">
        <v>0</v>
      </c>
      <c r="BE468" s="1"/>
      <c r="BH468">
        <f>COUNTIF(Dropdowns!$I:$AF,C468)</f>
        <v>0</v>
      </c>
    </row>
    <row r="469" spans="1:60" x14ac:dyDescent="0.3">
      <c r="A469" s="1">
        <v>9080</v>
      </c>
      <c r="B469" s="1" t="s">
        <v>6176</v>
      </c>
      <c r="C469" s="207" t="s">
        <v>6171</v>
      </c>
      <c r="D469" s="1" t="s">
        <v>6171</v>
      </c>
      <c r="E469" s="1"/>
      <c r="F469" s="1"/>
      <c r="G469" s="1" t="s">
        <v>6177</v>
      </c>
      <c r="H469" s="1" t="s">
        <v>6178</v>
      </c>
      <c r="I469" s="1" t="s">
        <v>6179</v>
      </c>
      <c r="J469" s="1">
        <v>1</v>
      </c>
      <c r="K469" s="1">
        <v>5</v>
      </c>
      <c r="L469" s="1">
        <v>2700</v>
      </c>
      <c r="M469" s="1">
        <v>10</v>
      </c>
      <c r="N469" s="1">
        <v>10</v>
      </c>
      <c r="O469" s="1">
        <v>5</v>
      </c>
      <c r="P469" s="1">
        <v>5</v>
      </c>
      <c r="Q469" s="1">
        <v>2</v>
      </c>
      <c r="R469" s="1">
        <v>2</v>
      </c>
      <c r="S469" s="1">
        <v>2</v>
      </c>
      <c r="T469" s="1">
        <v>0</v>
      </c>
      <c r="U469" s="1">
        <v>650</v>
      </c>
      <c r="V469" s="1">
        <v>120</v>
      </c>
      <c r="W469" s="1">
        <v>100</v>
      </c>
      <c r="X469" s="1">
        <v>100</v>
      </c>
      <c r="Y469" s="1">
        <v>105</v>
      </c>
      <c r="Z469" s="1">
        <v>100</v>
      </c>
      <c r="AA469" s="1">
        <v>0</v>
      </c>
      <c r="AB469" s="1">
        <v>15</v>
      </c>
      <c r="AC469" s="1">
        <v>20</v>
      </c>
      <c r="AD469" s="1">
        <v>0</v>
      </c>
      <c r="AE469" s="1">
        <v>105</v>
      </c>
      <c r="AF469" s="1">
        <v>120</v>
      </c>
      <c r="AG469" s="1">
        <v>100602</v>
      </c>
      <c r="AH469" s="1">
        <v>0</v>
      </c>
      <c r="AI469" s="1">
        <v>300101</v>
      </c>
      <c r="AJ469" s="1" t="s">
        <v>328</v>
      </c>
      <c r="AK469" s="1" t="s">
        <v>328</v>
      </c>
      <c r="AL469" s="1">
        <v>13</v>
      </c>
      <c r="AM469" s="1" t="s">
        <v>1806</v>
      </c>
      <c r="AN469" s="1" t="s">
        <v>4747</v>
      </c>
      <c r="AO469" s="1" t="s">
        <v>4744</v>
      </c>
      <c r="AP469" s="1">
        <v>0</v>
      </c>
      <c r="AQ469" s="1" t="s">
        <v>5852</v>
      </c>
      <c r="AR469" s="1" t="s">
        <v>1119</v>
      </c>
      <c r="AS469" s="1" t="s">
        <v>1129</v>
      </c>
      <c r="AT469" s="1" t="s">
        <v>328</v>
      </c>
      <c r="AU469" s="1">
        <v>6</v>
      </c>
      <c r="AV469" s="1">
        <v>0</v>
      </c>
      <c r="AW469" s="1" t="s">
        <v>5790</v>
      </c>
      <c r="AX469" s="1" t="s">
        <v>1806</v>
      </c>
      <c r="AY469" s="1">
        <v>5</v>
      </c>
      <c r="AZ469" s="1">
        <v>0</v>
      </c>
      <c r="BA469" s="1" t="s">
        <v>328</v>
      </c>
      <c r="BB469" s="1" t="s">
        <v>328</v>
      </c>
      <c r="BC469" s="1" t="s">
        <v>328</v>
      </c>
      <c r="BD469" s="1">
        <v>0</v>
      </c>
      <c r="BE469" s="1"/>
      <c r="BH469">
        <f>COUNTIF(Dropdowns!$I:$AF,C469)</f>
        <v>0</v>
      </c>
    </row>
    <row r="470" spans="1:60" x14ac:dyDescent="0.3">
      <c r="A470" s="1">
        <v>9081</v>
      </c>
      <c r="B470" s="1" t="s">
        <v>6180</v>
      </c>
      <c r="C470" s="207" t="s">
        <v>6181</v>
      </c>
      <c r="D470" s="1" t="s">
        <v>6181</v>
      </c>
      <c r="E470" s="1"/>
      <c r="F470" s="1"/>
      <c r="G470" s="1" t="s">
        <v>6182</v>
      </c>
      <c r="H470" s="1" t="s">
        <v>6183</v>
      </c>
      <c r="I470" s="1" t="s">
        <v>6184</v>
      </c>
      <c r="J470" s="1">
        <v>1</v>
      </c>
      <c r="K470" s="1">
        <v>5</v>
      </c>
      <c r="L470" s="1">
        <v>9300</v>
      </c>
      <c r="M470" s="1">
        <v>25</v>
      </c>
      <c r="N470" s="1">
        <v>20</v>
      </c>
      <c r="O470" s="1">
        <v>15</v>
      </c>
      <c r="P470" s="1">
        <v>10</v>
      </c>
      <c r="Q470" s="1">
        <v>5</v>
      </c>
      <c r="R470" s="1">
        <v>5</v>
      </c>
      <c r="S470" s="1">
        <v>2</v>
      </c>
      <c r="T470" s="1">
        <v>0</v>
      </c>
      <c r="U470" s="1">
        <v>110</v>
      </c>
      <c r="V470" s="1">
        <v>105</v>
      </c>
      <c r="W470" s="1">
        <v>125</v>
      </c>
      <c r="X470" s="1">
        <v>100</v>
      </c>
      <c r="Y470" s="1">
        <v>125</v>
      </c>
      <c r="Z470" s="1">
        <v>120</v>
      </c>
      <c r="AA470" s="1">
        <v>0</v>
      </c>
      <c r="AB470" s="1">
        <v>10</v>
      </c>
      <c r="AC470" s="1">
        <v>5</v>
      </c>
      <c r="AD470" s="1">
        <v>0</v>
      </c>
      <c r="AE470" s="1">
        <v>105</v>
      </c>
      <c r="AF470" s="1">
        <v>100</v>
      </c>
      <c r="AG470" s="1">
        <v>701001</v>
      </c>
      <c r="AH470" s="1">
        <v>0</v>
      </c>
      <c r="AI470" s="1">
        <v>700001</v>
      </c>
      <c r="AJ470" s="1" t="s">
        <v>6185</v>
      </c>
      <c r="AK470" s="1" t="s">
        <v>328</v>
      </c>
      <c r="AL470" s="1">
        <v>13</v>
      </c>
      <c r="AM470" s="1" t="s">
        <v>4790</v>
      </c>
      <c r="AN470" s="1" t="s">
        <v>4947</v>
      </c>
      <c r="AO470" s="1" t="s">
        <v>5046</v>
      </c>
      <c r="AP470" s="1">
        <v>0</v>
      </c>
      <c r="AQ470" s="1" t="s">
        <v>1129</v>
      </c>
      <c r="AR470" s="1" t="s">
        <v>1119</v>
      </c>
      <c r="AS470" s="1" t="s">
        <v>1130</v>
      </c>
      <c r="AT470" s="1" t="s">
        <v>328</v>
      </c>
      <c r="AU470" s="1">
        <v>143</v>
      </c>
      <c r="AV470" s="1">
        <v>0</v>
      </c>
      <c r="AW470" s="1" t="s">
        <v>5790</v>
      </c>
      <c r="AX470" s="1" t="s">
        <v>1806</v>
      </c>
      <c r="AY470" s="1">
        <v>4</v>
      </c>
      <c r="AZ470" s="1">
        <v>0</v>
      </c>
      <c r="BA470" s="1" t="s">
        <v>328</v>
      </c>
      <c r="BB470" s="1" t="s">
        <v>328</v>
      </c>
      <c r="BC470" s="1" t="s">
        <v>328</v>
      </c>
      <c r="BD470" s="1">
        <v>0</v>
      </c>
      <c r="BE470" s="1"/>
      <c r="BH470">
        <f>COUNTIF(Dropdowns!$I:$AF,C470)</f>
        <v>0</v>
      </c>
    </row>
    <row r="471" spans="1:60" x14ac:dyDescent="0.3">
      <c r="A471" s="1">
        <v>9082</v>
      </c>
      <c r="B471" s="1" t="s">
        <v>6186</v>
      </c>
      <c r="C471" s="207" t="s">
        <v>6181</v>
      </c>
      <c r="D471" s="1" t="s">
        <v>6181</v>
      </c>
      <c r="E471" s="1"/>
      <c r="F471" s="1"/>
      <c r="G471" s="1" t="s">
        <v>6187</v>
      </c>
      <c r="H471" s="1" t="s">
        <v>6188</v>
      </c>
      <c r="I471" s="1" t="s">
        <v>6189</v>
      </c>
      <c r="J471" s="1">
        <v>1</v>
      </c>
      <c r="K471" s="1">
        <v>5</v>
      </c>
      <c r="L471" s="1">
        <v>9300</v>
      </c>
      <c r="M471" s="1">
        <v>25</v>
      </c>
      <c r="N471" s="1">
        <v>20</v>
      </c>
      <c r="O471" s="1">
        <v>15</v>
      </c>
      <c r="P471" s="1">
        <v>10</v>
      </c>
      <c r="Q471" s="1">
        <v>5</v>
      </c>
      <c r="R471" s="1">
        <v>5</v>
      </c>
      <c r="S471" s="1">
        <v>2</v>
      </c>
      <c r="T471" s="1">
        <v>0</v>
      </c>
      <c r="U471" s="1">
        <v>110</v>
      </c>
      <c r="V471" s="1">
        <v>105</v>
      </c>
      <c r="W471" s="1">
        <v>125</v>
      </c>
      <c r="X471" s="1">
        <v>100</v>
      </c>
      <c r="Y471" s="1">
        <v>125</v>
      </c>
      <c r="Z471" s="1">
        <v>120</v>
      </c>
      <c r="AA471" s="1">
        <v>0</v>
      </c>
      <c r="AB471" s="1">
        <v>10</v>
      </c>
      <c r="AC471" s="1">
        <v>5</v>
      </c>
      <c r="AD471" s="1">
        <v>0</v>
      </c>
      <c r="AE471" s="1">
        <v>105</v>
      </c>
      <c r="AF471" s="1">
        <v>100</v>
      </c>
      <c r="AG471" s="1">
        <v>701004</v>
      </c>
      <c r="AH471" s="1">
        <v>0</v>
      </c>
      <c r="AI471" s="1">
        <v>700001</v>
      </c>
      <c r="AJ471" s="1" t="s">
        <v>5978</v>
      </c>
      <c r="AK471" s="1" t="s">
        <v>328</v>
      </c>
      <c r="AL471" s="1">
        <v>13</v>
      </c>
      <c r="AM471" s="1" t="s">
        <v>4790</v>
      </c>
      <c r="AN471" s="1" t="s">
        <v>4947</v>
      </c>
      <c r="AO471" s="1" t="s">
        <v>5046</v>
      </c>
      <c r="AP471" s="1">
        <v>0</v>
      </c>
      <c r="AQ471" s="1" t="s">
        <v>1129</v>
      </c>
      <c r="AR471" s="1" t="s">
        <v>1119</v>
      </c>
      <c r="AS471" s="1" t="s">
        <v>1130</v>
      </c>
      <c r="AT471" s="1" t="s">
        <v>328</v>
      </c>
      <c r="AU471" s="1">
        <v>143</v>
      </c>
      <c r="AV471" s="1">
        <v>0</v>
      </c>
      <c r="AW471" s="1" t="s">
        <v>5790</v>
      </c>
      <c r="AX471" s="1" t="s">
        <v>1806</v>
      </c>
      <c r="AY471" s="1">
        <v>5</v>
      </c>
      <c r="AZ471" s="1">
        <v>0</v>
      </c>
      <c r="BA471" s="1" t="s">
        <v>328</v>
      </c>
      <c r="BB471" s="1" t="s">
        <v>328</v>
      </c>
      <c r="BC471" s="1" t="s">
        <v>328</v>
      </c>
      <c r="BD471" s="1">
        <v>0</v>
      </c>
      <c r="BE471" s="1"/>
      <c r="BH471">
        <f>COUNTIF(Dropdowns!$I:$AF,C471)</f>
        <v>0</v>
      </c>
    </row>
    <row r="472" spans="1:60" x14ac:dyDescent="0.3">
      <c r="A472" s="1">
        <v>9083</v>
      </c>
      <c r="B472" s="1" t="s">
        <v>6190</v>
      </c>
      <c r="C472" s="207" t="s">
        <v>6181</v>
      </c>
      <c r="D472" s="1" t="s">
        <v>6181</v>
      </c>
      <c r="E472" s="1"/>
      <c r="F472" s="1"/>
      <c r="G472" s="1" t="s">
        <v>6191</v>
      </c>
      <c r="H472" s="1" t="s">
        <v>6192</v>
      </c>
      <c r="I472" s="1" t="s">
        <v>6193</v>
      </c>
      <c r="J472" s="1">
        <v>1</v>
      </c>
      <c r="K472" s="1">
        <v>5</v>
      </c>
      <c r="L472" s="1">
        <v>9300</v>
      </c>
      <c r="M472" s="1">
        <v>25</v>
      </c>
      <c r="N472" s="1">
        <v>20</v>
      </c>
      <c r="O472" s="1">
        <v>15</v>
      </c>
      <c r="P472" s="1">
        <v>10</v>
      </c>
      <c r="Q472" s="1">
        <v>5</v>
      </c>
      <c r="R472" s="1">
        <v>5</v>
      </c>
      <c r="S472" s="1">
        <v>2</v>
      </c>
      <c r="T472" s="1">
        <v>0</v>
      </c>
      <c r="U472" s="1">
        <v>110</v>
      </c>
      <c r="V472" s="1">
        <v>105</v>
      </c>
      <c r="W472" s="1">
        <v>125</v>
      </c>
      <c r="X472" s="1">
        <v>100</v>
      </c>
      <c r="Y472" s="1">
        <v>125</v>
      </c>
      <c r="Z472" s="1">
        <v>120</v>
      </c>
      <c r="AA472" s="1">
        <v>0</v>
      </c>
      <c r="AB472" s="1">
        <v>10</v>
      </c>
      <c r="AC472" s="1">
        <v>5</v>
      </c>
      <c r="AD472" s="1">
        <v>0</v>
      </c>
      <c r="AE472" s="1">
        <v>105</v>
      </c>
      <c r="AF472" s="1">
        <v>100</v>
      </c>
      <c r="AG472" s="1">
        <v>701002</v>
      </c>
      <c r="AH472" s="1">
        <v>0</v>
      </c>
      <c r="AI472" s="1">
        <v>700001</v>
      </c>
      <c r="AJ472" s="1" t="s">
        <v>5978</v>
      </c>
      <c r="AK472" s="1" t="s">
        <v>328</v>
      </c>
      <c r="AL472" s="1">
        <v>13</v>
      </c>
      <c r="AM472" s="1" t="s">
        <v>4790</v>
      </c>
      <c r="AN472" s="1" t="s">
        <v>4947</v>
      </c>
      <c r="AO472" s="1" t="s">
        <v>5046</v>
      </c>
      <c r="AP472" s="1">
        <v>0</v>
      </c>
      <c r="AQ472" s="1" t="s">
        <v>1129</v>
      </c>
      <c r="AR472" s="1" t="s">
        <v>1119</v>
      </c>
      <c r="AS472" s="1" t="s">
        <v>1130</v>
      </c>
      <c r="AT472" s="1" t="s">
        <v>328</v>
      </c>
      <c r="AU472" s="1">
        <v>143</v>
      </c>
      <c r="AV472" s="1">
        <v>0</v>
      </c>
      <c r="AW472" s="1" t="s">
        <v>5790</v>
      </c>
      <c r="AX472" s="1" t="s">
        <v>1806</v>
      </c>
      <c r="AY472" s="1">
        <v>4</v>
      </c>
      <c r="AZ472" s="1">
        <v>0</v>
      </c>
      <c r="BA472" s="1" t="s">
        <v>328</v>
      </c>
      <c r="BB472" s="1" t="s">
        <v>328</v>
      </c>
      <c r="BC472" s="1" t="s">
        <v>328</v>
      </c>
      <c r="BD472" s="1">
        <v>0</v>
      </c>
      <c r="BE472" s="1"/>
      <c r="BH472">
        <f>COUNTIF(Dropdowns!$I:$AF,C472)</f>
        <v>0</v>
      </c>
    </row>
    <row r="473" spans="1:60" x14ac:dyDescent="0.3">
      <c r="A473" s="1">
        <v>9084</v>
      </c>
      <c r="B473" s="1" t="s">
        <v>6194</v>
      </c>
      <c r="C473" s="207" t="s">
        <v>6181</v>
      </c>
      <c r="D473" s="1" t="s">
        <v>6181</v>
      </c>
      <c r="E473" s="1"/>
      <c r="F473" s="1"/>
      <c r="G473" s="1" t="s">
        <v>6195</v>
      </c>
      <c r="H473" s="1" t="s">
        <v>6196</v>
      </c>
      <c r="I473" s="1" t="s">
        <v>6197</v>
      </c>
      <c r="J473" s="1">
        <v>1</v>
      </c>
      <c r="K473" s="1">
        <v>5</v>
      </c>
      <c r="L473" s="1">
        <v>9300</v>
      </c>
      <c r="M473" s="1">
        <v>25</v>
      </c>
      <c r="N473" s="1">
        <v>20</v>
      </c>
      <c r="O473" s="1">
        <v>15</v>
      </c>
      <c r="P473" s="1">
        <v>10</v>
      </c>
      <c r="Q473" s="1">
        <v>5</v>
      </c>
      <c r="R473" s="1">
        <v>5</v>
      </c>
      <c r="S473" s="1">
        <v>2</v>
      </c>
      <c r="T473" s="1">
        <v>0</v>
      </c>
      <c r="U473" s="1">
        <v>110</v>
      </c>
      <c r="V473" s="1">
        <v>105</v>
      </c>
      <c r="W473" s="1">
        <v>125</v>
      </c>
      <c r="X473" s="1">
        <v>100</v>
      </c>
      <c r="Y473" s="1">
        <v>125</v>
      </c>
      <c r="Z473" s="1">
        <v>120</v>
      </c>
      <c r="AA473" s="1">
        <v>0</v>
      </c>
      <c r="AB473" s="1">
        <v>10</v>
      </c>
      <c r="AC473" s="1">
        <v>5</v>
      </c>
      <c r="AD473" s="1">
        <v>0</v>
      </c>
      <c r="AE473" s="1">
        <v>105</v>
      </c>
      <c r="AF473" s="1">
        <v>100</v>
      </c>
      <c r="AG473" s="1">
        <v>701003</v>
      </c>
      <c r="AH473" s="1">
        <v>0</v>
      </c>
      <c r="AI473" s="1">
        <v>700001</v>
      </c>
      <c r="AJ473" s="1" t="s">
        <v>5978</v>
      </c>
      <c r="AK473" s="1" t="s">
        <v>328</v>
      </c>
      <c r="AL473" s="1">
        <v>13</v>
      </c>
      <c r="AM473" s="1" t="s">
        <v>4790</v>
      </c>
      <c r="AN473" s="1" t="s">
        <v>4947</v>
      </c>
      <c r="AO473" s="1" t="s">
        <v>5046</v>
      </c>
      <c r="AP473" s="1">
        <v>0</v>
      </c>
      <c r="AQ473" s="1" t="s">
        <v>1129</v>
      </c>
      <c r="AR473" s="1" t="s">
        <v>1119</v>
      </c>
      <c r="AS473" s="1" t="s">
        <v>1130</v>
      </c>
      <c r="AT473" s="1" t="s">
        <v>328</v>
      </c>
      <c r="AU473" s="1">
        <v>143</v>
      </c>
      <c r="AV473" s="1">
        <v>0</v>
      </c>
      <c r="AW473" s="1" t="s">
        <v>5790</v>
      </c>
      <c r="AX473" s="1" t="s">
        <v>1806</v>
      </c>
      <c r="AY473" s="1">
        <v>5</v>
      </c>
      <c r="AZ473" s="1">
        <v>0</v>
      </c>
      <c r="BA473" s="1" t="s">
        <v>328</v>
      </c>
      <c r="BB473" s="1" t="s">
        <v>328</v>
      </c>
      <c r="BC473" s="1" t="s">
        <v>328</v>
      </c>
      <c r="BD473" s="1">
        <v>0</v>
      </c>
      <c r="BE473" s="1"/>
      <c r="BH473">
        <f>COUNTIF(Dropdowns!$I:$AF,C473)</f>
        <v>0</v>
      </c>
    </row>
    <row r="474" spans="1:60" x14ac:dyDescent="0.3">
      <c r="A474" s="1">
        <v>9085</v>
      </c>
      <c r="B474" s="1" t="s">
        <v>6198</v>
      </c>
      <c r="C474" s="207" t="s">
        <v>6161</v>
      </c>
      <c r="D474" s="1" t="s">
        <v>6161</v>
      </c>
      <c r="E474" s="1"/>
      <c r="F474" s="1"/>
      <c r="G474" s="1" t="s">
        <v>6199</v>
      </c>
      <c r="H474" s="1" t="s">
        <v>6200</v>
      </c>
      <c r="I474" s="1" t="s">
        <v>6201</v>
      </c>
      <c r="J474" s="1">
        <v>2</v>
      </c>
      <c r="K474" s="1">
        <v>5</v>
      </c>
      <c r="L474" s="1">
        <v>9300</v>
      </c>
      <c r="M474" s="1">
        <v>20</v>
      </c>
      <c r="N474" s="1">
        <v>20</v>
      </c>
      <c r="O474" s="1">
        <v>10</v>
      </c>
      <c r="P474" s="1">
        <v>10</v>
      </c>
      <c r="Q474" s="1">
        <v>2</v>
      </c>
      <c r="R474" s="1">
        <v>5</v>
      </c>
      <c r="S474" s="1">
        <v>5</v>
      </c>
      <c r="T474" s="1">
        <v>0</v>
      </c>
      <c r="U474" s="1">
        <v>800</v>
      </c>
      <c r="V474" s="1">
        <v>120</v>
      </c>
      <c r="W474" s="1">
        <v>112</v>
      </c>
      <c r="X474" s="1">
        <v>60</v>
      </c>
      <c r="Y474" s="1">
        <v>250</v>
      </c>
      <c r="Z474" s="1">
        <v>60</v>
      </c>
      <c r="AA474" s="1">
        <v>0</v>
      </c>
      <c r="AB474" s="1">
        <v>0</v>
      </c>
      <c r="AC474" s="1">
        <v>0</v>
      </c>
      <c r="AD474" s="1">
        <v>0</v>
      </c>
      <c r="AE474" s="1">
        <v>100</v>
      </c>
      <c r="AF474" s="1">
        <v>100</v>
      </c>
      <c r="AG474" s="1">
        <v>100107</v>
      </c>
      <c r="AH474" s="1">
        <v>0</v>
      </c>
      <c r="AI474" s="1">
        <v>300103</v>
      </c>
      <c r="AJ474" s="1" t="s">
        <v>328</v>
      </c>
      <c r="AK474" s="1" t="s">
        <v>328</v>
      </c>
      <c r="AL474" s="1">
        <v>13</v>
      </c>
      <c r="AM474" s="1" t="s">
        <v>4790</v>
      </c>
      <c r="AN474" s="1" t="s">
        <v>4793</v>
      </c>
      <c r="AO474" s="1" t="s">
        <v>4802</v>
      </c>
      <c r="AP474" s="1">
        <v>0</v>
      </c>
      <c r="AQ474" s="1" t="s">
        <v>1129</v>
      </c>
      <c r="AR474" s="1" t="s">
        <v>1119</v>
      </c>
      <c r="AS474" s="1" t="s">
        <v>1130</v>
      </c>
      <c r="AT474" s="1" t="s">
        <v>328</v>
      </c>
      <c r="AU474" s="1">
        <v>20</v>
      </c>
      <c r="AV474" s="1">
        <v>0</v>
      </c>
      <c r="AW474" s="1" t="s">
        <v>5790</v>
      </c>
      <c r="AX474" s="1" t="s">
        <v>1806</v>
      </c>
      <c r="AY474" s="1">
        <v>5</v>
      </c>
      <c r="AZ474" s="1">
        <v>0</v>
      </c>
      <c r="BA474" s="1" t="s">
        <v>328</v>
      </c>
      <c r="BB474" s="1" t="s">
        <v>328</v>
      </c>
      <c r="BC474" s="1" t="s">
        <v>328</v>
      </c>
      <c r="BD474" s="1">
        <v>0</v>
      </c>
      <c r="BE474" s="1"/>
      <c r="BH474">
        <f>COUNTIF(Dropdowns!$I:$AF,C474)</f>
        <v>0</v>
      </c>
    </row>
    <row r="475" spans="1:60" x14ac:dyDescent="0.3">
      <c r="A475" s="1">
        <v>9086</v>
      </c>
      <c r="B475" s="1" t="s">
        <v>6202</v>
      </c>
      <c r="C475" s="207" t="s">
        <v>856</v>
      </c>
      <c r="D475" s="1" t="s">
        <v>6203</v>
      </c>
      <c r="E475" s="1"/>
      <c r="F475" s="1"/>
      <c r="G475" s="1" t="s">
        <v>6204</v>
      </c>
      <c r="H475" s="1" t="s">
        <v>6205</v>
      </c>
      <c r="I475" s="1" t="s">
        <v>6206</v>
      </c>
      <c r="J475" s="1">
        <v>4</v>
      </c>
      <c r="K475" s="1">
        <v>4</v>
      </c>
      <c r="L475" s="1">
        <v>12900</v>
      </c>
      <c r="M475" s="1">
        <v>20</v>
      </c>
      <c r="N475" s="1">
        <v>20</v>
      </c>
      <c r="O475" s="1">
        <v>10</v>
      </c>
      <c r="P475" s="1">
        <v>10</v>
      </c>
      <c r="Q475" s="1">
        <v>2</v>
      </c>
      <c r="R475" s="1">
        <v>5</v>
      </c>
      <c r="S475" s="1">
        <v>5</v>
      </c>
      <c r="T475" s="1">
        <v>0</v>
      </c>
      <c r="U475" s="1">
        <v>100</v>
      </c>
      <c r="V475" s="1">
        <v>0</v>
      </c>
      <c r="W475" s="1">
        <v>0</v>
      </c>
      <c r="X475" s="1">
        <v>100</v>
      </c>
      <c r="Y475" s="1">
        <v>0</v>
      </c>
      <c r="Z475" s="1">
        <v>0</v>
      </c>
      <c r="AA475" s="1">
        <v>0</v>
      </c>
      <c r="AB475" s="1">
        <v>15</v>
      </c>
      <c r="AC475" s="1">
        <v>50</v>
      </c>
      <c r="AD475" s="1">
        <v>0</v>
      </c>
      <c r="AE475" s="1">
        <v>110</v>
      </c>
      <c r="AF475" s="1">
        <v>100</v>
      </c>
      <c r="AG475" s="1">
        <v>403414</v>
      </c>
      <c r="AH475" s="1">
        <v>0</v>
      </c>
      <c r="AI475" s="1">
        <v>403402</v>
      </c>
      <c r="AJ475" s="1" t="s">
        <v>5992</v>
      </c>
      <c r="AK475" s="1" t="s">
        <v>328</v>
      </c>
      <c r="AL475" s="1">
        <v>13</v>
      </c>
      <c r="AM475" s="1" t="s">
        <v>4719</v>
      </c>
      <c r="AN475" s="1" t="s">
        <v>4747</v>
      </c>
      <c r="AO475" s="1" t="s">
        <v>4799</v>
      </c>
      <c r="AP475" s="1">
        <v>0</v>
      </c>
      <c r="AQ475" s="1" t="s">
        <v>1154</v>
      </c>
      <c r="AR475" s="1" t="s">
        <v>5993</v>
      </c>
      <c r="AS475" s="1" t="s">
        <v>5993</v>
      </c>
      <c r="AT475" s="1" t="s">
        <v>328</v>
      </c>
      <c r="AU475" s="1">
        <v>54</v>
      </c>
      <c r="AV475" s="1">
        <v>0</v>
      </c>
      <c r="AW475" s="1" t="s">
        <v>5790</v>
      </c>
      <c r="AX475" s="1" t="s">
        <v>1806</v>
      </c>
      <c r="AY475" s="1">
        <v>5</v>
      </c>
      <c r="AZ475" s="1">
        <v>0</v>
      </c>
      <c r="BA475" s="1" t="s">
        <v>328</v>
      </c>
      <c r="BB475" s="1" t="s">
        <v>328</v>
      </c>
      <c r="BC475" s="1" t="s">
        <v>328</v>
      </c>
      <c r="BD475" s="1">
        <v>0</v>
      </c>
      <c r="BE475" s="1"/>
      <c r="BH475">
        <f>COUNTIF(Dropdowns!$I:$AF,C475)</f>
        <v>0</v>
      </c>
    </row>
    <row r="476" spans="1:60" x14ac:dyDescent="0.3">
      <c r="A476" s="1">
        <v>9087</v>
      </c>
      <c r="B476" s="1" t="s">
        <v>6207</v>
      </c>
      <c r="C476" s="207" t="s">
        <v>1741</v>
      </c>
      <c r="D476" s="1" t="s">
        <v>6208</v>
      </c>
      <c r="E476" s="1"/>
      <c r="F476" s="1"/>
      <c r="G476" s="1" t="s">
        <v>6209</v>
      </c>
      <c r="H476" s="1" t="s">
        <v>6210</v>
      </c>
      <c r="I476" s="1" t="s">
        <v>6211</v>
      </c>
      <c r="J476" s="1">
        <v>4</v>
      </c>
      <c r="K476" s="1">
        <v>4</v>
      </c>
      <c r="L476" s="1">
        <v>12900</v>
      </c>
      <c r="M476" s="1">
        <v>20</v>
      </c>
      <c r="N476" s="1">
        <v>20</v>
      </c>
      <c r="O476" s="1">
        <v>10</v>
      </c>
      <c r="P476" s="1">
        <v>10</v>
      </c>
      <c r="Q476" s="1">
        <v>2</v>
      </c>
      <c r="R476" s="1">
        <v>5</v>
      </c>
      <c r="S476" s="1">
        <v>5</v>
      </c>
      <c r="T476" s="1">
        <v>0</v>
      </c>
      <c r="U476" s="1">
        <v>100</v>
      </c>
      <c r="V476" s="1">
        <v>0</v>
      </c>
      <c r="W476" s="1">
        <v>0</v>
      </c>
      <c r="X476" s="1">
        <v>100</v>
      </c>
      <c r="Y476" s="1">
        <v>0</v>
      </c>
      <c r="Z476" s="1">
        <v>0</v>
      </c>
      <c r="AA476" s="1">
        <v>0</v>
      </c>
      <c r="AB476" s="1">
        <v>15</v>
      </c>
      <c r="AC476" s="1">
        <v>50</v>
      </c>
      <c r="AD476" s="1">
        <v>0</v>
      </c>
      <c r="AE476" s="1">
        <v>110</v>
      </c>
      <c r="AF476" s="1">
        <v>100</v>
      </c>
      <c r="AG476" s="1">
        <v>403414</v>
      </c>
      <c r="AH476" s="1">
        <v>0</v>
      </c>
      <c r="AI476" s="1">
        <v>403402</v>
      </c>
      <c r="AJ476" s="1" t="s">
        <v>5992</v>
      </c>
      <c r="AK476" s="1" t="s">
        <v>328</v>
      </c>
      <c r="AL476" s="1">
        <v>13</v>
      </c>
      <c r="AM476" s="1" t="s">
        <v>4719</v>
      </c>
      <c r="AN476" s="1" t="s">
        <v>4747</v>
      </c>
      <c r="AO476" s="1" t="s">
        <v>4799</v>
      </c>
      <c r="AP476" s="1">
        <v>0</v>
      </c>
      <c r="AQ476" s="1" t="s">
        <v>1154</v>
      </c>
      <c r="AR476" s="1" t="s">
        <v>5993</v>
      </c>
      <c r="AS476" s="1" t="s">
        <v>5993</v>
      </c>
      <c r="AT476" s="1" t="s">
        <v>328</v>
      </c>
      <c r="AU476" s="1">
        <v>54</v>
      </c>
      <c r="AV476" s="1">
        <v>0</v>
      </c>
      <c r="AW476" s="1" t="s">
        <v>5790</v>
      </c>
      <c r="AX476" s="1" t="s">
        <v>1806</v>
      </c>
      <c r="AY476" s="1">
        <v>5</v>
      </c>
      <c r="AZ476" s="1">
        <v>0</v>
      </c>
      <c r="BA476" s="1" t="s">
        <v>328</v>
      </c>
      <c r="BB476" s="1" t="s">
        <v>328</v>
      </c>
      <c r="BC476" s="1" t="s">
        <v>328</v>
      </c>
      <c r="BD476" s="1">
        <v>0</v>
      </c>
      <c r="BE476" s="1"/>
      <c r="BH476">
        <f>COUNTIF(Dropdowns!$I:$AF,C476)</f>
        <v>0</v>
      </c>
    </row>
    <row r="477" spans="1:60" x14ac:dyDescent="0.3">
      <c r="A477" s="1">
        <v>9088</v>
      </c>
      <c r="B477" s="1" t="s">
        <v>6212</v>
      </c>
      <c r="C477" s="207" t="s">
        <v>861</v>
      </c>
      <c r="D477" s="1" t="s">
        <v>6213</v>
      </c>
      <c r="E477" s="1"/>
      <c r="F477" s="1"/>
      <c r="G477" s="1" t="s">
        <v>6214</v>
      </c>
      <c r="H477" s="1" t="s">
        <v>6215</v>
      </c>
      <c r="I477" s="1" t="s">
        <v>6216</v>
      </c>
      <c r="J477" s="1">
        <v>4</v>
      </c>
      <c r="K477" s="1">
        <v>4</v>
      </c>
      <c r="L477" s="1">
        <v>12900</v>
      </c>
      <c r="M477" s="1">
        <v>20</v>
      </c>
      <c r="N477" s="1">
        <v>20</v>
      </c>
      <c r="O477" s="1">
        <v>10</v>
      </c>
      <c r="P477" s="1">
        <v>10</v>
      </c>
      <c r="Q477" s="1">
        <v>2</v>
      </c>
      <c r="R477" s="1">
        <v>5</v>
      </c>
      <c r="S477" s="1">
        <v>5</v>
      </c>
      <c r="T477" s="1">
        <v>0</v>
      </c>
      <c r="U477" s="1">
        <v>100</v>
      </c>
      <c r="V477" s="1">
        <v>0</v>
      </c>
      <c r="W477" s="1">
        <v>0</v>
      </c>
      <c r="X477" s="1">
        <v>100</v>
      </c>
      <c r="Y477" s="1">
        <v>0</v>
      </c>
      <c r="Z477" s="1">
        <v>0</v>
      </c>
      <c r="AA477" s="1">
        <v>0</v>
      </c>
      <c r="AB477" s="1">
        <v>15</v>
      </c>
      <c r="AC477" s="1">
        <v>50</v>
      </c>
      <c r="AD477" s="1">
        <v>0</v>
      </c>
      <c r="AE477" s="1">
        <v>110</v>
      </c>
      <c r="AF477" s="1">
        <v>100</v>
      </c>
      <c r="AG477" s="1">
        <v>403414</v>
      </c>
      <c r="AH477" s="1">
        <v>0</v>
      </c>
      <c r="AI477" s="1">
        <v>403402</v>
      </c>
      <c r="AJ477" s="1" t="s">
        <v>5992</v>
      </c>
      <c r="AK477" s="1" t="s">
        <v>328</v>
      </c>
      <c r="AL477" s="1">
        <v>13</v>
      </c>
      <c r="AM477" s="1" t="s">
        <v>4719</v>
      </c>
      <c r="AN477" s="1" t="s">
        <v>4747</v>
      </c>
      <c r="AO477" s="1" t="s">
        <v>4799</v>
      </c>
      <c r="AP477" s="1">
        <v>0</v>
      </c>
      <c r="AQ477" s="1" t="s">
        <v>1154</v>
      </c>
      <c r="AR477" s="1" t="s">
        <v>5993</v>
      </c>
      <c r="AS477" s="1" t="s">
        <v>5993</v>
      </c>
      <c r="AT477" s="1" t="s">
        <v>328</v>
      </c>
      <c r="AU477" s="1">
        <v>54</v>
      </c>
      <c r="AV477" s="1">
        <v>0</v>
      </c>
      <c r="AW477" s="1" t="s">
        <v>5790</v>
      </c>
      <c r="AX477" s="1" t="s">
        <v>1806</v>
      </c>
      <c r="AY477" s="1">
        <v>5</v>
      </c>
      <c r="AZ477" s="1">
        <v>0</v>
      </c>
      <c r="BA477" s="1" t="s">
        <v>328</v>
      </c>
      <c r="BB477" s="1" t="s">
        <v>328</v>
      </c>
      <c r="BC477" s="1" t="s">
        <v>328</v>
      </c>
      <c r="BD477" s="1">
        <v>0</v>
      </c>
      <c r="BE477" s="1"/>
      <c r="BH477">
        <f>COUNTIF(Dropdowns!$I:$AF,C477)</f>
        <v>0</v>
      </c>
    </row>
    <row r="478" spans="1:60" x14ac:dyDescent="0.3">
      <c r="A478" s="1">
        <v>9089</v>
      </c>
      <c r="B478" s="1" t="s">
        <v>6217</v>
      </c>
      <c r="C478" s="207" t="s">
        <v>6050</v>
      </c>
      <c r="D478" s="1" t="s">
        <v>6218</v>
      </c>
      <c r="E478" s="1"/>
      <c r="F478" s="1"/>
      <c r="G478" s="1" t="s">
        <v>6219</v>
      </c>
      <c r="H478" s="1" t="s">
        <v>6220</v>
      </c>
      <c r="I478" s="1" t="s">
        <v>6221</v>
      </c>
      <c r="J478" s="1">
        <v>1</v>
      </c>
      <c r="K478" s="1">
        <v>3</v>
      </c>
      <c r="L478" s="1">
        <v>2700</v>
      </c>
      <c r="M478" s="1">
        <v>10</v>
      </c>
      <c r="N478" s="1">
        <v>10</v>
      </c>
      <c r="O478" s="1">
        <v>5</v>
      </c>
      <c r="P478" s="1">
        <v>5</v>
      </c>
      <c r="Q478" s="1">
        <v>2</v>
      </c>
      <c r="R478" s="1">
        <v>2</v>
      </c>
      <c r="S478" s="1">
        <v>2</v>
      </c>
      <c r="T478" s="1">
        <v>0</v>
      </c>
      <c r="U478" s="1">
        <v>650</v>
      </c>
      <c r="V478" s="1">
        <v>120</v>
      </c>
      <c r="W478" s="1">
        <v>100</v>
      </c>
      <c r="X478" s="1">
        <v>100</v>
      </c>
      <c r="Y478" s="1">
        <v>105</v>
      </c>
      <c r="Z478" s="1">
        <v>100</v>
      </c>
      <c r="AA478" s="1">
        <v>0</v>
      </c>
      <c r="AB478" s="1">
        <v>15</v>
      </c>
      <c r="AC478" s="1">
        <v>20</v>
      </c>
      <c r="AD478" s="1">
        <v>0</v>
      </c>
      <c r="AE478" s="1">
        <v>105</v>
      </c>
      <c r="AF478" s="1">
        <v>120</v>
      </c>
      <c r="AG478" s="1">
        <v>100602</v>
      </c>
      <c r="AH478" s="1">
        <v>0</v>
      </c>
      <c r="AI478" s="1">
        <v>900107</v>
      </c>
      <c r="AJ478" s="1" t="s">
        <v>6222</v>
      </c>
      <c r="AK478" s="1" t="s">
        <v>328</v>
      </c>
      <c r="AL478" s="1">
        <v>13</v>
      </c>
      <c r="AM478" s="1" t="s">
        <v>1806</v>
      </c>
      <c r="AN478" s="1" t="s">
        <v>4747</v>
      </c>
      <c r="AO478" s="1" t="s">
        <v>4744</v>
      </c>
      <c r="AP478" s="1">
        <v>0</v>
      </c>
      <c r="AQ478" s="1" t="s">
        <v>5852</v>
      </c>
      <c r="AR478" s="1" t="s">
        <v>1119</v>
      </c>
      <c r="AS478" s="1" t="s">
        <v>1129</v>
      </c>
      <c r="AT478" s="1" t="s">
        <v>328</v>
      </c>
      <c r="AU478" s="1">
        <v>6</v>
      </c>
      <c r="AV478" s="1">
        <v>0</v>
      </c>
      <c r="AW478" s="1" t="s">
        <v>5790</v>
      </c>
      <c r="AX478" s="1" t="s">
        <v>1806</v>
      </c>
      <c r="AY478" s="1">
        <v>3</v>
      </c>
      <c r="AZ478" s="1">
        <v>0</v>
      </c>
      <c r="BA478" s="1" t="s">
        <v>328</v>
      </c>
      <c r="BB478" s="1" t="s">
        <v>328</v>
      </c>
      <c r="BC478" s="1" t="s">
        <v>328</v>
      </c>
      <c r="BD478" s="1">
        <v>0</v>
      </c>
      <c r="BE478" s="1"/>
      <c r="BH478">
        <f>COUNTIF(Dropdowns!$I:$AF,C478)</f>
        <v>0</v>
      </c>
    </row>
    <row r="479" spans="1:60" x14ac:dyDescent="0.3">
      <c r="A479" s="1">
        <v>9090</v>
      </c>
      <c r="B479" s="1" t="s">
        <v>6223</v>
      </c>
      <c r="C479" s="207" t="s">
        <v>4058</v>
      </c>
      <c r="D479" s="1" t="s">
        <v>4058</v>
      </c>
      <c r="E479" s="1"/>
      <c r="F479" s="1"/>
      <c r="G479" s="1" t="s">
        <v>6224</v>
      </c>
      <c r="H479" s="1" t="s">
        <v>6225</v>
      </c>
      <c r="I479" s="1" t="s">
        <v>6226</v>
      </c>
      <c r="J479" s="1">
        <v>4</v>
      </c>
      <c r="K479" s="1">
        <v>5</v>
      </c>
      <c r="L479" s="1">
        <v>14100</v>
      </c>
      <c r="M479" s="1">
        <v>20</v>
      </c>
      <c r="N479" s="1">
        <v>20</v>
      </c>
      <c r="O479" s="1">
        <v>10</v>
      </c>
      <c r="P479" s="1">
        <v>10</v>
      </c>
      <c r="Q479" s="1">
        <v>2</v>
      </c>
      <c r="R479" s="1">
        <v>5</v>
      </c>
      <c r="S479" s="1">
        <v>5</v>
      </c>
      <c r="T479" s="1">
        <v>0</v>
      </c>
      <c r="U479" s="1">
        <v>272</v>
      </c>
      <c r="V479" s="1">
        <v>107</v>
      </c>
      <c r="W479" s="1">
        <v>148</v>
      </c>
      <c r="X479" s="1">
        <v>100</v>
      </c>
      <c r="Y479" s="1">
        <v>132</v>
      </c>
      <c r="Z479" s="1">
        <v>0</v>
      </c>
      <c r="AA479" s="1">
        <v>0</v>
      </c>
      <c r="AB479" s="1">
        <v>0</v>
      </c>
      <c r="AC479" s="1">
        <v>0</v>
      </c>
      <c r="AD479" s="1">
        <v>0</v>
      </c>
      <c r="AE479" s="1">
        <v>124</v>
      </c>
      <c r="AF479" s="1">
        <v>400</v>
      </c>
      <c r="AG479" s="1">
        <v>118106</v>
      </c>
      <c r="AH479" s="1">
        <v>118105</v>
      </c>
      <c r="AI479" s="1">
        <v>118104</v>
      </c>
      <c r="AJ479" s="1" t="s">
        <v>6227</v>
      </c>
      <c r="AK479" s="1" t="s">
        <v>328</v>
      </c>
      <c r="AL479" s="1">
        <v>13</v>
      </c>
      <c r="AM479" s="1" t="s">
        <v>4719</v>
      </c>
      <c r="AN479" s="1" t="s">
        <v>4829</v>
      </c>
      <c r="AO479" s="1" t="s">
        <v>6228</v>
      </c>
      <c r="AP479" s="1">
        <v>0</v>
      </c>
      <c r="AQ479" s="1" t="s">
        <v>1745</v>
      </c>
      <c r="AR479" s="1" t="s">
        <v>4868</v>
      </c>
      <c r="AS479" s="1" t="s">
        <v>1744</v>
      </c>
      <c r="AT479" s="1" t="s">
        <v>328</v>
      </c>
      <c r="AU479" s="1">
        <v>1029</v>
      </c>
      <c r="AV479" s="1">
        <v>0</v>
      </c>
      <c r="AW479" s="1" t="s">
        <v>5790</v>
      </c>
      <c r="AX479" s="1" t="s">
        <v>1806</v>
      </c>
      <c r="AY479" s="1">
        <v>5</v>
      </c>
      <c r="AZ479" s="1">
        <v>0</v>
      </c>
      <c r="BA479" s="1" t="s">
        <v>328</v>
      </c>
      <c r="BB479" s="1" t="s">
        <v>328</v>
      </c>
      <c r="BC479" s="1" t="s">
        <v>5386</v>
      </c>
      <c r="BD479" s="1">
        <v>0</v>
      </c>
      <c r="BE479" s="1"/>
      <c r="BH479">
        <f>COUNTIF(Dropdowns!$I:$AF,C479)</f>
        <v>0</v>
      </c>
    </row>
    <row r="480" spans="1:60" x14ac:dyDescent="0.3">
      <c r="A480" s="1">
        <v>9091</v>
      </c>
      <c r="B480" s="1" t="s">
        <v>6229</v>
      </c>
      <c r="C480" s="207" t="s">
        <v>5779</v>
      </c>
      <c r="D480" s="1" t="s">
        <v>3946</v>
      </c>
      <c r="E480" s="1"/>
      <c r="F480" s="1"/>
      <c r="G480" s="1" t="s">
        <v>6230</v>
      </c>
      <c r="H480" s="1" t="s">
        <v>6231</v>
      </c>
      <c r="I480" s="1" t="s">
        <v>6232</v>
      </c>
      <c r="J480" s="1">
        <v>3</v>
      </c>
      <c r="K480" s="1">
        <v>5</v>
      </c>
      <c r="L480" s="1">
        <v>16980</v>
      </c>
      <c r="M480" s="1">
        <v>15</v>
      </c>
      <c r="N480" s="1">
        <v>30</v>
      </c>
      <c r="O480" s="1">
        <v>10</v>
      </c>
      <c r="P480" s="1">
        <v>15</v>
      </c>
      <c r="Q480" s="1">
        <v>5</v>
      </c>
      <c r="R480" s="1">
        <v>2</v>
      </c>
      <c r="S480" s="1">
        <v>5</v>
      </c>
      <c r="T480" s="1">
        <v>0</v>
      </c>
      <c r="U480" s="1">
        <v>113</v>
      </c>
      <c r="V480" s="1">
        <v>391</v>
      </c>
      <c r="W480" s="1">
        <v>40</v>
      </c>
      <c r="X480" s="1">
        <v>100</v>
      </c>
      <c r="Y480" s="1">
        <v>110</v>
      </c>
      <c r="Z480" s="1">
        <v>0</v>
      </c>
      <c r="AA480" s="1">
        <v>0</v>
      </c>
      <c r="AB480" s="1">
        <v>15</v>
      </c>
      <c r="AC480" s="1">
        <v>0</v>
      </c>
      <c r="AD480" s="1">
        <v>0</v>
      </c>
      <c r="AE480" s="1">
        <v>155</v>
      </c>
      <c r="AF480" s="1">
        <v>800</v>
      </c>
      <c r="AG480" s="1">
        <v>118129</v>
      </c>
      <c r="AH480" s="1">
        <v>118128</v>
      </c>
      <c r="AI480" s="1">
        <v>118143</v>
      </c>
      <c r="AJ480" s="1" t="s">
        <v>6233</v>
      </c>
      <c r="AK480" s="1" t="s">
        <v>328</v>
      </c>
      <c r="AL480" s="1">
        <v>13</v>
      </c>
      <c r="AM480" s="1" t="s">
        <v>4762</v>
      </c>
      <c r="AN480" s="1" t="s">
        <v>5113</v>
      </c>
      <c r="AO480" s="1" t="s">
        <v>6234</v>
      </c>
      <c r="AP480" s="1">
        <v>0</v>
      </c>
      <c r="AQ480" s="1" t="s">
        <v>1140</v>
      </c>
      <c r="AR480" s="1" t="s">
        <v>1141</v>
      </c>
      <c r="AS480" s="1" t="s">
        <v>1142</v>
      </c>
      <c r="AT480" s="1" t="s">
        <v>328</v>
      </c>
      <c r="AU480" s="1">
        <v>222</v>
      </c>
      <c r="AV480" s="1">
        <v>0</v>
      </c>
      <c r="AW480" s="1" t="s">
        <v>5790</v>
      </c>
      <c r="AX480" s="1" t="s">
        <v>1806</v>
      </c>
      <c r="AY480" s="1">
        <v>5</v>
      </c>
      <c r="AZ480" s="1">
        <v>0</v>
      </c>
      <c r="BA480" s="1" t="s">
        <v>328</v>
      </c>
      <c r="BB480" s="1" t="s">
        <v>328</v>
      </c>
      <c r="BC480" s="1" t="s">
        <v>4757</v>
      </c>
      <c r="BD480" s="1">
        <v>0</v>
      </c>
      <c r="BE480" s="1"/>
      <c r="BH480">
        <f>COUNTIF(Dropdowns!$I:$AF,C480)</f>
        <v>0</v>
      </c>
    </row>
    <row r="481" spans="1:60" x14ac:dyDescent="0.3">
      <c r="A481" s="1">
        <v>9092</v>
      </c>
      <c r="B481" s="1" t="s">
        <v>6235</v>
      </c>
      <c r="C481" s="207" t="s">
        <v>190</v>
      </c>
      <c r="D481" s="1" t="s">
        <v>190</v>
      </c>
      <c r="E481" s="1"/>
      <c r="F481" s="1"/>
      <c r="G481" s="1" t="s">
        <v>6236</v>
      </c>
      <c r="H481" s="1" t="s">
        <v>6237</v>
      </c>
      <c r="I481" s="1" t="s">
        <v>6238</v>
      </c>
      <c r="J481" s="1">
        <v>2</v>
      </c>
      <c r="K481" s="1">
        <v>5</v>
      </c>
      <c r="L481" s="1">
        <v>8940</v>
      </c>
      <c r="M481" s="1">
        <v>25</v>
      </c>
      <c r="N481" s="1">
        <v>20</v>
      </c>
      <c r="O481" s="1">
        <v>15</v>
      </c>
      <c r="P481" s="1">
        <v>10</v>
      </c>
      <c r="Q481" s="1">
        <v>5</v>
      </c>
      <c r="R481" s="1">
        <v>5</v>
      </c>
      <c r="S481" s="1">
        <v>2</v>
      </c>
      <c r="T481" s="1">
        <v>0</v>
      </c>
      <c r="U481" s="1">
        <v>341</v>
      </c>
      <c r="V481" s="1">
        <v>112</v>
      </c>
      <c r="W481" s="1">
        <v>145</v>
      </c>
      <c r="X481" s="1">
        <v>100</v>
      </c>
      <c r="Y481" s="1">
        <v>120</v>
      </c>
      <c r="Z481" s="1">
        <v>0</v>
      </c>
      <c r="AA481" s="1">
        <v>0</v>
      </c>
      <c r="AB481" s="1">
        <v>0</v>
      </c>
      <c r="AC481" s="1">
        <v>0</v>
      </c>
      <c r="AD481" s="1">
        <v>0</v>
      </c>
      <c r="AE481" s="1">
        <v>118</v>
      </c>
      <c r="AF481" s="1">
        <v>300</v>
      </c>
      <c r="AG481" s="1">
        <v>118134</v>
      </c>
      <c r="AH481" s="1">
        <v>118133</v>
      </c>
      <c r="AI481" s="1">
        <v>118135</v>
      </c>
      <c r="AJ481" s="1" t="s">
        <v>6239</v>
      </c>
      <c r="AK481" s="1" t="s">
        <v>328</v>
      </c>
      <c r="AL481" s="1">
        <v>13</v>
      </c>
      <c r="AM481" s="1" t="s">
        <v>4790</v>
      </c>
      <c r="AN481" s="1" t="s">
        <v>4795</v>
      </c>
      <c r="AO481" s="1" t="s">
        <v>6240</v>
      </c>
      <c r="AP481" s="1">
        <v>0</v>
      </c>
      <c r="AQ481" s="1" t="s">
        <v>1129</v>
      </c>
      <c r="AR481" s="1" t="s">
        <v>1119</v>
      </c>
      <c r="AS481" s="1" t="s">
        <v>1130</v>
      </c>
      <c r="AT481" s="1" t="s">
        <v>328</v>
      </c>
      <c r="AU481" s="1">
        <v>28</v>
      </c>
      <c r="AV481" s="1">
        <v>0</v>
      </c>
      <c r="AW481" s="1" t="s">
        <v>5790</v>
      </c>
      <c r="AX481" s="1" t="s">
        <v>1806</v>
      </c>
      <c r="AY481" s="1">
        <v>5</v>
      </c>
      <c r="AZ481" s="1">
        <v>0</v>
      </c>
      <c r="BA481" s="1" t="s">
        <v>328</v>
      </c>
      <c r="BB481" s="1" t="s">
        <v>5217</v>
      </c>
      <c r="BC481" s="1" t="s">
        <v>4853</v>
      </c>
      <c r="BD481" s="1">
        <v>0</v>
      </c>
      <c r="BE481" s="1"/>
      <c r="BH481">
        <f>COUNTIF(Dropdowns!$I:$AF,C481)</f>
        <v>1</v>
      </c>
    </row>
    <row r="482" spans="1:60" x14ac:dyDescent="0.3">
      <c r="A482" s="1">
        <v>9093</v>
      </c>
      <c r="B482" s="1" t="s">
        <v>6241</v>
      </c>
      <c r="C482" s="207" t="s">
        <v>3772</v>
      </c>
      <c r="D482" s="1" t="s">
        <v>6242</v>
      </c>
      <c r="E482" s="1"/>
      <c r="F482" s="1"/>
      <c r="G482" s="1" t="s">
        <v>6243</v>
      </c>
      <c r="H482" s="1" t="s">
        <v>6244</v>
      </c>
      <c r="I482" s="1" t="s">
        <v>6245</v>
      </c>
      <c r="J482" s="1">
        <v>1</v>
      </c>
      <c r="K482" s="1">
        <v>5</v>
      </c>
      <c r="L482" s="1">
        <v>3180</v>
      </c>
      <c r="M482" s="1">
        <v>10</v>
      </c>
      <c r="N482" s="1">
        <v>10</v>
      </c>
      <c r="O482" s="1">
        <v>5</v>
      </c>
      <c r="P482" s="1">
        <v>5</v>
      </c>
      <c r="Q482" s="1">
        <v>2</v>
      </c>
      <c r="R482" s="1">
        <v>2</v>
      </c>
      <c r="S482" s="1">
        <v>2</v>
      </c>
      <c r="T482" s="1">
        <v>0</v>
      </c>
      <c r="U482" s="1">
        <v>227</v>
      </c>
      <c r="V482" s="1">
        <v>170</v>
      </c>
      <c r="W482" s="1">
        <v>89</v>
      </c>
      <c r="X482" s="1">
        <v>100</v>
      </c>
      <c r="Y482" s="1">
        <v>105</v>
      </c>
      <c r="Z482" s="1">
        <v>0</v>
      </c>
      <c r="AA482" s="1">
        <v>0</v>
      </c>
      <c r="AB482" s="1">
        <v>0</v>
      </c>
      <c r="AC482" s="1">
        <v>0</v>
      </c>
      <c r="AD482" s="1">
        <v>0</v>
      </c>
      <c r="AE482" s="1">
        <v>132</v>
      </c>
      <c r="AF482" s="1">
        <v>300</v>
      </c>
      <c r="AG482" s="1">
        <v>118154</v>
      </c>
      <c r="AH482" s="1">
        <v>118155</v>
      </c>
      <c r="AI482" s="1">
        <v>118148</v>
      </c>
      <c r="AJ482" s="1" t="s">
        <v>6246</v>
      </c>
      <c r="AK482" s="1" t="s">
        <v>328</v>
      </c>
      <c r="AL482" s="1">
        <v>17</v>
      </c>
      <c r="AM482" s="1" t="s">
        <v>1806</v>
      </c>
      <c r="AN482" s="1" t="s">
        <v>5249</v>
      </c>
      <c r="AO482" s="1" t="s">
        <v>6247</v>
      </c>
      <c r="AP482" s="1">
        <v>0</v>
      </c>
      <c r="AQ482" s="1" t="s">
        <v>1118</v>
      </c>
      <c r="AR482" s="1" t="s">
        <v>1119</v>
      </c>
      <c r="AS482" s="1" t="s">
        <v>1120</v>
      </c>
      <c r="AT482" s="1" t="s">
        <v>328</v>
      </c>
      <c r="AU482" s="1">
        <v>4</v>
      </c>
      <c r="AV482" s="1">
        <v>0</v>
      </c>
      <c r="AW482" s="1" t="s">
        <v>5790</v>
      </c>
      <c r="AX482" s="1" t="s">
        <v>1806</v>
      </c>
      <c r="AY482" s="1">
        <v>5</v>
      </c>
      <c r="AZ482" s="1">
        <v>0</v>
      </c>
      <c r="BA482" s="1" t="s">
        <v>328</v>
      </c>
      <c r="BB482" s="1" t="s">
        <v>328</v>
      </c>
      <c r="BC482" s="1" t="s">
        <v>328</v>
      </c>
      <c r="BD482" s="1">
        <v>0</v>
      </c>
      <c r="BE482" s="1"/>
      <c r="BH482">
        <f>COUNTIF(Dropdowns!$I:$AF,C482)</f>
        <v>0</v>
      </c>
    </row>
    <row r="483" spans="1:60" x14ac:dyDescent="0.3">
      <c r="A483" s="1">
        <v>9094</v>
      </c>
      <c r="B483" s="1" t="s">
        <v>6248</v>
      </c>
      <c r="C483" s="207" t="s">
        <v>299</v>
      </c>
      <c r="D483" s="1" t="s">
        <v>299</v>
      </c>
      <c r="E483" s="1"/>
      <c r="F483" s="1"/>
      <c r="G483" s="1" t="s">
        <v>6249</v>
      </c>
      <c r="H483" s="1" t="s">
        <v>6250</v>
      </c>
      <c r="I483" s="1" t="s">
        <v>6251</v>
      </c>
      <c r="J483" s="1">
        <v>5</v>
      </c>
      <c r="K483" s="1">
        <v>5</v>
      </c>
      <c r="L483" s="1">
        <v>24000</v>
      </c>
      <c r="M483" s="1">
        <v>40</v>
      </c>
      <c r="N483" s="1">
        <v>30</v>
      </c>
      <c r="O483" s="1">
        <v>25</v>
      </c>
      <c r="P483" s="1">
        <v>15</v>
      </c>
      <c r="Q483" s="1">
        <v>5</v>
      </c>
      <c r="R483" s="1">
        <v>5</v>
      </c>
      <c r="S483" s="1">
        <v>2</v>
      </c>
      <c r="T483" s="1">
        <v>5</v>
      </c>
      <c r="U483" s="1">
        <v>242</v>
      </c>
      <c r="V483" s="1">
        <v>56</v>
      </c>
      <c r="W483" s="1">
        <v>125</v>
      </c>
      <c r="X483" s="1">
        <v>100</v>
      </c>
      <c r="Y483" s="1">
        <v>0</v>
      </c>
      <c r="Z483" s="1">
        <v>0</v>
      </c>
      <c r="AA483" s="1">
        <v>0</v>
      </c>
      <c r="AB483" s="1">
        <v>15</v>
      </c>
      <c r="AC483" s="1">
        <v>0</v>
      </c>
      <c r="AD483" s="1">
        <v>9</v>
      </c>
      <c r="AE483" s="1">
        <v>135</v>
      </c>
      <c r="AF483" s="1">
        <v>600</v>
      </c>
      <c r="AG483" s="1">
        <v>118169</v>
      </c>
      <c r="AH483" s="1">
        <v>118168</v>
      </c>
      <c r="AI483" s="1">
        <v>118161</v>
      </c>
      <c r="AJ483" s="1" t="s">
        <v>6252</v>
      </c>
      <c r="AK483" s="1" t="s">
        <v>328</v>
      </c>
      <c r="AL483" s="1">
        <v>18</v>
      </c>
      <c r="AM483" s="1" t="s">
        <v>4858</v>
      </c>
      <c r="AN483" s="1" t="s">
        <v>4931</v>
      </c>
      <c r="AO483" s="1" t="s">
        <v>6253</v>
      </c>
      <c r="AP483" s="1">
        <v>0</v>
      </c>
      <c r="AQ483" s="1" t="s">
        <v>5012</v>
      </c>
      <c r="AR483" s="1" t="s">
        <v>4911</v>
      </c>
      <c r="AS483" s="1" t="s">
        <v>1169</v>
      </c>
      <c r="AT483" s="1" t="s">
        <v>328</v>
      </c>
      <c r="AU483" s="1">
        <v>125</v>
      </c>
      <c r="AV483" s="1">
        <v>0</v>
      </c>
      <c r="AW483" s="1" t="s">
        <v>5790</v>
      </c>
      <c r="AX483" s="1" t="s">
        <v>1806</v>
      </c>
      <c r="AY483" s="1">
        <v>5</v>
      </c>
      <c r="AZ483" s="1">
        <v>0</v>
      </c>
      <c r="BA483" s="1" t="s">
        <v>328</v>
      </c>
      <c r="BB483" s="1" t="s">
        <v>328</v>
      </c>
      <c r="BC483" s="1" t="s">
        <v>328</v>
      </c>
      <c r="BD483" s="1">
        <v>0</v>
      </c>
      <c r="BE483" s="1"/>
      <c r="BH483">
        <f>COUNTIF(Dropdowns!$I:$AF,C483)</f>
        <v>2</v>
      </c>
    </row>
    <row r="484" spans="1:60" x14ac:dyDescent="0.3">
      <c r="A484" s="1">
        <v>9095</v>
      </c>
      <c r="B484" s="1" t="s">
        <v>6254</v>
      </c>
      <c r="C484" s="207" t="s">
        <v>6050</v>
      </c>
      <c r="D484" s="1" t="s">
        <v>6218</v>
      </c>
      <c r="E484" s="1"/>
      <c r="F484" s="1"/>
      <c r="G484" s="1" t="s">
        <v>6255</v>
      </c>
      <c r="H484" s="1" t="s">
        <v>6256</v>
      </c>
      <c r="I484" s="1" t="s">
        <v>6257</v>
      </c>
      <c r="J484" s="1">
        <v>1</v>
      </c>
      <c r="K484" s="1">
        <v>3</v>
      </c>
      <c r="L484" s="1">
        <v>2700</v>
      </c>
      <c r="M484" s="1">
        <v>10</v>
      </c>
      <c r="N484" s="1">
        <v>10</v>
      </c>
      <c r="O484" s="1">
        <v>5</v>
      </c>
      <c r="P484" s="1">
        <v>5</v>
      </c>
      <c r="Q484" s="1">
        <v>2</v>
      </c>
      <c r="R484" s="1">
        <v>2</v>
      </c>
      <c r="S484" s="1">
        <v>2</v>
      </c>
      <c r="T484" s="1">
        <v>0</v>
      </c>
      <c r="U484" s="1">
        <v>650</v>
      </c>
      <c r="V484" s="1">
        <v>120</v>
      </c>
      <c r="W484" s="1">
        <v>100</v>
      </c>
      <c r="X484" s="1">
        <v>100</v>
      </c>
      <c r="Y484" s="1">
        <v>105</v>
      </c>
      <c r="Z484" s="1">
        <v>100</v>
      </c>
      <c r="AA484" s="1">
        <v>0</v>
      </c>
      <c r="AB484" s="1">
        <v>15</v>
      </c>
      <c r="AC484" s="1">
        <v>20</v>
      </c>
      <c r="AD484" s="1">
        <v>0</v>
      </c>
      <c r="AE484" s="1">
        <v>105</v>
      </c>
      <c r="AF484" s="1">
        <v>120</v>
      </c>
      <c r="AG484" s="1">
        <v>100602</v>
      </c>
      <c r="AH484" s="1">
        <v>0</v>
      </c>
      <c r="AI484" s="1">
        <v>900107</v>
      </c>
      <c r="AJ484" s="1" t="s">
        <v>6258</v>
      </c>
      <c r="AK484" s="1" t="s">
        <v>328</v>
      </c>
      <c r="AL484" s="1">
        <v>13</v>
      </c>
      <c r="AM484" s="1" t="s">
        <v>1806</v>
      </c>
      <c r="AN484" s="1" t="s">
        <v>4747</v>
      </c>
      <c r="AO484" s="1" t="s">
        <v>4744</v>
      </c>
      <c r="AP484" s="1">
        <v>0</v>
      </c>
      <c r="AQ484" s="1" t="s">
        <v>5852</v>
      </c>
      <c r="AR484" s="1" t="s">
        <v>1119</v>
      </c>
      <c r="AS484" s="1" t="s">
        <v>1129</v>
      </c>
      <c r="AT484" s="1" t="s">
        <v>328</v>
      </c>
      <c r="AU484" s="1">
        <v>6</v>
      </c>
      <c r="AV484" s="1">
        <v>0</v>
      </c>
      <c r="AW484" s="1" t="s">
        <v>5790</v>
      </c>
      <c r="AX484" s="1" t="s">
        <v>1806</v>
      </c>
      <c r="AY484" s="1">
        <v>3</v>
      </c>
      <c r="AZ484" s="1">
        <v>0</v>
      </c>
      <c r="BA484" s="1" t="s">
        <v>328</v>
      </c>
      <c r="BB484" s="1" t="s">
        <v>328</v>
      </c>
      <c r="BC484" s="1" t="s">
        <v>328</v>
      </c>
      <c r="BD484" s="1">
        <v>0</v>
      </c>
      <c r="BE484" s="1"/>
      <c r="BH484">
        <f>COUNTIF(Dropdowns!$I:$AF,C484)</f>
        <v>0</v>
      </c>
    </row>
    <row r="485" spans="1:60" x14ac:dyDescent="0.3">
      <c r="A485" s="1">
        <v>9096</v>
      </c>
      <c r="B485" s="1" t="s">
        <v>6259</v>
      </c>
      <c r="C485" s="207" t="s">
        <v>6050</v>
      </c>
      <c r="D485" s="1" t="s">
        <v>6218</v>
      </c>
      <c r="E485" s="1"/>
      <c r="F485" s="1"/>
      <c r="G485" s="1" t="s">
        <v>6260</v>
      </c>
      <c r="H485" s="1" t="s">
        <v>6261</v>
      </c>
      <c r="I485" s="1" t="s">
        <v>6262</v>
      </c>
      <c r="J485" s="1">
        <v>1</v>
      </c>
      <c r="K485" s="1">
        <v>3</v>
      </c>
      <c r="L485" s="1">
        <v>2700</v>
      </c>
      <c r="M485" s="1">
        <v>10</v>
      </c>
      <c r="N485" s="1">
        <v>10</v>
      </c>
      <c r="O485" s="1">
        <v>5</v>
      </c>
      <c r="P485" s="1">
        <v>5</v>
      </c>
      <c r="Q485" s="1">
        <v>2</v>
      </c>
      <c r="R485" s="1">
        <v>2</v>
      </c>
      <c r="S485" s="1">
        <v>2</v>
      </c>
      <c r="T485" s="1">
        <v>0</v>
      </c>
      <c r="U485" s="1">
        <v>650</v>
      </c>
      <c r="V485" s="1">
        <v>120</v>
      </c>
      <c r="W485" s="1">
        <v>100</v>
      </c>
      <c r="X485" s="1">
        <v>100</v>
      </c>
      <c r="Y485" s="1">
        <v>105</v>
      </c>
      <c r="Z485" s="1">
        <v>100</v>
      </c>
      <c r="AA485" s="1">
        <v>0</v>
      </c>
      <c r="AB485" s="1">
        <v>15</v>
      </c>
      <c r="AC485" s="1">
        <v>20</v>
      </c>
      <c r="AD485" s="1">
        <v>0</v>
      </c>
      <c r="AE485" s="1">
        <v>105</v>
      </c>
      <c r="AF485" s="1">
        <v>120</v>
      </c>
      <c r="AG485" s="1">
        <v>100602</v>
      </c>
      <c r="AH485" s="1">
        <v>0</v>
      </c>
      <c r="AI485" s="1">
        <v>900107</v>
      </c>
      <c r="AJ485" s="1" t="s">
        <v>6263</v>
      </c>
      <c r="AK485" s="1" t="s">
        <v>328</v>
      </c>
      <c r="AL485" s="1">
        <v>13</v>
      </c>
      <c r="AM485" s="1" t="s">
        <v>1806</v>
      </c>
      <c r="AN485" s="1" t="s">
        <v>4747</v>
      </c>
      <c r="AO485" s="1" t="s">
        <v>4744</v>
      </c>
      <c r="AP485" s="1">
        <v>0</v>
      </c>
      <c r="AQ485" s="1" t="s">
        <v>5852</v>
      </c>
      <c r="AR485" s="1" t="s">
        <v>1119</v>
      </c>
      <c r="AS485" s="1" t="s">
        <v>1129</v>
      </c>
      <c r="AT485" s="1" t="s">
        <v>328</v>
      </c>
      <c r="AU485" s="1">
        <v>6</v>
      </c>
      <c r="AV485" s="1">
        <v>0</v>
      </c>
      <c r="AW485" s="1" t="s">
        <v>5790</v>
      </c>
      <c r="AX485" s="1" t="s">
        <v>1806</v>
      </c>
      <c r="AY485" s="1">
        <v>3</v>
      </c>
      <c r="AZ485" s="1">
        <v>0</v>
      </c>
      <c r="BA485" s="1" t="s">
        <v>328</v>
      </c>
      <c r="BB485" s="1" t="s">
        <v>328</v>
      </c>
      <c r="BC485" s="1" t="s">
        <v>328</v>
      </c>
      <c r="BD485" s="1">
        <v>0</v>
      </c>
      <c r="BE485" s="1"/>
      <c r="BH485">
        <f>COUNTIF(Dropdowns!$I:$AF,C485)</f>
        <v>0</v>
      </c>
    </row>
    <row r="486" spans="1:60" x14ac:dyDescent="0.3">
      <c r="A486" s="1">
        <v>9097</v>
      </c>
      <c r="B486" s="1" t="s">
        <v>6264</v>
      </c>
      <c r="C486" s="207" t="s">
        <v>6050</v>
      </c>
      <c r="D486" s="1" t="s">
        <v>6218</v>
      </c>
      <c r="E486" s="1"/>
      <c r="F486" s="1"/>
      <c r="G486" s="1" t="s">
        <v>6265</v>
      </c>
      <c r="H486" s="1" t="s">
        <v>6266</v>
      </c>
      <c r="I486" s="1" t="s">
        <v>6267</v>
      </c>
      <c r="J486" s="1">
        <v>1</v>
      </c>
      <c r="K486" s="1">
        <v>3</v>
      </c>
      <c r="L486" s="1">
        <v>2700</v>
      </c>
      <c r="M486" s="1">
        <v>10</v>
      </c>
      <c r="N486" s="1">
        <v>10</v>
      </c>
      <c r="O486" s="1">
        <v>5</v>
      </c>
      <c r="P486" s="1">
        <v>5</v>
      </c>
      <c r="Q486" s="1">
        <v>2</v>
      </c>
      <c r="R486" s="1">
        <v>2</v>
      </c>
      <c r="S486" s="1">
        <v>2</v>
      </c>
      <c r="T486" s="1">
        <v>0</v>
      </c>
      <c r="U486" s="1">
        <v>650</v>
      </c>
      <c r="V486" s="1">
        <v>120</v>
      </c>
      <c r="W486" s="1">
        <v>100</v>
      </c>
      <c r="X486" s="1">
        <v>100</v>
      </c>
      <c r="Y486" s="1">
        <v>105</v>
      </c>
      <c r="Z486" s="1">
        <v>100</v>
      </c>
      <c r="AA486" s="1">
        <v>0</v>
      </c>
      <c r="AB486" s="1">
        <v>15</v>
      </c>
      <c r="AC486" s="1">
        <v>20</v>
      </c>
      <c r="AD486" s="1">
        <v>0</v>
      </c>
      <c r="AE486" s="1">
        <v>105</v>
      </c>
      <c r="AF486" s="1">
        <v>120</v>
      </c>
      <c r="AG486" s="1">
        <v>100602</v>
      </c>
      <c r="AH486" s="1">
        <v>0</v>
      </c>
      <c r="AI486" s="1">
        <v>900107</v>
      </c>
      <c r="AJ486" s="1" t="s">
        <v>6268</v>
      </c>
      <c r="AK486" s="1" t="s">
        <v>328</v>
      </c>
      <c r="AL486" s="1">
        <v>13</v>
      </c>
      <c r="AM486" s="1" t="s">
        <v>1806</v>
      </c>
      <c r="AN486" s="1" t="s">
        <v>4747</v>
      </c>
      <c r="AO486" s="1" t="s">
        <v>4744</v>
      </c>
      <c r="AP486" s="1">
        <v>0</v>
      </c>
      <c r="AQ486" s="1" t="s">
        <v>5852</v>
      </c>
      <c r="AR486" s="1" t="s">
        <v>1119</v>
      </c>
      <c r="AS486" s="1" t="s">
        <v>1129</v>
      </c>
      <c r="AT486" s="1" t="s">
        <v>328</v>
      </c>
      <c r="AU486" s="1">
        <v>6</v>
      </c>
      <c r="AV486" s="1">
        <v>0</v>
      </c>
      <c r="AW486" s="1" t="s">
        <v>5790</v>
      </c>
      <c r="AX486" s="1" t="s">
        <v>1806</v>
      </c>
      <c r="AY486" s="1">
        <v>3</v>
      </c>
      <c r="AZ486" s="1">
        <v>0</v>
      </c>
      <c r="BA486" s="1" t="s">
        <v>328</v>
      </c>
      <c r="BB486" s="1" t="s">
        <v>328</v>
      </c>
      <c r="BC486" s="1" t="s">
        <v>328</v>
      </c>
      <c r="BD486" s="1">
        <v>0</v>
      </c>
      <c r="BE486" s="1"/>
      <c r="BH486">
        <f>COUNTIF(Dropdowns!$I:$AF,C486)</f>
        <v>0</v>
      </c>
    </row>
    <row r="487" spans="1:60" x14ac:dyDescent="0.3">
      <c r="A487" s="1">
        <v>9098</v>
      </c>
      <c r="B487" s="1" t="s">
        <v>6269</v>
      </c>
      <c r="C487" s="207" t="s">
        <v>98</v>
      </c>
      <c r="D487" s="1" t="s">
        <v>5988</v>
      </c>
      <c r="E487" s="1"/>
      <c r="F487" s="1"/>
      <c r="G487" s="1" t="s">
        <v>6270</v>
      </c>
      <c r="H487" s="1" t="s">
        <v>6271</v>
      </c>
      <c r="I487" s="1" t="s">
        <v>6272</v>
      </c>
      <c r="J487" s="1">
        <v>4</v>
      </c>
      <c r="K487" s="1">
        <v>4</v>
      </c>
      <c r="L487" s="1">
        <v>12900</v>
      </c>
      <c r="M487" s="1">
        <v>20</v>
      </c>
      <c r="N487" s="1">
        <v>20</v>
      </c>
      <c r="O487" s="1">
        <v>10</v>
      </c>
      <c r="P487" s="1">
        <v>10</v>
      </c>
      <c r="Q487" s="1">
        <v>2</v>
      </c>
      <c r="R487" s="1">
        <v>5</v>
      </c>
      <c r="S487" s="1">
        <v>5</v>
      </c>
      <c r="T487" s="1">
        <v>0</v>
      </c>
      <c r="U487" s="1">
        <v>1100</v>
      </c>
      <c r="V487" s="1">
        <v>440</v>
      </c>
      <c r="W487" s="1">
        <v>115</v>
      </c>
      <c r="X487" s="1">
        <v>100</v>
      </c>
      <c r="Y487" s="1">
        <v>120</v>
      </c>
      <c r="Z487" s="1">
        <v>115</v>
      </c>
      <c r="AA487" s="1">
        <v>0</v>
      </c>
      <c r="AB487" s="1">
        <v>15</v>
      </c>
      <c r="AC487" s="1">
        <v>50</v>
      </c>
      <c r="AD487" s="1">
        <v>0</v>
      </c>
      <c r="AE487" s="1">
        <v>110</v>
      </c>
      <c r="AF487" s="1">
        <v>100</v>
      </c>
      <c r="AG487" s="1">
        <v>403414</v>
      </c>
      <c r="AH487" s="1">
        <v>0</v>
      </c>
      <c r="AI487" s="1">
        <v>403402</v>
      </c>
      <c r="AJ487" s="1" t="s">
        <v>6273</v>
      </c>
      <c r="AK487" s="1" t="s">
        <v>328</v>
      </c>
      <c r="AL487" s="1">
        <v>13</v>
      </c>
      <c r="AM487" s="1" t="s">
        <v>4719</v>
      </c>
      <c r="AN487" s="1" t="s">
        <v>4747</v>
      </c>
      <c r="AO487" s="1" t="s">
        <v>4799</v>
      </c>
      <c r="AP487" s="1">
        <v>0</v>
      </c>
      <c r="AQ487" s="1" t="s">
        <v>1154</v>
      </c>
      <c r="AR487" s="1" t="s">
        <v>5993</v>
      </c>
      <c r="AS487" s="1" t="s">
        <v>5993</v>
      </c>
      <c r="AT487" s="1" t="s">
        <v>328</v>
      </c>
      <c r="AU487" s="1">
        <v>54</v>
      </c>
      <c r="AV487" s="1">
        <v>0</v>
      </c>
      <c r="AW487" s="1" t="s">
        <v>5790</v>
      </c>
      <c r="AX487" s="1" t="s">
        <v>1806</v>
      </c>
      <c r="AY487" s="1">
        <v>5</v>
      </c>
      <c r="AZ487" s="1">
        <v>0</v>
      </c>
      <c r="BA487" s="1" t="s">
        <v>328</v>
      </c>
      <c r="BB487" s="1" t="s">
        <v>328</v>
      </c>
      <c r="BC487" s="1" t="s">
        <v>328</v>
      </c>
      <c r="BD487" s="1">
        <v>0</v>
      </c>
      <c r="BE487" s="1"/>
      <c r="BH487">
        <f>COUNTIF(Dropdowns!$I:$AF,C487)</f>
        <v>1</v>
      </c>
    </row>
    <row r="488" spans="1:60" x14ac:dyDescent="0.3">
      <c r="A488" s="1">
        <v>9099</v>
      </c>
      <c r="B488" s="1" t="s">
        <v>6274</v>
      </c>
      <c r="C488" s="207" t="s">
        <v>6275</v>
      </c>
      <c r="D488" s="1" t="s">
        <v>6275</v>
      </c>
      <c r="E488" s="1"/>
      <c r="F488" s="1"/>
      <c r="G488" s="1" t="s">
        <v>6276</v>
      </c>
      <c r="H488" s="1" t="s">
        <v>6277</v>
      </c>
      <c r="I488" s="1" t="s">
        <v>6278</v>
      </c>
      <c r="J488" s="1">
        <v>6</v>
      </c>
      <c r="K488" s="1">
        <v>5</v>
      </c>
      <c r="L488" s="1">
        <v>12900</v>
      </c>
      <c r="M488" s="1">
        <v>20</v>
      </c>
      <c r="N488" s="1">
        <v>20</v>
      </c>
      <c r="O488" s="1">
        <v>10</v>
      </c>
      <c r="P488" s="1">
        <v>10</v>
      </c>
      <c r="Q488" s="1">
        <v>2</v>
      </c>
      <c r="R488" s="1">
        <v>5</v>
      </c>
      <c r="S488" s="1">
        <v>5</v>
      </c>
      <c r="T488" s="1">
        <v>0</v>
      </c>
      <c r="U488" s="1">
        <v>1100</v>
      </c>
      <c r="V488" s="1">
        <v>440</v>
      </c>
      <c r="W488" s="1">
        <v>230</v>
      </c>
      <c r="X488" s="1">
        <v>100</v>
      </c>
      <c r="Y488" s="1">
        <v>120</v>
      </c>
      <c r="Z488" s="1">
        <v>115</v>
      </c>
      <c r="AA488" s="1">
        <v>0</v>
      </c>
      <c r="AB488" s="1">
        <v>15</v>
      </c>
      <c r="AC488" s="1">
        <v>50</v>
      </c>
      <c r="AD488" s="1">
        <v>6</v>
      </c>
      <c r="AE488" s="1">
        <v>110</v>
      </c>
      <c r="AF488" s="1">
        <v>100</v>
      </c>
      <c r="AG488" s="1">
        <v>106004</v>
      </c>
      <c r="AH488" s="1">
        <v>0</v>
      </c>
      <c r="AI488" s="1">
        <v>300106</v>
      </c>
      <c r="AJ488" s="1" t="s">
        <v>1199</v>
      </c>
      <c r="AK488" s="1" t="s">
        <v>328</v>
      </c>
      <c r="AL488" s="1">
        <v>13</v>
      </c>
      <c r="AM488" s="1" t="s">
        <v>4719</v>
      </c>
      <c r="AN488" s="1" t="s">
        <v>4747</v>
      </c>
      <c r="AO488" s="1" t="s">
        <v>4799</v>
      </c>
      <c r="AP488" s="1">
        <v>0</v>
      </c>
      <c r="AQ488" s="1" t="s">
        <v>1154</v>
      </c>
      <c r="AR488" s="1" t="s">
        <v>5993</v>
      </c>
      <c r="AS488" s="1" t="s">
        <v>5993</v>
      </c>
      <c r="AT488" s="1" t="s">
        <v>328</v>
      </c>
      <c r="AU488" s="1">
        <v>54</v>
      </c>
      <c r="AV488" s="1">
        <v>0</v>
      </c>
      <c r="AW488" s="1" t="s">
        <v>5790</v>
      </c>
      <c r="AX488" s="1" t="s">
        <v>1806</v>
      </c>
      <c r="AY488" s="1">
        <v>5</v>
      </c>
      <c r="AZ488" s="1">
        <v>0</v>
      </c>
      <c r="BA488" s="1" t="s">
        <v>328</v>
      </c>
      <c r="BB488" s="1" t="s">
        <v>328</v>
      </c>
      <c r="BC488" s="1" t="s">
        <v>328</v>
      </c>
      <c r="BD488" s="1">
        <v>0</v>
      </c>
      <c r="BE488" s="1"/>
      <c r="BH488">
        <f>COUNTIF(Dropdowns!$I:$AF,C488)</f>
        <v>0</v>
      </c>
    </row>
    <row r="489" spans="1:60" x14ac:dyDescent="0.3">
      <c r="A489" s="1">
        <v>9100</v>
      </c>
      <c r="B489" s="1" t="s">
        <v>6279</v>
      </c>
      <c r="C489" s="207" t="s">
        <v>6280</v>
      </c>
      <c r="D489" s="1" t="s">
        <v>6280</v>
      </c>
      <c r="E489" s="1"/>
      <c r="F489" s="1"/>
      <c r="G489" s="1" t="s">
        <v>6281</v>
      </c>
      <c r="H489" s="1" t="s">
        <v>6282</v>
      </c>
      <c r="I489" s="1" t="s">
        <v>6283</v>
      </c>
      <c r="J489" s="1">
        <v>2</v>
      </c>
      <c r="K489" s="1">
        <v>5</v>
      </c>
      <c r="L489" s="1">
        <v>9300</v>
      </c>
      <c r="M489" s="1">
        <v>20</v>
      </c>
      <c r="N489" s="1">
        <v>20</v>
      </c>
      <c r="O489" s="1">
        <v>10</v>
      </c>
      <c r="P489" s="1">
        <v>10</v>
      </c>
      <c r="Q489" s="1">
        <v>2</v>
      </c>
      <c r="R489" s="1">
        <v>5</v>
      </c>
      <c r="S489" s="1">
        <v>5</v>
      </c>
      <c r="T489" s="1">
        <v>0</v>
      </c>
      <c r="U489" s="1">
        <v>500</v>
      </c>
      <c r="V489" s="1">
        <v>120</v>
      </c>
      <c r="W489" s="1">
        <v>112</v>
      </c>
      <c r="X489" s="1">
        <v>60</v>
      </c>
      <c r="Y489" s="1">
        <v>120</v>
      </c>
      <c r="Z489" s="1">
        <v>150</v>
      </c>
      <c r="AA489" s="1">
        <v>0</v>
      </c>
      <c r="AB489" s="1">
        <v>15</v>
      </c>
      <c r="AC489" s="1">
        <v>20</v>
      </c>
      <c r="AD489" s="1">
        <v>0</v>
      </c>
      <c r="AE489" s="1">
        <v>100</v>
      </c>
      <c r="AF489" s="1">
        <v>100</v>
      </c>
      <c r="AG489" s="1">
        <v>100107</v>
      </c>
      <c r="AH489" s="1">
        <v>0</v>
      </c>
      <c r="AI489" s="1">
        <v>300103</v>
      </c>
      <c r="AJ489" s="1" t="s">
        <v>328</v>
      </c>
      <c r="AK489" s="1" t="s">
        <v>328</v>
      </c>
      <c r="AL489" s="1">
        <v>13</v>
      </c>
      <c r="AM489" s="1" t="s">
        <v>4790</v>
      </c>
      <c r="AN489" s="1" t="s">
        <v>4793</v>
      </c>
      <c r="AO489" s="1" t="s">
        <v>4802</v>
      </c>
      <c r="AP489" s="1">
        <v>0</v>
      </c>
      <c r="AQ489" s="1" t="s">
        <v>1129</v>
      </c>
      <c r="AR489" s="1" t="s">
        <v>1119</v>
      </c>
      <c r="AS489" s="1" t="s">
        <v>1130</v>
      </c>
      <c r="AT489" s="1" t="s">
        <v>328</v>
      </c>
      <c r="AU489" s="1">
        <v>20</v>
      </c>
      <c r="AV489" s="1">
        <v>0</v>
      </c>
      <c r="AW489" s="1" t="s">
        <v>5790</v>
      </c>
      <c r="AX489" s="1" t="s">
        <v>1806</v>
      </c>
      <c r="AY489" s="1">
        <v>5</v>
      </c>
      <c r="AZ489" s="1">
        <v>0</v>
      </c>
      <c r="BA489" s="1" t="s">
        <v>328</v>
      </c>
      <c r="BB489" s="1" t="s">
        <v>328</v>
      </c>
      <c r="BC489" s="1" t="s">
        <v>328</v>
      </c>
      <c r="BD489" s="1">
        <v>0</v>
      </c>
      <c r="BE489" s="1"/>
      <c r="BH489">
        <f>COUNTIF(Dropdowns!$I:$AF,C489)</f>
        <v>0</v>
      </c>
    </row>
    <row r="490" spans="1:60" x14ac:dyDescent="0.3">
      <c r="A490">
        <v>9101</v>
      </c>
      <c r="B490" t="s">
        <v>6603</v>
      </c>
      <c r="C490" s="208" t="s">
        <v>6604</v>
      </c>
      <c r="D490" t="s">
        <v>6604</v>
      </c>
      <c r="E490" t="s">
        <v>328</v>
      </c>
      <c r="F490" t="s">
        <v>328</v>
      </c>
      <c r="G490" t="s">
        <v>6605</v>
      </c>
      <c r="H490" t="s">
        <v>6606</v>
      </c>
      <c r="I490" t="s">
        <v>6607</v>
      </c>
      <c r="J490">
        <v>1</v>
      </c>
      <c r="K490">
        <v>3</v>
      </c>
      <c r="L490">
        <v>2700</v>
      </c>
      <c r="M490">
        <v>10</v>
      </c>
      <c r="N490">
        <v>10</v>
      </c>
      <c r="O490">
        <v>5</v>
      </c>
      <c r="P490">
        <v>5</v>
      </c>
      <c r="Q490">
        <v>2</v>
      </c>
      <c r="R490">
        <v>2</v>
      </c>
      <c r="S490">
        <v>2</v>
      </c>
      <c r="T490">
        <v>0</v>
      </c>
      <c r="U490">
        <v>650</v>
      </c>
      <c r="V490">
        <v>120</v>
      </c>
      <c r="W490">
        <v>100</v>
      </c>
      <c r="X490">
        <v>100</v>
      </c>
      <c r="Y490">
        <v>105</v>
      </c>
      <c r="Z490">
        <v>100</v>
      </c>
      <c r="AA490">
        <v>0</v>
      </c>
      <c r="AB490">
        <v>15</v>
      </c>
      <c r="AC490">
        <v>20</v>
      </c>
      <c r="AD490">
        <v>0</v>
      </c>
      <c r="AE490">
        <v>105</v>
      </c>
      <c r="AF490">
        <v>120</v>
      </c>
      <c r="AG490">
        <v>100503</v>
      </c>
      <c r="AH490">
        <v>0</v>
      </c>
      <c r="AI490">
        <v>900107</v>
      </c>
      <c r="AJ490" t="s">
        <v>6608</v>
      </c>
      <c r="AK490" t="s">
        <v>328</v>
      </c>
      <c r="AL490">
        <v>13</v>
      </c>
      <c r="AM490" t="s">
        <v>1806</v>
      </c>
      <c r="AN490" t="s">
        <v>4747</v>
      </c>
      <c r="AO490" t="s">
        <v>4744</v>
      </c>
      <c r="AP490">
        <v>0</v>
      </c>
      <c r="AQ490" t="s">
        <v>5852</v>
      </c>
      <c r="AR490" t="s">
        <v>1119</v>
      </c>
      <c r="AS490" t="s">
        <v>1129</v>
      </c>
      <c r="AT490" t="s">
        <v>328</v>
      </c>
      <c r="AU490">
        <v>6</v>
      </c>
      <c r="AV490">
        <v>0</v>
      </c>
      <c r="AW490" t="s">
        <v>5790</v>
      </c>
      <c r="AX490" t="s">
        <v>1806</v>
      </c>
      <c r="AY490">
        <v>3</v>
      </c>
      <c r="AZ490">
        <v>0</v>
      </c>
      <c r="BA490" t="s">
        <v>328</v>
      </c>
      <c r="BB490" t="s">
        <v>328</v>
      </c>
      <c r="BC490" t="s">
        <v>328</v>
      </c>
      <c r="BD490">
        <v>0</v>
      </c>
      <c r="BE490" s="1"/>
      <c r="BH490">
        <f>COUNTIF(Dropdowns!$I:$AF,C490)</f>
        <v>0</v>
      </c>
    </row>
    <row r="491" spans="1:60" x14ac:dyDescent="0.3">
      <c r="A491" s="1">
        <v>20001</v>
      </c>
      <c r="B491" s="1" t="s">
        <v>4227</v>
      </c>
      <c r="C491" s="207" t="s">
        <v>266</v>
      </c>
      <c r="D491" s="1" t="s">
        <v>4228</v>
      </c>
      <c r="E491" s="1"/>
      <c r="F491" s="1"/>
      <c r="G491" s="1" t="s">
        <v>4229</v>
      </c>
      <c r="H491" s="1" t="s">
        <v>4230</v>
      </c>
      <c r="I491" s="1" t="s">
        <v>4231</v>
      </c>
      <c r="J491" s="1">
        <v>1</v>
      </c>
      <c r="K491" s="1">
        <v>5</v>
      </c>
      <c r="L491" s="1">
        <v>3000</v>
      </c>
      <c r="M491" s="1">
        <v>10</v>
      </c>
      <c r="N491" s="1">
        <v>10</v>
      </c>
      <c r="O491" s="1">
        <v>5</v>
      </c>
      <c r="P491" s="1">
        <v>5</v>
      </c>
      <c r="Q491" s="1">
        <v>2</v>
      </c>
      <c r="R491" s="1">
        <v>2</v>
      </c>
      <c r="S491" s="1">
        <v>2</v>
      </c>
      <c r="T491" s="1">
        <v>0</v>
      </c>
      <c r="U491" s="1">
        <v>122</v>
      </c>
      <c r="V491" s="1">
        <v>125</v>
      </c>
      <c r="W491" s="1">
        <v>89</v>
      </c>
      <c r="X491" s="1">
        <v>100</v>
      </c>
      <c r="Y491" s="1">
        <v>90</v>
      </c>
      <c r="Z491" s="1">
        <v>95</v>
      </c>
      <c r="AA491" s="1">
        <v>0</v>
      </c>
      <c r="AB491" s="1">
        <v>15</v>
      </c>
      <c r="AC491" s="1">
        <v>20</v>
      </c>
      <c r="AD491" s="1">
        <v>0</v>
      </c>
      <c r="AE491" s="1">
        <v>130</v>
      </c>
      <c r="AF491" s="1">
        <v>95</v>
      </c>
      <c r="AG491" s="1">
        <v>801702</v>
      </c>
      <c r="AH491" s="1">
        <v>801701</v>
      </c>
      <c r="AI491" s="1">
        <v>300115</v>
      </c>
      <c r="AJ491" s="1" t="s">
        <v>328</v>
      </c>
      <c r="AK491" s="1" t="s">
        <v>328</v>
      </c>
      <c r="AL491" s="1">
        <v>13</v>
      </c>
      <c r="AM491" s="1" t="s">
        <v>1806</v>
      </c>
      <c r="AN491" s="1" t="s">
        <v>4740</v>
      </c>
      <c r="AO491" s="1" t="s">
        <v>5066</v>
      </c>
      <c r="AP491" s="1">
        <v>0</v>
      </c>
      <c r="AQ491" s="1" t="s">
        <v>4742</v>
      </c>
      <c r="AR491" s="1" t="s">
        <v>1119</v>
      </c>
      <c r="AS491" s="1" t="s">
        <v>1120</v>
      </c>
      <c r="AT491" s="1" t="s">
        <v>328</v>
      </c>
      <c r="AU491" s="1">
        <v>1</v>
      </c>
      <c r="AV491" s="1">
        <v>0</v>
      </c>
      <c r="AW491" s="1" t="s">
        <v>4492</v>
      </c>
      <c r="AX491" s="1" t="s">
        <v>5416</v>
      </c>
      <c r="AY491" s="1">
        <v>5</v>
      </c>
      <c r="AZ491" s="1">
        <v>3001</v>
      </c>
      <c r="BA491" s="1" t="s">
        <v>328</v>
      </c>
      <c r="BB491" s="1" t="s">
        <v>370</v>
      </c>
      <c r="BC491" s="1" t="s">
        <v>4720</v>
      </c>
      <c r="BD491" s="1">
        <v>0</v>
      </c>
      <c r="BE491" s="1"/>
      <c r="BH491">
        <f>COUNTIF(Dropdowns!$I:$AF,C491)</f>
        <v>0</v>
      </c>
    </row>
    <row r="492" spans="1:60" x14ac:dyDescent="0.3">
      <c r="A492" s="1">
        <v>20002</v>
      </c>
      <c r="B492" s="1" t="s">
        <v>4232</v>
      </c>
      <c r="C492" s="207" t="s">
        <v>252</v>
      </c>
      <c r="D492" s="1" t="s">
        <v>252</v>
      </c>
      <c r="E492" s="1"/>
      <c r="F492" s="1"/>
      <c r="G492" s="1" t="s">
        <v>4233</v>
      </c>
      <c r="H492" s="1" t="s">
        <v>4234</v>
      </c>
      <c r="I492" s="1" t="s">
        <v>4235</v>
      </c>
      <c r="J492" s="1">
        <v>1</v>
      </c>
      <c r="K492" s="1">
        <v>4</v>
      </c>
      <c r="L492" s="1">
        <v>1200</v>
      </c>
      <c r="M492" s="1">
        <v>10</v>
      </c>
      <c r="N492" s="1">
        <v>10</v>
      </c>
      <c r="O492" s="1">
        <v>5</v>
      </c>
      <c r="P492" s="1">
        <v>5</v>
      </c>
      <c r="Q492" s="1">
        <v>2</v>
      </c>
      <c r="R492" s="1">
        <v>2</v>
      </c>
      <c r="S492" s="1">
        <v>2</v>
      </c>
      <c r="T492" s="1">
        <v>0</v>
      </c>
      <c r="U492" s="1">
        <v>110</v>
      </c>
      <c r="V492" s="1">
        <v>100</v>
      </c>
      <c r="W492" s="1">
        <v>106</v>
      </c>
      <c r="X492" s="1">
        <v>100</v>
      </c>
      <c r="Y492" s="1">
        <v>100</v>
      </c>
      <c r="Z492" s="1">
        <v>100</v>
      </c>
      <c r="AA492" s="1">
        <v>0</v>
      </c>
      <c r="AB492" s="1">
        <v>15</v>
      </c>
      <c r="AC492" s="1">
        <v>20</v>
      </c>
      <c r="AD492" s="1">
        <v>0</v>
      </c>
      <c r="AE492" s="1">
        <v>120</v>
      </c>
      <c r="AF492" s="1">
        <v>105</v>
      </c>
      <c r="AG492" s="1">
        <v>800101</v>
      </c>
      <c r="AH492" s="1">
        <v>800102</v>
      </c>
      <c r="AI492" s="1">
        <v>300101</v>
      </c>
      <c r="AJ492" s="1" t="s">
        <v>1164</v>
      </c>
      <c r="AK492" s="1" t="s">
        <v>1404</v>
      </c>
      <c r="AL492" s="1">
        <v>13</v>
      </c>
      <c r="AM492" s="1" t="s">
        <v>1806</v>
      </c>
      <c r="AN492" s="1" t="s">
        <v>4740</v>
      </c>
      <c r="AO492" s="1" t="s">
        <v>5417</v>
      </c>
      <c r="AP492" s="1">
        <v>0</v>
      </c>
      <c r="AQ492" s="1" t="s">
        <v>1118</v>
      </c>
      <c r="AR492" s="1" t="s">
        <v>1743</v>
      </c>
      <c r="AS492" s="1" t="s">
        <v>1120</v>
      </c>
      <c r="AT492" s="1" t="s">
        <v>328</v>
      </c>
      <c r="AU492" s="1">
        <v>2</v>
      </c>
      <c r="AV492" s="1">
        <v>0</v>
      </c>
      <c r="AW492" s="1" t="s">
        <v>4492</v>
      </c>
      <c r="AX492" s="1" t="s">
        <v>5416</v>
      </c>
      <c r="AY492" s="1">
        <v>4</v>
      </c>
      <c r="AZ492" s="1">
        <v>3002</v>
      </c>
      <c r="BA492" s="1" t="s">
        <v>328</v>
      </c>
      <c r="BB492" s="1" t="s">
        <v>4746</v>
      </c>
      <c r="BC492" s="1" t="s">
        <v>4720</v>
      </c>
      <c r="BD492" s="1">
        <v>0</v>
      </c>
      <c r="BE492" s="1"/>
      <c r="BH492">
        <f>COUNTIF(Dropdowns!$I:$AF,C492)</f>
        <v>0</v>
      </c>
    </row>
    <row r="493" spans="1:60" x14ac:dyDescent="0.3">
      <c r="A493" s="1">
        <v>20005</v>
      </c>
      <c r="B493" s="1" t="s">
        <v>4236</v>
      </c>
      <c r="C493" s="207" t="s">
        <v>784</v>
      </c>
      <c r="D493" s="1" t="s">
        <v>784</v>
      </c>
      <c r="E493" s="1"/>
      <c r="F493" s="1"/>
      <c r="G493" s="1" t="s">
        <v>4237</v>
      </c>
      <c r="H493" s="1" t="s">
        <v>4238</v>
      </c>
      <c r="I493" s="1" t="s">
        <v>4239</v>
      </c>
      <c r="J493" s="1">
        <v>1</v>
      </c>
      <c r="K493" s="1">
        <v>4</v>
      </c>
      <c r="L493" s="1">
        <v>1200</v>
      </c>
      <c r="M493" s="1">
        <v>10</v>
      </c>
      <c r="N493" s="1">
        <v>10</v>
      </c>
      <c r="O493" s="1">
        <v>5</v>
      </c>
      <c r="P493" s="1">
        <v>5</v>
      </c>
      <c r="Q493" s="1">
        <v>2</v>
      </c>
      <c r="R493" s="1">
        <v>2</v>
      </c>
      <c r="S493" s="1">
        <v>2</v>
      </c>
      <c r="T493" s="1">
        <v>0</v>
      </c>
      <c r="U493" s="1">
        <v>105</v>
      </c>
      <c r="V493" s="1">
        <v>115</v>
      </c>
      <c r="W493" s="1">
        <v>80</v>
      </c>
      <c r="X493" s="1">
        <v>100</v>
      </c>
      <c r="Y493" s="1">
        <v>85</v>
      </c>
      <c r="Z493" s="1">
        <v>120</v>
      </c>
      <c r="AA493" s="1">
        <v>0</v>
      </c>
      <c r="AB493" s="1">
        <v>15</v>
      </c>
      <c r="AC493" s="1">
        <v>20</v>
      </c>
      <c r="AD493" s="1">
        <v>0</v>
      </c>
      <c r="AE493" s="1">
        <v>130</v>
      </c>
      <c r="AF493" s="1">
        <v>80</v>
      </c>
      <c r="AG493" s="1">
        <v>800505</v>
      </c>
      <c r="AH493" s="1">
        <v>800504</v>
      </c>
      <c r="AI493" s="1">
        <v>800503</v>
      </c>
      <c r="AJ493" s="1" t="s">
        <v>1405</v>
      </c>
      <c r="AK493" s="1" t="s">
        <v>328</v>
      </c>
      <c r="AL493" s="1">
        <v>13</v>
      </c>
      <c r="AM493" s="1" t="s">
        <v>1806</v>
      </c>
      <c r="AN493" s="1" t="s">
        <v>4754</v>
      </c>
      <c r="AO493" s="1" t="s">
        <v>5418</v>
      </c>
      <c r="AP493" s="1">
        <v>0</v>
      </c>
      <c r="AQ493" s="1" t="s">
        <v>4742</v>
      </c>
      <c r="AR493" s="1" t="s">
        <v>1119</v>
      </c>
      <c r="AS493" s="1" t="s">
        <v>1120</v>
      </c>
      <c r="AT493" s="1" t="s">
        <v>328</v>
      </c>
      <c r="AU493" s="1">
        <v>5</v>
      </c>
      <c r="AV493" s="1">
        <v>0</v>
      </c>
      <c r="AW493" s="1" t="s">
        <v>4492</v>
      </c>
      <c r="AX493" s="1" t="s">
        <v>5416</v>
      </c>
      <c r="AY493" s="1">
        <v>4</v>
      </c>
      <c r="AZ493" s="1">
        <v>3005</v>
      </c>
      <c r="BA493" s="1" t="s">
        <v>328</v>
      </c>
      <c r="BB493" s="1" t="s">
        <v>4756</v>
      </c>
      <c r="BC493" s="1" t="s">
        <v>4757</v>
      </c>
      <c r="BD493" s="1">
        <v>0</v>
      </c>
      <c r="BE493" s="1"/>
      <c r="BH493">
        <f>COUNTIF(Dropdowns!$I:$AF,C493)</f>
        <v>0</v>
      </c>
    </row>
    <row r="494" spans="1:60" x14ac:dyDescent="0.3">
      <c r="A494" s="1">
        <v>20007</v>
      </c>
      <c r="B494" s="1" t="s">
        <v>4240</v>
      </c>
      <c r="C494" s="207" t="s">
        <v>739</v>
      </c>
      <c r="D494" s="1" t="s">
        <v>4241</v>
      </c>
      <c r="E494" s="1"/>
      <c r="F494" s="1"/>
      <c r="G494" s="1" t="s">
        <v>4242</v>
      </c>
      <c r="H494" s="1" t="s">
        <v>4243</v>
      </c>
      <c r="I494" s="1" t="s">
        <v>4244</v>
      </c>
      <c r="J494" s="1">
        <v>1</v>
      </c>
      <c r="K494" s="1">
        <v>5</v>
      </c>
      <c r="L494" s="1">
        <v>3300</v>
      </c>
      <c r="M494" s="1">
        <v>10</v>
      </c>
      <c r="N494" s="1">
        <v>10</v>
      </c>
      <c r="O494" s="1">
        <v>5</v>
      </c>
      <c r="P494" s="1">
        <v>5</v>
      </c>
      <c r="Q494" s="1">
        <v>2</v>
      </c>
      <c r="R494" s="1">
        <v>2</v>
      </c>
      <c r="S494" s="1">
        <v>2</v>
      </c>
      <c r="T494" s="1">
        <v>0</v>
      </c>
      <c r="U494" s="1">
        <v>125</v>
      </c>
      <c r="V494" s="1">
        <v>115</v>
      </c>
      <c r="W494" s="1">
        <v>125</v>
      </c>
      <c r="X494" s="1">
        <v>100</v>
      </c>
      <c r="Y494" s="1">
        <v>105</v>
      </c>
      <c r="Z494" s="1">
        <v>95</v>
      </c>
      <c r="AA494" s="1">
        <v>0</v>
      </c>
      <c r="AB494" s="1">
        <v>15</v>
      </c>
      <c r="AC494" s="1">
        <v>20</v>
      </c>
      <c r="AD494" s="1">
        <v>0</v>
      </c>
      <c r="AE494" s="1">
        <v>110</v>
      </c>
      <c r="AF494" s="1">
        <v>100</v>
      </c>
      <c r="AG494" s="1">
        <v>900270</v>
      </c>
      <c r="AH494" s="1">
        <v>900274</v>
      </c>
      <c r="AI494" s="1">
        <v>900271</v>
      </c>
      <c r="AJ494" s="1" t="s">
        <v>328</v>
      </c>
      <c r="AK494" s="1" t="s">
        <v>1406</v>
      </c>
      <c r="AL494" s="1">
        <v>13</v>
      </c>
      <c r="AM494" s="1" t="s">
        <v>1806</v>
      </c>
      <c r="AN494" s="1" t="s">
        <v>4747</v>
      </c>
      <c r="AO494" s="1" t="s">
        <v>5419</v>
      </c>
      <c r="AP494" s="1">
        <v>0</v>
      </c>
      <c r="AQ494" s="1" t="s">
        <v>4742</v>
      </c>
      <c r="AR494" s="1" t="s">
        <v>1119</v>
      </c>
      <c r="AS494" s="1" t="s">
        <v>4761</v>
      </c>
      <c r="AT494" s="1" t="s">
        <v>328</v>
      </c>
      <c r="AU494" s="1">
        <v>7</v>
      </c>
      <c r="AV494" s="1">
        <v>0</v>
      </c>
      <c r="AW494" s="1" t="s">
        <v>4492</v>
      </c>
      <c r="AX494" s="1" t="s">
        <v>5416</v>
      </c>
      <c r="AY494" s="1">
        <v>5</v>
      </c>
      <c r="AZ494" s="1">
        <v>3007</v>
      </c>
      <c r="BA494" s="1" t="s">
        <v>328</v>
      </c>
      <c r="BB494" s="1" t="s">
        <v>484</v>
      </c>
      <c r="BC494" s="1" t="s">
        <v>4757</v>
      </c>
      <c r="BD494" s="1">
        <v>0</v>
      </c>
      <c r="BE494" s="1"/>
      <c r="BH494">
        <f>COUNTIF(Dropdowns!$I:$AF,C494)</f>
        <v>0</v>
      </c>
    </row>
    <row r="495" spans="1:60" x14ac:dyDescent="0.3">
      <c r="A495" s="1">
        <v>20008</v>
      </c>
      <c r="B495" s="1" t="s">
        <v>4245</v>
      </c>
      <c r="C495" s="207" t="s">
        <v>937</v>
      </c>
      <c r="D495" s="1" t="s">
        <v>4246</v>
      </c>
      <c r="E495" s="1"/>
      <c r="F495" s="1"/>
      <c r="G495" s="1" t="s">
        <v>4247</v>
      </c>
      <c r="H495" s="1" t="s">
        <v>4248</v>
      </c>
      <c r="I495" s="1" t="s">
        <v>4249</v>
      </c>
      <c r="J495" s="1">
        <v>1</v>
      </c>
      <c r="K495" s="1">
        <v>4</v>
      </c>
      <c r="L495" s="1">
        <v>2400</v>
      </c>
      <c r="M495" s="1">
        <v>10</v>
      </c>
      <c r="N495" s="1">
        <v>10</v>
      </c>
      <c r="O495" s="1">
        <v>5</v>
      </c>
      <c r="P495" s="1">
        <v>5</v>
      </c>
      <c r="Q495" s="1">
        <v>2</v>
      </c>
      <c r="R495" s="1">
        <v>2</v>
      </c>
      <c r="S495" s="1">
        <v>2</v>
      </c>
      <c r="T495" s="1">
        <v>0</v>
      </c>
      <c r="U495" s="1">
        <v>100</v>
      </c>
      <c r="V495" s="1">
        <v>97</v>
      </c>
      <c r="W495" s="1">
        <v>110</v>
      </c>
      <c r="X495" s="1">
        <v>100</v>
      </c>
      <c r="Y495" s="1">
        <v>115</v>
      </c>
      <c r="Z495" s="1">
        <v>125</v>
      </c>
      <c r="AA495" s="1">
        <v>0</v>
      </c>
      <c r="AB495" s="1">
        <v>15</v>
      </c>
      <c r="AC495" s="1">
        <v>20</v>
      </c>
      <c r="AD495" s="1">
        <v>0</v>
      </c>
      <c r="AE495" s="1">
        <v>130</v>
      </c>
      <c r="AF495" s="1">
        <v>100</v>
      </c>
      <c r="AG495" s="1">
        <v>803601</v>
      </c>
      <c r="AH495" s="1">
        <v>803604</v>
      </c>
      <c r="AI495" s="1">
        <v>300115</v>
      </c>
      <c r="AJ495" s="1" t="s">
        <v>1407</v>
      </c>
      <c r="AK495" s="1" t="s">
        <v>1408</v>
      </c>
      <c r="AL495" s="1">
        <v>13</v>
      </c>
      <c r="AM495" s="1" t="s">
        <v>1806</v>
      </c>
      <c r="AN495" s="1" t="s">
        <v>5420</v>
      </c>
      <c r="AO495" s="1" t="s">
        <v>5421</v>
      </c>
      <c r="AP495" s="1">
        <v>0</v>
      </c>
      <c r="AQ495" s="1" t="s">
        <v>4742</v>
      </c>
      <c r="AR495" s="1" t="s">
        <v>1743</v>
      </c>
      <c r="AS495" s="1" t="s">
        <v>1120</v>
      </c>
      <c r="AT495" s="1" t="s">
        <v>328</v>
      </c>
      <c r="AU495" s="1">
        <v>8</v>
      </c>
      <c r="AV495" s="1">
        <v>0</v>
      </c>
      <c r="AW495" s="1" t="s">
        <v>4492</v>
      </c>
      <c r="AX495" s="1" t="s">
        <v>5416</v>
      </c>
      <c r="AY495" s="1">
        <v>4</v>
      </c>
      <c r="AZ495" s="1">
        <v>3008</v>
      </c>
      <c r="BA495" s="1" t="s">
        <v>328</v>
      </c>
      <c r="BB495" s="1" t="s">
        <v>4766</v>
      </c>
      <c r="BC495" s="1" t="s">
        <v>4757</v>
      </c>
      <c r="BD495" s="1">
        <v>0</v>
      </c>
      <c r="BE495" s="1"/>
      <c r="BH495">
        <f>COUNTIF(Dropdowns!$I:$AF,C495)</f>
        <v>0</v>
      </c>
    </row>
    <row r="496" spans="1:60" x14ac:dyDescent="0.3">
      <c r="A496" s="1">
        <v>20010</v>
      </c>
      <c r="B496" s="1" t="s">
        <v>6461</v>
      </c>
      <c r="C496" s="207" t="s">
        <v>6462</v>
      </c>
      <c r="D496" s="1" t="s">
        <v>6462</v>
      </c>
      <c r="E496" s="1"/>
      <c r="F496" s="1"/>
      <c r="G496" s="1" t="s">
        <v>6463</v>
      </c>
      <c r="H496" s="1" t="s">
        <v>6464</v>
      </c>
      <c r="I496" s="1" t="s">
        <v>6465</v>
      </c>
      <c r="J496" s="1">
        <v>1</v>
      </c>
      <c r="K496" s="1">
        <v>4</v>
      </c>
      <c r="L496" s="1">
        <v>1320</v>
      </c>
      <c r="M496" s="1">
        <v>10</v>
      </c>
      <c r="N496" s="1">
        <v>10</v>
      </c>
      <c r="O496" s="1">
        <v>5</v>
      </c>
      <c r="P496" s="1">
        <v>5</v>
      </c>
      <c r="Q496" s="1">
        <v>2</v>
      </c>
      <c r="R496" s="1">
        <v>2</v>
      </c>
      <c r="S496" s="1">
        <v>2</v>
      </c>
      <c r="T496" s="1">
        <v>0</v>
      </c>
      <c r="U496" s="1">
        <v>100</v>
      </c>
      <c r="V496" s="1">
        <v>95</v>
      </c>
      <c r="W496" s="1">
        <v>115</v>
      </c>
      <c r="X496" s="1">
        <v>100</v>
      </c>
      <c r="Y496" s="1">
        <v>115</v>
      </c>
      <c r="Z496" s="1">
        <v>130</v>
      </c>
      <c r="AA496" s="1">
        <v>0</v>
      </c>
      <c r="AB496" s="1">
        <v>15</v>
      </c>
      <c r="AC496" s="1">
        <v>20</v>
      </c>
      <c r="AD496" s="1">
        <v>0</v>
      </c>
      <c r="AE496" s="1">
        <v>125</v>
      </c>
      <c r="AF496" s="1">
        <v>95</v>
      </c>
      <c r="AG496" s="1">
        <v>804101</v>
      </c>
      <c r="AH496" s="1">
        <v>804102</v>
      </c>
      <c r="AI496" s="1">
        <v>300101</v>
      </c>
      <c r="AJ496" s="1" t="s">
        <v>328</v>
      </c>
      <c r="AK496" s="1" t="s">
        <v>6466</v>
      </c>
      <c r="AL496" s="1">
        <v>13</v>
      </c>
      <c r="AM496" s="1" t="s">
        <v>1806</v>
      </c>
      <c r="AN496" s="1" t="s">
        <v>6467</v>
      </c>
      <c r="AO496" s="1" t="s">
        <v>6468</v>
      </c>
      <c r="AP496" s="1">
        <v>0</v>
      </c>
      <c r="AQ496" s="1" t="s">
        <v>4742</v>
      </c>
      <c r="AR496" s="1" t="s">
        <v>1743</v>
      </c>
      <c r="AS496" s="1" t="s">
        <v>1120</v>
      </c>
      <c r="AT496" s="1" t="s">
        <v>328</v>
      </c>
      <c r="AU496" s="1">
        <v>10</v>
      </c>
      <c r="AV496" s="1">
        <v>0</v>
      </c>
      <c r="AW496" s="1" t="s">
        <v>4492</v>
      </c>
      <c r="AX496" s="1" t="s">
        <v>5416</v>
      </c>
      <c r="AY496" s="1">
        <v>4</v>
      </c>
      <c r="AZ496" s="1">
        <v>3010</v>
      </c>
      <c r="BA496" s="1" t="s">
        <v>328</v>
      </c>
      <c r="BB496" s="1" t="s">
        <v>4772</v>
      </c>
      <c r="BC496" s="1" t="s">
        <v>4769</v>
      </c>
      <c r="BD496" s="1">
        <v>0</v>
      </c>
      <c r="BE496" s="1"/>
      <c r="BH496">
        <f>COUNTIF(Dropdowns!$I:$AF,C496)</f>
        <v>0</v>
      </c>
    </row>
    <row r="497" spans="1:60" x14ac:dyDescent="0.3">
      <c r="A497" s="1">
        <v>20012</v>
      </c>
      <c r="B497" s="1" t="s">
        <v>4250</v>
      </c>
      <c r="C497" s="207" t="s">
        <v>745</v>
      </c>
      <c r="D497" s="1" t="s">
        <v>745</v>
      </c>
      <c r="E497" s="1"/>
      <c r="F497" s="1"/>
      <c r="G497" s="1" t="s">
        <v>4251</v>
      </c>
      <c r="H497" s="1" t="s">
        <v>4252</v>
      </c>
      <c r="I497" s="1" t="s">
        <v>4253</v>
      </c>
      <c r="J497" s="1">
        <v>1</v>
      </c>
      <c r="K497" s="1">
        <v>4</v>
      </c>
      <c r="L497" s="1">
        <v>1800</v>
      </c>
      <c r="M497" s="1">
        <v>10</v>
      </c>
      <c r="N497" s="1">
        <v>10</v>
      </c>
      <c r="O497" s="1">
        <v>5</v>
      </c>
      <c r="P497" s="1">
        <v>5</v>
      </c>
      <c r="Q497" s="1">
        <v>2</v>
      </c>
      <c r="R497" s="1">
        <v>2</v>
      </c>
      <c r="S497" s="1">
        <v>2</v>
      </c>
      <c r="T497" s="1">
        <v>0</v>
      </c>
      <c r="U497" s="1">
        <v>125</v>
      </c>
      <c r="V497" s="1">
        <v>118</v>
      </c>
      <c r="W497" s="1">
        <v>120</v>
      </c>
      <c r="X497" s="1">
        <v>100</v>
      </c>
      <c r="Y497" s="1">
        <v>108</v>
      </c>
      <c r="Z497" s="1">
        <v>100</v>
      </c>
      <c r="AA497" s="1">
        <v>0</v>
      </c>
      <c r="AB497" s="1">
        <v>15</v>
      </c>
      <c r="AC497" s="1">
        <v>20</v>
      </c>
      <c r="AD497" s="1">
        <v>0</v>
      </c>
      <c r="AE497" s="1">
        <v>108</v>
      </c>
      <c r="AF497" s="1">
        <v>135</v>
      </c>
      <c r="AG497" s="1">
        <v>900268</v>
      </c>
      <c r="AH497" s="1">
        <v>900269</v>
      </c>
      <c r="AI497" s="1">
        <v>300101</v>
      </c>
      <c r="AJ497" s="1" t="s">
        <v>328</v>
      </c>
      <c r="AK497" s="1" t="s">
        <v>328</v>
      </c>
      <c r="AL497" s="1">
        <v>13</v>
      </c>
      <c r="AM497" s="1" t="s">
        <v>1806</v>
      </c>
      <c r="AN497" s="1" t="s">
        <v>4776</v>
      </c>
      <c r="AO497" s="1" t="s">
        <v>5422</v>
      </c>
      <c r="AP497" s="1">
        <v>0</v>
      </c>
      <c r="AQ497" s="1" t="s">
        <v>4742</v>
      </c>
      <c r="AR497" s="1" t="s">
        <v>1119</v>
      </c>
      <c r="AS497" s="1" t="s">
        <v>1120</v>
      </c>
      <c r="AT497" s="1" t="s">
        <v>328</v>
      </c>
      <c r="AU497" s="1">
        <v>12</v>
      </c>
      <c r="AV497" s="1">
        <v>0</v>
      </c>
      <c r="AW497" s="1" t="s">
        <v>4492</v>
      </c>
      <c r="AX497" s="1" t="s">
        <v>5416</v>
      </c>
      <c r="AY497" s="1">
        <v>4</v>
      </c>
      <c r="AZ497" s="1">
        <v>3012</v>
      </c>
      <c r="BA497" s="1" t="s">
        <v>328</v>
      </c>
      <c r="BB497" s="1" t="s">
        <v>4778</v>
      </c>
      <c r="BC497" s="1" t="s">
        <v>4769</v>
      </c>
      <c r="BD497" s="1">
        <v>0</v>
      </c>
      <c r="BE497" s="1"/>
      <c r="BH497">
        <f>COUNTIF(Dropdowns!$I:$AF,C497)</f>
        <v>0</v>
      </c>
    </row>
    <row r="498" spans="1:60" x14ac:dyDescent="0.3">
      <c r="A498" s="1">
        <v>20021</v>
      </c>
      <c r="B498" s="1" t="s">
        <v>5719</v>
      </c>
      <c r="C498" s="207" t="s">
        <v>5773</v>
      </c>
      <c r="D498" s="1" t="s">
        <v>5720</v>
      </c>
      <c r="E498" s="1"/>
      <c r="F498" s="1"/>
      <c r="G498" s="1" t="s">
        <v>5721</v>
      </c>
      <c r="H498" s="1" t="s">
        <v>5722</v>
      </c>
      <c r="I498" s="1" t="s">
        <v>5723</v>
      </c>
      <c r="J498" s="1">
        <v>2</v>
      </c>
      <c r="K498" s="1">
        <v>4</v>
      </c>
      <c r="L498" s="1">
        <v>6600</v>
      </c>
      <c r="M498" s="1">
        <v>25</v>
      </c>
      <c r="N498" s="1">
        <v>20</v>
      </c>
      <c r="O498" s="1">
        <v>15</v>
      </c>
      <c r="P498" s="1">
        <v>10</v>
      </c>
      <c r="Q498" s="1">
        <v>5</v>
      </c>
      <c r="R498" s="1">
        <v>5</v>
      </c>
      <c r="S498" s="1">
        <v>2</v>
      </c>
      <c r="T498" s="1">
        <v>0</v>
      </c>
      <c r="U498" s="1">
        <v>115</v>
      </c>
      <c r="V498" s="1">
        <v>110</v>
      </c>
      <c r="W498" s="1">
        <v>120</v>
      </c>
      <c r="X498" s="1">
        <v>100</v>
      </c>
      <c r="Y498" s="1">
        <v>85</v>
      </c>
      <c r="Z498" s="1">
        <v>95</v>
      </c>
      <c r="AA498" s="1">
        <v>0</v>
      </c>
      <c r="AB498" s="1">
        <v>15</v>
      </c>
      <c r="AC498" s="1">
        <v>5</v>
      </c>
      <c r="AD498" s="1">
        <v>0</v>
      </c>
      <c r="AE498" s="1">
        <v>110</v>
      </c>
      <c r="AF498" s="1">
        <v>135</v>
      </c>
      <c r="AG498" s="1">
        <v>750316</v>
      </c>
      <c r="AH498" s="1">
        <v>750318</v>
      </c>
      <c r="AI498" s="1">
        <v>300102</v>
      </c>
      <c r="AJ498" s="1" t="s">
        <v>5724</v>
      </c>
      <c r="AK498" s="1" t="s">
        <v>5725</v>
      </c>
      <c r="AL498" s="1">
        <v>13</v>
      </c>
      <c r="AM498" s="1" t="s">
        <v>398</v>
      </c>
      <c r="AN498" s="1" t="s">
        <v>5726</v>
      </c>
      <c r="AO498" s="1" t="s">
        <v>5164</v>
      </c>
      <c r="AP498" s="1">
        <v>0</v>
      </c>
      <c r="AQ498" s="1" t="s">
        <v>1129</v>
      </c>
      <c r="AR498" s="1" t="s">
        <v>1743</v>
      </c>
      <c r="AS498" s="1" t="s">
        <v>1745</v>
      </c>
      <c r="AT498" s="1" t="s">
        <v>328</v>
      </c>
      <c r="AU498" s="1">
        <v>21</v>
      </c>
      <c r="AV498" s="1">
        <v>0</v>
      </c>
      <c r="AW498" s="1" t="s">
        <v>4492</v>
      </c>
      <c r="AX498" s="1" t="s">
        <v>5416</v>
      </c>
      <c r="AY498" s="1">
        <v>4</v>
      </c>
      <c r="AZ498" s="1">
        <v>3021</v>
      </c>
      <c r="BA498" s="1" t="s">
        <v>328</v>
      </c>
      <c r="BB498" s="1" t="s">
        <v>4805</v>
      </c>
      <c r="BC498" s="1" t="s">
        <v>4757</v>
      </c>
      <c r="BD498" s="1">
        <v>0</v>
      </c>
      <c r="BE498" s="1"/>
      <c r="BH498">
        <f>COUNTIF(Dropdowns!$I:$AF,C498)</f>
        <v>1</v>
      </c>
    </row>
    <row r="499" spans="1:60" x14ac:dyDescent="0.3">
      <c r="A499" s="1">
        <v>20026</v>
      </c>
      <c r="B499" s="1" t="s">
        <v>4254</v>
      </c>
      <c r="C499" s="207" t="s">
        <v>1409</v>
      </c>
      <c r="D499" s="1" t="s">
        <v>1409</v>
      </c>
      <c r="E499" s="1"/>
      <c r="F499" s="1"/>
      <c r="G499" s="1" t="s">
        <v>4255</v>
      </c>
      <c r="H499" s="1" t="s">
        <v>4256</v>
      </c>
      <c r="I499" s="1" t="s">
        <v>4257</v>
      </c>
      <c r="J499" s="1">
        <v>2</v>
      </c>
      <c r="K499" s="1">
        <v>5</v>
      </c>
      <c r="L499" s="1">
        <v>8400</v>
      </c>
      <c r="M499" s="1">
        <v>25</v>
      </c>
      <c r="N499" s="1">
        <v>20</v>
      </c>
      <c r="O499" s="1">
        <v>15</v>
      </c>
      <c r="P499" s="1">
        <v>10</v>
      </c>
      <c r="Q499" s="1">
        <v>5</v>
      </c>
      <c r="R499" s="1">
        <v>5</v>
      </c>
      <c r="S499" s="1">
        <v>2</v>
      </c>
      <c r="T499" s="1">
        <v>0</v>
      </c>
      <c r="U499" s="1">
        <v>100</v>
      </c>
      <c r="V499" s="1">
        <v>120</v>
      </c>
      <c r="W499" s="1">
        <v>115</v>
      </c>
      <c r="X499" s="1">
        <v>100</v>
      </c>
      <c r="Y499" s="1">
        <v>115</v>
      </c>
      <c r="Z499" s="1">
        <v>115</v>
      </c>
      <c r="AA499" s="1">
        <v>0</v>
      </c>
      <c r="AB499" s="1">
        <v>15</v>
      </c>
      <c r="AC499" s="1">
        <v>5</v>
      </c>
      <c r="AD499" s="1">
        <v>0</v>
      </c>
      <c r="AE499" s="1">
        <v>105</v>
      </c>
      <c r="AF499" s="1">
        <v>120</v>
      </c>
      <c r="AG499" s="1">
        <v>802301</v>
      </c>
      <c r="AH499" s="1">
        <v>802303</v>
      </c>
      <c r="AI499" s="1">
        <v>300102</v>
      </c>
      <c r="AJ499" s="1" t="s">
        <v>1410</v>
      </c>
      <c r="AK499" s="1" t="s">
        <v>328</v>
      </c>
      <c r="AL499" s="1">
        <v>13</v>
      </c>
      <c r="AM499" s="1" t="s">
        <v>354</v>
      </c>
      <c r="AN499" s="1" t="s">
        <v>388</v>
      </c>
      <c r="AO499" s="1" t="s">
        <v>5423</v>
      </c>
      <c r="AP499" s="1">
        <v>0</v>
      </c>
      <c r="AQ499" s="1" t="s">
        <v>1744</v>
      </c>
      <c r="AR499" s="1" t="s">
        <v>1119</v>
      </c>
      <c r="AS499" s="1" t="s">
        <v>1745</v>
      </c>
      <c r="AT499" s="1" t="s">
        <v>328</v>
      </c>
      <c r="AU499" s="1">
        <v>26</v>
      </c>
      <c r="AV499" s="1">
        <v>0</v>
      </c>
      <c r="AW499" s="1" t="s">
        <v>4492</v>
      </c>
      <c r="AX499" s="1" t="s">
        <v>5416</v>
      </c>
      <c r="AY499" s="1">
        <v>5</v>
      </c>
      <c r="AZ499" s="1">
        <v>3026</v>
      </c>
      <c r="BA499" s="1" t="s">
        <v>328</v>
      </c>
      <c r="BB499" s="1" t="s">
        <v>4813</v>
      </c>
      <c r="BC499" s="1" t="s">
        <v>4769</v>
      </c>
      <c r="BD499" s="1">
        <v>0</v>
      </c>
      <c r="BE499" s="1"/>
      <c r="BH499">
        <f>COUNTIF(Dropdowns!$I:$AF,C499)</f>
        <v>1</v>
      </c>
    </row>
    <row r="500" spans="1:60" x14ac:dyDescent="0.3">
      <c r="A500" s="1">
        <v>20029</v>
      </c>
      <c r="B500" s="1" t="s">
        <v>4258</v>
      </c>
      <c r="C500" s="207" t="s">
        <v>828</v>
      </c>
      <c r="D500" s="1" t="s">
        <v>4259</v>
      </c>
      <c r="E500" s="1"/>
      <c r="F500" s="1"/>
      <c r="G500" s="1" t="s">
        <v>4260</v>
      </c>
      <c r="H500" s="1" t="s">
        <v>4261</v>
      </c>
      <c r="I500" s="1" t="s">
        <v>4262</v>
      </c>
      <c r="J500" s="1">
        <v>2</v>
      </c>
      <c r="K500" s="1">
        <v>4</v>
      </c>
      <c r="L500" s="1">
        <v>6000</v>
      </c>
      <c r="M500" s="1">
        <v>25</v>
      </c>
      <c r="N500" s="1">
        <v>20</v>
      </c>
      <c r="O500" s="1">
        <v>15</v>
      </c>
      <c r="P500" s="1">
        <v>10</v>
      </c>
      <c r="Q500" s="1">
        <v>5</v>
      </c>
      <c r="R500" s="1">
        <v>5</v>
      </c>
      <c r="S500" s="1">
        <v>2</v>
      </c>
      <c r="T500" s="1">
        <v>0</v>
      </c>
      <c r="U500" s="1">
        <v>108</v>
      </c>
      <c r="V500" s="1">
        <v>100</v>
      </c>
      <c r="W500" s="1">
        <v>105</v>
      </c>
      <c r="X500" s="1">
        <v>100</v>
      </c>
      <c r="Y500" s="1">
        <v>120</v>
      </c>
      <c r="Z500" s="1">
        <v>110</v>
      </c>
      <c r="AA500" s="1">
        <v>0</v>
      </c>
      <c r="AB500" s="1">
        <v>15</v>
      </c>
      <c r="AC500" s="1">
        <v>5</v>
      </c>
      <c r="AD500" s="1">
        <v>0</v>
      </c>
      <c r="AE500" s="1">
        <v>125</v>
      </c>
      <c r="AF500" s="1">
        <v>110</v>
      </c>
      <c r="AG500" s="1">
        <v>802001</v>
      </c>
      <c r="AH500" s="1">
        <v>802002</v>
      </c>
      <c r="AI500" s="1">
        <v>300102</v>
      </c>
      <c r="AJ500" s="1" t="s">
        <v>1411</v>
      </c>
      <c r="AK500" s="1" t="s">
        <v>328</v>
      </c>
      <c r="AL500" s="1">
        <v>13</v>
      </c>
      <c r="AM500" s="1" t="s">
        <v>4790</v>
      </c>
      <c r="AN500" s="1" t="s">
        <v>4795</v>
      </c>
      <c r="AO500" s="1" t="s">
        <v>5424</v>
      </c>
      <c r="AP500" s="1">
        <v>0</v>
      </c>
      <c r="AQ500" s="1" t="s">
        <v>1129</v>
      </c>
      <c r="AR500" s="1" t="s">
        <v>1119</v>
      </c>
      <c r="AS500" s="1" t="s">
        <v>1745</v>
      </c>
      <c r="AT500" s="1" t="s">
        <v>328</v>
      </c>
      <c r="AU500" s="1">
        <v>29</v>
      </c>
      <c r="AV500" s="1">
        <v>0</v>
      </c>
      <c r="AW500" s="1" t="s">
        <v>4492</v>
      </c>
      <c r="AX500" s="1" t="s">
        <v>5416</v>
      </c>
      <c r="AY500" s="1">
        <v>4</v>
      </c>
      <c r="AZ500" s="1">
        <v>3029</v>
      </c>
      <c r="BA500" s="1" t="s">
        <v>328</v>
      </c>
      <c r="BB500" s="1" t="s">
        <v>4822</v>
      </c>
      <c r="BC500" s="1" t="s">
        <v>328</v>
      </c>
      <c r="BD500" s="1">
        <v>0</v>
      </c>
      <c r="BE500" s="1"/>
      <c r="BH500">
        <f>COUNTIF(Dropdowns!$I:$AF,C500)</f>
        <v>1</v>
      </c>
    </row>
    <row r="501" spans="1:60" x14ac:dyDescent="0.3">
      <c r="A501" s="1">
        <v>20031</v>
      </c>
      <c r="B501" s="1" t="s">
        <v>4263</v>
      </c>
      <c r="C501" s="207" t="s">
        <v>714</v>
      </c>
      <c r="D501" s="1" t="s">
        <v>4264</v>
      </c>
      <c r="E501" s="1"/>
      <c r="F501" s="1"/>
      <c r="G501" s="1" t="s">
        <v>4265</v>
      </c>
      <c r="H501" s="1" t="s">
        <v>4266</v>
      </c>
      <c r="I501" s="1" t="s">
        <v>4267</v>
      </c>
      <c r="J501" s="1">
        <v>2</v>
      </c>
      <c r="K501" s="1">
        <v>4</v>
      </c>
      <c r="L501" s="1">
        <v>5400</v>
      </c>
      <c r="M501" s="1">
        <v>25</v>
      </c>
      <c r="N501" s="1">
        <v>20</v>
      </c>
      <c r="O501" s="1">
        <v>15</v>
      </c>
      <c r="P501" s="1">
        <v>10</v>
      </c>
      <c r="Q501" s="1">
        <v>5</v>
      </c>
      <c r="R501" s="1">
        <v>5</v>
      </c>
      <c r="S501" s="1">
        <v>2</v>
      </c>
      <c r="T501" s="1">
        <v>0</v>
      </c>
      <c r="U501" s="1">
        <v>120</v>
      </c>
      <c r="V501" s="1">
        <v>125</v>
      </c>
      <c r="W501" s="1">
        <v>100</v>
      </c>
      <c r="X501" s="1">
        <v>100</v>
      </c>
      <c r="Y501" s="1">
        <v>95</v>
      </c>
      <c r="Z501" s="1">
        <v>94</v>
      </c>
      <c r="AA501" s="1">
        <v>0</v>
      </c>
      <c r="AB501" s="1">
        <v>15</v>
      </c>
      <c r="AC501" s="1">
        <v>5</v>
      </c>
      <c r="AD501" s="1">
        <v>0</v>
      </c>
      <c r="AE501" s="1">
        <v>110</v>
      </c>
      <c r="AF501" s="1">
        <v>130</v>
      </c>
      <c r="AG501" s="1">
        <v>900266</v>
      </c>
      <c r="AH501" s="1">
        <v>900267</v>
      </c>
      <c r="AI501" s="1">
        <v>300102</v>
      </c>
      <c r="AJ501" s="1" t="s">
        <v>328</v>
      </c>
      <c r="AK501" s="1" t="s">
        <v>1137</v>
      </c>
      <c r="AL501" s="1">
        <v>13</v>
      </c>
      <c r="AM501" s="1" t="s">
        <v>354</v>
      </c>
      <c r="AN501" s="1" t="s">
        <v>388</v>
      </c>
      <c r="AO501" s="1" t="s">
        <v>5077</v>
      </c>
      <c r="AP501" s="1">
        <v>0</v>
      </c>
      <c r="AQ501" s="1" t="s">
        <v>1129</v>
      </c>
      <c r="AR501" s="1" t="s">
        <v>1119</v>
      </c>
      <c r="AS501" s="1" t="s">
        <v>1745</v>
      </c>
      <c r="AT501" s="1" t="s">
        <v>328</v>
      </c>
      <c r="AU501" s="1">
        <v>31</v>
      </c>
      <c r="AV501" s="1">
        <v>0</v>
      </c>
      <c r="AW501" s="1" t="s">
        <v>4492</v>
      </c>
      <c r="AX501" s="1" t="s">
        <v>5416</v>
      </c>
      <c r="AY501" s="1">
        <v>4</v>
      </c>
      <c r="AZ501" s="1">
        <v>3031</v>
      </c>
      <c r="BA501" s="1" t="s">
        <v>328</v>
      </c>
      <c r="BB501" s="1" t="s">
        <v>328</v>
      </c>
      <c r="BC501" s="1" t="s">
        <v>4739</v>
      </c>
      <c r="BD501" s="1">
        <v>0</v>
      </c>
      <c r="BE501" s="1"/>
      <c r="BH501">
        <f>COUNTIF(Dropdowns!$I:$AF,C501)</f>
        <v>1</v>
      </c>
    </row>
    <row r="502" spans="1:60" x14ac:dyDescent="0.3">
      <c r="A502" s="1">
        <v>20032</v>
      </c>
      <c r="B502" s="1" t="s">
        <v>4268</v>
      </c>
      <c r="C502" s="207" t="s">
        <v>253</v>
      </c>
      <c r="D502" s="1" t="s">
        <v>4269</v>
      </c>
      <c r="E502" s="1"/>
      <c r="F502" s="1"/>
      <c r="G502" s="1" t="s">
        <v>4270</v>
      </c>
      <c r="H502" s="1" t="s">
        <v>4271</v>
      </c>
      <c r="I502" s="1" t="s">
        <v>4272</v>
      </c>
      <c r="J502" s="1">
        <v>2</v>
      </c>
      <c r="K502" s="1">
        <v>4</v>
      </c>
      <c r="L502" s="1">
        <v>6000</v>
      </c>
      <c r="M502" s="1">
        <v>25</v>
      </c>
      <c r="N502" s="1">
        <v>20</v>
      </c>
      <c r="O502" s="1">
        <v>15</v>
      </c>
      <c r="P502" s="1">
        <v>10</v>
      </c>
      <c r="Q502" s="1">
        <v>5</v>
      </c>
      <c r="R502" s="1">
        <v>5</v>
      </c>
      <c r="S502" s="1">
        <v>2</v>
      </c>
      <c r="T502" s="1">
        <v>0</v>
      </c>
      <c r="U502" s="1">
        <v>98</v>
      </c>
      <c r="V502" s="1">
        <v>93</v>
      </c>
      <c r="W502" s="1">
        <v>130</v>
      </c>
      <c r="X502" s="1">
        <v>100</v>
      </c>
      <c r="Y502" s="1">
        <v>95</v>
      </c>
      <c r="Z502" s="1">
        <v>125</v>
      </c>
      <c r="AA502" s="1">
        <v>0</v>
      </c>
      <c r="AB502" s="1">
        <v>15</v>
      </c>
      <c r="AC502" s="1">
        <v>5</v>
      </c>
      <c r="AD502" s="1">
        <v>0</v>
      </c>
      <c r="AE502" s="1">
        <v>115</v>
      </c>
      <c r="AF502" s="1">
        <v>110</v>
      </c>
      <c r="AG502" s="1">
        <v>802701</v>
      </c>
      <c r="AH502" s="1">
        <v>802710</v>
      </c>
      <c r="AI502" s="1">
        <v>300102</v>
      </c>
      <c r="AJ502" s="1" t="s">
        <v>1164</v>
      </c>
      <c r="AK502" s="1" t="s">
        <v>1412</v>
      </c>
      <c r="AL502" s="1">
        <v>13</v>
      </c>
      <c r="AM502" s="1" t="s">
        <v>4790</v>
      </c>
      <c r="AN502" s="1" t="s">
        <v>5425</v>
      </c>
      <c r="AO502" s="1" t="s">
        <v>5426</v>
      </c>
      <c r="AP502" s="1">
        <v>0</v>
      </c>
      <c r="AQ502" s="1" t="s">
        <v>1129</v>
      </c>
      <c r="AR502" s="1" t="s">
        <v>1119</v>
      </c>
      <c r="AS502" s="1" t="s">
        <v>1745</v>
      </c>
      <c r="AT502" s="1" t="s">
        <v>328</v>
      </c>
      <c r="AU502" s="1">
        <v>32</v>
      </c>
      <c r="AV502" s="1">
        <v>0</v>
      </c>
      <c r="AW502" s="1" t="s">
        <v>4492</v>
      </c>
      <c r="AX502" s="1" t="s">
        <v>5416</v>
      </c>
      <c r="AY502" s="1">
        <v>4</v>
      </c>
      <c r="AZ502" s="1">
        <v>3032</v>
      </c>
      <c r="BA502" s="1" t="s">
        <v>328</v>
      </c>
      <c r="BB502" s="1" t="s">
        <v>370</v>
      </c>
      <c r="BC502" s="1" t="s">
        <v>328</v>
      </c>
      <c r="BD502" s="1">
        <v>0</v>
      </c>
      <c r="BE502" s="1"/>
      <c r="BH502">
        <f>COUNTIF(Dropdowns!$I:$AF,C502)</f>
        <v>1</v>
      </c>
    </row>
    <row r="503" spans="1:60" x14ac:dyDescent="0.3">
      <c r="A503" s="1">
        <v>20037</v>
      </c>
      <c r="B503" s="1" t="s">
        <v>4273</v>
      </c>
      <c r="C503" s="207" t="s">
        <v>254</v>
      </c>
      <c r="D503" s="1" t="s">
        <v>254</v>
      </c>
      <c r="E503" s="1"/>
      <c r="F503" s="1"/>
      <c r="G503" s="1" t="s">
        <v>4274</v>
      </c>
      <c r="H503" s="1" t="s">
        <v>4275</v>
      </c>
      <c r="I503" s="1" t="s">
        <v>4276</v>
      </c>
      <c r="J503" s="1">
        <v>3</v>
      </c>
      <c r="K503" s="1">
        <v>4</v>
      </c>
      <c r="L503" s="1">
        <v>13200</v>
      </c>
      <c r="M503" s="1">
        <v>15</v>
      </c>
      <c r="N503" s="1">
        <v>30</v>
      </c>
      <c r="O503" s="1">
        <v>10</v>
      </c>
      <c r="P503" s="1">
        <v>15</v>
      </c>
      <c r="Q503" s="1">
        <v>5</v>
      </c>
      <c r="R503" s="1">
        <v>2</v>
      </c>
      <c r="S503" s="1">
        <v>5</v>
      </c>
      <c r="T503" s="1">
        <v>0</v>
      </c>
      <c r="U503" s="1">
        <v>95</v>
      </c>
      <c r="V503" s="1">
        <v>105</v>
      </c>
      <c r="W503" s="1">
        <v>130</v>
      </c>
      <c r="X503" s="1">
        <v>100</v>
      </c>
      <c r="Y503" s="1">
        <v>115</v>
      </c>
      <c r="Z503" s="1">
        <v>85</v>
      </c>
      <c r="AA503" s="1">
        <v>0</v>
      </c>
      <c r="AB503" s="1">
        <v>15</v>
      </c>
      <c r="AC503" s="1">
        <v>40</v>
      </c>
      <c r="AD503" s="1">
        <v>0</v>
      </c>
      <c r="AE503" s="1">
        <v>110</v>
      </c>
      <c r="AF503" s="1">
        <v>90</v>
      </c>
      <c r="AG503" s="1">
        <v>801901</v>
      </c>
      <c r="AH503" s="1">
        <v>801902</v>
      </c>
      <c r="AI503" s="1">
        <v>300104</v>
      </c>
      <c r="AJ503" s="1" t="s">
        <v>328</v>
      </c>
      <c r="AK503" s="1" t="s">
        <v>328</v>
      </c>
      <c r="AL503" s="1">
        <v>13</v>
      </c>
      <c r="AM503" s="1" t="s">
        <v>4762</v>
      </c>
      <c r="AN503" s="1" t="s">
        <v>4834</v>
      </c>
      <c r="AO503" s="1" t="s">
        <v>4832</v>
      </c>
      <c r="AP503" s="1">
        <v>0</v>
      </c>
      <c r="AQ503" s="1" t="s">
        <v>1140</v>
      </c>
      <c r="AR503" s="1" t="s">
        <v>4835</v>
      </c>
      <c r="AS503" s="1" t="s">
        <v>1142</v>
      </c>
      <c r="AT503" s="1" t="s">
        <v>328</v>
      </c>
      <c r="AU503" s="1">
        <v>37</v>
      </c>
      <c r="AV503" s="1">
        <v>0</v>
      </c>
      <c r="AW503" s="1" t="s">
        <v>4492</v>
      </c>
      <c r="AX503" s="1" t="s">
        <v>5416</v>
      </c>
      <c r="AY503" s="1">
        <v>4</v>
      </c>
      <c r="AZ503" s="1">
        <v>3037</v>
      </c>
      <c r="BA503" s="1" t="s">
        <v>328</v>
      </c>
      <c r="BB503" s="1" t="s">
        <v>4836</v>
      </c>
      <c r="BC503" s="1" t="s">
        <v>4720</v>
      </c>
      <c r="BD503" s="1">
        <v>0</v>
      </c>
      <c r="BE503" s="1"/>
      <c r="BH503">
        <f>COUNTIF(Dropdowns!$I:$AF,C503)</f>
        <v>1</v>
      </c>
    </row>
    <row r="504" spans="1:60" x14ac:dyDescent="0.3">
      <c r="A504" s="1">
        <v>20039</v>
      </c>
      <c r="B504" s="1" t="s">
        <v>4277</v>
      </c>
      <c r="C504" s="207" t="s">
        <v>1679</v>
      </c>
      <c r="D504" s="1" t="s">
        <v>4278</v>
      </c>
      <c r="E504" s="1"/>
      <c r="F504" s="1"/>
      <c r="G504" s="1" t="s">
        <v>4279</v>
      </c>
      <c r="H504" s="1" t="s">
        <v>4280</v>
      </c>
      <c r="I504" s="1" t="s">
        <v>4281</v>
      </c>
      <c r="J504" s="1">
        <v>3</v>
      </c>
      <c r="K504" s="1">
        <v>5</v>
      </c>
      <c r="L504" s="1">
        <v>15000</v>
      </c>
      <c r="M504" s="1">
        <v>15</v>
      </c>
      <c r="N504" s="1">
        <v>30</v>
      </c>
      <c r="O504" s="1">
        <v>10</v>
      </c>
      <c r="P504" s="1">
        <v>15</v>
      </c>
      <c r="Q504" s="1">
        <v>5</v>
      </c>
      <c r="R504" s="1">
        <v>2</v>
      </c>
      <c r="S504" s="1">
        <v>5</v>
      </c>
      <c r="T504" s="1">
        <v>0</v>
      </c>
      <c r="U504" s="1">
        <v>100</v>
      </c>
      <c r="V504" s="1">
        <v>115</v>
      </c>
      <c r="W504" s="1">
        <v>85</v>
      </c>
      <c r="X504" s="1">
        <v>100</v>
      </c>
      <c r="Y504" s="1">
        <v>120</v>
      </c>
      <c r="Z504" s="1">
        <v>105</v>
      </c>
      <c r="AA504" s="1">
        <v>0</v>
      </c>
      <c r="AB504" s="1">
        <v>15</v>
      </c>
      <c r="AC504" s="1">
        <v>40</v>
      </c>
      <c r="AD504" s="1">
        <v>0</v>
      </c>
      <c r="AE504" s="1">
        <v>130</v>
      </c>
      <c r="AF504" s="1">
        <v>100</v>
      </c>
      <c r="AG504" s="1">
        <v>800605</v>
      </c>
      <c r="AH504" s="1">
        <v>800602</v>
      </c>
      <c r="AI504" s="1">
        <v>800601</v>
      </c>
      <c r="AJ504" s="1" t="s">
        <v>1145</v>
      </c>
      <c r="AK504" s="1" t="s">
        <v>1413</v>
      </c>
      <c r="AL504" s="1">
        <v>13</v>
      </c>
      <c r="AM504" s="1" t="s">
        <v>4762</v>
      </c>
      <c r="AN504" s="1" t="s">
        <v>4810</v>
      </c>
      <c r="AO504" s="1" t="s">
        <v>4845</v>
      </c>
      <c r="AP504" s="1">
        <v>0</v>
      </c>
      <c r="AQ504" s="1" t="s">
        <v>1140</v>
      </c>
      <c r="AR504" s="1" t="s">
        <v>4835</v>
      </c>
      <c r="AS504" s="1" t="s">
        <v>4839</v>
      </c>
      <c r="AT504" s="1" t="s">
        <v>328</v>
      </c>
      <c r="AU504" s="1">
        <v>39</v>
      </c>
      <c r="AV504" s="1">
        <v>0</v>
      </c>
      <c r="AW504" s="1" t="s">
        <v>4492</v>
      </c>
      <c r="AX504" s="1" t="s">
        <v>5416</v>
      </c>
      <c r="AY504" s="1">
        <v>5</v>
      </c>
      <c r="AZ504" s="1">
        <v>3039</v>
      </c>
      <c r="BA504" s="1" t="s">
        <v>328</v>
      </c>
      <c r="BB504" s="1" t="s">
        <v>4840</v>
      </c>
      <c r="BC504" s="1" t="s">
        <v>4757</v>
      </c>
      <c r="BD504" s="1">
        <v>0</v>
      </c>
      <c r="BE504" s="1"/>
      <c r="BH504">
        <f>COUNTIF(Dropdowns!$I:$AF,C504)</f>
        <v>1</v>
      </c>
    </row>
    <row r="505" spans="1:60" x14ac:dyDescent="0.3">
      <c r="A505" s="1">
        <v>20044</v>
      </c>
      <c r="B505" s="1" t="s">
        <v>4282</v>
      </c>
      <c r="C505" s="207" t="s">
        <v>1680</v>
      </c>
      <c r="D505" s="1" t="s">
        <v>1680</v>
      </c>
      <c r="E505" s="1"/>
      <c r="F505" s="1"/>
      <c r="G505" s="1" t="s">
        <v>4283</v>
      </c>
      <c r="H505" s="1" t="s">
        <v>4284</v>
      </c>
      <c r="I505" s="1" t="s">
        <v>4285</v>
      </c>
      <c r="J505" s="1">
        <v>3</v>
      </c>
      <c r="K505" s="1">
        <v>4</v>
      </c>
      <c r="L505" s="1">
        <v>13200</v>
      </c>
      <c r="M505" s="1">
        <v>15</v>
      </c>
      <c r="N505" s="1">
        <v>30</v>
      </c>
      <c r="O505" s="1">
        <v>10</v>
      </c>
      <c r="P505" s="1">
        <v>15</v>
      </c>
      <c r="Q505" s="1">
        <v>5</v>
      </c>
      <c r="R505" s="1">
        <v>2</v>
      </c>
      <c r="S505" s="1">
        <v>5</v>
      </c>
      <c r="T505" s="1">
        <v>0</v>
      </c>
      <c r="U505" s="1">
        <v>95</v>
      </c>
      <c r="V505" s="1">
        <v>118</v>
      </c>
      <c r="W505" s="1">
        <v>110</v>
      </c>
      <c r="X505" s="1">
        <v>100</v>
      </c>
      <c r="Y505" s="1">
        <v>122</v>
      </c>
      <c r="Z505" s="1">
        <v>85</v>
      </c>
      <c r="AA505" s="1">
        <v>0</v>
      </c>
      <c r="AB505" s="1">
        <v>15</v>
      </c>
      <c r="AC505" s="1">
        <v>40</v>
      </c>
      <c r="AD505" s="1">
        <v>0</v>
      </c>
      <c r="AE505" s="1">
        <v>115</v>
      </c>
      <c r="AF505" s="1">
        <v>110</v>
      </c>
      <c r="AG505" s="1">
        <v>801417</v>
      </c>
      <c r="AH505" s="1">
        <v>801414</v>
      </c>
      <c r="AI505" s="1">
        <v>300104</v>
      </c>
      <c r="AJ505" s="1" t="s">
        <v>1414</v>
      </c>
      <c r="AK505" s="1" t="s">
        <v>1415</v>
      </c>
      <c r="AL505" s="1">
        <v>13</v>
      </c>
      <c r="AM505" s="1" t="s">
        <v>4762</v>
      </c>
      <c r="AN505" s="1" t="s">
        <v>465</v>
      </c>
      <c r="AO505" s="1" t="s">
        <v>4832</v>
      </c>
      <c r="AP505" s="1">
        <v>0</v>
      </c>
      <c r="AQ505" s="1" t="s">
        <v>1140</v>
      </c>
      <c r="AR505" s="1" t="s">
        <v>1141</v>
      </c>
      <c r="AS505" s="1" t="s">
        <v>4839</v>
      </c>
      <c r="AT505" s="1" t="s">
        <v>328</v>
      </c>
      <c r="AU505" s="1">
        <v>44</v>
      </c>
      <c r="AV505" s="1">
        <v>0</v>
      </c>
      <c r="AW505" s="1" t="s">
        <v>4492</v>
      </c>
      <c r="AX505" s="1" t="s">
        <v>5416</v>
      </c>
      <c r="AY505" s="1">
        <v>4</v>
      </c>
      <c r="AZ505" s="1">
        <v>3044</v>
      </c>
      <c r="BA505" s="1" t="s">
        <v>328</v>
      </c>
      <c r="BB505" s="1" t="s">
        <v>4844</v>
      </c>
      <c r="BC505" s="1" t="s">
        <v>4757</v>
      </c>
      <c r="BD505" s="1">
        <v>0</v>
      </c>
      <c r="BE505" s="1"/>
      <c r="BH505">
        <f>COUNTIF(Dropdowns!$I:$AF,C505)</f>
        <v>1</v>
      </c>
    </row>
    <row r="506" spans="1:60" x14ac:dyDescent="0.3">
      <c r="A506" s="1">
        <v>20049</v>
      </c>
      <c r="B506" s="1" t="s">
        <v>4286</v>
      </c>
      <c r="C506" s="207" t="s">
        <v>829</v>
      </c>
      <c r="D506" s="1" t="s">
        <v>4287</v>
      </c>
      <c r="E506" s="1"/>
      <c r="F506" s="1"/>
      <c r="G506" s="1" t="s">
        <v>4288</v>
      </c>
      <c r="H506" s="1" t="s">
        <v>4289</v>
      </c>
      <c r="I506" s="1" t="s">
        <v>4290</v>
      </c>
      <c r="J506" s="1">
        <v>3</v>
      </c>
      <c r="K506" s="1">
        <v>4</v>
      </c>
      <c r="L506" s="1">
        <v>13800</v>
      </c>
      <c r="M506" s="1">
        <v>15</v>
      </c>
      <c r="N506" s="1">
        <v>30</v>
      </c>
      <c r="O506" s="1">
        <v>10</v>
      </c>
      <c r="P506" s="1">
        <v>15</v>
      </c>
      <c r="Q506" s="1">
        <v>5</v>
      </c>
      <c r="R506" s="1">
        <v>2</v>
      </c>
      <c r="S506" s="1">
        <v>5</v>
      </c>
      <c r="T506" s="1">
        <v>0</v>
      </c>
      <c r="U506" s="1">
        <v>105</v>
      </c>
      <c r="V506" s="1">
        <v>105</v>
      </c>
      <c r="W506" s="1">
        <v>110</v>
      </c>
      <c r="X506" s="1">
        <v>100</v>
      </c>
      <c r="Y506" s="1">
        <v>110</v>
      </c>
      <c r="Z506" s="1">
        <v>115</v>
      </c>
      <c r="AA506" s="1">
        <v>0</v>
      </c>
      <c r="AB506" s="1">
        <v>15</v>
      </c>
      <c r="AC506" s="1">
        <v>40</v>
      </c>
      <c r="AD506" s="1">
        <v>0</v>
      </c>
      <c r="AE506" s="1">
        <v>110</v>
      </c>
      <c r="AF506" s="1">
        <v>100</v>
      </c>
      <c r="AG506" s="1">
        <v>992232</v>
      </c>
      <c r="AH506" s="1">
        <v>902233</v>
      </c>
      <c r="AI506" s="1">
        <v>902228</v>
      </c>
      <c r="AJ506" s="1" t="s">
        <v>1416</v>
      </c>
      <c r="AK506" s="1" t="s">
        <v>328</v>
      </c>
      <c r="AL506" s="1">
        <v>13</v>
      </c>
      <c r="AM506" s="1" t="s">
        <v>4762</v>
      </c>
      <c r="AN506" s="1" t="s">
        <v>4773</v>
      </c>
      <c r="AO506" s="1" t="s">
        <v>4832</v>
      </c>
      <c r="AP506" s="1">
        <v>0</v>
      </c>
      <c r="AQ506" s="1" t="s">
        <v>1746</v>
      </c>
      <c r="AR506" s="1" t="s">
        <v>1141</v>
      </c>
      <c r="AS506" s="1" t="s">
        <v>1142</v>
      </c>
      <c r="AT506" s="1" t="s">
        <v>328</v>
      </c>
      <c r="AU506" s="1">
        <v>49</v>
      </c>
      <c r="AV506" s="1">
        <v>0</v>
      </c>
      <c r="AW506" s="1" t="s">
        <v>4848</v>
      </c>
      <c r="AX506" s="1" t="s">
        <v>5416</v>
      </c>
      <c r="AY506" s="1">
        <v>4</v>
      </c>
      <c r="AZ506" s="1">
        <v>3049</v>
      </c>
      <c r="BA506" s="1" t="s">
        <v>328</v>
      </c>
      <c r="BB506" s="1" t="s">
        <v>4850</v>
      </c>
      <c r="BC506" s="1" t="s">
        <v>4783</v>
      </c>
      <c r="BD506" s="1">
        <v>0</v>
      </c>
      <c r="BE506" s="1"/>
      <c r="BH506">
        <f>COUNTIF(Dropdowns!$I:$AF,C506)</f>
        <v>1</v>
      </c>
    </row>
    <row r="507" spans="1:60" x14ac:dyDescent="0.3">
      <c r="A507" s="1">
        <v>20051</v>
      </c>
      <c r="B507" s="1" t="s">
        <v>4291</v>
      </c>
      <c r="C507" s="207" t="s">
        <v>1417</v>
      </c>
      <c r="D507" s="1" t="s">
        <v>1417</v>
      </c>
      <c r="E507" s="1"/>
      <c r="F507" s="1"/>
      <c r="G507" s="1" t="s">
        <v>4292</v>
      </c>
      <c r="H507" s="1" t="s">
        <v>4293</v>
      </c>
      <c r="I507" s="1" t="s">
        <v>4294</v>
      </c>
      <c r="J507" s="1">
        <v>3</v>
      </c>
      <c r="K507" s="1">
        <v>4</v>
      </c>
      <c r="L507" s="1">
        <v>11400</v>
      </c>
      <c r="M507" s="1">
        <v>15</v>
      </c>
      <c r="N507" s="1">
        <v>30</v>
      </c>
      <c r="O507" s="1">
        <v>10</v>
      </c>
      <c r="P507" s="1">
        <v>15</v>
      </c>
      <c r="Q507" s="1">
        <v>5</v>
      </c>
      <c r="R507" s="1">
        <v>2</v>
      </c>
      <c r="S507" s="1">
        <v>5</v>
      </c>
      <c r="T507" s="1">
        <v>0</v>
      </c>
      <c r="U507" s="1">
        <v>105</v>
      </c>
      <c r="V507" s="1">
        <v>110</v>
      </c>
      <c r="W507" s="1">
        <v>100</v>
      </c>
      <c r="X507" s="1">
        <v>100</v>
      </c>
      <c r="Y507" s="1">
        <v>95</v>
      </c>
      <c r="Z507" s="1">
        <v>100</v>
      </c>
      <c r="AA507" s="1">
        <v>0</v>
      </c>
      <c r="AB507" s="1">
        <v>15</v>
      </c>
      <c r="AC507" s="1">
        <v>40</v>
      </c>
      <c r="AD507" s="1">
        <v>0</v>
      </c>
      <c r="AE507" s="1">
        <v>115</v>
      </c>
      <c r="AF507" s="1">
        <v>105</v>
      </c>
      <c r="AG507" s="1">
        <v>800901</v>
      </c>
      <c r="AH507" s="1">
        <v>800902</v>
      </c>
      <c r="AI507" s="1">
        <v>300104</v>
      </c>
      <c r="AJ507" s="1" t="s">
        <v>328</v>
      </c>
      <c r="AK507" s="1" t="s">
        <v>328</v>
      </c>
      <c r="AL507" s="1">
        <v>13</v>
      </c>
      <c r="AM507" s="1" t="s">
        <v>4762</v>
      </c>
      <c r="AN507" s="1" t="s">
        <v>4834</v>
      </c>
      <c r="AO507" s="1" t="s">
        <v>4832</v>
      </c>
      <c r="AP507" s="1">
        <v>0</v>
      </c>
      <c r="AQ507" s="1" t="s">
        <v>1140</v>
      </c>
      <c r="AR507" s="1" t="s">
        <v>4835</v>
      </c>
      <c r="AS507" s="1" t="s">
        <v>1142</v>
      </c>
      <c r="AT507" s="1" t="s">
        <v>328</v>
      </c>
      <c r="AU507" s="1">
        <v>51</v>
      </c>
      <c r="AV507" s="1">
        <v>0</v>
      </c>
      <c r="AW507" s="1" t="s">
        <v>4492</v>
      </c>
      <c r="AX507" s="1" t="s">
        <v>5416</v>
      </c>
      <c r="AY507" s="1">
        <v>4</v>
      </c>
      <c r="AZ507" s="1">
        <v>3051</v>
      </c>
      <c r="BA507" s="1" t="s">
        <v>328</v>
      </c>
      <c r="BB507" s="1" t="s">
        <v>4852</v>
      </c>
      <c r="BC507" s="1" t="s">
        <v>4853</v>
      </c>
      <c r="BD507" s="1">
        <v>0</v>
      </c>
      <c r="BE507" s="1"/>
      <c r="BH507">
        <f>COUNTIF(Dropdowns!$I:$AF,C507)</f>
        <v>1</v>
      </c>
    </row>
    <row r="508" spans="1:60" x14ac:dyDescent="0.3">
      <c r="A508" s="1">
        <v>20053</v>
      </c>
      <c r="B508" s="1" t="s">
        <v>4295</v>
      </c>
      <c r="C508" s="207" t="s">
        <v>1681</v>
      </c>
      <c r="D508" s="1" t="s">
        <v>1681</v>
      </c>
      <c r="E508" s="1"/>
      <c r="F508" s="1"/>
      <c r="G508" s="1" t="s">
        <v>4296</v>
      </c>
      <c r="H508" s="1" t="s">
        <v>4297</v>
      </c>
      <c r="I508" s="1" t="s">
        <v>4298</v>
      </c>
      <c r="J508" s="1">
        <v>3</v>
      </c>
      <c r="K508" s="1">
        <v>6</v>
      </c>
      <c r="L508" s="1">
        <v>17100</v>
      </c>
      <c r="M508" s="1">
        <v>15</v>
      </c>
      <c r="N508" s="1">
        <v>30</v>
      </c>
      <c r="O508" s="1">
        <v>10</v>
      </c>
      <c r="P508" s="1">
        <v>15</v>
      </c>
      <c r="Q508" s="1">
        <v>5</v>
      </c>
      <c r="R508" s="1">
        <v>2</v>
      </c>
      <c r="S508" s="1">
        <v>5</v>
      </c>
      <c r="T508" s="1">
        <v>0</v>
      </c>
      <c r="U508" s="1">
        <v>105</v>
      </c>
      <c r="V508" s="1">
        <v>145</v>
      </c>
      <c r="W508" s="1">
        <v>90</v>
      </c>
      <c r="X508" s="1">
        <v>100</v>
      </c>
      <c r="Y508" s="1">
        <v>110</v>
      </c>
      <c r="Z508" s="1">
        <v>80</v>
      </c>
      <c r="AA508" s="1">
        <v>0</v>
      </c>
      <c r="AB508" s="1">
        <v>15</v>
      </c>
      <c r="AC508" s="1">
        <v>40</v>
      </c>
      <c r="AD508" s="1">
        <v>0</v>
      </c>
      <c r="AE508" s="1">
        <v>130</v>
      </c>
      <c r="AF508" s="1">
        <v>160</v>
      </c>
      <c r="AG508" s="1">
        <v>803101</v>
      </c>
      <c r="AH508" s="1">
        <v>803105</v>
      </c>
      <c r="AI508" s="1">
        <v>803106</v>
      </c>
      <c r="AJ508" s="1" t="s">
        <v>1418</v>
      </c>
      <c r="AK508" s="1" t="s">
        <v>1419</v>
      </c>
      <c r="AL508" s="1">
        <v>13</v>
      </c>
      <c r="AM508" s="1" t="s">
        <v>4762</v>
      </c>
      <c r="AN508" s="1" t="s">
        <v>4829</v>
      </c>
      <c r="AO508" s="1" t="s">
        <v>5427</v>
      </c>
      <c r="AP508" s="1">
        <v>0</v>
      </c>
      <c r="AQ508" s="1" t="s">
        <v>1746</v>
      </c>
      <c r="AR508" s="1" t="s">
        <v>1141</v>
      </c>
      <c r="AS508" s="1" t="s">
        <v>1142</v>
      </c>
      <c r="AT508" s="1" t="s">
        <v>328</v>
      </c>
      <c r="AU508" s="1">
        <v>53</v>
      </c>
      <c r="AV508" s="1">
        <v>0</v>
      </c>
      <c r="AW508" s="1" t="s">
        <v>4492</v>
      </c>
      <c r="AX508" s="1" t="s">
        <v>5416</v>
      </c>
      <c r="AY508" s="1">
        <v>6</v>
      </c>
      <c r="AZ508" s="1">
        <v>3053</v>
      </c>
      <c r="BA508" s="1" t="s">
        <v>328</v>
      </c>
      <c r="BB508" s="1" t="s">
        <v>4856</v>
      </c>
      <c r="BC508" s="1" t="s">
        <v>328</v>
      </c>
      <c r="BD508" s="1">
        <v>0</v>
      </c>
      <c r="BE508" s="1"/>
      <c r="BH508">
        <f>COUNTIF(Dropdowns!$I:$AF,C508)</f>
        <v>1</v>
      </c>
    </row>
    <row r="509" spans="1:60" x14ac:dyDescent="0.3">
      <c r="A509" s="1">
        <v>20055</v>
      </c>
      <c r="B509" s="1" t="s">
        <v>4299</v>
      </c>
      <c r="C509" s="207" t="s">
        <v>255</v>
      </c>
      <c r="D509" s="1" t="s">
        <v>255</v>
      </c>
      <c r="E509" s="1"/>
      <c r="F509" s="1"/>
      <c r="G509" s="1" t="s">
        <v>4300</v>
      </c>
      <c r="H509" s="1" t="s">
        <v>4301</v>
      </c>
      <c r="I509" s="1" t="s">
        <v>4302</v>
      </c>
      <c r="J509" s="1">
        <v>4</v>
      </c>
      <c r="K509" s="1">
        <v>5</v>
      </c>
      <c r="L509" s="1">
        <v>12900</v>
      </c>
      <c r="M509" s="1">
        <v>20</v>
      </c>
      <c r="N509" s="1">
        <v>20</v>
      </c>
      <c r="O509" s="1">
        <v>10</v>
      </c>
      <c r="P509" s="1">
        <v>10</v>
      </c>
      <c r="Q509" s="1">
        <v>2</v>
      </c>
      <c r="R509" s="1">
        <v>5</v>
      </c>
      <c r="S509" s="1">
        <v>5</v>
      </c>
      <c r="T509" s="1">
        <v>0</v>
      </c>
      <c r="U509" s="1">
        <v>100</v>
      </c>
      <c r="V509" s="1">
        <v>110</v>
      </c>
      <c r="W509" s="1">
        <v>120</v>
      </c>
      <c r="X509" s="1">
        <v>100</v>
      </c>
      <c r="Y509" s="1">
        <v>120</v>
      </c>
      <c r="Z509" s="1">
        <v>120</v>
      </c>
      <c r="AA509" s="1">
        <v>0</v>
      </c>
      <c r="AB509" s="1">
        <v>15</v>
      </c>
      <c r="AC509" s="1">
        <v>20</v>
      </c>
      <c r="AD509" s="1">
        <v>0</v>
      </c>
      <c r="AE509" s="1">
        <v>115</v>
      </c>
      <c r="AF509" s="1">
        <v>115</v>
      </c>
      <c r="AG509" s="1">
        <v>801101</v>
      </c>
      <c r="AH509" s="1">
        <v>801108</v>
      </c>
      <c r="AI509" s="1">
        <v>801102</v>
      </c>
      <c r="AJ509" s="1" t="s">
        <v>1420</v>
      </c>
      <c r="AK509" s="1" t="s">
        <v>1403</v>
      </c>
      <c r="AL509" s="1">
        <v>13</v>
      </c>
      <c r="AM509" s="1" t="s">
        <v>4790</v>
      </c>
      <c r="AN509" s="1" t="s">
        <v>4861</v>
      </c>
      <c r="AO509" s="1" t="s">
        <v>5428</v>
      </c>
      <c r="AP509" s="1">
        <v>0</v>
      </c>
      <c r="AQ509" s="1" t="s">
        <v>1130</v>
      </c>
      <c r="AR509" s="1" t="s">
        <v>1154</v>
      </c>
      <c r="AS509" s="1" t="s">
        <v>1744</v>
      </c>
      <c r="AT509" s="1" t="s">
        <v>328</v>
      </c>
      <c r="AU509" s="1">
        <v>55</v>
      </c>
      <c r="AV509" s="1">
        <v>0</v>
      </c>
      <c r="AW509" s="1" t="s">
        <v>4492</v>
      </c>
      <c r="AX509" s="1" t="s">
        <v>5416</v>
      </c>
      <c r="AY509" s="1">
        <v>5</v>
      </c>
      <c r="AZ509" s="1">
        <v>3055</v>
      </c>
      <c r="BA509" s="1" t="s">
        <v>328</v>
      </c>
      <c r="BB509" s="1" t="s">
        <v>4863</v>
      </c>
      <c r="BC509" s="1" t="s">
        <v>5149</v>
      </c>
      <c r="BD509" s="1">
        <v>0</v>
      </c>
      <c r="BE509" s="1"/>
      <c r="BH509">
        <f>COUNTIF(Dropdowns!$I:$AF,C509)</f>
        <v>1</v>
      </c>
    </row>
    <row r="510" spans="1:60" x14ac:dyDescent="0.3">
      <c r="A510" s="1">
        <v>20056</v>
      </c>
      <c r="B510" s="1" t="s">
        <v>4303</v>
      </c>
      <c r="C510" s="207" t="s">
        <v>256</v>
      </c>
      <c r="D510" s="1" t="s">
        <v>256</v>
      </c>
      <c r="E510" s="1"/>
      <c r="F510" s="1"/>
      <c r="G510" s="1" t="s">
        <v>4304</v>
      </c>
      <c r="H510" s="1" t="s">
        <v>4305</v>
      </c>
      <c r="I510" s="1" t="s">
        <v>4306</v>
      </c>
      <c r="J510" s="1">
        <v>4</v>
      </c>
      <c r="K510" s="1">
        <v>5</v>
      </c>
      <c r="L510" s="1">
        <v>12900</v>
      </c>
      <c r="M510" s="1">
        <v>20</v>
      </c>
      <c r="N510" s="1">
        <v>20</v>
      </c>
      <c r="O510" s="1">
        <v>10</v>
      </c>
      <c r="P510" s="1">
        <v>10</v>
      </c>
      <c r="Q510" s="1">
        <v>2</v>
      </c>
      <c r="R510" s="1">
        <v>5</v>
      </c>
      <c r="S510" s="1">
        <v>5</v>
      </c>
      <c r="T510" s="1">
        <v>0</v>
      </c>
      <c r="U510" s="1">
        <v>100</v>
      </c>
      <c r="V510" s="1">
        <v>118</v>
      </c>
      <c r="W510" s="1">
        <v>120</v>
      </c>
      <c r="X510" s="1">
        <v>100</v>
      </c>
      <c r="Y510" s="1">
        <v>125</v>
      </c>
      <c r="Z510" s="1">
        <v>115</v>
      </c>
      <c r="AA510" s="1">
        <v>0</v>
      </c>
      <c r="AB510" s="1">
        <v>15</v>
      </c>
      <c r="AC510" s="1">
        <v>30</v>
      </c>
      <c r="AD510" s="1">
        <v>0</v>
      </c>
      <c r="AE510" s="1">
        <v>110</v>
      </c>
      <c r="AF510" s="1">
        <v>115</v>
      </c>
      <c r="AG510" s="1">
        <v>801601</v>
      </c>
      <c r="AH510" s="1">
        <v>801602</v>
      </c>
      <c r="AI510" s="1">
        <v>300103</v>
      </c>
      <c r="AJ510" s="1" t="s">
        <v>1421</v>
      </c>
      <c r="AK510" s="1" t="s">
        <v>1422</v>
      </c>
      <c r="AL510" s="1">
        <v>13</v>
      </c>
      <c r="AM510" s="1" t="s">
        <v>4719</v>
      </c>
      <c r="AN510" s="1" t="s">
        <v>4864</v>
      </c>
      <c r="AO510" s="1" t="s">
        <v>4880</v>
      </c>
      <c r="AP510" s="1">
        <v>0</v>
      </c>
      <c r="AQ510" s="1" t="s">
        <v>4866</v>
      </c>
      <c r="AR510" s="1" t="s">
        <v>4866</v>
      </c>
      <c r="AS510" s="1" t="s">
        <v>1154</v>
      </c>
      <c r="AT510" s="1" t="s">
        <v>328</v>
      </c>
      <c r="AU510" s="1">
        <v>56</v>
      </c>
      <c r="AV510" s="1">
        <v>0</v>
      </c>
      <c r="AW510" s="1" t="s">
        <v>4492</v>
      </c>
      <c r="AX510" s="1" t="s">
        <v>5416</v>
      </c>
      <c r="AY510" s="1">
        <v>5</v>
      </c>
      <c r="AZ510" s="1">
        <v>3056</v>
      </c>
      <c r="BA510" s="1" t="s">
        <v>328</v>
      </c>
      <c r="BB510" s="1" t="s">
        <v>474</v>
      </c>
      <c r="BC510" s="1" t="s">
        <v>4860</v>
      </c>
      <c r="BD510" s="1">
        <v>0</v>
      </c>
      <c r="BE510" s="1"/>
      <c r="BH510">
        <f>COUNTIF(Dropdowns!$I:$AF,C510)</f>
        <v>1</v>
      </c>
    </row>
    <row r="511" spans="1:60" x14ac:dyDescent="0.3">
      <c r="A511" s="1">
        <v>20057</v>
      </c>
      <c r="B511" s="1" t="s">
        <v>4307</v>
      </c>
      <c r="C511" s="207" t="s">
        <v>1682</v>
      </c>
      <c r="D511" s="1" t="s">
        <v>4308</v>
      </c>
      <c r="E511" s="1"/>
      <c r="F511" s="1"/>
      <c r="G511" s="1" t="s">
        <v>4309</v>
      </c>
      <c r="H511" s="1" t="s">
        <v>4310</v>
      </c>
      <c r="I511" s="1" t="s">
        <v>4311</v>
      </c>
      <c r="J511" s="1">
        <v>4</v>
      </c>
      <c r="K511" s="1">
        <v>5</v>
      </c>
      <c r="L511" s="1">
        <v>12900</v>
      </c>
      <c r="M511" s="1">
        <v>20</v>
      </c>
      <c r="N511" s="1">
        <v>20</v>
      </c>
      <c r="O511" s="1">
        <v>10</v>
      </c>
      <c r="P511" s="1">
        <v>10</v>
      </c>
      <c r="Q511" s="1">
        <v>2</v>
      </c>
      <c r="R511" s="1">
        <v>5</v>
      </c>
      <c r="S511" s="1">
        <v>5</v>
      </c>
      <c r="T511" s="1">
        <v>0</v>
      </c>
      <c r="U511" s="1">
        <v>95</v>
      </c>
      <c r="V511" s="1">
        <v>106</v>
      </c>
      <c r="W511" s="1">
        <v>115</v>
      </c>
      <c r="X511" s="1">
        <v>100</v>
      </c>
      <c r="Y511" s="1">
        <v>125</v>
      </c>
      <c r="Z511" s="1">
        <v>120</v>
      </c>
      <c r="AA511" s="1">
        <v>0</v>
      </c>
      <c r="AB511" s="1">
        <v>15</v>
      </c>
      <c r="AC511" s="1">
        <v>20</v>
      </c>
      <c r="AD511" s="1">
        <v>0</v>
      </c>
      <c r="AE511" s="1">
        <v>120</v>
      </c>
      <c r="AF511" s="1">
        <v>125</v>
      </c>
      <c r="AG511" s="1">
        <v>801003</v>
      </c>
      <c r="AH511" s="1">
        <v>801002</v>
      </c>
      <c r="AI511" s="1">
        <v>801001</v>
      </c>
      <c r="AJ511" s="1" t="s">
        <v>1423</v>
      </c>
      <c r="AK511" s="1" t="s">
        <v>1424</v>
      </c>
      <c r="AL511" s="1">
        <v>13</v>
      </c>
      <c r="AM511" s="1" t="s">
        <v>4719</v>
      </c>
      <c r="AN511" s="1" t="s">
        <v>4864</v>
      </c>
      <c r="AO511" s="1" t="s">
        <v>4998</v>
      </c>
      <c r="AP511" s="1">
        <v>0</v>
      </c>
      <c r="AQ511" s="1" t="s">
        <v>4866</v>
      </c>
      <c r="AR511" s="1" t="s">
        <v>4866</v>
      </c>
      <c r="AS511" s="1" t="s">
        <v>4868</v>
      </c>
      <c r="AT511" s="1" t="s">
        <v>328</v>
      </c>
      <c r="AU511" s="1">
        <v>57</v>
      </c>
      <c r="AV511" s="1">
        <v>0</v>
      </c>
      <c r="AW511" s="1" t="s">
        <v>4492</v>
      </c>
      <c r="AX511" s="1" t="s">
        <v>5416</v>
      </c>
      <c r="AY511" s="1">
        <v>5</v>
      </c>
      <c r="AZ511" s="1">
        <v>3057</v>
      </c>
      <c r="BA511" s="1" t="s">
        <v>328</v>
      </c>
      <c r="BB511" s="1" t="s">
        <v>4869</v>
      </c>
      <c r="BC511" s="1" t="s">
        <v>5149</v>
      </c>
      <c r="BD511" s="1">
        <v>0</v>
      </c>
      <c r="BE511" s="1"/>
      <c r="BH511">
        <f>COUNTIF(Dropdowns!$I:$AF,C511)</f>
        <v>1</v>
      </c>
    </row>
    <row r="512" spans="1:60" x14ac:dyDescent="0.3">
      <c r="A512" s="1">
        <v>20060</v>
      </c>
      <c r="B512" s="1" t="s">
        <v>4312</v>
      </c>
      <c r="C512" s="207" t="s">
        <v>257</v>
      </c>
      <c r="D512" s="1" t="s">
        <v>4313</v>
      </c>
      <c r="E512" s="1"/>
      <c r="F512" s="1"/>
      <c r="G512" s="1" t="s">
        <v>4314</v>
      </c>
      <c r="H512" s="1" t="s">
        <v>4315</v>
      </c>
      <c r="I512" s="1" t="s">
        <v>4316</v>
      </c>
      <c r="J512" s="1">
        <v>4</v>
      </c>
      <c r="K512" s="1">
        <v>5</v>
      </c>
      <c r="L512" s="1">
        <v>12600</v>
      </c>
      <c r="M512" s="1">
        <v>20</v>
      </c>
      <c r="N512" s="1">
        <v>20</v>
      </c>
      <c r="O512" s="1">
        <v>10</v>
      </c>
      <c r="P512" s="1">
        <v>10</v>
      </c>
      <c r="Q512" s="1">
        <v>2</v>
      </c>
      <c r="R512" s="1">
        <v>5</v>
      </c>
      <c r="S512" s="1">
        <v>5</v>
      </c>
      <c r="T512" s="1">
        <v>0</v>
      </c>
      <c r="U512" s="1">
        <v>120</v>
      </c>
      <c r="V512" s="1">
        <v>94</v>
      </c>
      <c r="W512" s="1">
        <v>115</v>
      </c>
      <c r="X512" s="1">
        <v>100</v>
      </c>
      <c r="Y512" s="1">
        <v>125</v>
      </c>
      <c r="Z512" s="1">
        <v>125</v>
      </c>
      <c r="AA512" s="1">
        <v>0</v>
      </c>
      <c r="AB512" s="1">
        <v>15</v>
      </c>
      <c r="AC512" s="1">
        <v>20</v>
      </c>
      <c r="AD512" s="1">
        <v>0</v>
      </c>
      <c r="AE512" s="1">
        <v>110</v>
      </c>
      <c r="AF512" s="1">
        <v>85</v>
      </c>
      <c r="AG512" s="1">
        <v>802601</v>
      </c>
      <c r="AH512" s="1">
        <v>802602</v>
      </c>
      <c r="AI512" s="1">
        <v>802603</v>
      </c>
      <c r="AJ512" s="1" t="s">
        <v>328</v>
      </c>
      <c r="AK512" s="1" t="s">
        <v>1425</v>
      </c>
      <c r="AL512" s="1">
        <v>13</v>
      </c>
      <c r="AM512" s="1" t="s">
        <v>4719</v>
      </c>
      <c r="AN512" s="1" t="s">
        <v>450</v>
      </c>
      <c r="AO512" s="1" t="s">
        <v>5152</v>
      </c>
      <c r="AP512" s="1">
        <v>0</v>
      </c>
      <c r="AQ512" s="1" t="s">
        <v>1130</v>
      </c>
      <c r="AR512" s="1" t="s">
        <v>4868</v>
      </c>
      <c r="AS512" s="1" t="s">
        <v>1129</v>
      </c>
      <c r="AT512" s="1" t="s">
        <v>328</v>
      </c>
      <c r="AU512" s="1">
        <v>60</v>
      </c>
      <c r="AV512" s="1">
        <v>0</v>
      </c>
      <c r="AW512" s="1" t="s">
        <v>4492</v>
      </c>
      <c r="AX512" s="1" t="s">
        <v>5416</v>
      </c>
      <c r="AY512" s="1">
        <v>5</v>
      </c>
      <c r="AZ512" s="1">
        <v>3060</v>
      </c>
      <c r="BA512" s="1" t="s">
        <v>328</v>
      </c>
      <c r="BB512" s="1" t="s">
        <v>4878</v>
      </c>
      <c r="BC512" s="1" t="s">
        <v>4757</v>
      </c>
      <c r="BD512" s="1">
        <v>0</v>
      </c>
      <c r="BE512" s="1"/>
      <c r="BH512">
        <f>COUNTIF(Dropdowns!$I:$AF,C512)</f>
        <v>1</v>
      </c>
    </row>
    <row r="513" spans="1:60" x14ac:dyDescent="0.3">
      <c r="A513" s="1">
        <v>20061</v>
      </c>
      <c r="B513" s="1" t="s">
        <v>4317</v>
      </c>
      <c r="C513" s="207" t="s">
        <v>830</v>
      </c>
      <c r="D513" s="1" t="s">
        <v>4318</v>
      </c>
      <c r="E513" s="1"/>
      <c r="F513" s="1"/>
      <c r="G513" s="1" t="s">
        <v>4319</v>
      </c>
      <c r="H513" s="1" t="s">
        <v>4320</v>
      </c>
      <c r="I513" s="1" t="s">
        <v>4321</v>
      </c>
      <c r="J513" s="1">
        <v>4</v>
      </c>
      <c r="K513" s="1">
        <v>4</v>
      </c>
      <c r="L513" s="1">
        <v>10800</v>
      </c>
      <c r="M513" s="1">
        <v>20</v>
      </c>
      <c r="N513" s="1">
        <v>20</v>
      </c>
      <c r="O513" s="1">
        <v>10</v>
      </c>
      <c r="P513" s="1">
        <v>10</v>
      </c>
      <c r="Q513" s="1">
        <v>2</v>
      </c>
      <c r="R513" s="1">
        <v>5</v>
      </c>
      <c r="S513" s="1">
        <v>5</v>
      </c>
      <c r="T513" s="1">
        <v>0</v>
      </c>
      <c r="U513" s="1">
        <v>115</v>
      </c>
      <c r="V513" s="1">
        <v>125</v>
      </c>
      <c r="W513" s="1">
        <v>96</v>
      </c>
      <c r="X513" s="1">
        <v>100</v>
      </c>
      <c r="Y513" s="1">
        <v>115</v>
      </c>
      <c r="Z513" s="1">
        <v>85</v>
      </c>
      <c r="AA513" s="1">
        <v>0</v>
      </c>
      <c r="AB513" s="1">
        <v>15</v>
      </c>
      <c r="AC513" s="1">
        <v>20</v>
      </c>
      <c r="AD513" s="1">
        <v>0</v>
      </c>
      <c r="AE513" s="1">
        <v>120</v>
      </c>
      <c r="AF513" s="1">
        <v>125</v>
      </c>
      <c r="AG513" s="1">
        <v>802502</v>
      </c>
      <c r="AH513" s="1">
        <v>802504</v>
      </c>
      <c r="AI513" s="1">
        <v>300103</v>
      </c>
      <c r="AJ513" s="1" t="s">
        <v>1164</v>
      </c>
      <c r="AK513" s="1" t="s">
        <v>1426</v>
      </c>
      <c r="AL513" s="1">
        <v>13</v>
      </c>
      <c r="AM513" s="1" t="s">
        <v>398</v>
      </c>
      <c r="AN513" s="1" t="s">
        <v>4773</v>
      </c>
      <c r="AO513" s="1" t="s">
        <v>4879</v>
      </c>
      <c r="AP513" s="1">
        <v>0</v>
      </c>
      <c r="AQ513" s="1" t="s">
        <v>1130</v>
      </c>
      <c r="AR513" s="1" t="s">
        <v>4868</v>
      </c>
      <c r="AS513" s="1" t="s">
        <v>1129</v>
      </c>
      <c r="AT513" s="1" t="s">
        <v>328</v>
      </c>
      <c r="AU513" s="1">
        <v>61</v>
      </c>
      <c r="AV513" s="1">
        <v>0</v>
      </c>
      <c r="AW513" s="1" t="s">
        <v>4492</v>
      </c>
      <c r="AX513" s="1" t="s">
        <v>5416</v>
      </c>
      <c r="AY513" s="1">
        <v>4</v>
      </c>
      <c r="AZ513" s="1">
        <v>3061</v>
      </c>
      <c r="BA513" s="1" t="s">
        <v>328</v>
      </c>
      <c r="BB513" s="1" t="s">
        <v>4775</v>
      </c>
      <c r="BC513" s="1" t="s">
        <v>4769</v>
      </c>
      <c r="BD513" s="1">
        <v>0</v>
      </c>
      <c r="BE513" s="1"/>
      <c r="BH513">
        <f>COUNTIF(Dropdowns!$I:$AF,C513)</f>
        <v>1</v>
      </c>
    </row>
    <row r="514" spans="1:60" x14ac:dyDescent="0.3">
      <c r="A514" s="1">
        <v>20063</v>
      </c>
      <c r="B514" s="1" t="s">
        <v>4322</v>
      </c>
      <c r="C514" s="207" t="s">
        <v>1427</v>
      </c>
      <c r="D514" s="1" t="s">
        <v>1427</v>
      </c>
      <c r="E514" s="1"/>
      <c r="F514" s="1"/>
      <c r="G514" s="1" t="s">
        <v>4323</v>
      </c>
      <c r="H514" s="1" t="s">
        <v>4324</v>
      </c>
      <c r="I514" s="1" t="s">
        <v>4325</v>
      </c>
      <c r="J514" s="1">
        <v>4</v>
      </c>
      <c r="K514" s="1">
        <v>4</v>
      </c>
      <c r="L514" s="1">
        <v>10200</v>
      </c>
      <c r="M514" s="1">
        <v>20</v>
      </c>
      <c r="N514" s="1">
        <v>20</v>
      </c>
      <c r="O514" s="1">
        <v>10</v>
      </c>
      <c r="P514" s="1">
        <v>10</v>
      </c>
      <c r="Q514" s="1">
        <v>2</v>
      </c>
      <c r="R514" s="1">
        <v>5</v>
      </c>
      <c r="S514" s="1">
        <v>5</v>
      </c>
      <c r="T514" s="1">
        <v>0</v>
      </c>
      <c r="U514" s="1">
        <v>100</v>
      </c>
      <c r="V514" s="1">
        <v>125</v>
      </c>
      <c r="W514" s="1">
        <v>95</v>
      </c>
      <c r="X514" s="1">
        <v>100</v>
      </c>
      <c r="Y514" s="1">
        <v>125</v>
      </c>
      <c r="Z514" s="1">
        <v>90</v>
      </c>
      <c r="AA514" s="1">
        <v>0</v>
      </c>
      <c r="AB514" s="1">
        <v>15</v>
      </c>
      <c r="AC514" s="1">
        <v>20</v>
      </c>
      <c r="AD514" s="1">
        <v>0</v>
      </c>
      <c r="AE514" s="1">
        <v>120</v>
      </c>
      <c r="AF514" s="1">
        <v>110</v>
      </c>
      <c r="AG514" s="1">
        <v>801302</v>
      </c>
      <c r="AH514" s="1">
        <v>801303</v>
      </c>
      <c r="AI514" s="1">
        <v>300103</v>
      </c>
      <c r="AJ514" s="1" t="s">
        <v>1428</v>
      </c>
      <c r="AK514" s="1" t="s">
        <v>328</v>
      </c>
      <c r="AL514" s="1">
        <v>13</v>
      </c>
      <c r="AM514" s="1" t="s">
        <v>4719</v>
      </c>
      <c r="AN514" s="1" t="s">
        <v>450</v>
      </c>
      <c r="AO514" s="1" t="s">
        <v>5429</v>
      </c>
      <c r="AP514" s="1">
        <v>0</v>
      </c>
      <c r="AQ514" s="1" t="s">
        <v>1745</v>
      </c>
      <c r="AR514" s="1" t="s">
        <v>1154</v>
      </c>
      <c r="AS514" s="1" t="s">
        <v>1129</v>
      </c>
      <c r="AT514" s="1" t="s">
        <v>328</v>
      </c>
      <c r="AU514" s="1">
        <v>63</v>
      </c>
      <c r="AV514" s="1">
        <v>0</v>
      </c>
      <c r="AW514" s="1" t="s">
        <v>4492</v>
      </c>
      <c r="AX514" s="1" t="s">
        <v>5416</v>
      </c>
      <c r="AY514" s="1">
        <v>4</v>
      </c>
      <c r="AZ514" s="1">
        <v>3063</v>
      </c>
      <c r="BA514" s="1" t="s">
        <v>328</v>
      </c>
      <c r="BB514" s="1" t="s">
        <v>4883</v>
      </c>
      <c r="BC514" s="1" t="s">
        <v>4769</v>
      </c>
      <c r="BD514" s="1">
        <v>0</v>
      </c>
      <c r="BE514" s="1"/>
      <c r="BH514">
        <f>COUNTIF(Dropdowns!$I:$AF,C514)</f>
        <v>1</v>
      </c>
    </row>
    <row r="515" spans="1:60" x14ac:dyDescent="0.3">
      <c r="A515" s="1">
        <v>20064</v>
      </c>
      <c r="B515" s="1" t="s">
        <v>4326</v>
      </c>
      <c r="C515" s="207" t="s">
        <v>1429</v>
      </c>
      <c r="D515" s="1" t="s">
        <v>1429</v>
      </c>
      <c r="E515" s="1"/>
      <c r="F515" s="1"/>
      <c r="G515" s="1" t="s">
        <v>4327</v>
      </c>
      <c r="H515" s="1" t="s">
        <v>4328</v>
      </c>
      <c r="I515" s="1" t="s">
        <v>4329</v>
      </c>
      <c r="J515" s="1">
        <v>4</v>
      </c>
      <c r="K515" s="1">
        <v>5</v>
      </c>
      <c r="L515" s="1">
        <v>13200</v>
      </c>
      <c r="M515" s="1">
        <v>20</v>
      </c>
      <c r="N515" s="1">
        <v>20</v>
      </c>
      <c r="O515" s="1">
        <v>10</v>
      </c>
      <c r="P515" s="1">
        <v>10</v>
      </c>
      <c r="Q515" s="1">
        <v>2</v>
      </c>
      <c r="R515" s="1">
        <v>5</v>
      </c>
      <c r="S515" s="1">
        <v>5</v>
      </c>
      <c r="T515" s="1">
        <v>0</v>
      </c>
      <c r="U515" s="1">
        <v>115</v>
      </c>
      <c r="V515" s="1">
        <v>114</v>
      </c>
      <c r="W515" s="1">
        <v>114</v>
      </c>
      <c r="X515" s="1">
        <v>100</v>
      </c>
      <c r="Y515" s="1">
        <v>120</v>
      </c>
      <c r="Z515" s="1">
        <v>110</v>
      </c>
      <c r="AA515" s="1">
        <v>0</v>
      </c>
      <c r="AB515" s="1">
        <v>15</v>
      </c>
      <c r="AC515" s="1">
        <v>20</v>
      </c>
      <c r="AD515" s="1">
        <v>0</v>
      </c>
      <c r="AE515" s="1">
        <v>110</v>
      </c>
      <c r="AF515" s="1">
        <v>100</v>
      </c>
      <c r="AG515" s="1">
        <v>802101</v>
      </c>
      <c r="AH515" s="1">
        <v>802102</v>
      </c>
      <c r="AI515" s="1">
        <v>300103</v>
      </c>
      <c r="AJ515" s="1" t="s">
        <v>328</v>
      </c>
      <c r="AK515" s="1" t="s">
        <v>1430</v>
      </c>
      <c r="AL515" s="1">
        <v>13</v>
      </c>
      <c r="AM515" s="1" t="s">
        <v>4719</v>
      </c>
      <c r="AN515" s="1" t="s">
        <v>4884</v>
      </c>
      <c r="AO515" s="1" t="s">
        <v>5430</v>
      </c>
      <c r="AP515" s="1">
        <v>0</v>
      </c>
      <c r="AQ515" s="1" t="s">
        <v>1745</v>
      </c>
      <c r="AR515" s="1" t="s">
        <v>1154</v>
      </c>
      <c r="AS515" s="1" t="s">
        <v>1129</v>
      </c>
      <c r="AT515" s="1" t="s">
        <v>328</v>
      </c>
      <c r="AU515" s="1">
        <v>64</v>
      </c>
      <c r="AV515" s="1">
        <v>0</v>
      </c>
      <c r="AW515" s="1" t="s">
        <v>4492</v>
      </c>
      <c r="AX515" s="1" t="s">
        <v>5416</v>
      </c>
      <c r="AY515" s="1">
        <v>5</v>
      </c>
      <c r="AZ515" s="1">
        <v>3064</v>
      </c>
      <c r="BA515" s="1" t="s">
        <v>328</v>
      </c>
      <c r="BB515" s="1" t="s">
        <v>4886</v>
      </c>
      <c r="BC515" s="1" t="s">
        <v>4769</v>
      </c>
      <c r="BD515" s="1">
        <v>0</v>
      </c>
      <c r="BE515" s="1"/>
      <c r="BH515">
        <f>COUNTIF(Dropdowns!$I:$AF,C515)</f>
        <v>1</v>
      </c>
    </row>
    <row r="516" spans="1:60" x14ac:dyDescent="0.3">
      <c r="A516" s="1">
        <v>20065</v>
      </c>
      <c r="B516" s="1" t="s">
        <v>4330</v>
      </c>
      <c r="C516" s="207" t="s">
        <v>258</v>
      </c>
      <c r="D516" s="1" t="s">
        <v>258</v>
      </c>
      <c r="E516" s="1"/>
      <c r="F516" s="1"/>
      <c r="G516" s="1" t="s">
        <v>4331</v>
      </c>
      <c r="H516" s="1" t="s">
        <v>4332</v>
      </c>
      <c r="I516" s="1" t="s">
        <v>4333</v>
      </c>
      <c r="J516" s="1">
        <v>4</v>
      </c>
      <c r="K516" s="1">
        <v>6</v>
      </c>
      <c r="L516" s="1">
        <v>14100</v>
      </c>
      <c r="M516" s="1">
        <v>20</v>
      </c>
      <c r="N516" s="1">
        <v>20</v>
      </c>
      <c r="O516" s="1">
        <v>10</v>
      </c>
      <c r="P516" s="1">
        <v>10</v>
      </c>
      <c r="Q516" s="1">
        <v>2</v>
      </c>
      <c r="R516" s="1">
        <v>5</v>
      </c>
      <c r="S516" s="1">
        <v>5</v>
      </c>
      <c r="T516" s="1">
        <v>0</v>
      </c>
      <c r="U516" s="1">
        <v>110</v>
      </c>
      <c r="V516" s="1">
        <v>118</v>
      </c>
      <c r="W516" s="1">
        <v>116</v>
      </c>
      <c r="X516" s="1">
        <v>100</v>
      </c>
      <c r="Y516" s="1">
        <v>120</v>
      </c>
      <c r="Z516" s="1">
        <v>110</v>
      </c>
      <c r="AA516" s="1">
        <v>0</v>
      </c>
      <c r="AB516" s="1">
        <v>15</v>
      </c>
      <c r="AC516" s="1">
        <v>20</v>
      </c>
      <c r="AD516" s="1">
        <v>0</v>
      </c>
      <c r="AE516" s="1">
        <v>118</v>
      </c>
      <c r="AF516" s="1">
        <v>100</v>
      </c>
      <c r="AG516" s="1">
        <v>802901</v>
      </c>
      <c r="AH516" s="1">
        <v>802902</v>
      </c>
      <c r="AI516" s="1">
        <v>300103</v>
      </c>
      <c r="AJ516" s="1" t="s">
        <v>1431</v>
      </c>
      <c r="AK516" s="1" t="s">
        <v>328</v>
      </c>
      <c r="AL516" s="1">
        <v>13</v>
      </c>
      <c r="AM516" s="1" t="s">
        <v>4719</v>
      </c>
      <c r="AN516" s="1" t="s">
        <v>4829</v>
      </c>
      <c r="AO516" s="1" t="s">
        <v>5431</v>
      </c>
      <c r="AP516" s="1">
        <v>0</v>
      </c>
      <c r="AQ516" s="1" t="s">
        <v>1745</v>
      </c>
      <c r="AR516" s="1" t="s">
        <v>1154</v>
      </c>
      <c r="AS516" s="1" t="s">
        <v>1744</v>
      </c>
      <c r="AT516" s="1" t="s">
        <v>328</v>
      </c>
      <c r="AU516" s="1">
        <v>65</v>
      </c>
      <c r="AV516" s="1">
        <v>0</v>
      </c>
      <c r="AW516" s="1" t="s">
        <v>4492</v>
      </c>
      <c r="AX516" s="1" t="s">
        <v>5416</v>
      </c>
      <c r="AY516" s="1">
        <v>6</v>
      </c>
      <c r="AZ516" s="1">
        <v>3065</v>
      </c>
      <c r="BA516" s="1" t="s">
        <v>328</v>
      </c>
      <c r="BB516" s="1" t="s">
        <v>4888</v>
      </c>
      <c r="BC516" s="1" t="s">
        <v>4889</v>
      </c>
      <c r="BD516" s="1">
        <v>0</v>
      </c>
      <c r="BE516" s="1"/>
      <c r="BH516">
        <f>COUNTIF(Dropdowns!$I:$AF,C516)</f>
        <v>1</v>
      </c>
    </row>
    <row r="517" spans="1:60" x14ac:dyDescent="0.3">
      <c r="A517" s="1">
        <v>20071</v>
      </c>
      <c r="B517" s="1" t="s">
        <v>4334</v>
      </c>
      <c r="C517" s="207" t="s">
        <v>831</v>
      </c>
      <c r="D517" s="1" t="s">
        <v>4335</v>
      </c>
      <c r="E517" s="1"/>
      <c r="F517" s="1"/>
      <c r="G517" s="1" t="s">
        <v>4336</v>
      </c>
      <c r="H517" s="1" t="s">
        <v>4337</v>
      </c>
      <c r="I517" s="1" t="s">
        <v>4338</v>
      </c>
      <c r="J517" s="1">
        <v>4</v>
      </c>
      <c r="K517" s="1">
        <v>4</v>
      </c>
      <c r="L517" s="1">
        <v>9600</v>
      </c>
      <c r="M517" s="1">
        <v>20</v>
      </c>
      <c r="N517" s="1">
        <v>20</v>
      </c>
      <c r="O517" s="1">
        <v>10</v>
      </c>
      <c r="P517" s="1">
        <v>10</v>
      </c>
      <c r="Q517" s="1">
        <v>2</v>
      </c>
      <c r="R517" s="1">
        <v>5</v>
      </c>
      <c r="S517" s="1">
        <v>5</v>
      </c>
      <c r="T517" s="1">
        <v>0</v>
      </c>
      <c r="U517" s="1">
        <v>112</v>
      </c>
      <c r="V517" s="1">
        <v>108</v>
      </c>
      <c r="W517" s="1">
        <v>95</v>
      </c>
      <c r="X517" s="1">
        <v>100</v>
      </c>
      <c r="Y517" s="1">
        <v>105</v>
      </c>
      <c r="Z517" s="1">
        <v>95</v>
      </c>
      <c r="AA517" s="1">
        <v>0</v>
      </c>
      <c r="AB517" s="1">
        <v>15</v>
      </c>
      <c r="AC517" s="1">
        <v>20</v>
      </c>
      <c r="AD517" s="1">
        <v>0</v>
      </c>
      <c r="AE517" s="1">
        <v>130</v>
      </c>
      <c r="AF517" s="1">
        <v>105</v>
      </c>
      <c r="AG517" s="1">
        <v>902130</v>
      </c>
      <c r="AH517" s="1">
        <v>902132</v>
      </c>
      <c r="AI517" s="1">
        <v>902131</v>
      </c>
      <c r="AJ517" s="1" t="s">
        <v>328</v>
      </c>
      <c r="AK517" s="1" t="s">
        <v>1432</v>
      </c>
      <c r="AL517" s="1">
        <v>13</v>
      </c>
      <c r="AM517" s="1" t="s">
        <v>398</v>
      </c>
      <c r="AN517" s="1" t="s">
        <v>5432</v>
      </c>
      <c r="AO517" s="1" t="s">
        <v>5433</v>
      </c>
      <c r="AP517" s="1">
        <v>0</v>
      </c>
      <c r="AQ517" s="1" t="s">
        <v>1130</v>
      </c>
      <c r="AR517" s="1" t="s">
        <v>1154</v>
      </c>
      <c r="AS517" s="1" t="s">
        <v>1744</v>
      </c>
      <c r="AT517" s="1" t="s">
        <v>328</v>
      </c>
      <c r="AU517" s="1">
        <v>71</v>
      </c>
      <c r="AV517" s="1">
        <v>0</v>
      </c>
      <c r="AW517" s="1" t="s">
        <v>4492</v>
      </c>
      <c r="AX517" s="1" t="s">
        <v>5416</v>
      </c>
      <c r="AY517" s="1">
        <v>4</v>
      </c>
      <c r="AZ517" s="1">
        <v>3071</v>
      </c>
      <c r="BA517" s="1" t="s">
        <v>328</v>
      </c>
      <c r="BB517" s="1" t="s">
        <v>4899</v>
      </c>
      <c r="BC517" s="1" t="s">
        <v>328</v>
      </c>
      <c r="BD517" s="1">
        <v>0</v>
      </c>
      <c r="BE517" s="1"/>
      <c r="BH517">
        <f>COUNTIF(Dropdowns!$I:$AF,C517)</f>
        <v>1</v>
      </c>
    </row>
    <row r="518" spans="1:60" x14ac:dyDescent="0.3">
      <c r="A518" s="1">
        <v>20075</v>
      </c>
      <c r="B518" s="1" t="s">
        <v>4339</v>
      </c>
      <c r="C518" s="207" t="s">
        <v>259</v>
      </c>
      <c r="D518" s="1" t="s">
        <v>259</v>
      </c>
      <c r="E518" s="1"/>
      <c r="F518" s="1"/>
      <c r="G518" s="1" t="s">
        <v>4340</v>
      </c>
      <c r="H518" s="1" t="s">
        <v>4341</v>
      </c>
      <c r="I518" s="1" t="s">
        <v>4342</v>
      </c>
      <c r="J518" s="1">
        <v>5</v>
      </c>
      <c r="K518" s="1">
        <v>5</v>
      </c>
      <c r="L518" s="1">
        <v>23100</v>
      </c>
      <c r="M518" s="1">
        <v>40</v>
      </c>
      <c r="N518" s="1">
        <v>30</v>
      </c>
      <c r="O518" s="1">
        <v>25</v>
      </c>
      <c r="P518" s="1">
        <v>15</v>
      </c>
      <c r="Q518" s="1">
        <v>5</v>
      </c>
      <c r="R518" s="1">
        <v>5</v>
      </c>
      <c r="S518" s="1">
        <v>2</v>
      </c>
      <c r="T518" s="1">
        <v>5</v>
      </c>
      <c r="U518" s="1">
        <v>95</v>
      </c>
      <c r="V518" s="1">
        <v>118</v>
      </c>
      <c r="W518" s="1">
        <v>105</v>
      </c>
      <c r="X518" s="1">
        <v>100</v>
      </c>
      <c r="Y518" s="1">
        <v>125</v>
      </c>
      <c r="Z518" s="1">
        <v>125</v>
      </c>
      <c r="AA518" s="1">
        <v>0</v>
      </c>
      <c r="AB518" s="1">
        <v>15</v>
      </c>
      <c r="AC518" s="1">
        <v>5</v>
      </c>
      <c r="AD518" s="1">
        <v>8</v>
      </c>
      <c r="AE518" s="1">
        <v>125</v>
      </c>
      <c r="AF518" s="1">
        <v>120</v>
      </c>
      <c r="AG518" s="1">
        <v>800303</v>
      </c>
      <c r="AH518" s="1">
        <v>800304</v>
      </c>
      <c r="AI518" s="1">
        <v>300105</v>
      </c>
      <c r="AJ518" s="1" t="s">
        <v>1433</v>
      </c>
      <c r="AK518" s="1" t="s">
        <v>1434</v>
      </c>
      <c r="AL518" s="1">
        <v>18</v>
      </c>
      <c r="AM518" s="1" t="s">
        <v>4858</v>
      </c>
      <c r="AN518" s="1" t="s">
        <v>4909</v>
      </c>
      <c r="AO518" s="1" t="s">
        <v>5434</v>
      </c>
      <c r="AP518" s="1">
        <v>0</v>
      </c>
      <c r="AQ518" s="1" t="s">
        <v>1167</v>
      </c>
      <c r="AR518" s="1" t="s">
        <v>4911</v>
      </c>
      <c r="AS518" s="1" t="s">
        <v>4912</v>
      </c>
      <c r="AT518" s="1" t="s">
        <v>328</v>
      </c>
      <c r="AU518" s="1">
        <v>75</v>
      </c>
      <c r="AV518" s="1">
        <v>0</v>
      </c>
      <c r="AW518" s="1" t="s">
        <v>4492</v>
      </c>
      <c r="AX518" s="1" t="s">
        <v>5416</v>
      </c>
      <c r="AY518" s="1">
        <v>5</v>
      </c>
      <c r="AZ518" s="1">
        <v>3075</v>
      </c>
      <c r="BA518" s="1" t="s">
        <v>328</v>
      </c>
      <c r="BB518" s="1" t="s">
        <v>4913</v>
      </c>
      <c r="BC518" s="1" t="s">
        <v>4720</v>
      </c>
      <c r="BD518" s="1">
        <v>0</v>
      </c>
      <c r="BE518" s="1"/>
      <c r="BH518">
        <f>COUNTIF(Dropdowns!$I:$AF,C518)</f>
        <v>1</v>
      </c>
    </row>
    <row r="519" spans="1:60" x14ac:dyDescent="0.3">
      <c r="A519" s="1">
        <v>20081</v>
      </c>
      <c r="B519" s="1" t="s">
        <v>4343</v>
      </c>
      <c r="C519" s="207" t="s">
        <v>260</v>
      </c>
      <c r="D519" s="1" t="s">
        <v>260</v>
      </c>
      <c r="E519" s="1"/>
      <c r="F519" s="1"/>
      <c r="G519" s="1" t="s">
        <v>4344</v>
      </c>
      <c r="H519" s="1" t="s">
        <v>4345</v>
      </c>
      <c r="I519" s="1" t="s">
        <v>4346</v>
      </c>
      <c r="J519" s="1">
        <v>5</v>
      </c>
      <c r="K519" s="1">
        <v>4</v>
      </c>
      <c r="L519" s="1">
        <v>18600</v>
      </c>
      <c r="M519" s="1">
        <v>40</v>
      </c>
      <c r="N519" s="1">
        <v>30</v>
      </c>
      <c r="O519" s="1">
        <v>25</v>
      </c>
      <c r="P519" s="1">
        <v>15</v>
      </c>
      <c r="Q519" s="1">
        <v>5</v>
      </c>
      <c r="R519" s="1">
        <v>5</v>
      </c>
      <c r="S519" s="1">
        <v>2</v>
      </c>
      <c r="T519" s="1">
        <v>5</v>
      </c>
      <c r="U519" s="1">
        <v>105</v>
      </c>
      <c r="V519" s="1">
        <v>138</v>
      </c>
      <c r="W519" s="1">
        <v>90</v>
      </c>
      <c r="X519" s="1">
        <v>100</v>
      </c>
      <c r="Y519" s="1">
        <v>120</v>
      </c>
      <c r="Z519" s="1">
        <v>105</v>
      </c>
      <c r="AA519" s="1">
        <v>0</v>
      </c>
      <c r="AB519" s="1">
        <v>15</v>
      </c>
      <c r="AC519" s="1">
        <v>5</v>
      </c>
      <c r="AD519" s="1">
        <v>10</v>
      </c>
      <c r="AE519" s="1">
        <v>100</v>
      </c>
      <c r="AF519" s="1">
        <v>100</v>
      </c>
      <c r="AG519" s="1">
        <v>802201</v>
      </c>
      <c r="AH519" s="1">
        <v>802203</v>
      </c>
      <c r="AI519" s="1">
        <v>802202</v>
      </c>
      <c r="AJ519" s="1" t="s">
        <v>1435</v>
      </c>
      <c r="AK519" s="1" t="s">
        <v>1436</v>
      </c>
      <c r="AL519" s="1">
        <v>18</v>
      </c>
      <c r="AM519" s="1" t="s">
        <v>4858</v>
      </c>
      <c r="AN519" s="1" t="s">
        <v>4909</v>
      </c>
      <c r="AO519" s="1" t="s">
        <v>5435</v>
      </c>
      <c r="AP519" s="1">
        <v>0</v>
      </c>
      <c r="AQ519" s="1" t="s">
        <v>1167</v>
      </c>
      <c r="AR519" s="1" t="s">
        <v>4911</v>
      </c>
      <c r="AS519" s="1" t="s">
        <v>1169</v>
      </c>
      <c r="AT519" s="1" t="s">
        <v>328</v>
      </c>
      <c r="AU519" s="1">
        <v>81</v>
      </c>
      <c r="AV519" s="1">
        <v>0</v>
      </c>
      <c r="AW519" s="1" t="s">
        <v>4492</v>
      </c>
      <c r="AX519" s="1" t="s">
        <v>5416</v>
      </c>
      <c r="AY519" s="1">
        <v>4</v>
      </c>
      <c r="AZ519" s="1">
        <v>3081</v>
      </c>
      <c r="BA519" s="1" t="s">
        <v>328</v>
      </c>
      <c r="BB519" s="1" t="s">
        <v>4927</v>
      </c>
      <c r="BC519" s="1" t="s">
        <v>4720</v>
      </c>
      <c r="BD519" s="1">
        <v>0</v>
      </c>
      <c r="BE519" s="1"/>
      <c r="BH519">
        <f>COUNTIF(Dropdowns!$I:$AF,C519)</f>
        <v>1</v>
      </c>
    </row>
    <row r="520" spans="1:60" x14ac:dyDescent="0.3">
      <c r="A520" s="1">
        <v>20088</v>
      </c>
      <c r="B520" s="1" t="s">
        <v>6469</v>
      </c>
      <c r="C520" s="207" t="s">
        <v>6470</v>
      </c>
      <c r="D520" s="1" t="s">
        <v>6470</v>
      </c>
      <c r="E520" s="1"/>
      <c r="F520" s="1"/>
      <c r="G520" s="1" t="s">
        <v>6471</v>
      </c>
      <c r="H520" s="1" t="s">
        <v>6472</v>
      </c>
      <c r="I520" s="1" t="s">
        <v>6473</v>
      </c>
      <c r="J520" s="1">
        <v>5</v>
      </c>
      <c r="K520" s="1">
        <v>5</v>
      </c>
      <c r="L520" s="1">
        <v>23400</v>
      </c>
      <c r="M520" s="1">
        <v>40</v>
      </c>
      <c r="N520" s="1">
        <v>30</v>
      </c>
      <c r="O520" s="1">
        <v>25</v>
      </c>
      <c r="P520" s="1">
        <v>15</v>
      </c>
      <c r="Q520" s="1">
        <v>5</v>
      </c>
      <c r="R520" s="1">
        <v>5</v>
      </c>
      <c r="S520" s="1">
        <v>2</v>
      </c>
      <c r="T520" s="1">
        <v>5</v>
      </c>
      <c r="U520" s="1">
        <v>120</v>
      </c>
      <c r="V520" s="1">
        <v>115</v>
      </c>
      <c r="W520" s="1">
        <v>125</v>
      </c>
      <c r="X520" s="1">
        <v>100</v>
      </c>
      <c r="Y520" s="1">
        <v>110</v>
      </c>
      <c r="Z520" s="1">
        <v>95</v>
      </c>
      <c r="AA520" s="1">
        <v>0</v>
      </c>
      <c r="AB520" s="1">
        <v>15</v>
      </c>
      <c r="AC520" s="1">
        <v>5</v>
      </c>
      <c r="AD520" s="1">
        <v>10</v>
      </c>
      <c r="AE520" s="1">
        <v>110</v>
      </c>
      <c r="AF520" s="1">
        <v>100</v>
      </c>
      <c r="AG520" s="1">
        <v>740025</v>
      </c>
      <c r="AH520" s="1">
        <v>740027</v>
      </c>
      <c r="AI520" s="1">
        <v>740030</v>
      </c>
      <c r="AJ520" s="1" t="s">
        <v>6460</v>
      </c>
      <c r="AK520" s="1" t="s">
        <v>6474</v>
      </c>
      <c r="AL520" s="1">
        <v>18</v>
      </c>
      <c r="AM520" s="1" t="s">
        <v>4858</v>
      </c>
      <c r="AN520" s="1" t="s">
        <v>4984</v>
      </c>
      <c r="AO520" s="1" t="s">
        <v>5267</v>
      </c>
      <c r="AP520" s="1">
        <v>0</v>
      </c>
      <c r="AQ520" s="1" t="s">
        <v>1167</v>
      </c>
      <c r="AR520" s="1" t="s">
        <v>4911</v>
      </c>
      <c r="AS520" s="1" t="s">
        <v>4912</v>
      </c>
      <c r="AT520" s="1" t="s">
        <v>328</v>
      </c>
      <c r="AU520" s="1">
        <v>88</v>
      </c>
      <c r="AV520" s="1">
        <v>0</v>
      </c>
      <c r="AW520" s="1" t="s">
        <v>4492</v>
      </c>
      <c r="AX520" s="1" t="s">
        <v>5416</v>
      </c>
      <c r="AY520" s="1">
        <v>5</v>
      </c>
      <c r="AZ520" s="1">
        <v>3088</v>
      </c>
      <c r="BA520" s="1" t="s">
        <v>328</v>
      </c>
      <c r="BB520" s="1" t="s">
        <v>4943</v>
      </c>
      <c r="BC520" s="1" t="s">
        <v>4769</v>
      </c>
      <c r="BD520" s="1">
        <v>0</v>
      </c>
      <c r="BE520" s="1"/>
      <c r="BH520">
        <f>COUNTIF(Dropdowns!$I:$AF,C520)</f>
        <v>1</v>
      </c>
    </row>
    <row r="521" spans="1:60" x14ac:dyDescent="0.3">
      <c r="A521" s="1">
        <v>20089</v>
      </c>
      <c r="B521" s="1" t="s">
        <v>4347</v>
      </c>
      <c r="C521" s="207" t="s">
        <v>743</v>
      </c>
      <c r="D521" s="1" t="s">
        <v>4348</v>
      </c>
      <c r="E521" s="1"/>
      <c r="F521" s="1"/>
      <c r="G521" s="1" t="s">
        <v>4349</v>
      </c>
      <c r="H521" s="1" t="s">
        <v>4350</v>
      </c>
      <c r="I521" s="1" t="s">
        <v>4351</v>
      </c>
      <c r="J521" s="1">
        <v>5</v>
      </c>
      <c r="K521" s="1">
        <v>4</v>
      </c>
      <c r="L521" s="1">
        <v>19200</v>
      </c>
      <c r="M521" s="1">
        <v>40</v>
      </c>
      <c r="N521" s="1">
        <v>30</v>
      </c>
      <c r="O521" s="1">
        <v>25</v>
      </c>
      <c r="P521" s="1">
        <v>15</v>
      </c>
      <c r="Q521" s="1">
        <v>5</v>
      </c>
      <c r="R521" s="1">
        <v>5</v>
      </c>
      <c r="S521" s="1">
        <v>2</v>
      </c>
      <c r="T521" s="1">
        <v>5</v>
      </c>
      <c r="U521" s="1">
        <v>105</v>
      </c>
      <c r="V521" s="1">
        <v>115</v>
      </c>
      <c r="W521" s="1">
        <v>95</v>
      </c>
      <c r="X521" s="1">
        <v>100</v>
      </c>
      <c r="Y521" s="1">
        <v>130</v>
      </c>
      <c r="Z521" s="1">
        <v>110</v>
      </c>
      <c r="AA521" s="1">
        <v>0</v>
      </c>
      <c r="AB521" s="1">
        <v>15</v>
      </c>
      <c r="AC521" s="1">
        <v>5</v>
      </c>
      <c r="AD521" s="1">
        <v>8</v>
      </c>
      <c r="AE521" s="1">
        <v>120</v>
      </c>
      <c r="AF521" s="1">
        <v>85</v>
      </c>
      <c r="AG521" s="1">
        <v>801501</v>
      </c>
      <c r="AH521" s="1">
        <v>801502</v>
      </c>
      <c r="AI521" s="1">
        <v>300105</v>
      </c>
      <c r="AJ521" s="1" t="s">
        <v>1296</v>
      </c>
      <c r="AK521" s="1" t="s">
        <v>328</v>
      </c>
      <c r="AL521" s="1">
        <v>17</v>
      </c>
      <c r="AM521" s="1" t="s">
        <v>4858</v>
      </c>
      <c r="AN521" s="1" t="s">
        <v>4916</v>
      </c>
      <c r="AO521" s="1" t="s">
        <v>5436</v>
      </c>
      <c r="AP521" s="1">
        <v>0</v>
      </c>
      <c r="AQ521" s="1" t="s">
        <v>1167</v>
      </c>
      <c r="AR521" s="1" t="s">
        <v>4911</v>
      </c>
      <c r="AS521" s="1" t="s">
        <v>1169</v>
      </c>
      <c r="AT521" s="1" t="s">
        <v>328</v>
      </c>
      <c r="AU521" s="1">
        <v>89</v>
      </c>
      <c r="AV521" s="1">
        <v>0</v>
      </c>
      <c r="AW521" s="1" t="s">
        <v>4492</v>
      </c>
      <c r="AX521" s="1" t="s">
        <v>5416</v>
      </c>
      <c r="AY521" s="1">
        <v>4</v>
      </c>
      <c r="AZ521" s="1">
        <v>3089</v>
      </c>
      <c r="BA521" s="1" t="s">
        <v>328</v>
      </c>
      <c r="BB521" s="1" t="s">
        <v>4945</v>
      </c>
      <c r="BC521" s="1" t="s">
        <v>328</v>
      </c>
      <c r="BD521" s="1">
        <v>0</v>
      </c>
      <c r="BE521" s="1"/>
      <c r="BH521">
        <f>COUNTIF(Dropdowns!$I:$AF,C521)</f>
        <v>1</v>
      </c>
    </row>
    <row r="522" spans="1:60" x14ac:dyDescent="0.3">
      <c r="A522" s="1">
        <v>20091</v>
      </c>
      <c r="B522" s="1" t="s">
        <v>4352</v>
      </c>
      <c r="C522" s="207" t="s">
        <v>1683</v>
      </c>
      <c r="D522" s="1" t="s">
        <v>1683</v>
      </c>
      <c r="E522" s="1"/>
      <c r="F522" s="1"/>
      <c r="G522" s="1" t="s">
        <v>4353</v>
      </c>
      <c r="H522" s="1" t="s">
        <v>4354</v>
      </c>
      <c r="I522" s="1" t="s">
        <v>4355</v>
      </c>
      <c r="J522" s="1">
        <v>1</v>
      </c>
      <c r="K522" s="1">
        <v>4</v>
      </c>
      <c r="L522" s="1">
        <v>1500</v>
      </c>
      <c r="M522" s="1">
        <v>10</v>
      </c>
      <c r="N522" s="1">
        <v>10</v>
      </c>
      <c r="O522" s="1">
        <v>5</v>
      </c>
      <c r="P522" s="1">
        <v>5</v>
      </c>
      <c r="Q522" s="1">
        <v>2</v>
      </c>
      <c r="R522" s="1">
        <v>2</v>
      </c>
      <c r="S522" s="1">
        <v>2</v>
      </c>
      <c r="T522" s="1">
        <v>0</v>
      </c>
      <c r="U522" s="1">
        <v>100</v>
      </c>
      <c r="V522" s="1">
        <v>105</v>
      </c>
      <c r="W522" s="1">
        <v>110</v>
      </c>
      <c r="X522" s="1">
        <v>100</v>
      </c>
      <c r="Y522" s="1">
        <v>110</v>
      </c>
      <c r="Z522" s="1">
        <v>102</v>
      </c>
      <c r="AA522" s="1">
        <v>0</v>
      </c>
      <c r="AB522" s="1">
        <v>15</v>
      </c>
      <c r="AC522" s="1">
        <v>20</v>
      </c>
      <c r="AD522" s="1">
        <v>0</v>
      </c>
      <c r="AE522" s="1">
        <v>120</v>
      </c>
      <c r="AF522" s="1">
        <v>100</v>
      </c>
      <c r="AG522" s="1">
        <v>800401</v>
      </c>
      <c r="AH522" s="1">
        <v>800402</v>
      </c>
      <c r="AI522" s="1">
        <v>300101</v>
      </c>
      <c r="AJ522" s="1" t="s">
        <v>1437</v>
      </c>
      <c r="AK522" s="1" t="s">
        <v>328</v>
      </c>
      <c r="AL522" s="1">
        <v>13</v>
      </c>
      <c r="AM522" s="1" t="s">
        <v>1806</v>
      </c>
      <c r="AN522" s="1" t="s">
        <v>4947</v>
      </c>
      <c r="AO522" s="1" t="s">
        <v>4824</v>
      </c>
      <c r="AP522" s="1">
        <v>0</v>
      </c>
      <c r="AQ522" s="1" t="s">
        <v>4742</v>
      </c>
      <c r="AR522" s="1" t="s">
        <v>1119</v>
      </c>
      <c r="AS522" s="1" t="s">
        <v>1120</v>
      </c>
      <c r="AT522" s="1" t="s">
        <v>328</v>
      </c>
      <c r="AU522" s="1">
        <v>91</v>
      </c>
      <c r="AV522" s="1">
        <v>0</v>
      </c>
      <c r="AW522" s="1" t="s">
        <v>4492</v>
      </c>
      <c r="AX522" s="1" t="s">
        <v>5416</v>
      </c>
      <c r="AY522" s="1">
        <v>4</v>
      </c>
      <c r="AZ522" s="1">
        <v>3091</v>
      </c>
      <c r="BA522" s="1" t="s">
        <v>328</v>
      </c>
      <c r="BB522" s="1" t="s">
        <v>413</v>
      </c>
      <c r="BC522" s="1" t="s">
        <v>4757</v>
      </c>
      <c r="BD522" s="1">
        <v>0</v>
      </c>
      <c r="BE522" s="1"/>
      <c r="BH522">
        <f>COUNTIF(Dropdowns!$I:$AF,C522)</f>
        <v>0</v>
      </c>
    </row>
    <row r="523" spans="1:60" x14ac:dyDescent="0.3">
      <c r="A523" s="1">
        <v>20093</v>
      </c>
      <c r="B523" s="1" t="s">
        <v>4356</v>
      </c>
      <c r="C523" s="207" t="s">
        <v>261</v>
      </c>
      <c r="D523" s="1" t="s">
        <v>261</v>
      </c>
      <c r="E523" s="1"/>
      <c r="F523" s="1"/>
      <c r="G523" s="1" t="s">
        <v>4357</v>
      </c>
      <c r="H523" s="1" t="s">
        <v>4358</v>
      </c>
      <c r="I523" s="1" t="s">
        <v>4359</v>
      </c>
      <c r="J523" s="1">
        <v>2</v>
      </c>
      <c r="K523" s="1">
        <v>4</v>
      </c>
      <c r="L523" s="1">
        <v>4200</v>
      </c>
      <c r="M523" s="1">
        <v>25</v>
      </c>
      <c r="N523" s="1">
        <v>20</v>
      </c>
      <c r="O523" s="1">
        <v>15</v>
      </c>
      <c r="P523" s="1">
        <v>10</v>
      </c>
      <c r="Q523" s="1">
        <v>5</v>
      </c>
      <c r="R523" s="1">
        <v>5</v>
      </c>
      <c r="S523" s="1">
        <v>2</v>
      </c>
      <c r="T523" s="1">
        <v>0</v>
      </c>
      <c r="U523" s="1">
        <v>85</v>
      </c>
      <c r="V523" s="1">
        <v>90</v>
      </c>
      <c r="W523" s="1">
        <v>90</v>
      </c>
      <c r="X523" s="1">
        <v>100</v>
      </c>
      <c r="Y523" s="1">
        <v>110</v>
      </c>
      <c r="Z523" s="1">
        <v>125</v>
      </c>
      <c r="AA523" s="1">
        <v>0</v>
      </c>
      <c r="AB523" s="1">
        <v>15</v>
      </c>
      <c r="AC523" s="1">
        <v>5</v>
      </c>
      <c r="AD523" s="1">
        <v>0</v>
      </c>
      <c r="AE523" s="1">
        <v>130</v>
      </c>
      <c r="AF523" s="1">
        <v>100</v>
      </c>
      <c r="AG523" s="1">
        <v>800702</v>
      </c>
      <c r="AH523" s="1">
        <v>800703</v>
      </c>
      <c r="AI523" s="1">
        <v>300102</v>
      </c>
      <c r="AJ523" s="1" t="s">
        <v>1438</v>
      </c>
      <c r="AK523" s="1" t="s">
        <v>1439</v>
      </c>
      <c r="AL523" s="1">
        <v>13</v>
      </c>
      <c r="AM523" s="1" t="s">
        <v>4790</v>
      </c>
      <c r="AN523" s="1" t="s">
        <v>4795</v>
      </c>
      <c r="AO523" s="1" t="s">
        <v>5437</v>
      </c>
      <c r="AP523" s="1">
        <v>0</v>
      </c>
      <c r="AQ523" s="1" t="s">
        <v>1744</v>
      </c>
      <c r="AR523" s="1" t="s">
        <v>1119</v>
      </c>
      <c r="AS523" s="1" t="s">
        <v>1130</v>
      </c>
      <c r="AT523" s="1" t="s">
        <v>328</v>
      </c>
      <c r="AU523" s="1">
        <v>93</v>
      </c>
      <c r="AV523" s="1">
        <v>0</v>
      </c>
      <c r="AW523" s="1" t="s">
        <v>4492</v>
      </c>
      <c r="AX523" s="1" t="s">
        <v>5416</v>
      </c>
      <c r="AY523" s="1">
        <v>4</v>
      </c>
      <c r="AZ523" s="1">
        <v>3093</v>
      </c>
      <c r="BA523" s="1" t="s">
        <v>328</v>
      </c>
      <c r="BB523" s="1" t="s">
        <v>4950</v>
      </c>
      <c r="BC523" s="1" t="s">
        <v>328</v>
      </c>
      <c r="BD523" s="1">
        <v>0</v>
      </c>
      <c r="BE523" s="1"/>
      <c r="BH523">
        <f>COUNTIF(Dropdowns!$I:$AF,C523)</f>
        <v>1</v>
      </c>
    </row>
    <row r="524" spans="1:60" x14ac:dyDescent="0.3">
      <c r="A524" s="1">
        <v>20094</v>
      </c>
      <c r="B524" s="1" t="s">
        <v>4360</v>
      </c>
      <c r="C524" s="207" t="s">
        <v>740</v>
      </c>
      <c r="D524" s="1" t="s">
        <v>4361</v>
      </c>
      <c r="E524" s="1"/>
      <c r="F524" s="1"/>
      <c r="G524" s="1" t="s">
        <v>4362</v>
      </c>
      <c r="H524" s="1" t="s">
        <v>4363</v>
      </c>
      <c r="I524" s="1" t="s">
        <v>4364</v>
      </c>
      <c r="J524" s="1">
        <v>2</v>
      </c>
      <c r="K524" s="1">
        <v>4</v>
      </c>
      <c r="L524" s="1">
        <v>5100</v>
      </c>
      <c r="M524" s="1">
        <v>25</v>
      </c>
      <c r="N524" s="1">
        <v>20</v>
      </c>
      <c r="O524" s="1">
        <v>15</v>
      </c>
      <c r="P524" s="1">
        <v>10</v>
      </c>
      <c r="Q524" s="1">
        <v>5</v>
      </c>
      <c r="R524" s="1">
        <v>5</v>
      </c>
      <c r="S524" s="1">
        <v>2</v>
      </c>
      <c r="T524" s="1">
        <v>0</v>
      </c>
      <c r="U524" s="1">
        <v>100</v>
      </c>
      <c r="V524" s="1">
        <v>105</v>
      </c>
      <c r="W524" s="1">
        <v>120</v>
      </c>
      <c r="X524" s="1">
        <v>100</v>
      </c>
      <c r="Y524" s="1">
        <v>95</v>
      </c>
      <c r="Z524" s="1">
        <v>113</v>
      </c>
      <c r="AA524" s="1">
        <v>0</v>
      </c>
      <c r="AB524" s="1">
        <v>15</v>
      </c>
      <c r="AC524" s="1">
        <v>5</v>
      </c>
      <c r="AD524" s="1">
        <v>0</v>
      </c>
      <c r="AE524" s="1">
        <v>105</v>
      </c>
      <c r="AF524" s="1">
        <v>100</v>
      </c>
      <c r="AG524" s="1">
        <v>800801</v>
      </c>
      <c r="AH524" s="1">
        <v>800802</v>
      </c>
      <c r="AI524" s="1">
        <v>300102</v>
      </c>
      <c r="AJ524" s="1" t="s">
        <v>1164</v>
      </c>
      <c r="AK524" s="1" t="s">
        <v>328</v>
      </c>
      <c r="AL524" s="1">
        <v>13</v>
      </c>
      <c r="AM524" s="1" t="s">
        <v>4790</v>
      </c>
      <c r="AN524" s="1" t="s">
        <v>4793</v>
      </c>
      <c r="AO524" s="1" t="s">
        <v>5438</v>
      </c>
      <c r="AP524" s="1">
        <v>0</v>
      </c>
      <c r="AQ524" s="1" t="s">
        <v>1744</v>
      </c>
      <c r="AR524" s="1" t="s">
        <v>1119</v>
      </c>
      <c r="AS524" s="1" t="s">
        <v>1745</v>
      </c>
      <c r="AT524" s="1" t="s">
        <v>328</v>
      </c>
      <c r="AU524" s="1">
        <v>94</v>
      </c>
      <c r="AV524" s="1">
        <v>0</v>
      </c>
      <c r="AW524" s="1" t="s">
        <v>4492</v>
      </c>
      <c r="AX524" s="1" t="s">
        <v>5416</v>
      </c>
      <c r="AY524" s="1">
        <v>4</v>
      </c>
      <c r="AZ524" s="1">
        <v>3094</v>
      </c>
      <c r="BA524" s="1" t="s">
        <v>328</v>
      </c>
      <c r="BB524" s="1" t="s">
        <v>4952</v>
      </c>
      <c r="BC524" s="1" t="s">
        <v>4783</v>
      </c>
      <c r="BD524" s="1">
        <v>0</v>
      </c>
      <c r="BE524" s="1"/>
      <c r="BH524">
        <f>COUNTIF(Dropdowns!$I:$AF,C524)</f>
        <v>1</v>
      </c>
    </row>
    <row r="525" spans="1:60" x14ac:dyDescent="0.3">
      <c r="A525" s="1">
        <v>20095</v>
      </c>
      <c r="B525" s="1" t="s">
        <v>4365</v>
      </c>
      <c r="C525" s="207" t="s">
        <v>838</v>
      </c>
      <c r="D525" s="1" t="s">
        <v>4366</v>
      </c>
      <c r="E525" s="1"/>
      <c r="F525" s="1"/>
      <c r="G525" s="1" t="s">
        <v>4367</v>
      </c>
      <c r="H525" s="1" t="s">
        <v>4368</v>
      </c>
      <c r="I525" s="1" t="s">
        <v>4369</v>
      </c>
      <c r="J525" s="1">
        <v>3</v>
      </c>
      <c r="K525" s="1">
        <v>4</v>
      </c>
      <c r="L525" s="1">
        <v>13800</v>
      </c>
      <c r="M525" s="1">
        <v>15</v>
      </c>
      <c r="N525" s="1">
        <v>30</v>
      </c>
      <c r="O525" s="1">
        <v>10</v>
      </c>
      <c r="P525" s="1">
        <v>15</v>
      </c>
      <c r="Q525" s="1">
        <v>5</v>
      </c>
      <c r="R525" s="1">
        <v>2</v>
      </c>
      <c r="S525" s="1">
        <v>5</v>
      </c>
      <c r="T525" s="1">
        <v>0</v>
      </c>
      <c r="U525" s="1">
        <v>115</v>
      </c>
      <c r="V525" s="1">
        <v>105</v>
      </c>
      <c r="W525" s="1">
        <v>108</v>
      </c>
      <c r="X525" s="1">
        <v>100</v>
      </c>
      <c r="Y525" s="1">
        <v>100</v>
      </c>
      <c r="Z525" s="1">
        <v>110</v>
      </c>
      <c r="AA525" s="1">
        <v>0</v>
      </c>
      <c r="AB525" s="1">
        <v>15</v>
      </c>
      <c r="AC525" s="1">
        <v>40</v>
      </c>
      <c r="AD525" s="1">
        <v>0</v>
      </c>
      <c r="AE525" s="1">
        <v>120</v>
      </c>
      <c r="AF525" s="1">
        <v>100</v>
      </c>
      <c r="AG525" s="1">
        <v>803001</v>
      </c>
      <c r="AH525" s="1">
        <v>803003</v>
      </c>
      <c r="AI525" s="1">
        <v>803002</v>
      </c>
      <c r="AJ525" s="1" t="s">
        <v>1440</v>
      </c>
      <c r="AK525" s="1" t="s">
        <v>1441</v>
      </c>
      <c r="AL525" s="1">
        <v>13</v>
      </c>
      <c r="AM525" s="1" t="s">
        <v>4762</v>
      </c>
      <c r="AN525" s="1" t="s">
        <v>5366</v>
      </c>
      <c r="AO525" s="1" t="s">
        <v>4832</v>
      </c>
      <c r="AP525" s="1">
        <v>0</v>
      </c>
      <c r="AQ525" s="1" t="s">
        <v>1746</v>
      </c>
      <c r="AR525" s="1" t="s">
        <v>4835</v>
      </c>
      <c r="AS525" s="1" t="s">
        <v>1142</v>
      </c>
      <c r="AT525" s="1" t="s">
        <v>328</v>
      </c>
      <c r="AU525" s="1">
        <v>95</v>
      </c>
      <c r="AV525" s="1">
        <v>0</v>
      </c>
      <c r="AW525" s="1" t="s">
        <v>4492</v>
      </c>
      <c r="AX525" s="1" t="s">
        <v>5416</v>
      </c>
      <c r="AY525" s="1">
        <v>4</v>
      </c>
      <c r="AZ525" s="1">
        <v>3095</v>
      </c>
      <c r="BA525" s="1" t="s">
        <v>328</v>
      </c>
      <c r="BB525" s="1" t="s">
        <v>4952</v>
      </c>
      <c r="BC525" s="1" t="s">
        <v>4783</v>
      </c>
      <c r="BD525" s="1">
        <v>0</v>
      </c>
      <c r="BE525" s="1"/>
      <c r="BH525">
        <f>COUNTIF(Dropdowns!$I:$AF,C525)</f>
        <v>1</v>
      </c>
    </row>
    <row r="526" spans="1:60" x14ac:dyDescent="0.3">
      <c r="A526" s="1">
        <v>20097</v>
      </c>
      <c r="B526" s="1" t="s">
        <v>4370</v>
      </c>
      <c r="C526" s="207" t="s">
        <v>262</v>
      </c>
      <c r="D526" s="1" t="s">
        <v>262</v>
      </c>
      <c r="E526" s="1"/>
      <c r="F526" s="1"/>
      <c r="G526" s="1" t="s">
        <v>4371</v>
      </c>
      <c r="H526" s="1" t="s">
        <v>4372</v>
      </c>
      <c r="I526" s="1" t="s">
        <v>4373</v>
      </c>
      <c r="J526" s="1">
        <v>1</v>
      </c>
      <c r="K526" s="1">
        <v>6</v>
      </c>
      <c r="L526" s="1">
        <v>3900</v>
      </c>
      <c r="M526" s="1">
        <v>10</v>
      </c>
      <c r="N526" s="1">
        <v>10</v>
      </c>
      <c r="O526" s="1">
        <v>5</v>
      </c>
      <c r="P526" s="1">
        <v>5</v>
      </c>
      <c r="Q526" s="1">
        <v>2</v>
      </c>
      <c r="R526" s="1">
        <v>2</v>
      </c>
      <c r="S526" s="1">
        <v>2</v>
      </c>
      <c r="T526" s="1">
        <v>0</v>
      </c>
      <c r="U526" s="1">
        <v>118</v>
      </c>
      <c r="V526" s="1">
        <v>116</v>
      </c>
      <c r="W526" s="1">
        <v>135</v>
      </c>
      <c r="X526" s="1">
        <v>100</v>
      </c>
      <c r="Y526" s="1">
        <v>115</v>
      </c>
      <c r="Z526" s="1">
        <v>102</v>
      </c>
      <c r="AA526" s="1">
        <v>0</v>
      </c>
      <c r="AB526" s="1">
        <v>15</v>
      </c>
      <c r="AC526" s="1">
        <v>20</v>
      </c>
      <c r="AD526" s="1">
        <v>0</v>
      </c>
      <c r="AE526" s="1">
        <v>115</v>
      </c>
      <c r="AF526" s="1">
        <v>100</v>
      </c>
      <c r="AG526" s="1">
        <v>803412</v>
      </c>
      <c r="AH526" s="1">
        <v>803413</v>
      </c>
      <c r="AI526" s="1">
        <v>300101</v>
      </c>
      <c r="AJ526" s="1" t="s">
        <v>328</v>
      </c>
      <c r="AK526" s="1" t="s">
        <v>1442</v>
      </c>
      <c r="AL526" s="1">
        <v>13</v>
      </c>
      <c r="AM526" s="1" t="s">
        <v>1806</v>
      </c>
      <c r="AN526" s="1" t="s">
        <v>5439</v>
      </c>
      <c r="AO526" s="1" t="s">
        <v>5440</v>
      </c>
      <c r="AP526" s="1">
        <v>0</v>
      </c>
      <c r="AQ526" s="1" t="s">
        <v>4742</v>
      </c>
      <c r="AR526" s="1" t="s">
        <v>1119</v>
      </c>
      <c r="AS526" s="1" t="s">
        <v>1120</v>
      </c>
      <c r="AT526" s="1" t="s">
        <v>328</v>
      </c>
      <c r="AU526" s="1">
        <v>97</v>
      </c>
      <c r="AV526" s="1">
        <v>0</v>
      </c>
      <c r="AW526" s="1" t="s">
        <v>4492</v>
      </c>
      <c r="AX526" s="1" t="s">
        <v>5416</v>
      </c>
      <c r="AY526" s="1">
        <v>6</v>
      </c>
      <c r="AZ526" s="1">
        <v>3097</v>
      </c>
      <c r="BA526" s="1" t="s">
        <v>328</v>
      </c>
      <c r="BB526" s="1" t="s">
        <v>4957</v>
      </c>
      <c r="BC526" s="1" t="s">
        <v>4720</v>
      </c>
      <c r="BD526" s="1">
        <v>0</v>
      </c>
      <c r="BE526" s="1"/>
      <c r="BH526">
        <f>COUNTIF(Dropdowns!$I:$AF,C526)</f>
        <v>0</v>
      </c>
    </row>
    <row r="527" spans="1:60" x14ac:dyDescent="0.3">
      <c r="A527" s="1">
        <v>20101</v>
      </c>
      <c r="B527" s="1" t="s">
        <v>4374</v>
      </c>
      <c r="C527" s="207" t="s">
        <v>263</v>
      </c>
      <c r="D527" s="1" t="s">
        <v>263</v>
      </c>
      <c r="E527" s="1"/>
      <c r="F527" s="1"/>
      <c r="G527" s="1" t="s">
        <v>4375</v>
      </c>
      <c r="H527" s="1" t="s">
        <v>4376</v>
      </c>
      <c r="I527" s="1" t="s">
        <v>4377</v>
      </c>
      <c r="J527" s="1">
        <v>2</v>
      </c>
      <c r="K527" s="1">
        <v>5</v>
      </c>
      <c r="L527" s="1">
        <v>8100</v>
      </c>
      <c r="M527" s="1">
        <v>25</v>
      </c>
      <c r="N527" s="1">
        <v>20</v>
      </c>
      <c r="O527" s="1">
        <v>15</v>
      </c>
      <c r="P527" s="1">
        <v>10</v>
      </c>
      <c r="Q527" s="1">
        <v>5</v>
      </c>
      <c r="R527" s="1">
        <v>5</v>
      </c>
      <c r="S527" s="1">
        <v>2</v>
      </c>
      <c r="T527" s="1">
        <v>0</v>
      </c>
      <c r="U527" s="1">
        <v>100</v>
      </c>
      <c r="V527" s="1">
        <v>105</v>
      </c>
      <c r="W527" s="1">
        <v>110</v>
      </c>
      <c r="X527" s="1">
        <v>100</v>
      </c>
      <c r="Y527" s="1">
        <v>135</v>
      </c>
      <c r="Z527" s="1">
        <v>130</v>
      </c>
      <c r="AA527" s="1">
        <v>0</v>
      </c>
      <c r="AB527" s="1">
        <v>15</v>
      </c>
      <c r="AC527" s="1">
        <v>5</v>
      </c>
      <c r="AD527" s="1">
        <v>0</v>
      </c>
      <c r="AE527" s="1">
        <v>110</v>
      </c>
      <c r="AF527" s="1">
        <v>100</v>
      </c>
      <c r="AG527" s="1">
        <v>802801</v>
      </c>
      <c r="AH527" s="1">
        <v>802802</v>
      </c>
      <c r="AI527" s="1">
        <v>300102</v>
      </c>
      <c r="AJ527" s="1" t="s">
        <v>1443</v>
      </c>
      <c r="AK527" s="1" t="s">
        <v>1444</v>
      </c>
      <c r="AL527" s="1">
        <v>13</v>
      </c>
      <c r="AM527" s="1" t="s">
        <v>4790</v>
      </c>
      <c r="AN527" s="1" t="s">
        <v>4795</v>
      </c>
      <c r="AO527" s="1" t="s">
        <v>4991</v>
      </c>
      <c r="AP527" s="1">
        <v>0</v>
      </c>
      <c r="AQ527" s="1" t="s">
        <v>1744</v>
      </c>
      <c r="AR527" s="1" t="s">
        <v>1119</v>
      </c>
      <c r="AS527" s="1" t="s">
        <v>1745</v>
      </c>
      <c r="AT527" s="1" t="s">
        <v>328</v>
      </c>
      <c r="AU527" s="1">
        <v>101</v>
      </c>
      <c r="AV527" s="1">
        <v>0</v>
      </c>
      <c r="AW527" s="1" t="s">
        <v>4492</v>
      </c>
      <c r="AX527" s="1" t="s">
        <v>5416</v>
      </c>
      <c r="AY527" s="1">
        <v>5</v>
      </c>
      <c r="AZ527" s="1">
        <v>3101</v>
      </c>
      <c r="BA527" s="1" t="s">
        <v>328</v>
      </c>
      <c r="BB527" s="1" t="s">
        <v>4965</v>
      </c>
      <c r="BC527" s="1" t="s">
        <v>4889</v>
      </c>
      <c r="BD527" s="1">
        <v>0</v>
      </c>
      <c r="BE527" s="1"/>
      <c r="BH527">
        <f>COUNTIF(Dropdowns!$I:$AF,C527)</f>
        <v>1</v>
      </c>
    </row>
    <row r="528" spans="1:60" x14ac:dyDescent="0.3">
      <c r="A528" s="1">
        <v>20103</v>
      </c>
      <c r="B528" s="1" t="s">
        <v>4378</v>
      </c>
      <c r="C528" s="207" t="s">
        <v>264</v>
      </c>
      <c r="D528" s="1" t="s">
        <v>264</v>
      </c>
      <c r="E528" s="1"/>
      <c r="F528" s="1"/>
      <c r="G528" s="1" t="s">
        <v>4379</v>
      </c>
      <c r="H528" s="1" t="s">
        <v>4380</v>
      </c>
      <c r="I528" s="1" t="s">
        <v>4381</v>
      </c>
      <c r="J528" s="1">
        <v>2</v>
      </c>
      <c r="K528" s="1">
        <v>5</v>
      </c>
      <c r="L528" s="1">
        <v>8100</v>
      </c>
      <c r="M528" s="1">
        <v>25</v>
      </c>
      <c r="N528" s="1">
        <v>20</v>
      </c>
      <c r="O528" s="1">
        <v>15</v>
      </c>
      <c r="P528" s="1">
        <v>10</v>
      </c>
      <c r="Q528" s="1">
        <v>5</v>
      </c>
      <c r="R528" s="1">
        <v>5</v>
      </c>
      <c r="S528" s="1">
        <v>2</v>
      </c>
      <c r="T528" s="1">
        <v>0</v>
      </c>
      <c r="U528" s="1">
        <v>108</v>
      </c>
      <c r="V528" s="1">
        <v>105</v>
      </c>
      <c r="W528" s="1">
        <v>105</v>
      </c>
      <c r="X528" s="1">
        <v>100</v>
      </c>
      <c r="Y528" s="1">
        <v>110</v>
      </c>
      <c r="Z528" s="1">
        <v>120</v>
      </c>
      <c r="AA528" s="1">
        <v>0</v>
      </c>
      <c r="AB528" s="1">
        <v>15</v>
      </c>
      <c r="AC528" s="1">
        <v>5</v>
      </c>
      <c r="AD528" s="1">
        <v>0</v>
      </c>
      <c r="AE528" s="1">
        <v>110</v>
      </c>
      <c r="AF528" s="1">
        <v>100</v>
      </c>
      <c r="AG528" s="1">
        <v>801801</v>
      </c>
      <c r="AH528" s="1">
        <v>801804</v>
      </c>
      <c r="AI528" s="1">
        <v>801803</v>
      </c>
      <c r="AJ528" s="1" t="s">
        <v>1445</v>
      </c>
      <c r="AK528" s="1" t="s">
        <v>328</v>
      </c>
      <c r="AL528" s="1">
        <v>13</v>
      </c>
      <c r="AM528" s="1" t="s">
        <v>4790</v>
      </c>
      <c r="AN528" s="1" t="s">
        <v>4795</v>
      </c>
      <c r="AO528" s="1" t="s">
        <v>5441</v>
      </c>
      <c r="AP528" s="1">
        <v>0</v>
      </c>
      <c r="AQ528" s="1" t="s">
        <v>1744</v>
      </c>
      <c r="AR528" s="1" t="s">
        <v>1119</v>
      </c>
      <c r="AS528" s="1" t="s">
        <v>1745</v>
      </c>
      <c r="AT528" s="1" t="s">
        <v>328</v>
      </c>
      <c r="AU528" s="1">
        <v>103</v>
      </c>
      <c r="AV528" s="1">
        <v>0</v>
      </c>
      <c r="AW528" s="1" t="s">
        <v>4969</v>
      </c>
      <c r="AX528" s="1" t="s">
        <v>5416</v>
      </c>
      <c r="AY528" s="1">
        <v>5</v>
      </c>
      <c r="AZ528" s="1">
        <v>3103</v>
      </c>
      <c r="BA528" s="1" t="s">
        <v>328</v>
      </c>
      <c r="BB528" s="1" t="s">
        <v>4970</v>
      </c>
      <c r="BC528" s="1" t="s">
        <v>4889</v>
      </c>
      <c r="BD528" s="1">
        <v>0</v>
      </c>
      <c r="BE528" s="1"/>
      <c r="BH528">
        <f>COUNTIF(Dropdowns!$I:$AF,C528)</f>
        <v>1</v>
      </c>
    </row>
    <row r="529" spans="1:60" x14ac:dyDescent="0.3">
      <c r="A529" s="1">
        <v>20104</v>
      </c>
      <c r="B529" s="1" t="s">
        <v>4447</v>
      </c>
      <c r="C529" s="207" t="s">
        <v>1748</v>
      </c>
      <c r="D529" s="1" t="s">
        <v>1748</v>
      </c>
      <c r="E529" s="1"/>
      <c r="F529" s="1"/>
      <c r="G529" s="1" t="s">
        <v>4448</v>
      </c>
      <c r="H529" s="1" t="s">
        <v>4449</v>
      </c>
      <c r="I529" s="1" t="s">
        <v>4450</v>
      </c>
      <c r="J529" s="1">
        <v>2</v>
      </c>
      <c r="K529" s="1">
        <v>6</v>
      </c>
      <c r="L529" s="1">
        <v>9000</v>
      </c>
      <c r="M529" s="1">
        <v>25</v>
      </c>
      <c r="N529" s="1">
        <v>20</v>
      </c>
      <c r="O529" s="1">
        <v>15</v>
      </c>
      <c r="P529" s="1">
        <v>10</v>
      </c>
      <c r="Q529" s="1">
        <v>5</v>
      </c>
      <c r="R529" s="1">
        <v>5</v>
      </c>
      <c r="S529" s="1">
        <v>2</v>
      </c>
      <c r="T529" s="1">
        <v>0</v>
      </c>
      <c r="U529" s="1">
        <v>120</v>
      </c>
      <c r="V529" s="1">
        <v>135</v>
      </c>
      <c r="W529" s="1">
        <v>110</v>
      </c>
      <c r="X529" s="1">
        <v>100</v>
      </c>
      <c r="Y529" s="1">
        <v>125</v>
      </c>
      <c r="Z529" s="1">
        <v>120</v>
      </c>
      <c r="AA529" s="1">
        <v>0</v>
      </c>
      <c r="AB529" s="1">
        <v>15</v>
      </c>
      <c r="AC529" s="1">
        <v>5</v>
      </c>
      <c r="AD529" s="1">
        <v>0</v>
      </c>
      <c r="AE529" s="1">
        <v>100</v>
      </c>
      <c r="AF529" s="1">
        <v>100</v>
      </c>
      <c r="AG529" s="1">
        <v>740003</v>
      </c>
      <c r="AH529" s="1">
        <v>740004</v>
      </c>
      <c r="AI529" s="1">
        <v>300102</v>
      </c>
      <c r="AJ529" s="1" t="s">
        <v>1749</v>
      </c>
      <c r="AK529" s="1" t="s">
        <v>1750</v>
      </c>
      <c r="AL529" s="1">
        <v>13</v>
      </c>
      <c r="AM529" s="1" t="s">
        <v>4790</v>
      </c>
      <c r="AN529" s="1" t="s">
        <v>4795</v>
      </c>
      <c r="AO529" s="1" t="s">
        <v>5459</v>
      </c>
      <c r="AP529" s="1">
        <v>0</v>
      </c>
      <c r="AQ529" s="1" t="s">
        <v>1744</v>
      </c>
      <c r="AR529" s="1" t="s">
        <v>1119</v>
      </c>
      <c r="AS529" s="1" t="s">
        <v>1130</v>
      </c>
      <c r="AT529" s="1" t="s">
        <v>328</v>
      </c>
      <c r="AU529" s="1">
        <v>104</v>
      </c>
      <c r="AV529" s="1">
        <v>0</v>
      </c>
      <c r="AW529" s="1" t="s">
        <v>4971</v>
      </c>
      <c r="AX529" s="1" t="s">
        <v>5416</v>
      </c>
      <c r="AY529" s="1">
        <v>6</v>
      </c>
      <c r="AZ529" s="1">
        <v>3104</v>
      </c>
      <c r="BA529" s="1" t="s">
        <v>328</v>
      </c>
      <c r="BB529" s="1" t="s">
        <v>4972</v>
      </c>
      <c r="BC529" s="1" t="s">
        <v>4769</v>
      </c>
      <c r="BD529" s="1">
        <v>0</v>
      </c>
      <c r="BE529" s="1"/>
      <c r="BH529">
        <f>COUNTIF(Dropdowns!$I:$AF,C529)</f>
        <v>1</v>
      </c>
    </row>
    <row r="530" spans="1:60" x14ac:dyDescent="0.3">
      <c r="A530" s="1">
        <v>20114</v>
      </c>
      <c r="B530" s="1" t="s">
        <v>4382</v>
      </c>
      <c r="C530" s="207" t="s">
        <v>834</v>
      </c>
      <c r="D530" s="1" t="s">
        <v>4383</v>
      </c>
      <c r="E530" s="1"/>
      <c r="F530" s="1"/>
      <c r="G530" s="1" t="s">
        <v>4384</v>
      </c>
      <c r="H530" s="1" t="s">
        <v>4385</v>
      </c>
      <c r="I530" s="1" t="s">
        <v>4386</v>
      </c>
      <c r="J530" s="1">
        <v>1</v>
      </c>
      <c r="K530" s="1">
        <v>6</v>
      </c>
      <c r="L530" s="1">
        <v>3600</v>
      </c>
      <c r="M530" s="1">
        <v>10</v>
      </c>
      <c r="N530" s="1">
        <v>10</v>
      </c>
      <c r="O530" s="1">
        <v>5</v>
      </c>
      <c r="P530" s="1">
        <v>5</v>
      </c>
      <c r="Q530" s="1">
        <v>2</v>
      </c>
      <c r="R530" s="1">
        <v>2</v>
      </c>
      <c r="S530" s="1">
        <v>2</v>
      </c>
      <c r="T530" s="1">
        <v>0</v>
      </c>
      <c r="U530" s="1">
        <v>120</v>
      </c>
      <c r="V530" s="1">
        <v>96</v>
      </c>
      <c r="W530" s="1">
        <v>90</v>
      </c>
      <c r="X530" s="1">
        <v>100</v>
      </c>
      <c r="Y530" s="1">
        <v>125</v>
      </c>
      <c r="Z530" s="1">
        <v>110</v>
      </c>
      <c r="AA530" s="1">
        <v>0</v>
      </c>
      <c r="AB530" s="1">
        <v>15</v>
      </c>
      <c r="AC530" s="1">
        <v>40</v>
      </c>
      <c r="AD530" s="1">
        <v>0</v>
      </c>
      <c r="AE530" s="1">
        <v>140</v>
      </c>
      <c r="AF530" s="1">
        <v>100</v>
      </c>
      <c r="AG530" s="1">
        <v>902241</v>
      </c>
      <c r="AH530" s="1">
        <v>902243</v>
      </c>
      <c r="AI530" s="1">
        <v>300101</v>
      </c>
      <c r="AJ530" s="1" t="s">
        <v>1446</v>
      </c>
      <c r="AK530" s="1" t="s">
        <v>328</v>
      </c>
      <c r="AL530" s="1">
        <v>12</v>
      </c>
      <c r="AM530" s="1" t="s">
        <v>1806</v>
      </c>
      <c r="AN530" s="1" t="s">
        <v>5442</v>
      </c>
      <c r="AO530" s="1" t="s">
        <v>5443</v>
      </c>
      <c r="AP530" s="1">
        <v>0</v>
      </c>
      <c r="AQ530" s="1" t="s">
        <v>1118</v>
      </c>
      <c r="AR530" s="1" t="s">
        <v>1119</v>
      </c>
      <c r="AS530" s="1" t="s">
        <v>4761</v>
      </c>
      <c r="AT530" s="1" t="s">
        <v>328</v>
      </c>
      <c r="AU530" s="1">
        <v>114</v>
      </c>
      <c r="AV530" s="1">
        <v>0</v>
      </c>
      <c r="AW530" s="1" t="s">
        <v>4969</v>
      </c>
      <c r="AX530" s="1" t="s">
        <v>5416</v>
      </c>
      <c r="AY530" s="1">
        <v>6</v>
      </c>
      <c r="AZ530" s="1">
        <v>3114</v>
      </c>
      <c r="BA530" s="1" t="s">
        <v>328</v>
      </c>
      <c r="BB530" s="1" t="s">
        <v>4989</v>
      </c>
      <c r="BC530" s="1" t="s">
        <v>328</v>
      </c>
      <c r="BD530" s="1">
        <v>0</v>
      </c>
      <c r="BE530" s="1"/>
      <c r="BH530">
        <f>COUNTIF(Dropdowns!$I:$AF,C530)</f>
        <v>0</v>
      </c>
    </row>
    <row r="531" spans="1:60" x14ac:dyDescent="0.3">
      <c r="A531" s="1">
        <v>20115</v>
      </c>
      <c r="B531" s="1" t="s">
        <v>6475</v>
      </c>
      <c r="C531" s="207" t="s">
        <v>6508</v>
      </c>
      <c r="D531" s="1" t="s">
        <v>6476</v>
      </c>
      <c r="E531" s="1"/>
      <c r="F531" s="1"/>
      <c r="G531" s="1" t="s">
        <v>6477</v>
      </c>
      <c r="H531" s="1" t="s">
        <v>6478</v>
      </c>
      <c r="I531" s="1" t="s">
        <v>6479</v>
      </c>
      <c r="J531" s="1">
        <v>2</v>
      </c>
      <c r="K531" s="1">
        <v>6</v>
      </c>
      <c r="L531" s="1">
        <v>8700</v>
      </c>
      <c r="M531" s="1">
        <v>25</v>
      </c>
      <c r="N531" s="1">
        <v>20</v>
      </c>
      <c r="O531" s="1">
        <v>15</v>
      </c>
      <c r="P531" s="1">
        <v>10</v>
      </c>
      <c r="Q531" s="1">
        <v>5</v>
      </c>
      <c r="R531" s="1">
        <v>5</v>
      </c>
      <c r="S531" s="1">
        <v>2</v>
      </c>
      <c r="T531" s="1">
        <v>0</v>
      </c>
      <c r="U531" s="1">
        <v>125</v>
      </c>
      <c r="V531" s="1">
        <v>118</v>
      </c>
      <c r="W531" s="1">
        <v>120</v>
      </c>
      <c r="X531" s="1">
        <v>100</v>
      </c>
      <c r="Y531" s="1">
        <v>130</v>
      </c>
      <c r="Z531" s="1">
        <v>115</v>
      </c>
      <c r="AA531" s="1">
        <v>0</v>
      </c>
      <c r="AB531" s="1">
        <v>15</v>
      </c>
      <c r="AC531" s="1">
        <v>5</v>
      </c>
      <c r="AD531" s="1">
        <v>0</v>
      </c>
      <c r="AE531" s="1">
        <v>108</v>
      </c>
      <c r="AF531" s="1">
        <v>100</v>
      </c>
      <c r="AG531" s="1">
        <v>804201</v>
      </c>
      <c r="AH531" s="1">
        <v>804203</v>
      </c>
      <c r="AI531" s="1">
        <v>804207</v>
      </c>
      <c r="AJ531" s="1" t="s">
        <v>6480</v>
      </c>
      <c r="AK531" s="1" t="s">
        <v>6481</v>
      </c>
      <c r="AL531" s="1">
        <v>13</v>
      </c>
      <c r="AM531" s="1" t="s">
        <v>4790</v>
      </c>
      <c r="AN531" s="1" t="s">
        <v>4795</v>
      </c>
      <c r="AO531" s="1" t="s">
        <v>4978</v>
      </c>
      <c r="AP531" s="1">
        <v>0</v>
      </c>
      <c r="AQ531" s="1" t="s">
        <v>1744</v>
      </c>
      <c r="AR531" s="1" t="s">
        <v>1743</v>
      </c>
      <c r="AS531" s="1" t="s">
        <v>1130</v>
      </c>
      <c r="AT531" s="1" t="s">
        <v>328</v>
      </c>
      <c r="AU531" s="1">
        <v>115</v>
      </c>
      <c r="AV531" s="1">
        <v>0</v>
      </c>
      <c r="AW531" s="1" t="s">
        <v>4969</v>
      </c>
      <c r="AX531" s="1" t="s">
        <v>5416</v>
      </c>
      <c r="AY531" s="1">
        <v>6</v>
      </c>
      <c r="AZ531" s="1">
        <v>3115</v>
      </c>
      <c r="BA531" s="1" t="s">
        <v>328</v>
      </c>
      <c r="BB531" s="1" t="s">
        <v>4992</v>
      </c>
      <c r="BC531" s="1" t="s">
        <v>328</v>
      </c>
      <c r="BD531" s="1">
        <v>0</v>
      </c>
      <c r="BE531" s="1"/>
      <c r="BH531">
        <f>COUNTIF(Dropdowns!$I:$AF,C531)</f>
        <v>1</v>
      </c>
    </row>
    <row r="532" spans="1:60" x14ac:dyDescent="0.3">
      <c r="A532" s="1">
        <v>20122</v>
      </c>
      <c r="B532" s="1" t="s">
        <v>4387</v>
      </c>
      <c r="C532" s="207" t="s">
        <v>1447</v>
      </c>
      <c r="D532" s="1" t="s">
        <v>1447</v>
      </c>
      <c r="E532" s="1"/>
      <c r="F532" s="1"/>
      <c r="G532" s="1" t="s">
        <v>4388</v>
      </c>
      <c r="H532" s="1" t="s">
        <v>4389</v>
      </c>
      <c r="I532" s="1" t="s">
        <v>4390</v>
      </c>
      <c r="J532" s="1">
        <v>4</v>
      </c>
      <c r="K532" s="1">
        <v>6</v>
      </c>
      <c r="L532" s="1">
        <v>14640</v>
      </c>
      <c r="M532" s="1">
        <v>20</v>
      </c>
      <c r="N532" s="1">
        <v>20</v>
      </c>
      <c r="O532" s="1">
        <v>10</v>
      </c>
      <c r="P532" s="1">
        <v>10</v>
      </c>
      <c r="Q532" s="1">
        <v>2</v>
      </c>
      <c r="R532" s="1">
        <v>5</v>
      </c>
      <c r="S532" s="1">
        <v>5</v>
      </c>
      <c r="T532" s="1">
        <v>0</v>
      </c>
      <c r="U532" s="1">
        <v>110</v>
      </c>
      <c r="V532" s="1">
        <v>105</v>
      </c>
      <c r="W532" s="1">
        <v>145</v>
      </c>
      <c r="X532" s="1">
        <v>100</v>
      </c>
      <c r="Y532" s="1">
        <v>115</v>
      </c>
      <c r="Z532" s="1">
        <v>105</v>
      </c>
      <c r="AA532" s="1">
        <v>0</v>
      </c>
      <c r="AB532" s="1">
        <v>15</v>
      </c>
      <c r="AC532" s="1">
        <v>20</v>
      </c>
      <c r="AD532" s="1">
        <v>0</v>
      </c>
      <c r="AE532" s="1">
        <v>114</v>
      </c>
      <c r="AF532" s="1">
        <v>100</v>
      </c>
      <c r="AG532" s="1">
        <v>900893</v>
      </c>
      <c r="AH532" s="1">
        <v>900894</v>
      </c>
      <c r="AI532" s="1">
        <v>900890</v>
      </c>
      <c r="AJ532" s="1" t="s">
        <v>1448</v>
      </c>
      <c r="AK532" s="1" t="s">
        <v>328</v>
      </c>
      <c r="AL532" s="1">
        <v>13</v>
      </c>
      <c r="AM532" s="1" t="s">
        <v>4719</v>
      </c>
      <c r="AN532" s="1" t="s">
        <v>4884</v>
      </c>
      <c r="AO532" s="1" t="s">
        <v>5444</v>
      </c>
      <c r="AP532" s="1">
        <v>0</v>
      </c>
      <c r="AQ532" s="1" t="s">
        <v>1130</v>
      </c>
      <c r="AR532" s="1" t="s">
        <v>1154</v>
      </c>
      <c r="AS532" s="1" t="s">
        <v>1744</v>
      </c>
      <c r="AT532" s="1" t="s">
        <v>328</v>
      </c>
      <c r="AU532" s="1">
        <v>122</v>
      </c>
      <c r="AV532" s="1">
        <v>0</v>
      </c>
      <c r="AW532" s="1" t="s">
        <v>4960</v>
      </c>
      <c r="AX532" s="1" t="s">
        <v>5416</v>
      </c>
      <c r="AY532" s="1">
        <v>6</v>
      </c>
      <c r="AZ532" s="1">
        <v>3122</v>
      </c>
      <c r="BA532" s="1" t="s">
        <v>328</v>
      </c>
      <c r="BB532" s="1" t="s">
        <v>5006</v>
      </c>
      <c r="BC532" s="1" t="s">
        <v>4889</v>
      </c>
      <c r="BD532" s="1">
        <v>0</v>
      </c>
      <c r="BE532" s="1"/>
      <c r="BH532">
        <f>COUNTIF(Dropdowns!$I:$AF,C532)</f>
        <v>1</v>
      </c>
    </row>
    <row r="533" spans="1:60" x14ac:dyDescent="0.3">
      <c r="A533" s="1">
        <v>20124</v>
      </c>
      <c r="B533" s="1" t="s">
        <v>4391</v>
      </c>
      <c r="C533" s="207" t="s">
        <v>832</v>
      </c>
      <c r="D533" s="1" t="s">
        <v>4392</v>
      </c>
      <c r="E533" s="1"/>
      <c r="F533" s="1"/>
      <c r="G533" s="1" t="s">
        <v>4393</v>
      </c>
      <c r="H533" s="1" t="s">
        <v>4394</v>
      </c>
      <c r="I533" s="1" t="s">
        <v>4395</v>
      </c>
      <c r="J533" s="1">
        <v>3</v>
      </c>
      <c r="K533" s="1">
        <v>4</v>
      </c>
      <c r="L533" s="1">
        <v>14400</v>
      </c>
      <c r="M533" s="1">
        <v>15</v>
      </c>
      <c r="N533" s="1">
        <v>30</v>
      </c>
      <c r="O533" s="1">
        <v>10</v>
      </c>
      <c r="P533" s="1">
        <v>15</v>
      </c>
      <c r="Q533" s="1">
        <v>5</v>
      </c>
      <c r="R533" s="1">
        <v>2</v>
      </c>
      <c r="S533" s="1">
        <v>5</v>
      </c>
      <c r="T533" s="1">
        <v>0</v>
      </c>
      <c r="U533" s="1">
        <v>100</v>
      </c>
      <c r="V533" s="1">
        <v>115</v>
      </c>
      <c r="W533" s="1">
        <v>120</v>
      </c>
      <c r="X533" s="1">
        <v>100</v>
      </c>
      <c r="Y533" s="1">
        <v>110</v>
      </c>
      <c r="Z533" s="1">
        <v>90</v>
      </c>
      <c r="AA533" s="1">
        <v>0</v>
      </c>
      <c r="AB533" s="1">
        <v>15</v>
      </c>
      <c r="AC533" s="1">
        <v>40</v>
      </c>
      <c r="AD533" s="1">
        <v>0</v>
      </c>
      <c r="AE533" s="1">
        <v>115</v>
      </c>
      <c r="AF533" s="1">
        <v>100</v>
      </c>
      <c r="AG533" s="1">
        <v>900880</v>
      </c>
      <c r="AH533" s="1">
        <v>900882</v>
      </c>
      <c r="AI533" s="1">
        <v>900883</v>
      </c>
      <c r="AJ533" s="1" t="s">
        <v>1449</v>
      </c>
      <c r="AK533" s="1" t="s">
        <v>1450</v>
      </c>
      <c r="AL533" s="1">
        <v>13</v>
      </c>
      <c r="AM533" s="1" t="s">
        <v>4762</v>
      </c>
      <c r="AN533" s="1" t="s">
        <v>5389</v>
      </c>
      <c r="AO533" s="1" t="s">
        <v>4832</v>
      </c>
      <c r="AP533" s="1">
        <v>0</v>
      </c>
      <c r="AQ533" s="1" t="s">
        <v>1140</v>
      </c>
      <c r="AR533" s="1" t="s">
        <v>4835</v>
      </c>
      <c r="AS533" s="1" t="s">
        <v>1142</v>
      </c>
      <c r="AT533" s="1" t="s">
        <v>328</v>
      </c>
      <c r="AU533" s="1">
        <v>124</v>
      </c>
      <c r="AV533" s="1">
        <v>0</v>
      </c>
      <c r="AW533" s="1" t="s">
        <v>5009</v>
      </c>
      <c r="AX533" s="1" t="s">
        <v>5416</v>
      </c>
      <c r="AY533" s="1">
        <v>4</v>
      </c>
      <c r="AZ533" s="1">
        <v>3124</v>
      </c>
      <c r="BA533" s="1" t="s">
        <v>328</v>
      </c>
      <c r="BB533" s="1" t="s">
        <v>5010</v>
      </c>
      <c r="BC533" s="1" t="s">
        <v>4720</v>
      </c>
      <c r="BD533" s="1">
        <v>0</v>
      </c>
      <c r="BE533" s="1"/>
      <c r="BH533">
        <f>COUNTIF(Dropdowns!$I:$AF,C533)</f>
        <v>1</v>
      </c>
    </row>
    <row r="534" spans="1:60" x14ac:dyDescent="0.3">
      <c r="A534" s="1">
        <v>20125</v>
      </c>
      <c r="B534" s="1" t="s">
        <v>4396</v>
      </c>
      <c r="C534" s="207" t="s">
        <v>926</v>
      </c>
      <c r="D534" s="1" t="s">
        <v>926</v>
      </c>
      <c r="E534" s="1"/>
      <c r="F534" s="1"/>
      <c r="G534" s="1" t="s">
        <v>4397</v>
      </c>
      <c r="H534" s="1" t="s">
        <v>4398</v>
      </c>
      <c r="I534" s="1" t="s">
        <v>4399</v>
      </c>
      <c r="J534" s="1">
        <v>5</v>
      </c>
      <c r="K534" s="1">
        <v>6</v>
      </c>
      <c r="L534" s="1">
        <v>24000</v>
      </c>
      <c r="M534" s="1">
        <v>40</v>
      </c>
      <c r="N534" s="1">
        <v>30</v>
      </c>
      <c r="O534" s="1">
        <v>25</v>
      </c>
      <c r="P534" s="1">
        <v>15</v>
      </c>
      <c r="Q534" s="1">
        <v>5</v>
      </c>
      <c r="R534" s="1">
        <v>5</v>
      </c>
      <c r="S534" s="1">
        <v>2</v>
      </c>
      <c r="T534" s="1">
        <v>5</v>
      </c>
      <c r="U534" s="1">
        <v>110</v>
      </c>
      <c r="V534" s="1">
        <v>102</v>
      </c>
      <c r="W534" s="1">
        <v>125</v>
      </c>
      <c r="X534" s="1">
        <v>100</v>
      </c>
      <c r="Y534" s="1">
        <v>130</v>
      </c>
      <c r="Z534" s="1">
        <v>120</v>
      </c>
      <c r="AA534" s="1">
        <v>0</v>
      </c>
      <c r="AB534" s="1">
        <v>15</v>
      </c>
      <c r="AC534" s="1">
        <v>5</v>
      </c>
      <c r="AD534" s="1">
        <v>10</v>
      </c>
      <c r="AE534" s="1">
        <v>135</v>
      </c>
      <c r="AF534" s="1">
        <v>100</v>
      </c>
      <c r="AG534" s="1">
        <v>803901</v>
      </c>
      <c r="AH534" s="1">
        <v>803904</v>
      </c>
      <c r="AI534" s="1">
        <v>803925</v>
      </c>
      <c r="AJ534" s="1" t="s">
        <v>1166</v>
      </c>
      <c r="AK534" s="1" t="s">
        <v>1451</v>
      </c>
      <c r="AL534" s="1">
        <v>18</v>
      </c>
      <c r="AM534" s="1" t="s">
        <v>4858</v>
      </c>
      <c r="AN534" s="1" t="s">
        <v>4984</v>
      </c>
      <c r="AO534" s="1" t="s">
        <v>5445</v>
      </c>
      <c r="AP534" s="1">
        <v>0</v>
      </c>
      <c r="AQ534" s="1" t="s">
        <v>5012</v>
      </c>
      <c r="AR534" s="1" t="s">
        <v>4911</v>
      </c>
      <c r="AS534" s="1" t="s">
        <v>1169</v>
      </c>
      <c r="AT534" s="1" t="s">
        <v>328</v>
      </c>
      <c r="AU534" s="1">
        <v>125</v>
      </c>
      <c r="AV534" s="1">
        <v>0</v>
      </c>
      <c r="AW534" s="1" t="s">
        <v>4842</v>
      </c>
      <c r="AX534" s="1" t="s">
        <v>5416</v>
      </c>
      <c r="AY534" s="1">
        <v>6</v>
      </c>
      <c r="AZ534" s="1">
        <v>3125</v>
      </c>
      <c r="BA534" s="1" t="s">
        <v>328</v>
      </c>
      <c r="BB534" s="1" t="s">
        <v>328</v>
      </c>
      <c r="BC534" s="1" t="s">
        <v>4769</v>
      </c>
      <c r="BD534" s="1">
        <v>0</v>
      </c>
      <c r="BE534" s="1"/>
      <c r="BH534">
        <f>COUNTIF(Dropdowns!$I:$AF,C534)</f>
        <v>1</v>
      </c>
    </row>
    <row r="535" spans="1:60" x14ac:dyDescent="0.3">
      <c r="A535" s="1">
        <v>20136</v>
      </c>
      <c r="B535" s="1" t="s">
        <v>4400</v>
      </c>
      <c r="C535" s="207" t="s">
        <v>1684</v>
      </c>
      <c r="D535" s="1" t="s">
        <v>1684</v>
      </c>
      <c r="E535" s="1"/>
      <c r="F535" s="1"/>
      <c r="G535" s="1" t="s">
        <v>4401</v>
      </c>
      <c r="H535" s="1" t="s">
        <v>4402</v>
      </c>
      <c r="I535" s="1" t="s">
        <v>4403</v>
      </c>
      <c r="J535" s="1">
        <v>2</v>
      </c>
      <c r="K535" s="1">
        <v>5</v>
      </c>
      <c r="L535" s="1">
        <v>8400</v>
      </c>
      <c r="M535" s="1">
        <v>25</v>
      </c>
      <c r="N535" s="1">
        <v>20</v>
      </c>
      <c r="O535" s="1">
        <v>15</v>
      </c>
      <c r="P535" s="1">
        <v>10</v>
      </c>
      <c r="Q535" s="1">
        <v>5</v>
      </c>
      <c r="R535" s="1">
        <v>5</v>
      </c>
      <c r="S535" s="1">
        <v>2</v>
      </c>
      <c r="T535" s="1">
        <v>0</v>
      </c>
      <c r="U535" s="1">
        <v>105</v>
      </c>
      <c r="V535" s="1">
        <v>103</v>
      </c>
      <c r="W535" s="1">
        <v>115</v>
      </c>
      <c r="X535" s="1">
        <v>100</v>
      </c>
      <c r="Y535" s="1">
        <v>115</v>
      </c>
      <c r="Z535" s="1">
        <v>125</v>
      </c>
      <c r="AA535" s="1">
        <v>0</v>
      </c>
      <c r="AB535" s="1">
        <v>15</v>
      </c>
      <c r="AC535" s="1">
        <v>5</v>
      </c>
      <c r="AD535" s="1">
        <v>0</v>
      </c>
      <c r="AE535" s="1">
        <v>110</v>
      </c>
      <c r="AF535" s="1">
        <v>100</v>
      </c>
      <c r="AG535" s="1">
        <v>902137</v>
      </c>
      <c r="AH535" s="1">
        <v>902148</v>
      </c>
      <c r="AI535" s="1">
        <v>300102</v>
      </c>
      <c r="AJ535" s="1" t="s">
        <v>1452</v>
      </c>
      <c r="AK535" s="1" t="s">
        <v>1453</v>
      </c>
      <c r="AL535" s="1">
        <v>13</v>
      </c>
      <c r="AM535" s="1" t="s">
        <v>4790</v>
      </c>
      <c r="AN535" s="1" t="s">
        <v>4993</v>
      </c>
      <c r="AO535" s="1" t="s">
        <v>5446</v>
      </c>
      <c r="AP535" s="1">
        <v>0</v>
      </c>
      <c r="AQ535" s="1" t="s">
        <v>1129</v>
      </c>
      <c r="AR535" s="1" t="s">
        <v>1119</v>
      </c>
      <c r="AS535" s="1" t="s">
        <v>1745</v>
      </c>
      <c r="AT535" s="1" t="s">
        <v>328</v>
      </c>
      <c r="AU535" s="1">
        <v>136</v>
      </c>
      <c r="AV535" s="1">
        <v>0</v>
      </c>
      <c r="AW535" s="1" t="s">
        <v>4808</v>
      </c>
      <c r="AX535" s="1" t="s">
        <v>5416</v>
      </c>
      <c r="AY535" s="1">
        <v>5</v>
      </c>
      <c r="AZ535" s="1">
        <v>3136</v>
      </c>
      <c r="BA535" s="1" t="s">
        <v>328</v>
      </c>
      <c r="BB535" s="1" t="s">
        <v>4793</v>
      </c>
      <c r="BC535" s="1" t="s">
        <v>4757</v>
      </c>
      <c r="BD535" s="1">
        <v>0</v>
      </c>
      <c r="BE535" s="1"/>
      <c r="BH535">
        <f>COUNTIF(Dropdowns!$I:$AF,C535)</f>
        <v>1</v>
      </c>
    </row>
    <row r="536" spans="1:60" x14ac:dyDescent="0.3">
      <c r="A536" s="1">
        <v>20143</v>
      </c>
      <c r="B536" s="1" t="s">
        <v>4404</v>
      </c>
      <c r="C536" s="207" t="s">
        <v>825</v>
      </c>
      <c r="D536" s="1" t="s">
        <v>825</v>
      </c>
      <c r="E536" s="1"/>
      <c r="F536" s="1"/>
      <c r="G536" s="1" t="s">
        <v>4405</v>
      </c>
      <c r="H536" s="1" t="s">
        <v>4406</v>
      </c>
      <c r="I536" s="1" t="s">
        <v>4407</v>
      </c>
      <c r="J536" s="1">
        <v>2</v>
      </c>
      <c r="K536" s="1">
        <v>6</v>
      </c>
      <c r="L536" s="1">
        <v>9300</v>
      </c>
      <c r="M536" s="1">
        <v>25</v>
      </c>
      <c r="N536" s="1">
        <v>20</v>
      </c>
      <c r="O536" s="1">
        <v>15</v>
      </c>
      <c r="P536" s="1">
        <v>10</v>
      </c>
      <c r="Q536" s="1">
        <v>5</v>
      </c>
      <c r="R536" s="1">
        <v>5</v>
      </c>
      <c r="S536" s="1">
        <v>2</v>
      </c>
      <c r="T536" s="1">
        <v>0</v>
      </c>
      <c r="U536" s="1">
        <v>115</v>
      </c>
      <c r="V536" s="1">
        <v>110</v>
      </c>
      <c r="W536" s="1">
        <v>125</v>
      </c>
      <c r="X536" s="1">
        <v>100</v>
      </c>
      <c r="Y536" s="1">
        <v>130</v>
      </c>
      <c r="Z536" s="1">
        <v>125</v>
      </c>
      <c r="AA536" s="1">
        <v>0</v>
      </c>
      <c r="AB536" s="1">
        <v>15</v>
      </c>
      <c r="AC536" s="1">
        <v>5</v>
      </c>
      <c r="AD536" s="1">
        <v>0</v>
      </c>
      <c r="AE536" s="1">
        <v>105</v>
      </c>
      <c r="AF536" s="1">
        <v>100</v>
      </c>
      <c r="AG536" s="1">
        <v>803501</v>
      </c>
      <c r="AH536" s="1">
        <v>803502</v>
      </c>
      <c r="AI536" s="1">
        <v>803504</v>
      </c>
      <c r="AJ536" s="1" t="s">
        <v>1454</v>
      </c>
      <c r="AK536" s="1" t="s">
        <v>1455</v>
      </c>
      <c r="AL536" s="1">
        <v>13</v>
      </c>
      <c r="AM536" s="1" t="s">
        <v>4790</v>
      </c>
      <c r="AN536" s="1" t="s">
        <v>4947</v>
      </c>
      <c r="AO536" s="1" t="s">
        <v>5447</v>
      </c>
      <c r="AP536" s="1">
        <v>0</v>
      </c>
      <c r="AQ536" s="1" t="s">
        <v>1744</v>
      </c>
      <c r="AR536" s="1" t="s">
        <v>1119</v>
      </c>
      <c r="AS536" s="1" t="s">
        <v>1130</v>
      </c>
      <c r="AT536" s="1" t="s">
        <v>328</v>
      </c>
      <c r="AU536" s="1">
        <v>143</v>
      </c>
      <c r="AV536" s="1">
        <v>0</v>
      </c>
      <c r="AW536" s="1" t="s">
        <v>5037</v>
      </c>
      <c r="AX536" s="1" t="s">
        <v>5416</v>
      </c>
      <c r="AY536" s="1">
        <v>6</v>
      </c>
      <c r="AZ536" s="1">
        <v>3143</v>
      </c>
      <c r="BA536" s="1" t="s">
        <v>328</v>
      </c>
      <c r="BB536" s="1" t="s">
        <v>5047</v>
      </c>
      <c r="BC536" s="1" t="s">
        <v>4860</v>
      </c>
      <c r="BD536" s="1">
        <v>0</v>
      </c>
      <c r="BE536" s="1"/>
      <c r="BH536">
        <f>COUNTIF(Dropdowns!$I:$AF,C536)</f>
        <v>1</v>
      </c>
    </row>
    <row r="537" spans="1:60" x14ac:dyDescent="0.3">
      <c r="A537" s="1">
        <v>20152</v>
      </c>
      <c r="B537" s="1" t="s">
        <v>4408</v>
      </c>
      <c r="C537" s="207" t="s">
        <v>724</v>
      </c>
      <c r="D537" s="1" t="s">
        <v>724</v>
      </c>
      <c r="E537" s="1"/>
      <c r="F537" s="1"/>
      <c r="G537" s="1" t="s">
        <v>4409</v>
      </c>
      <c r="H537" s="1" t="s">
        <v>4410</v>
      </c>
      <c r="I537" s="1" t="s">
        <v>4411</v>
      </c>
      <c r="J537" s="1">
        <v>6</v>
      </c>
      <c r="K537" s="1">
        <v>4</v>
      </c>
      <c r="L537" s="1">
        <v>27000</v>
      </c>
      <c r="M537" s="1">
        <v>30</v>
      </c>
      <c r="N537" s="1">
        <v>40</v>
      </c>
      <c r="O537" s="1">
        <v>15</v>
      </c>
      <c r="P537" s="1">
        <v>25</v>
      </c>
      <c r="Q537" s="1">
        <v>5</v>
      </c>
      <c r="R537" s="1">
        <v>2</v>
      </c>
      <c r="S537" s="1">
        <v>5</v>
      </c>
      <c r="T537" s="1">
        <v>5</v>
      </c>
      <c r="U537" s="1">
        <v>120</v>
      </c>
      <c r="V537" s="1">
        <v>125</v>
      </c>
      <c r="W537" s="1">
        <v>100</v>
      </c>
      <c r="X537" s="1">
        <v>100</v>
      </c>
      <c r="Y537" s="1">
        <v>108</v>
      </c>
      <c r="Z537" s="1">
        <v>95</v>
      </c>
      <c r="AA537" s="1">
        <v>115</v>
      </c>
      <c r="AB537" s="1">
        <v>15</v>
      </c>
      <c r="AC537" s="1">
        <v>40</v>
      </c>
      <c r="AD537" s="1">
        <v>4</v>
      </c>
      <c r="AE537" s="1">
        <v>100</v>
      </c>
      <c r="AF537" s="1">
        <v>100</v>
      </c>
      <c r="AG537" s="1">
        <v>103203</v>
      </c>
      <c r="AH537" s="1">
        <v>902142</v>
      </c>
      <c r="AI537" s="1">
        <v>902140</v>
      </c>
      <c r="AJ537" s="1" t="s">
        <v>1456</v>
      </c>
      <c r="AK537" s="1" t="s">
        <v>328</v>
      </c>
      <c r="AL537" s="1">
        <v>8</v>
      </c>
      <c r="AM537" s="1" t="s">
        <v>4716</v>
      </c>
      <c r="AN537" s="1" t="s">
        <v>5448</v>
      </c>
      <c r="AO537" s="1" t="s">
        <v>5449</v>
      </c>
      <c r="AP537" s="1">
        <v>0</v>
      </c>
      <c r="AQ537" s="1" t="s">
        <v>1200</v>
      </c>
      <c r="AR537" s="1" t="s">
        <v>5060</v>
      </c>
      <c r="AS537" s="1" t="s">
        <v>1202</v>
      </c>
      <c r="AT537" s="1" t="s">
        <v>328</v>
      </c>
      <c r="AU537" s="1">
        <v>152</v>
      </c>
      <c r="AV537" s="1">
        <v>0</v>
      </c>
      <c r="AW537" s="1" t="s">
        <v>5061</v>
      </c>
      <c r="AX537" s="1" t="s">
        <v>5416</v>
      </c>
      <c r="AY537" s="1">
        <v>4</v>
      </c>
      <c r="AZ537" s="1">
        <v>3152</v>
      </c>
      <c r="BA537" s="1" t="s">
        <v>328</v>
      </c>
      <c r="BB537" s="1" t="s">
        <v>328</v>
      </c>
      <c r="BC537" s="1" t="s">
        <v>4720</v>
      </c>
      <c r="BD537" s="1">
        <v>0</v>
      </c>
      <c r="BE537" s="1"/>
      <c r="BH537">
        <f>COUNTIF(Dropdowns!$I:$AF,C537)</f>
        <v>1</v>
      </c>
    </row>
    <row r="538" spans="1:60" x14ac:dyDescent="0.3">
      <c r="A538" s="1">
        <v>20154</v>
      </c>
      <c r="B538" s="1" t="s">
        <v>4412</v>
      </c>
      <c r="C538" s="207" t="s">
        <v>715</v>
      </c>
      <c r="D538" s="1" t="s">
        <v>715</v>
      </c>
      <c r="E538" s="1"/>
      <c r="F538" s="1"/>
      <c r="G538" s="1" t="s">
        <v>4413</v>
      </c>
      <c r="H538" s="1" t="s">
        <v>4414</v>
      </c>
      <c r="I538" s="1" t="s">
        <v>4415</v>
      </c>
      <c r="J538" s="1">
        <v>6</v>
      </c>
      <c r="K538" s="1">
        <v>4</v>
      </c>
      <c r="L538" s="1">
        <v>26400</v>
      </c>
      <c r="M538" s="1">
        <v>30</v>
      </c>
      <c r="N538" s="1">
        <v>40</v>
      </c>
      <c r="O538" s="1">
        <v>15</v>
      </c>
      <c r="P538" s="1">
        <v>25</v>
      </c>
      <c r="Q538" s="1">
        <v>5</v>
      </c>
      <c r="R538" s="1">
        <v>2</v>
      </c>
      <c r="S538" s="1">
        <v>5</v>
      </c>
      <c r="T538" s="1">
        <v>5</v>
      </c>
      <c r="U538" s="1">
        <v>120</v>
      </c>
      <c r="V538" s="1">
        <v>115</v>
      </c>
      <c r="W538" s="1">
        <v>115</v>
      </c>
      <c r="X538" s="1">
        <v>100</v>
      </c>
      <c r="Y538" s="1">
        <v>110</v>
      </c>
      <c r="Z538" s="1">
        <v>90</v>
      </c>
      <c r="AA538" s="1">
        <v>115</v>
      </c>
      <c r="AB538" s="1">
        <v>15</v>
      </c>
      <c r="AC538" s="1">
        <v>40</v>
      </c>
      <c r="AD538" s="1">
        <v>4</v>
      </c>
      <c r="AE538" s="1">
        <v>95</v>
      </c>
      <c r="AF538" s="1">
        <v>100</v>
      </c>
      <c r="AG538" s="1">
        <v>803301</v>
      </c>
      <c r="AH538" s="1">
        <v>803302</v>
      </c>
      <c r="AI538" s="1">
        <v>300106</v>
      </c>
      <c r="AJ538" s="1" t="s">
        <v>1457</v>
      </c>
      <c r="AK538" s="1" t="s">
        <v>1458</v>
      </c>
      <c r="AL538" s="1">
        <v>7</v>
      </c>
      <c r="AM538" s="1" t="s">
        <v>4716</v>
      </c>
      <c r="AN538" s="1" t="s">
        <v>470</v>
      </c>
      <c r="AO538" s="1" t="s">
        <v>5450</v>
      </c>
      <c r="AP538" s="1">
        <v>0</v>
      </c>
      <c r="AQ538" s="1" t="s">
        <v>1200</v>
      </c>
      <c r="AR538" s="1" t="s">
        <v>1201</v>
      </c>
      <c r="AS538" s="1" t="s">
        <v>5062</v>
      </c>
      <c r="AT538" s="1" t="s">
        <v>328</v>
      </c>
      <c r="AU538" s="1">
        <v>154</v>
      </c>
      <c r="AV538" s="1">
        <v>0</v>
      </c>
      <c r="AW538" s="1" t="s">
        <v>5037</v>
      </c>
      <c r="AX538" s="1" t="s">
        <v>5416</v>
      </c>
      <c r="AY538" s="1">
        <v>4</v>
      </c>
      <c r="AZ538" s="1">
        <v>3154</v>
      </c>
      <c r="BA538" s="1" t="s">
        <v>328</v>
      </c>
      <c r="BB538" s="1" t="s">
        <v>328</v>
      </c>
      <c r="BC538" s="1" t="s">
        <v>4720</v>
      </c>
      <c r="BD538" s="1">
        <v>0</v>
      </c>
      <c r="BE538" s="1"/>
      <c r="BH538">
        <f>COUNTIF(Dropdowns!$I:$AF,C538)</f>
        <v>1</v>
      </c>
    </row>
    <row r="539" spans="1:60" x14ac:dyDescent="0.3">
      <c r="A539" s="1">
        <v>20159</v>
      </c>
      <c r="B539" s="1" t="s">
        <v>4416</v>
      </c>
      <c r="C539" s="207" t="s">
        <v>927</v>
      </c>
      <c r="D539" s="1" t="s">
        <v>927</v>
      </c>
      <c r="E539" s="1"/>
      <c r="F539" s="1"/>
      <c r="G539" s="1" t="s">
        <v>4417</v>
      </c>
      <c r="H539" s="1" t="s">
        <v>4418</v>
      </c>
      <c r="I539" s="1" t="s">
        <v>4419</v>
      </c>
      <c r="J539" s="1">
        <v>6</v>
      </c>
      <c r="K539" s="1">
        <v>4</v>
      </c>
      <c r="L539" s="1">
        <v>27000</v>
      </c>
      <c r="M539" s="1">
        <v>30</v>
      </c>
      <c r="N539" s="1">
        <v>40</v>
      </c>
      <c r="O539" s="1">
        <v>15</v>
      </c>
      <c r="P539" s="1">
        <v>25</v>
      </c>
      <c r="Q539" s="1">
        <v>5</v>
      </c>
      <c r="R539" s="1">
        <v>2</v>
      </c>
      <c r="S539" s="1">
        <v>5</v>
      </c>
      <c r="T539" s="1">
        <v>5</v>
      </c>
      <c r="U539" s="1">
        <v>110</v>
      </c>
      <c r="V539" s="1">
        <v>112</v>
      </c>
      <c r="W539" s="1">
        <v>110</v>
      </c>
      <c r="X539" s="1">
        <v>100</v>
      </c>
      <c r="Y539" s="1">
        <v>106</v>
      </c>
      <c r="Z539" s="1">
        <v>120</v>
      </c>
      <c r="AA539" s="1">
        <v>120</v>
      </c>
      <c r="AB539" s="1">
        <v>15</v>
      </c>
      <c r="AC539" s="1">
        <v>40</v>
      </c>
      <c r="AD539" s="1">
        <v>4</v>
      </c>
      <c r="AE539" s="1">
        <v>100</v>
      </c>
      <c r="AF539" s="1">
        <v>100</v>
      </c>
      <c r="AG539" s="1">
        <v>803701</v>
      </c>
      <c r="AH539" s="1">
        <v>803702</v>
      </c>
      <c r="AI539" s="1">
        <v>300106</v>
      </c>
      <c r="AJ539" s="1" t="s">
        <v>1459</v>
      </c>
      <c r="AK539" s="1" t="s">
        <v>1460</v>
      </c>
      <c r="AL539" s="1">
        <v>9</v>
      </c>
      <c r="AM539" s="1" t="s">
        <v>4716</v>
      </c>
      <c r="AN539" s="1" t="s">
        <v>365</v>
      </c>
      <c r="AO539" s="1" t="s">
        <v>5451</v>
      </c>
      <c r="AP539" s="1">
        <v>0</v>
      </c>
      <c r="AQ539" s="1" t="s">
        <v>5067</v>
      </c>
      <c r="AR539" s="1" t="s">
        <v>1201</v>
      </c>
      <c r="AS539" s="1" t="s">
        <v>1202</v>
      </c>
      <c r="AT539" s="1" t="s">
        <v>328</v>
      </c>
      <c r="AU539" s="1">
        <v>159</v>
      </c>
      <c r="AV539" s="1">
        <v>0</v>
      </c>
      <c r="AW539" s="1" t="s">
        <v>5037</v>
      </c>
      <c r="AX539" s="1" t="s">
        <v>5416</v>
      </c>
      <c r="AY539" s="1">
        <v>4</v>
      </c>
      <c r="AZ539" s="1">
        <v>3159</v>
      </c>
      <c r="BA539" s="1" t="s">
        <v>328</v>
      </c>
      <c r="BB539" s="1" t="s">
        <v>328</v>
      </c>
      <c r="BC539" s="1" t="s">
        <v>4757</v>
      </c>
      <c r="BD539" s="1">
        <v>0</v>
      </c>
      <c r="BE539" s="1"/>
      <c r="BH539">
        <f>COUNTIF(Dropdowns!$I:$AF,C539)</f>
        <v>1</v>
      </c>
    </row>
    <row r="540" spans="1:60" x14ac:dyDescent="0.3">
      <c r="A540" s="1">
        <v>20161</v>
      </c>
      <c r="B540" s="1" t="s">
        <v>4420</v>
      </c>
      <c r="C540" s="207" t="s">
        <v>733</v>
      </c>
      <c r="D540" s="1" t="s">
        <v>4421</v>
      </c>
      <c r="E540" s="1"/>
      <c r="F540" s="1"/>
      <c r="G540" s="1" t="s">
        <v>4422</v>
      </c>
      <c r="H540" s="1" t="s">
        <v>4423</v>
      </c>
      <c r="I540" s="1" t="s">
        <v>4424</v>
      </c>
      <c r="J540" s="1">
        <v>6</v>
      </c>
      <c r="K540" s="1">
        <v>5</v>
      </c>
      <c r="L540" s="1">
        <v>27000</v>
      </c>
      <c r="M540" s="1">
        <v>30</v>
      </c>
      <c r="N540" s="1">
        <v>40</v>
      </c>
      <c r="O540" s="1">
        <v>15</v>
      </c>
      <c r="P540" s="1">
        <v>25</v>
      </c>
      <c r="Q540" s="1">
        <v>5</v>
      </c>
      <c r="R540" s="1">
        <v>2</v>
      </c>
      <c r="S540" s="1">
        <v>5</v>
      </c>
      <c r="T540" s="1">
        <v>5</v>
      </c>
      <c r="U540" s="1">
        <v>120</v>
      </c>
      <c r="V540" s="1">
        <v>120</v>
      </c>
      <c r="W540" s="1">
        <v>105</v>
      </c>
      <c r="X540" s="1">
        <v>100</v>
      </c>
      <c r="Y540" s="1">
        <v>110</v>
      </c>
      <c r="Z540" s="1">
        <v>115</v>
      </c>
      <c r="AA540" s="1">
        <v>115</v>
      </c>
      <c r="AB540" s="1">
        <v>15</v>
      </c>
      <c r="AC540" s="1">
        <v>40</v>
      </c>
      <c r="AD540" s="1">
        <v>3</v>
      </c>
      <c r="AE540" s="1">
        <v>105</v>
      </c>
      <c r="AF540" s="1">
        <v>100</v>
      </c>
      <c r="AG540" s="1">
        <v>900886</v>
      </c>
      <c r="AH540" s="1">
        <v>900887</v>
      </c>
      <c r="AI540" s="1">
        <v>900888</v>
      </c>
      <c r="AJ540" s="1" t="s">
        <v>1461</v>
      </c>
      <c r="AK540" s="1" t="s">
        <v>328</v>
      </c>
      <c r="AL540" s="1">
        <v>8</v>
      </c>
      <c r="AM540" s="1" t="s">
        <v>4716</v>
      </c>
      <c r="AN540" s="1" t="s">
        <v>5452</v>
      </c>
      <c r="AO540" s="1" t="s">
        <v>5068</v>
      </c>
      <c r="AP540" s="1">
        <v>0</v>
      </c>
      <c r="AQ540" s="1" t="s">
        <v>5067</v>
      </c>
      <c r="AR540" s="1" t="s">
        <v>1201</v>
      </c>
      <c r="AS540" s="1" t="s">
        <v>1202</v>
      </c>
      <c r="AT540" s="1" t="s">
        <v>328</v>
      </c>
      <c r="AU540" s="1">
        <v>161</v>
      </c>
      <c r="AV540" s="1">
        <v>0</v>
      </c>
      <c r="AW540" s="1" t="s">
        <v>5037</v>
      </c>
      <c r="AX540" s="1" t="s">
        <v>5416</v>
      </c>
      <c r="AY540" s="1">
        <v>5</v>
      </c>
      <c r="AZ540" s="1">
        <v>3161</v>
      </c>
      <c r="BA540" s="1" t="s">
        <v>328</v>
      </c>
      <c r="BB540" s="1" t="s">
        <v>4952</v>
      </c>
      <c r="BC540" s="1" t="s">
        <v>4783</v>
      </c>
      <c r="BD540" s="1">
        <v>0</v>
      </c>
      <c r="BE540" s="1"/>
      <c r="BH540">
        <f>COUNTIF(Dropdowns!$I:$AF,C540)</f>
        <v>1</v>
      </c>
    </row>
    <row r="541" spans="1:60" x14ac:dyDescent="0.3">
      <c r="A541" s="1">
        <v>20171</v>
      </c>
      <c r="B541" s="1" t="s">
        <v>4451</v>
      </c>
      <c r="C541" s="207" t="s">
        <v>1754</v>
      </c>
      <c r="D541" s="1" t="s">
        <v>4452</v>
      </c>
      <c r="E541" s="1"/>
      <c r="F541" s="1"/>
      <c r="G541" s="1" t="s">
        <v>4453</v>
      </c>
      <c r="H541" s="1" t="s">
        <v>4454</v>
      </c>
      <c r="I541" s="1" t="s">
        <v>4455</v>
      </c>
      <c r="J541" s="1">
        <v>4</v>
      </c>
      <c r="K541" s="1">
        <v>5</v>
      </c>
      <c r="L541" s="1">
        <v>13200</v>
      </c>
      <c r="M541" s="1">
        <v>20</v>
      </c>
      <c r="N541" s="1">
        <v>20</v>
      </c>
      <c r="O541" s="1">
        <v>10</v>
      </c>
      <c r="P541" s="1">
        <v>10</v>
      </c>
      <c r="Q541" s="1">
        <v>2</v>
      </c>
      <c r="R541" s="1">
        <v>5</v>
      </c>
      <c r="S541" s="1">
        <v>5</v>
      </c>
      <c r="T541" s="1">
        <v>0</v>
      </c>
      <c r="U541" s="1">
        <v>105</v>
      </c>
      <c r="V541" s="1">
        <v>130</v>
      </c>
      <c r="W541" s="1">
        <v>96</v>
      </c>
      <c r="X541" s="1">
        <v>100</v>
      </c>
      <c r="Y541" s="1">
        <v>100</v>
      </c>
      <c r="Z541" s="1">
        <v>85</v>
      </c>
      <c r="AA541" s="1">
        <v>0</v>
      </c>
      <c r="AB541" s="1">
        <v>15</v>
      </c>
      <c r="AC541" s="1">
        <v>20</v>
      </c>
      <c r="AD541" s="1">
        <v>0</v>
      </c>
      <c r="AE541" s="1">
        <v>135</v>
      </c>
      <c r="AF541" s="1">
        <v>100</v>
      </c>
      <c r="AG541" s="1">
        <v>804001</v>
      </c>
      <c r="AH541" s="1">
        <v>804002</v>
      </c>
      <c r="AI541" s="1">
        <v>300103</v>
      </c>
      <c r="AJ541" s="1" t="s">
        <v>1747</v>
      </c>
      <c r="AK541" s="1" t="s">
        <v>328</v>
      </c>
      <c r="AL541" s="1">
        <v>13</v>
      </c>
      <c r="AM541" s="1" t="s">
        <v>4790</v>
      </c>
      <c r="AN541" s="1" t="s">
        <v>464</v>
      </c>
      <c r="AO541" s="1" t="s">
        <v>5358</v>
      </c>
      <c r="AP541" s="1">
        <v>0</v>
      </c>
      <c r="AQ541" s="1" t="s">
        <v>1745</v>
      </c>
      <c r="AR541" s="1" t="s">
        <v>1154</v>
      </c>
      <c r="AS541" s="1" t="s">
        <v>1129</v>
      </c>
      <c r="AT541" s="1" t="s">
        <v>328</v>
      </c>
      <c r="AU541" s="1">
        <v>171</v>
      </c>
      <c r="AV541" s="1">
        <v>0</v>
      </c>
      <c r="AW541" s="1" t="s">
        <v>5084</v>
      </c>
      <c r="AX541" s="1" t="s">
        <v>5416</v>
      </c>
      <c r="AY541" s="1">
        <v>5</v>
      </c>
      <c r="AZ541" s="1">
        <v>3171</v>
      </c>
      <c r="BA541" s="1" t="s">
        <v>328</v>
      </c>
      <c r="BB541" s="1" t="s">
        <v>5089</v>
      </c>
      <c r="BC541" s="1" t="s">
        <v>328</v>
      </c>
      <c r="BD541" s="1">
        <v>0</v>
      </c>
      <c r="BE541" s="1"/>
      <c r="BH541">
        <f>COUNTIF(Dropdowns!$I:$AF,C541)</f>
        <v>1</v>
      </c>
    </row>
    <row r="542" spans="1:60" x14ac:dyDescent="0.3">
      <c r="A542" s="1">
        <v>20178</v>
      </c>
      <c r="B542" s="1" t="s">
        <v>4425</v>
      </c>
      <c r="C542" s="207" t="s">
        <v>826</v>
      </c>
      <c r="D542" s="1" t="s">
        <v>826</v>
      </c>
      <c r="E542" s="1"/>
      <c r="F542" s="1"/>
      <c r="G542" s="1" t="s">
        <v>4426</v>
      </c>
      <c r="H542" s="1" t="s">
        <v>4427</v>
      </c>
      <c r="I542" s="1" t="s">
        <v>4428</v>
      </c>
      <c r="J542" s="1">
        <v>2</v>
      </c>
      <c r="K542" s="1">
        <v>4</v>
      </c>
      <c r="L542" s="1">
        <v>6600</v>
      </c>
      <c r="M542" s="1">
        <v>25</v>
      </c>
      <c r="N542" s="1">
        <v>20</v>
      </c>
      <c r="O542" s="1">
        <v>15</v>
      </c>
      <c r="P542" s="1">
        <v>10</v>
      </c>
      <c r="Q542" s="1">
        <v>5</v>
      </c>
      <c r="R542" s="1">
        <v>5</v>
      </c>
      <c r="S542" s="1">
        <v>2</v>
      </c>
      <c r="T542" s="1">
        <v>0</v>
      </c>
      <c r="U542" s="1">
        <v>120</v>
      </c>
      <c r="V542" s="1">
        <v>102</v>
      </c>
      <c r="W542" s="1">
        <v>100</v>
      </c>
      <c r="X542" s="1">
        <v>100</v>
      </c>
      <c r="Y542" s="1">
        <v>110</v>
      </c>
      <c r="Z542" s="1">
        <v>98</v>
      </c>
      <c r="AA542" s="1">
        <v>0</v>
      </c>
      <c r="AB542" s="1">
        <v>15</v>
      </c>
      <c r="AC542" s="1">
        <v>5</v>
      </c>
      <c r="AD542" s="1">
        <v>0</v>
      </c>
      <c r="AE542" s="1">
        <v>112</v>
      </c>
      <c r="AF542" s="1">
        <v>100</v>
      </c>
      <c r="AG542" s="1">
        <v>902234</v>
      </c>
      <c r="AH542" s="1">
        <v>902235</v>
      </c>
      <c r="AI542" s="1">
        <v>300102</v>
      </c>
      <c r="AJ542" s="1" t="s">
        <v>328</v>
      </c>
      <c r="AK542" s="1" t="s">
        <v>328</v>
      </c>
      <c r="AL542" s="1">
        <v>13</v>
      </c>
      <c r="AM542" s="1" t="s">
        <v>398</v>
      </c>
      <c r="AN542" s="1" t="s">
        <v>5453</v>
      </c>
      <c r="AO542" s="1" t="s">
        <v>5454</v>
      </c>
      <c r="AP542" s="1">
        <v>0</v>
      </c>
      <c r="AQ542" s="1" t="s">
        <v>1744</v>
      </c>
      <c r="AR542" s="1" t="s">
        <v>1119</v>
      </c>
      <c r="AS542" s="1" t="s">
        <v>1130</v>
      </c>
      <c r="AT542" s="1" t="s">
        <v>328</v>
      </c>
      <c r="AU542" s="1">
        <v>178</v>
      </c>
      <c r="AV542" s="1">
        <v>0</v>
      </c>
      <c r="AW542" s="1" t="s">
        <v>4967</v>
      </c>
      <c r="AX542" s="1" t="s">
        <v>5416</v>
      </c>
      <c r="AY542" s="1">
        <v>4</v>
      </c>
      <c r="AZ542" s="1">
        <v>3178</v>
      </c>
      <c r="BA542" s="1" t="s">
        <v>328</v>
      </c>
      <c r="BB542" s="1" t="s">
        <v>5104</v>
      </c>
      <c r="BC542" s="1" t="s">
        <v>328</v>
      </c>
      <c r="BD542" s="1">
        <v>0</v>
      </c>
      <c r="BE542" s="1"/>
      <c r="BH542">
        <f>COUNTIF(Dropdowns!$I:$AF,C542)</f>
        <v>1</v>
      </c>
    </row>
    <row r="543" spans="1:60" x14ac:dyDescent="0.3">
      <c r="A543" s="1">
        <v>20199</v>
      </c>
      <c r="B543" s="1" t="s">
        <v>4429</v>
      </c>
      <c r="C543" s="207" t="s">
        <v>833</v>
      </c>
      <c r="D543" s="1" t="s">
        <v>4430</v>
      </c>
      <c r="E543" s="1"/>
      <c r="F543" s="1"/>
      <c r="G543" s="1" t="s">
        <v>4431</v>
      </c>
      <c r="H543" s="1" t="s">
        <v>4432</v>
      </c>
      <c r="I543" s="1" t="s">
        <v>4433</v>
      </c>
      <c r="J543" s="1">
        <v>5</v>
      </c>
      <c r="K543" s="1">
        <v>5</v>
      </c>
      <c r="L543" s="1">
        <v>22500</v>
      </c>
      <c r="M543" s="1">
        <v>40</v>
      </c>
      <c r="N543" s="1">
        <v>30</v>
      </c>
      <c r="O543" s="1">
        <v>25</v>
      </c>
      <c r="P543" s="1">
        <v>15</v>
      </c>
      <c r="Q543" s="1">
        <v>5</v>
      </c>
      <c r="R543" s="1">
        <v>5</v>
      </c>
      <c r="S543" s="1">
        <v>2</v>
      </c>
      <c r="T543" s="1">
        <v>5</v>
      </c>
      <c r="U543" s="1">
        <v>108</v>
      </c>
      <c r="V543" s="1">
        <v>128</v>
      </c>
      <c r="W543" s="1">
        <v>115</v>
      </c>
      <c r="X543" s="1">
        <v>100</v>
      </c>
      <c r="Y543" s="1">
        <v>122</v>
      </c>
      <c r="Z543" s="1">
        <v>105</v>
      </c>
      <c r="AA543" s="1">
        <v>0</v>
      </c>
      <c r="AB543" s="1">
        <v>15</v>
      </c>
      <c r="AC543" s="1">
        <v>5</v>
      </c>
      <c r="AD543" s="1">
        <v>10</v>
      </c>
      <c r="AE543" s="1">
        <v>105</v>
      </c>
      <c r="AF543" s="1">
        <v>100</v>
      </c>
      <c r="AG543" s="1">
        <v>902236</v>
      </c>
      <c r="AH543" s="1">
        <v>902237</v>
      </c>
      <c r="AI543" s="1">
        <v>902238</v>
      </c>
      <c r="AJ543" s="1" t="s">
        <v>1462</v>
      </c>
      <c r="AK543" s="1" t="s">
        <v>1226</v>
      </c>
      <c r="AL543" s="1">
        <v>19</v>
      </c>
      <c r="AM543" s="1" t="s">
        <v>387</v>
      </c>
      <c r="AN543" s="1" t="s">
        <v>5455</v>
      </c>
      <c r="AO543" s="1" t="s">
        <v>5267</v>
      </c>
      <c r="AP543" s="1">
        <v>0</v>
      </c>
      <c r="AQ543" s="1" t="s">
        <v>5012</v>
      </c>
      <c r="AR543" s="1" t="s">
        <v>1168</v>
      </c>
      <c r="AS543" s="1" t="s">
        <v>1169</v>
      </c>
      <c r="AT543" s="1" t="s">
        <v>328</v>
      </c>
      <c r="AU543" s="1">
        <v>199</v>
      </c>
      <c r="AV543" s="1">
        <v>0</v>
      </c>
      <c r="AW543" s="1" t="s">
        <v>5033</v>
      </c>
      <c r="AX543" s="1" t="s">
        <v>5416</v>
      </c>
      <c r="AY543" s="1">
        <v>5</v>
      </c>
      <c r="AZ543" s="1">
        <v>3199</v>
      </c>
      <c r="BA543" s="1" t="s">
        <v>328</v>
      </c>
      <c r="BB543" s="1" t="s">
        <v>5137</v>
      </c>
      <c r="BC543" s="1" t="s">
        <v>4783</v>
      </c>
      <c r="BD543" s="1">
        <v>0</v>
      </c>
      <c r="BE543" s="1"/>
      <c r="BH543">
        <f>COUNTIF(Dropdowns!$I:$AF,C543)</f>
        <v>1</v>
      </c>
    </row>
    <row r="544" spans="1:60" x14ac:dyDescent="0.3">
      <c r="A544" s="1">
        <v>20200</v>
      </c>
      <c r="B544" s="1" t="s">
        <v>4434</v>
      </c>
      <c r="C544" s="207" t="s">
        <v>928</v>
      </c>
      <c r="D544" s="1" t="s">
        <v>928</v>
      </c>
      <c r="E544" s="1"/>
      <c r="F544" s="1"/>
      <c r="G544" s="1" t="s">
        <v>4435</v>
      </c>
      <c r="H544" s="1" t="s">
        <v>4436</v>
      </c>
      <c r="I544" s="1" t="s">
        <v>4437</v>
      </c>
      <c r="J544" s="1">
        <v>3</v>
      </c>
      <c r="K544" s="1">
        <v>5</v>
      </c>
      <c r="L544" s="1">
        <v>15600</v>
      </c>
      <c r="M544" s="1">
        <v>15</v>
      </c>
      <c r="N544" s="1">
        <v>30</v>
      </c>
      <c r="O544" s="1">
        <v>10</v>
      </c>
      <c r="P544" s="1">
        <v>15</v>
      </c>
      <c r="Q544" s="1">
        <v>5</v>
      </c>
      <c r="R544" s="1">
        <v>2</v>
      </c>
      <c r="S544" s="1">
        <v>5</v>
      </c>
      <c r="T544" s="1">
        <v>0</v>
      </c>
      <c r="U544" s="1">
        <v>95</v>
      </c>
      <c r="V544" s="1">
        <v>120</v>
      </c>
      <c r="W544" s="1">
        <v>105</v>
      </c>
      <c r="X544" s="1">
        <v>100</v>
      </c>
      <c r="Y544" s="1">
        <v>128</v>
      </c>
      <c r="Z544" s="1">
        <v>88</v>
      </c>
      <c r="AA544" s="1">
        <v>0</v>
      </c>
      <c r="AB544" s="1">
        <v>15</v>
      </c>
      <c r="AC544" s="1">
        <v>40</v>
      </c>
      <c r="AD544" s="1">
        <v>0</v>
      </c>
      <c r="AE544" s="1">
        <v>128</v>
      </c>
      <c r="AF544" s="1">
        <v>100</v>
      </c>
      <c r="AG544" s="1">
        <v>803801</v>
      </c>
      <c r="AH544" s="1">
        <v>803802</v>
      </c>
      <c r="AI544" s="1">
        <v>803803</v>
      </c>
      <c r="AJ544" s="1" t="s">
        <v>1463</v>
      </c>
      <c r="AK544" s="1" t="s">
        <v>328</v>
      </c>
      <c r="AL544" s="1">
        <v>13</v>
      </c>
      <c r="AM544" s="1" t="s">
        <v>4762</v>
      </c>
      <c r="AN544" s="1" t="s">
        <v>4829</v>
      </c>
      <c r="AO544" s="1" t="s">
        <v>4845</v>
      </c>
      <c r="AP544" s="1">
        <v>0</v>
      </c>
      <c r="AQ544" s="1" t="s">
        <v>1746</v>
      </c>
      <c r="AR544" s="1" t="s">
        <v>1141</v>
      </c>
      <c r="AS544" s="1" t="s">
        <v>1142</v>
      </c>
      <c r="AT544" s="1" t="s">
        <v>328</v>
      </c>
      <c r="AU544" s="1">
        <v>200</v>
      </c>
      <c r="AV544" s="1">
        <v>0</v>
      </c>
      <c r="AW544" s="1" t="s">
        <v>5131</v>
      </c>
      <c r="AX544" s="1" t="s">
        <v>5416</v>
      </c>
      <c r="AY544" s="1">
        <v>5</v>
      </c>
      <c r="AZ544" s="1">
        <v>3200</v>
      </c>
      <c r="BA544" s="1" t="s">
        <v>328</v>
      </c>
      <c r="BB544" s="1" t="s">
        <v>328</v>
      </c>
      <c r="BC544" s="1" t="s">
        <v>4720</v>
      </c>
      <c r="BD544" s="1">
        <v>0</v>
      </c>
      <c r="BE544" s="1"/>
      <c r="BH544">
        <f>COUNTIF(Dropdowns!$I:$AF,C544)</f>
        <v>1</v>
      </c>
    </row>
    <row r="545" spans="1:60" x14ac:dyDescent="0.3">
      <c r="A545" s="1">
        <v>20201</v>
      </c>
      <c r="B545" s="1" t="s">
        <v>4456</v>
      </c>
      <c r="C545" s="207" t="s">
        <v>1755</v>
      </c>
      <c r="D545" s="1" t="s">
        <v>4457</v>
      </c>
      <c r="E545" s="1"/>
      <c r="F545" s="1"/>
      <c r="G545" s="1" t="s">
        <v>4458</v>
      </c>
      <c r="H545" s="1" t="s">
        <v>4459</v>
      </c>
      <c r="I545" s="1" t="s">
        <v>4460</v>
      </c>
      <c r="J545" s="1">
        <v>3</v>
      </c>
      <c r="K545" s="1">
        <v>4</v>
      </c>
      <c r="L545" s="1">
        <v>15600</v>
      </c>
      <c r="M545" s="1">
        <v>15</v>
      </c>
      <c r="N545" s="1">
        <v>30</v>
      </c>
      <c r="O545" s="1">
        <v>10</v>
      </c>
      <c r="P545" s="1">
        <v>15</v>
      </c>
      <c r="Q545" s="1">
        <v>5</v>
      </c>
      <c r="R545" s="1">
        <v>2</v>
      </c>
      <c r="S545" s="1">
        <v>5</v>
      </c>
      <c r="T545" s="1">
        <v>0</v>
      </c>
      <c r="U545" s="1">
        <v>100</v>
      </c>
      <c r="V545" s="1">
        <v>140</v>
      </c>
      <c r="W545" s="1">
        <v>85</v>
      </c>
      <c r="X545" s="1">
        <v>100</v>
      </c>
      <c r="Y545" s="1">
        <v>120</v>
      </c>
      <c r="Z545" s="1">
        <v>82</v>
      </c>
      <c r="AA545" s="1">
        <v>0</v>
      </c>
      <c r="AB545" s="1">
        <v>15</v>
      </c>
      <c r="AC545" s="1">
        <v>40</v>
      </c>
      <c r="AD545" s="1">
        <v>0</v>
      </c>
      <c r="AE545" s="1">
        <v>120</v>
      </c>
      <c r="AF545" s="1">
        <v>100</v>
      </c>
      <c r="AG545" s="1">
        <v>740008</v>
      </c>
      <c r="AH545" s="1">
        <v>740009</v>
      </c>
      <c r="AI545" s="1">
        <v>740012</v>
      </c>
      <c r="AJ545" s="1" t="s">
        <v>1751</v>
      </c>
      <c r="AK545" s="1" t="s">
        <v>1752</v>
      </c>
      <c r="AL545" s="1">
        <v>13</v>
      </c>
      <c r="AM545" s="1" t="s">
        <v>4762</v>
      </c>
      <c r="AN545" s="1" t="s">
        <v>4884</v>
      </c>
      <c r="AO545" s="1" t="s">
        <v>4832</v>
      </c>
      <c r="AP545" s="1">
        <v>0</v>
      </c>
      <c r="AQ545" s="1" t="s">
        <v>1746</v>
      </c>
      <c r="AR545" s="1" t="s">
        <v>1141</v>
      </c>
      <c r="AS545" s="1" t="s">
        <v>1142</v>
      </c>
      <c r="AT545" s="1" t="s">
        <v>328</v>
      </c>
      <c r="AU545" s="1">
        <v>201</v>
      </c>
      <c r="AV545" s="1">
        <v>0</v>
      </c>
      <c r="AW545" s="1" t="s">
        <v>5139</v>
      </c>
      <c r="AX545" s="1" t="s">
        <v>5416</v>
      </c>
      <c r="AY545" s="1">
        <v>4</v>
      </c>
      <c r="AZ545" s="1">
        <v>3201</v>
      </c>
      <c r="BA545" s="1" t="s">
        <v>328</v>
      </c>
      <c r="BB545" s="1" t="s">
        <v>353</v>
      </c>
      <c r="BC545" s="1" t="s">
        <v>328</v>
      </c>
      <c r="BD545" s="1">
        <v>0</v>
      </c>
      <c r="BE545" s="1"/>
      <c r="BH545">
        <f>COUNTIF(Dropdowns!$I:$AF,C545)</f>
        <v>1</v>
      </c>
    </row>
    <row r="546" spans="1:60" x14ac:dyDescent="0.3">
      <c r="A546" s="1">
        <v>20205</v>
      </c>
      <c r="B546" s="1" t="s">
        <v>5727</v>
      </c>
      <c r="C546" s="207" t="s">
        <v>5728</v>
      </c>
      <c r="D546" s="1" t="s">
        <v>5728</v>
      </c>
      <c r="E546" s="1"/>
      <c r="F546" s="1"/>
      <c r="G546" s="1" t="s">
        <v>5729</v>
      </c>
      <c r="H546" s="1" t="s">
        <v>5730</v>
      </c>
      <c r="I546" s="1" t="s">
        <v>5731</v>
      </c>
      <c r="J546" s="1">
        <v>4</v>
      </c>
      <c r="K546" s="1">
        <v>6</v>
      </c>
      <c r="L546" s="1">
        <v>14940</v>
      </c>
      <c r="M546" s="1">
        <v>20</v>
      </c>
      <c r="N546" s="1">
        <v>20</v>
      </c>
      <c r="O546" s="1">
        <v>10</v>
      </c>
      <c r="P546" s="1">
        <v>10</v>
      </c>
      <c r="Q546" s="1">
        <v>2</v>
      </c>
      <c r="R546" s="1">
        <v>5</v>
      </c>
      <c r="S546" s="1">
        <v>5</v>
      </c>
      <c r="T546" s="1">
        <v>0</v>
      </c>
      <c r="U546" s="1">
        <v>105</v>
      </c>
      <c r="V546" s="1">
        <v>112</v>
      </c>
      <c r="W546" s="1">
        <v>110</v>
      </c>
      <c r="X546" s="1">
        <v>100</v>
      </c>
      <c r="Y546" s="1">
        <v>135</v>
      </c>
      <c r="Z546" s="1">
        <v>95</v>
      </c>
      <c r="AA546" s="1">
        <v>0</v>
      </c>
      <c r="AB546" s="1">
        <v>15</v>
      </c>
      <c r="AC546" s="1">
        <v>20</v>
      </c>
      <c r="AD546" s="1">
        <v>0</v>
      </c>
      <c r="AE546" s="1">
        <v>148</v>
      </c>
      <c r="AF546" s="1">
        <v>100</v>
      </c>
      <c r="AG546" s="1">
        <v>750334</v>
      </c>
      <c r="AH546" s="1">
        <v>750340</v>
      </c>
      <c r="AI546" s="1">
        <v>750339</v>
      </c>
      <c r="AJ546" s="1" t="s">
        <v>5732</v>
      </c>
      <c r="AK546" s="1" t="s">
        <v>328</v>
      </c>
      <c r="AL546" s="1">
        <v>12</v>
      </c>
      <c r="AM546" s="1" t="s">
        <v>4719</v>
      </c>
      <c r="AN546" s="1" t="s">
        <v>5147</v>
      </c>
      <c r="AO546" s="1" t="s">
        <v>5733</v>
      </c>
      <c r="AP546" s="1">
        <v>0</v>
      </c>
      <c r="AQ546" s="1" t="s">
        <v>1745</v>
      </c>
      <c r="AR546" s="1" t="s">
        <v>1154</v>
      </c>
      <c r="AS546" s="1" t="s">
        <v>1129</v>
      </c>
      <c r="AT546" s="1" t="s">
        <v>328</v>
      </c>
      <c r="AU546" s="1">
        <v>205</v>
      </c>
      <c r="AV546" s="1">
        <v>0</v>
      </c>
      <c r="AW546" s="1" t="s">
        <v>4818</v>
      </c>
      <c r="AX546" s="1" t="s">
        <v>5416</v>
      </c>
      <c r="AY546" s="1">
        <v>6</v>
      </c>
      <c r="AZ546" s="1">
        <v>3205</v>
      </c>
      <c r="BA546" s="1" t="s">
        <v>328</v>
      </c>
      <c r="BB546" s="1" t="s">
        <v>353</v>
      </c>
      <c r="BC546" s="1" t="s">
        <v>5149</v>
      </c>
      <c r="BD546" s="1">
        <v>0</v>
      </c>
      <c r="BE546" s="1"/>
      <c r="BH546">
        <f>COUNTIF(Dropdowns!$I:$AF,C546)</f>
        <v>1</v>
      </c>
    </row>
    <row r="547" spans="1:60" x14ac:dyDescent="0.3">
      <c r="A547" s="1">
        <v>20216</v>
      </c>
      <c r="B547" s="1" t="s">
        <v>5734</v>
      </c>
      <c r="C547" s="207" t="s">
        <v>5735</v>
      </c>
      <c r="D547" s="1" t="s">
        <v>5735</v>
      </c>
      <c r="E547" s="1"/>
      <c r="F547" s="1"/>
      <c r="G547" s="1" t="s">
        <v>5736</v>
      </c>
      <c r="H547" s="1" t="s">
        <v>5737</v>
      </c>
      <c r="I547" s="1" t="s">
        <v>5738</v>
      </c>
      <c r="J547" s="1">
        <v>4</v>
      </c>
      <c r="K547" s="1">
        <v>5</v>
      </c>
      <c r="L547" s="1">
        <v>12300</v>
      </c>
      <c r="M547" s="1">
        <v>20</v>
      </c>
      <c r="N547" s="1">
        <v>20</v>
      </c>
      <c r="O547" s="1">
        <v>10</v>
      </c>
      <c r="P547" s="1">
        <v>10</v>
      </c>
      <c r="Q547" s="1">
        <v>2</v>
      </c>
      <c r="R547" s="1">
        <v>5</v>
      </c>
      <c r="S547" s="1">
        <v>5</v>
      </c>
      <c r="T547" s="1">
        <v>0</v>
      </c>
      <c r="U547" s="1">
        <v>98</v>
      </c>
      <c r="V547" s="1">
        <v>115</v>
      </c>
      <c r="W547" s="1">
        <v>120</v>
      </c>
      <c r="X547" s="1">
        <v>100</v>
      </c>
      <c r="Y547" s="1">
        <v>118</v>
      </c>
      <c r="Z547" s="1">
        <v>110</v>
      </c>
      <c r="AA547" s="1">
        <v>0</v>
      </c>
      <c r="AB547" s="1">
        <v>15</v>
      </c>
      <c r="AC547" s="1">
        <v>20</v>
      </c>
      <c r="AD547" s="1">
        <v>0</v>
      </c>
      <c r="AE547" s="1">
        <v>120</v>
      </c>
      <c r="AF547" s="1">
        <v>100</v>
      </c>
      <c r="AG547" s="1">
        <v>750301</v>
      </c>
      <c r="AH547" s="1">
        <v>750300</v>
      </c>
      <c r="AI547" s="1">
        <v>300103</v>
      </c>
      <c r="AJ547" s="1" t="s">
        <v>5739</v>
      </c>
      <c r="AK547" s="1" t="s">
        <v>5740</v>
      </c>
      <c r="AL547" s="1">
        <v>14</v>
      </c>
      <c r="AM547" s="1" t="s">
        <v>4719</v>
      </c>
      <c r="AN547" s="1" t="s">
        <v>5741</v>
      </c>
      <c r="AO547" s="1" t="s">
        <v>5742</v>
      </c>
      <c r="AP547" s="1">
        <v>0</v>
      </c>
      <c r="AQ547" s="1" t="s">
        <v>1745</v>
      </c>
      <c r="AR547" s="1" t="s">
        <v>1154</v>
      </c>
      <c r="AS547" s="1" t="s">
        <v>1129</v>
      </c>
      <c r="AT547" s="1" t="s">
        <v>328</v>
      </c>
      <c r="AU547" s="1">
        <v>216</v>
      </c>
      <c r="AV547" s="1">
        <v>0</v>
      </c>
      <c r="AW547" s="1" t="s">
        <v>5162</v>
      </c>
      <c r="AX547" s="1" t="s">
        <v>5416</v>
      </c>
      <c r="AY547" s="1">
        <v>5</v>
      </c>
      <c r="AZ547" s="1">
        <v>3216</v>
      </c>
      <c r="BA547" s="1" t="s">
        <v>328</v>
      </c>
      <c r="BB547" s="1" t="s">
        <v>5170</v>
      </c>
      <c r="BC547" s="1" t="s">
        <v>4769</v>
      </c>
      <c r="BD547" s="1">
        <v>0</v>
      </c>
      <c r="BE547" s="1"/>
      <c r="BH547">
        <f>COUNTIF(Dropdowns!$I:$AF,C547)</f>
        <v>1</v>
      </c>
    </row>
    <row r="548" spans="1:60" x14ac:dyDescent="0.3">
      <c r="A548" s="1">
        <v>20220</v>
      </c>
      <c r="B548" s="1" t="s">
        <v>4461</v>
      </c>
      <c r="C548" s="207" t="s">
        <v>1753</v>
      </c>
      <c r="D548" s="1" t="s">
        <v>1753</v>
      </c>
      <c r="E548" s="1"/>
      <c r="F548" s="1"/>
      <c r="G548" s="1" t="s">
        <v>4462</v>
      </c>
      <c r="H548" s="1" t="s">
        <v>4463</v>
      </c>
      <c r="I548" s="1" t="s">
        <v>4464</v>
      </c>
      <c r="J548" s="1">
        <v>1</v>
      </c>
      <c r="K548" s="1">
        <v>4</v>
      </c>
      <c r="L548" s="1">
        <v>2700</v>
      </c>
      <c r="M548" s="1">
        <v>10</v>
      </c>
      <c r="N548" s="1">
        <v>10</v>
      </c>
      <c r="O548" s="1">
        <v>5</v>
      </c>
      <c r="P548" s="1">
        <v>5</v>
      </c>
      <c r="Q548" s="1">
        <v>2</v>
      </c>
      <c r="R548" s="1">
        <v>2</v>
      </c>
      <c r="S548" s="1">
        <v>2</v>
      </c>
      <c r="T548" s="1">
        <v>0</v>
      </c>
      <c r="U548" s="1">
        <v>115</v>
      </c>
      <c r="V548" s="1">
        <v>120</v>
      </c>
      <c r="W548" s="1">
        <v>110</v>
      </c>
      <c r="X548" s="1">
        <v>100</v>
      </c>
      <c r="Y548" s="1">
        <v>105</v>
      </c>
      <c r="Z548" s="1">
        <v>105</v>
      </c>
      <c r="AA548" s="1">
        <v>0</v>
      </c>
      <c r="AB548" s="1">
        <v>15</v>
      </c>
      <c r="AC548" s="1">
        <v>20</v>
      </c>
      <c r="AD548" s="1">
        <v>0</v>
      </c>
      <c r="AE548" s="1">
        <v>122</v>
      </c>
      <c r="AF548" s="1">
        <v>100</v>
      </c>
      <c r="AG548" s="1">
        <v>740001</v>
      </c>
      <c r="AH548" s="1">
        <v>740002</v>
      </c>
      <c r="AI548" s="1">
        <v>300101</v>
      </c>
      <c r="AJ548" s="1" t="s">
        <v>328</v>
      </c>
      <c r="AK548" s="1" t="s">
        <v>328</v>
      </c>
      <c r="AL548" s="1">
        <v>13</v>
      </c>
      <c r="AM548" s="1" t="s">
        <v>1806</v>
      </c>
      <c r="AN548" s="1" t="s">
        <v>4861</v>
      </c>
      <c r="AO548" s="1" t="s">
        <v>4954</v>
      </c>
      <c r="AP548" s="1">
        <v>0</v>
      </c>
      <c r="AQ548" s="1" t="s">
        <v>1118</v>
      </c>
      <c r="AR548" s="1" t="s">
        <v>1743</v>
      </c>
      <c r="AS548" s="1" t="s">
        <v>1120</v>
      </c>
      <c r="AT548" s="1" t="s">
        <v>328</v>
      </c>
      <c r="AU548" s="1">
        <v>220</v>
      </c>
      <c r="AV548" s="1">
        <v>0</v>
      </c>
      <c r="AW548" s="1" t="s">
        <v>5174</v>
      </c>
      <c r="AX548" s="1" t="s">
        <v>5416</v>
      </c>
      <c r="AY548" s="1">
        <v>4</v>
      </c>
      <c r="AZ548" s="1">
        <v>3220</v>
      </c>
      <c r="BA548" s="1" t="s">
        <v>328</v>
      </c>
      <c r="BB548" s="1" t="s">
        <v>467</v>
      </c>
      <c r="BC548" s="1" t="s">
        <v>4757</v>
      </c>
      <c r="BD548" s="1">
        <v>0</v>
      </c>
      <c r="BE548" s="1"/>
      <c r="BH548">
        <f>COUNTIF(Dropdowns!$I:$AF,C548)</f>
        <v>0</v>
      </c>
    </row>
    <row r="549" spans="1:60" x14ac:dyDescent="0.3">
      <c r="A549" s="1">
        <v>20221</v>
      </c>
      <c r="B549" s="1" t="s">
        <v>4438</v>
      </c>
      <c r="C549" s="207" t="s">
        <v>1685</v>
      </c>
      <c r="D549" s="1" t="s">
        <v>4439</v>
      </c>
      <c r="E549" s="1"/>
      <c r="F549" s="1"/>
      <c r="G549" s="1" t="s">
        <v>4440</v>
      </c>
      <c r="H549" s="1" t="s">
        <v>4441</v>
      </c>
      <c r="I549" s="1" t="s">
        <v>4442</v>
      </c>
      <c r="J549" s="1">
        <v>1</v>
      </c>
      <c r="K549" s="1">
        <v>4</v>
      </c>
      <c r="L549" s="1">
        <v>2700</v>
      </c>
      <c r="M549" s="1">
        <v>10</v>
      </c>
      <c r="N549" s="1">
        <v>10</v>
      </c>
      <c r="O549" s="1">
        <v>5</v>
      </c>
      <c r="P549" s="1">
        <v>5</v>
      </c>
      <c r="Q549" s="1">
        <v>2</v>
      </c>
      <c r="R549" s="1">
        <v>2</v>
      </c>
      <c r="S549" s="1">
        <v>2</v>
      </c>
      <c r="T549" s="1">
        <v>0</v>
      </c>
      <c r="U549" s="1">
        <v>108</v>
      </c>
      <c r="V549" s="1">
        <v>130</v>
      </c>
      <c r="W549" s="1">
        <v>111</v>
      </c>
      <c r="X549" s="1">
        <v>100</v>
      </c>
      <c r="Y549" s="1">
        <v>115</v>
      </c>
      <c r="Z549" s="1">
        <v>130</v>
      </c>
      <c r="AA549" s="1">
        <v>0</v>
      </c>
      <c r="AB549" s="1">
        <v>15</v>
      </c>
      <c r="AC549" s="1">
        <v>20</v>
      </c>
      <c r="AD549" s="1">
        <v>0</v>
      </c>
      <c r="AE549" s="1">
        <v>105</v>
      </c>
      <c r="AF549" s="1">
        <v>100</v>
      </c>
      <c r="AG549" s="1">
        <v>803201</v>
      </c>
      <c r="AH549" s="1">
        <v>803205</v>
      </c>
      <c r="AI549" s="1">
        <v>803203</v>
      </c>
      <c r="AJ549" s="1" t="s">
        <v>1160</v>
      </c>
      <c r="AK549" s="1" t="s">
        <v>1464</v>
      </c>
      <c r="AL549" s="1">
        <v>13</v>
      </c>
      <c r="AM549" s="1" t="s">
        <v>1806</v>
      </c>
      <c r="AN549" s="1" t="s">
        <v>5456</v>
      </c>
      <c r="AO549" s="1" t="s">
        <v>5063</v>
      </c>
      <c r="AP549" s="1">
        <v>0</v>
      </c>
      <c r="AQ549" s="1" t="s">
        <v>1118</v>
      </c>
      <c r="AR549" s="1" t="s">
        <v>1743</v>
      </c>
      <c r="AS549" s="1" t="s">
        <v>1120</v>
      </c>
      <c r="AT549" s="1" t="s">
        <v>328</v>
      </c>
      <c r="AU549" s="1">
        <v>221</v>
      </c>
      <c r="AV549" s="1">
        <v>0</v>
      </c>
      <c r="AW549" s="1" t="s">
        <v>5176</v>
      </c>
      <c r="AX549" s="1" t="s">
        <v>5416</v>
      </c>
      <c r="AY549" s="1">
        <v>4</v>
      </c>
      <c r="AZ549" s="1">
        <v>3221</v>
      </c>
      <c r="BA549" s="1" t="s">
        <v>328</v>
      </c>
      <c r="BB549" s="1" t="s">
        <v>5177</v>
      </c>
      <c r="BC549" s="1" t="s">
        <v>4757</v>
      </c>
      <c r="BD549" s="1">
        <v>0</v>
      </c>
      <c r="BE549" s="1"/>
      <c r="BH549">
        <f>COUNTIF(Dropdowns!$I:$AF,C549)</f>
        <v>0</v>
      </c>
    </row>
    <row r="550" spans="1:60" x14ac:dyDescent="0.3">
      <c r="A550" s="1">
        <v>20230</v>
      </c>
      <c r="B550" s="1" t="s">
        <v>6482</v>
      </c>
      <c r="C550" s="207" t="s">
        <v>6483</v>
      </c>
      <c r="D550" s="1" t="s">
        <v>6483</v>
      </c>
      <c r="E550" s="1"/>
      <c r="F550" s="1"/>
      <c r="G550" s="1" t="s">
        <v>6484</v>
      </c>
      <c r="H550" s="1" t="s">
        <v>6485</v>
      </c>
      <c r="I550" s="1" t="s">
        <v>6486</v>
      </c>
      <c r="J550" s="1">
        <v>3</v>
      </c>
      <c r="K550" s="1">
        <v>4</v>
      </c>
      <c r="L550" s="1">
        <v>15600</v>
      </c>
      <c r="M550" s="1">
        <v>15</v>
      </c>
      <c r="N550" s="1">
        <v>30</v>
      </c>
      <c r="O550" s="1">
        <v>10</v>
      </c>
      <c r="P550" s="1">
        <v>15</v>
      </c>
      <c r="Q550" s="1">
        <v>5</v>
      </c>
      <c r="R550" s="1">
        <v>2</v>
      </c>
      <c r="S550" s="1">
        <v>5</v>
      </c>
      <c r="T550" s="1">
        <v>0</v>
      </c>
      <c r="U550" s="1">
        <v>95</v>
      </c>
      <c r="V550" s="1">
        <v>112</v>
      </c>
      <c r="W550" s="1">
        <v>110</v>
      </c>
      <c r="X550" s="1">
        <v>100</v>
      </c>
      <c r="Y550" s="1">
        <v>125</v>
      </c>
      <c r="Z550" s="1">
        <v>95</v>
      </c>
      <c r="AA550" s="1">
        <v>0</v>
      </c>
      <c r="AB550" s="1">
        <v>15</v>
      </c>
      <c r="AC550" s="1">
        <v>40</v>
      </c>
      <c r="AD550" s="1">
        <v>0</v>
      </c>
      <c r="AE550" s="1">
        <v>120</v>
      </c>
      <c r="AF550" s="1">
        <v>100</v>
      </c>
      <c r="AG550" s="1">
        <v>740026</v>
      </c>
      <c r="AH550" s="1">
        <v>740034</v>
      </c>
      <c r="AI550" s="1">
        <v>740032</v>
      </c>
      <c r="AJ550" s="1" t="s">
        <v>6487</v>
      </c>
      <c r="AK550" s="1" t="s">
        <v>6488</v>
      </c>
      <c r="AL550" s="1">
        <v>13</v>
      </c>
      <c r="AM550" s="1" t="s">
        <v>4762</v>
      </c>
      <c r="AN550" s="1" t="s">
        <v>4834</v>
      </c>
      <c r="AO550" s="1" t="s">
        <v>4832</v>
      </c>
      <c r="AP550" s="1">
        <v>0</v>
      </c>
      <c r="AQ550" s="1" t="s">
        <v>1140</v>
      </c>
      <c r="AR550" s="1" t="s">
        <v>4835</v>
      </c>
      <c r="AS550" s="1" t="s">
        <v>1142</v>
      </c>
      <c r="AT550" s="1" t="s">
        <v>328</v>
      </c>
      <c r="AU550" s="1">
        <v>230</v>
      </c>
      <c r="AV550" s="1">
        <v>0</v>
      </c>
      <c r="AW550" s="1" t="s">
        <v>5191</v>
      </c>
      <c r="AX550" s="1" t="s">
        <v>5416</v>
      </c>
      <c r="AY550" s="1">
        <v>4</v>
      </c>
      <c r="AZ550" s="1">
        <v>3230</v>
      </c>
      <c r="BA550" s="1" t="s">
        <v>328</v>
      </c>
      <c r="BB550" s="1" t="s">
        <v>5192</v>
      </c>
      <c r="BC550" s="1" t="s">
        <v>4720</v>
      </c>
      <c r="BD550" s="1">
        <v>0</v>
      </c>
      <c r="BE550" s="1"/>
      <c r="BH550">
        <f>COUNTIF(Dropdowns!$I:$AF,C550)</f>
        <v>1</v>
      </c>
    </row>
    <row r="551" spans="1:60" x14ac:dyDescent="0.3">
      <c r="A551" s="1">
        <v>20252</v>
      </c>
      <c r="B551" s="1" t="s">
        <v>4443</v>
      </c>
      <c r="C551" s="207" t="s">
        <v>265</v>
      </c>
      <c r="D551" s="1" t="s">
        <v>265</v>
      </c>
      <c r="E551" s="1"/>
      <c r="F551" s="1"/>
      <c r="G551" s="1" t="s">
        <v>4444</v>
      </c>
      <c r="H551" s="1" t="s">
        <v>4445</v>
      </c>
      <c r="I551" s="1" t="s">
        <v>4446</v>
      </c>
      <c r="J551" s="1">
        <v>3</v>
      </c>
      <c r="K551" s="1">
        <v>5</v>
      </c>
      <c r="L551" s="1">
        <v>15000</v>
      </c>
      <c r="M551" s="1">
        <v>15</v>
      </c>
      <c r="N551" s="1">
        <v>30</v>
      </c>
      <c r="O551" s="1">
        <v>10</v>
      </c>
      <c r="P551" s="1">
        <v>15</v>
      </c>
      <c r="Q551" s="1">
        <v>5</v>
      </c>
      <c r="R551" s="1">
        <v>2</v>
      </c>
      <c r="S551" s="1">
        <v>5</v>
      </c>
      <c r="T551" s="1">
        <v>0</v>
      </c>
      <c r="U551" s="1">
        <v>100</v>
      </c>
      <c r="V551" s="1">
        <v>142</v>
      </c>
      <c r="W551" s="1">
        <v>92</v>
      </c>
      <c r="X551" s="1">
        <v>100</v>
      </c>
      <c r="Y551" s="1">
        <v>118</v>
      </c>
      <c r="Z551" s="1">
        <v>82</v>
      </c>
      <c r="AA551" s="1">
        <v>0</v>
      </c>
      <c r="AB551" s="1">
        <v>15</v>
      </c>
      <c r="AC551" s="1">
        <v>40</v>
      </c>
      <c r="AD551" s="1">
        <v>0</v>
      </c>
      <c r="AE551" s="1">
        <v>128</v>
      </c>
      <c r="AF551" s="1">
        <v>100</v>
      </c>
      <c r="AG551" s="1">
        <v>900623</v>
      </c>
      <c r="AH551" s="1">
        <v>900622</v>
      </c>
      <c r="AI551" s="1">
        <v>900621</v>
      </c>
      <c r="AJ551" s="1" t="s">
        <v>1465</v>
      </c>
      <c r="AK551" s="1" t="s">
        <v>328</v>
      </c>
      <c r="AL551" s="1">
        <v>18</v>
      </c>
      <c r="AM551" s="1" t="s">
        <v>5457</v>
      </c>
      <c r="AN551" s="1" t="s">
        <v>5458</v>
      </c>
      <c r="AO551" s="1" t="s">
        <v>4832</v>
      </c>
      <c r="AP551" s="1">
        <v>0</v>
      </c>
      <c r="AQ551" s="1" t="s">
        <v>1746</v>
      </c>
      <c r="AR551" s="1" t="s">
        <v>1141</v>
      </c>
      <c r="AS551" s="1" t="s">
        <v>1142</v>
      </c>
      <c r="AT551" s="1" t="s">
        <v>328</v>
      </c>
      <c r="AU551" s="1">
        <v>184</v>
      </c>
      <c r="AV551" s="1">
        <v>0</v>
      </c>
      <c r="AW551" s="1" t="s">
        <v>5189</v>
      </c>
      <c r="AX551" s="1" t="s">
        <v>5416</v>
      </c>
      <c r="AY551" s="1">
        <v>5</v>
      </c>
      <c r="AZ551" s="1">
        <v>3252</v>
      </c>
      <c r="BA551" s="1" t="s">
        <v>328</v>
      </c>
      <c r="BB551" s="1" t="s">
        <v>328</v>
      </c>
      <c r="BC551" s="1" t="s">
        <v>4757</v>
      </c>
      <c r="BD551" s="1">
        <v>0</v>
      </c>
      <c r="BE551" s="1"/>
      <c r="BH551">
        <f>COUNTIF(Dropdowns!$I:$AF,C551)</f>
        <v>1</v>
      </c>
    </row>
    <row r="552" spans="1:60" x14ac:dyDescent="0.3">
      <c r="A552" s="1">
        <v>20293</v>
      </c>
      <c r="B552" s="1" t="s">
        <v>5743</v>
      </c>
      <c r="C552" s="207" t="s">
        <v>5744</v>
      </c>
      <c r="D552" s="1" t="s">
        <v>5744</v>
      </c>
      <c r="E552" s="1"/>
      <c r="F552" s="1"/>
      <c r="G552" s="1" t="s">
        <v>5745</v>
      </c>
      <c r="H552" s="1" t="s">
        <v>5746</v>
      </c>
      <c r="I552" s="1" t="s">
        <v>5747</v>
      </c>
      <c r="J552" s="1">
        <v>4</v>
      </c>
      <c r="K552" s="1">
        <v>6</v>
      </c>
      <c r="L552" s="1">
        <v>15300</v>
      </c>
      <c r="M552" s="1">
        <v>20</v>
      </c>
      <c r="N552" s="1">
        <v>20</v>
      </c>
      <c r="O552" s="1">
        <v>10</v>
      </c>
      <c r="P552" s="1">
        <v>10</v>
      </c>
      <c r="Q552" s="1">
        <v>2</v>
      </c>
      <c r="R552" s="1">
        <v>5</v>
      </c>
      <c r="S552" s="1">
        <v>5</v>
      </c>
      <c r="T552" s="1">
        <v>0</v>
      </c>
      <c r="U552" s="1">
        <v>105</v>
      </c>
      <c r="V552" s="1">
        <v>125</v>
      </c>
      <c r="W552" s="1">
        <v>110</v>
      </c>
      <c r="X552" s="1">
        <v>100</v>
      </c>
      <c r="Y552" s="1">
        <v>112</v>
      </c>
      <c r="Z552" s="1">
        <v>110</v>
      </c>
      <c r="AA552" s="1">
        <v>0</v>
      </c>
      <c r="AB552" s="1">
        <v>15</v>
      </c>
      <c r="AC552" s="1">
        <v>20</v>
      </c>
      <c r="AD552" s="1">
        <v>0</v>
      </c>
      <c r="AE552" s="1">
        <v>136</v>
      </c>
      <c r="AF552" s="1">
        <v>100</v>
      </c>
      <c r="AG552" s="1">
        <v>750323</v>
      </c>
      <c r="AH552" s="1">
        <v>750324</v>
      </c>
      <c r="AI552" s="1">
        <v>900415</v>
      </c>
      <c r="AJ552" s="1" t="s">
        <v>5748</v>
      </c>
      <c r="AK552" s="1" t="s">
        <v>5749</v>
      </c>
      <c r="AL552" s="1">
        <v>13</v>
      </c>
      <c r="AM552" s="1" t="s">
        <v>4719</v>
      </c>
      <c r="AN552" s="1" t="s">
        <v>4864</v>
      </c>
      <c r="AO552" s="1" t="s">
        <v>5750</v>
      </c>
      <c r="AP552" s="1">
        <v>0</v>
      </c>
      <c r="AQ552" s="1" t="s">
        <v>1130</v>
      </c>
      <c r="AR552" s="1" t="s">
        <v>1154</v>
      </c>
      <c r="AS552" s="1" t="s">
        <v>1744</v>
      </c>
      <c r="AT552" s="1" t="s">
        <v>328</v>
      </c>
      <c r="AU552" s="1">
        <v>215</v>
      </c>
      <c r="AV552" s="1">
        <v>0</v>
      </c>
      <c r="AW552" s="1" t="s">
        <v>5282</v>
      </c>
      <c r="AX552" s="1" t="s">
        <v>5416</v>
      </c>
      <c r="AY552" s="1">
        <v>6</v>
      </c>
      <c r="AZ552" s="1">
        <v>3293</v>
      </c>
      <c r="BA552" s="1" t="s">
        <v>328</v>
      </c>
      <c r="BB552" s="1" t="s">
        <v>328</v>
      </c>
      <c r="BC552" s="1" t="s">
        <v>5149</v>
      </c>
      <c r="BD552" s="1">
        <v>0</v>
      </c>
      <c r="BE552" s="1"/>
      <c r="BH552">
        <f>COUNTIF(Dropdowns!$I:$AF,C552)</f>
        <v>1</v>
      </c>
    </row>
    <row r="553" spans="1:60" x14ac:dyDescent="0.3">
      <c r="A553" s="1">
        <v>30156</v>
      </c>
      <c r="B553" s="1" t="s">
        <v>6284</v>
      </c>
      <c r="C553" s="207" t="s">
        <v>5777</v>
      </c>
      <c r="D553" s="1" t="s">
        <v>6285</v>
      </c>
      <c r="E553" s="1"/>
      <c r="F553" s="1"/>
      <c r="G553" s="1" t="s">
        <v>6286</v>
      </c>
      <c r="H553" s="1" t="s">
        <v>6287</v>
      </c>
      <c r="I553" s="1" t="s">
        <v>6288</v>
      </c>
      <c r="J553" s="1">
        <v>6</v>
      </c>
      <c r="K553" s="1">
        <v>4</v>
      </c>
      <c r="L553" s="1">
        <v>28200</v>
      </c>
      <c r="M553" s="1">
        <v>30</v>
      </c>
      <c r="N553" s="1">
        <v>40</v>
      </c>
      <c r="O553" s="1">
        <v>15</v>
      </c>
      <c r="P553" s="1">
        <v>25</v>
      </c>
      <c r="Q553" s="1">
        <v>5</v>
      </c>
      <c r="R553" s="1">
        <v>2</v>
      </c>
      <c r="S553" s="1">
        <v>5</v>
      </c>
      <c r="T553" s="1">
        <v>5</v>
      </c>
      <c r="U553" s="1">
        <v>110</v>
      </c>
      <c r="V553" s="1">
        <v>85</v>
      </c>
      <c r="W553" s="1">
        <v>110</v>
      </c>
      <c r="X553" s="1">
        <v>100</v>
      </c>
      <c r="Y553" s="1">
        <v>105</v>
      </c>
      <c r="Z553" s="1">
        <v>135</v>
      </c>
      <c r="AA553" s="1">
        <v>110</v>
      </c>
      <c r="AB553" s="1">
        <v>15</v>
      </c>
      <c r="AC553" s="1">
        <v>40</v>
      </c>
      <c r="AD553" s="1">
        <v>3</v>
      </c>
      <c r="AE553" s="1">
        <v>125</v>
      </c>
      <c r="AF553" s="1">
        <v>100</v>
      </c>
      <c r="AG553" s="1">
        <v>105403</v>
      </c>
      <c r="AH553" s="1">
        <v>0</v>
      </c>
      <c r="AI553" s="1">
        <v>300106</v>
      </c>
      <c r="AJ553" s="1" t="s">
        <v>1204</v>
      </c>
      <c r="AK553" s="1" t="s">
        <v>328</v>
      </c>
      <c r="AL553" s="1">
        <v>8</v>
      </c>
      <c r="AM553" s="1" t="s">
        <v>4716</v>
      </c>
      <c r="AN553" s="1" t="s">
        <v>476</v>
      </c>
      <c r="AO553" s="1" t="s">
        <v>5063</v>
      </c>
      <c r="AP553" s="1">
        <v>0</v>
      </c>
      <c r="AQ553" s="1" t="s">
        <v>5788</v>
      </c>
      <c r="AR553" s="1" t="s">
        <v>1201</v>
      </c>
      <c r="AS553" s="1" t="s">
        <v>1202</v>
      </c>
      <c r="AT553" s="1" t="s">
        <v>328</v>
      </c>
      <c r="AU553" s="1">
        <v>156</v>
      </c>
      <c r="AV553" s="1">
        <v>0</v>
      </c>
      <c r="AW553" s="1" t="s">
        <v>5790</v>
      </c>
      <c r="AX553" s="1" t="s">
        <v>1806</v>
      </c>
      <c r="AY553" s="1">
        <v>4</v>
      </c>
      <c r="AZ553" s="1">
        <v>0</v>
      </c>
      <c r="BA553" s="1" t="s">
        <v>328</v>
      </c>
      <c r="BB553" s="1" t="s">
        <v>328</v>
      </c>
      <c r="BC553" s="1" t="s">
        <v>328</v>
      </c>
      <c r="BD553" s="1">
        <v>0</v>
      </c>
      <c r="BH553">
        <f>COUNTIF(Dropdowns!$I:$AF,C553)</f>
        <v>0</v>
      </c>
    </row>
    <row r="554" spans="1:60" x14ac:dyDescent="0.3">
      <c r="A554" s="1">
        <v>30164</v>
      </c>
      <c r="B554" s="1" t="s">
        <v>6289</v>
      </c>
      <c r="C554" s="207" t="s">
        <v>5778</v>
      </c>
      <c r="D554" s="1" t="s">
        <v>6290</v>
      </c>
      <c r="E554" s="1"/>
      <c r="F554" s="1"/>
      <c r="G554" s="1" t="s">
        <v>6291</v>
      </c>
      <c r="H554" s="1" t="s">
        <v>6292</v>
      </c>
      <c r="I554" s="1" t="s">
        <v>6293</v>
      </c>
      <c r="J554" s="1">
        <v>6</v>
      </c>
      <c r="K554" s="1">
        <v>5</v>
      </c>
      <c r="L554" s="1">
        <v>29160</v>
      </c>
      <c r="M554" s="1">
        <v>30</v>
      </c>
      <c r="N554" s="1">
        <v>40</v>
      </c>
      <c r="O554" s="1">
        <v>15</v>
      </c>
      <c r="P554" s="1">
        <v>25</v>
      </c>
      <c r="Q554" s="1">
        <v>5</v>
      </c>
      <c r="R554" s="1">
        <v>2</v>
      </c>
      <c r="S554" s="1">
        <v>5</v>
      </c>
      <c r="T554" s="1">
        <v>5</v>
      </c>
      <c r="U554" s="1">
        <v>118</v>
      </c>
      <c r="V554" s="1">
        <v>109</v>
      </c>
      <c r="W554" s="1">
        <v>110</v>
      </c>
      <c r="X554" s="1">
        <v>100</v>
      </c>
      <c r="Y554" s="1">
        <v>118</v>
      </c>
      <c r="Z554" s="1">
        <v>108</v>
      </c>
      <c r="AA554" s="1">
        <v>130</v>
      </c>
      <c r="AB554" s="1">
        <v>15</v>
      </c>
      <c r="AC554" s="1">
        <v>40</v>
      </c>
      <c r="AD554" s="1">
        <v>4</v>
      </c>
      <c r="AE554" s="1">
        <v>96</v>
      </c>
      <c r="AF554" s="1">
        <v>100</v>
      </c>
      <c r="AG554" s="1">
        <v>110022</v>
      </c>
      <c r="AH554" s="1">
        <v>0</v>
      </c>
      <c r="AI554" s="1">
        <v>300106</v>
      </c>
      <c r="AJ554" s="1" t="s">
        <v>6294</v>
      </c>
      <c r="AK554" s="1" t="s">
        <v>1210</v>
      </c>
      <c r="AL554" s="1">
        <v>7</v>
      </c>
      <c r="AM554" s="1" t="s">
        <v>4716</v>
      </c>
      <c r="AN554" s="1" t="s">
        <v>5073</v>
      </c>
      <c r="AO554" s="1" t="s">
        <v>5074</v>
      </c>
      <c r="AP554" s="1">
        <v>0</v>
      </c>
      <c r="AQ554" s="1" t="s">
        <v>5788</v>
      </c>
      <c r="AR554" s="1" t="s">
        <v>1201</v>
      </c>
      <c r="AS554" s="1" t="s">
        <v>1202</v>
      </c>
      <c r="AT554" s="1" t="s">
        <v>328</v>
      </c>
      <c r="AU554" s="1">
        <v>164</v>
      </c>
      <c r="AV554" s="1">
        <v>0</v>
      </c>
      <c r="AW554" s="1" t="s">
        <v>5790</v>
      </c>
      <c r="AX554" s="1" t="s">
        <v>1806</v>
      </c>
      <c r="AY554" s="1">
        <v>5</v>
      </c>
      <c r="AZ554" s="1">
        <v>0</v>
      </c>
      <c r="BA554" s="1" t="s">
        <v>328</v>
      </c>
      <c r="BB554" s="1" t="s">
        <v>328</v>
      </c>
      <c r="BC554" s="1" t="s">
        <v>328</v>
      </c>
      <c r="BD554" s="1">
        <v>0</v>
      </c>
      <c r="BH554">
        <f>COUNTIF(Dropdowns!$I:$AF,C554)</f>
        <v>0</v>
      </c>
    </row>
    <row r="555" spans="1:60" x14ac:dyDescent="0.3">
      <c r="A555" s="1">
        <v>30229</v>
      </c>
      <c r="B555" s="1" t="s">
        <v>6295</v>
      </c>
      <c r="C555" s="207" t="s">
        <v>236</v>
      </c>
      <c r="D555" s="1" t="s">
        <v>6296</v>
      </c>
      <c r="E555" s="1"/>
      <c r="F555" s="1"/>
      <c r="G555" s="1" t="s">
        <v>6297</v>
      </c>
      <c r="H555" s="1" t="s">
        <v>6298</v>
      </c>
      <c r="I555" s="1" t="s">
        <v>6299</v>
      </c>
      <c r="J555" s="1">
        <v>6</v>
      </c>
      <c r="K555" s="1">
        <v>5</v>
      </c>
      <c r="L555" s="1">
        <v>29160</v>
      </c>
      <c r="M555" s="1">
        <v>30</v>
      </c>
      <c r="N555" s="1">
        <v>40</v>
      </c>
      <c r="O555" s="1">
        <v>15</v>
      </c>
      <c r="P555" s="1">
        <v>25</v>
      </c>
      <c r="Q555" s="1">
        <v>5</v>
      </c>
      <c r="R555" s="1">
        <v>2</v>
      </c>
      <c r="S555" s="1">
        <v>5</v>
      </c>
      <c r="T555" s="1">
        <v>5</v>
      </c>
      <c r="U555" s="1">
        <v>120</v>
      </c>
      <c r="V555" s="1">
        <v>112</v>
      </c>
      <c r="W555" s="1">
        <v>110</v>
      </c>
      <c r="X555" s="1">
        <v>100</v>
      </c>
      <c r="Y555" s="1">
        <v>115</v>
      </c>
      <c r="Z555" s="1">
        <v>105</v>
      </c>
      <c r="AA555" s="1">
        <v>125</v>
      </c>
      <c r="AB555" s="1">
        <v>15</v>
      </c>
      <c r="AC555" s="1">
        <v>40</v>
      </c>
      <c r="AD555" s="1">
        <v>4</v>
      </c>
      <c r="AE555" s="1">
        <v>105</v>
      </c>
      <c r="AF555" s="1">
        <v>100</v>
      </c>
      <c r="AG555" s="1">
        <v>110041</v>
      </c>
      <c r="AH555" s="1">
        <v>0</v>
      </c>
      <c r="AI555" s="1">
        <v>300106</v>
      </c>
      <c r="AJ555" s="1" t="s">
        <v>6300</v>
      </c>
      <c r="AK555" s="1" t="s">
        <v>1244</v>
      </c>
      <c r="AL555" s="1">
        <v>9</v>
      </c>
      <c r="AM555" s="1" t="s">
        <v>4716</v>
      </c>
      <c r="AN555" s="1" t="s">
        <v>354</v>
      </c>
      <c r="AO555" s="1" t="s">
        <v>5190</v>
      </c>
      <c r="AP555" s="1">
        <v>0</v>
      </c>
      <c r="AQ555" s="1" t="s">
        <v>5788</v>
      </c>
      <c r="AR555" s="1" t="s">
        <v>1201</v>
      </c>
      <c r="AS555" s="1" t="s">
        <v>1202</v>
      </c>
      <c r="AT555" s="1" t="s">
        <v>328</v>
      </c>
      <c r="AU555" s="1">
        <v>229</v>
      </c>
      <c r="AV555" s="1">
        <v>0</v>
      </c>
      <c r="AW555" s="1" t="s">
        <v>5790</v>
      </c>
      <c r="AX555" s="1" t="s">
        <v>1806</v>
      </c>
      <c r="AY555" s="1">
        <v>5</v>
      </c>
      <c r="AZ555" s="1">
        <v>0</v>
      </c>
      <c r="BA555" s="1" t="s">
        <v>328</v>
      </c>
      <c r="BB555" s="1" t="s">
        <v>328</v>
      </c>
      <c r="BC555" s="1" t="s">
        <v>328</v>
      </c>
      <c r="BD555" s="1">
        <v>0</v>
      </c>
      <c r="BH555">
        <f>COUNTIF(Dropdowns!$I:$AF,C555)</f>
        <v>0</v>
      </c>
    </row>
    <row r="556" spans="1:60" x14ac:dyDescent="0.3">
      <c r="A556" s="1">
        <v>90001</v>
      </c>
      <c r="B556" s="1" t="s">
        <v>6301</v>
      </c>
      <c r="C556" s="207" t="s">
        <v>5776</v>
      </c>
      <c r="D556" s="1" t="s">
        <v>6302</v>
      </c>
      <c r="E556" s="1"/>
      <c r="F556" s="1"/>
      <c r="G556" s="1" t="s">
        <v>6303</v>
      </c>
      <c r="H556" s="1" t="s">
        <v>6304</v>
      </c>
      <c r="I556" s="1" t="s">
        <v>6305</v>
      </c>
      <c r="J556" s="1">
        <v>2</v>
      </c>
      <c r="K556" s="1">
        <v>2</v>
      </c>
      <c r="L556" s="1">
        <v>6600</v>
      </c>
      <c r="M556" s="1">
        <v>25</v>
      </c>
      <c r="N556" s="1">
        <v>20</v>
      </c>
      <c r="O556" s="1">
        <v>15</v>
      </c>
      <c r="P556" s="1">
        <v>10</v>
      </c>
      <c r="Q556" s="1">
        <v>5</v>
      </c>
      <c r="R556" s="1">
        <v>5</v>
      </c>
      <c r="S556" s="1">
        <v>2</v>
      </c>
      <c r="T556" s="1">
        <v>0</v>
      </c>
      <c r="U556" s="1">
        <v>110</v>
      </c>
      <c r="V556" s="1">
        <v>100</v>
      </c>
      <c r="W556" s="1">
        <v>120</v>
      </c>
      <c r="X556" s="1">
        <v>100</v>
      </c>
      <c r="Y556" s="1">
        <v>85</v>
      </c>
      <c r="Z556" s="1">
        <v>95</v>
      </c>
      <c r="AA556" s="1">
        <v>0</v>
      </c>
      <c r="AB556" s="1">
        <v>15</v>
      </c>
      <c r="AC556" s="1">
        <v>5</v>
      </c>
      <c r="AD556" s="1">
        <v>0</v>
      </c>
      <c r="AE556" s="1">
        <v>105</v>
      </c>
      <c r="AF556" s="1">
        <v>135</v>
      </c>
      <c r="AG556" s="1">
        <v>102101</v>
      </c>
      <c r="AH556" s="1">
        <v>0</v>
      </c>
      <c r="AI556" s="1">
        <v>300102</v>
      </c>
      <c r="AJ556" s="1" t="s">
        <v>1121</v>
      </c>
      <c r="AK556" s="1" t="s">
        <v>328</v>
      </c>
      <c r="AL556" s="1">
        <v>13</v>
      </c>
      <c r="AM556" s="1" t="s">
        <v>4790</v>
      </c>
      <c r="AN556" s="1" t="s">
        <v>464</v>
      </c>
      <c r="AO556" s="1" t="s">
        <v>4804</v>
      </c>
      <c r="AP556" s="1">
        <v>0</v>
      </c>
      <c r="AQ556" s="1" t="s">
        <v>1129</v>
      </c>
      <c r="AR556" s="1" t="s">
        <v>1119</v>
      </c>
      <c r="AS556" s="1" t="s">
        <v>1745</v>
      </c>
      <c r="AT556" s="1" t="s">
        <v>328</v>
      </c>
      <c r="AU556" s="1">
        <v>21</v>
      </c>
      <c r="AV556" s="1">
        <v>0</v>
      </c>
      <c r="AW556" s="1" t="s">
        <v>5790</v>
      </c>
      <c r="AX556" s="1" t="s">
        <v>1806</v>
      </c>
      <c r="AY556" s="1">
        <v>5</v>
      </c>
      <c r="AZ556" s="1">
        <v>0</v>
      </c>
      <c r="BA556" s="1" t="s">
        <v>328</v>
      </c>
      <c r="BB556" s="1" t="s">
        <v>328</v>
      </c>
      <c r="BC556" s="1" t="s">
        <v>328</v>
      </c>
      <c r="BD556" s="1">
        <v>0</v>
      </c>
      <c r="BH556">
        <f>COUNTIF(Dropdowns!$I:$AF,C556)</f>
        <v>0</v>
      </c>
    </row>
    <row r="557" spans="1:60" x14ac:dyDescent="0.3">
      <c r="A557" s="1">
        <v>369</v>
      </c>
      <c r="B557" s="1" t="s">
        <v>6637</v>
      </c>
      <c r="C557" s="207" t="s">
        <v>6638</v>
      </c>
      <c r="D557" s="1" t="s">
        <v>6638</v>
      </c>
      <c r="E557" s="1" t="s">
        <v>328</v>
      </c>
      <c r="F557" s="1" t="s">
        <v>328</v>
      </c>
      <c r="G557" s="1" t="s">
        <v>6639</v>
      </c>
      <c r="H557" s="1" t="s">
        <v>6640</v>
      </c>
      <c r="I557" s="1" t="s">
        <v>6641</v>
      </c>
      <c r="J557" s="1">
        <v>1</v>
      </c>
      <c r="K557" s="1">
        <v>5</v>
      </c>
      <c r="L557" s="1">
        <v>5700</v>
      </c>
      <c r="M557" s="1">
        <v>10</v>
      </c>
      <c r="N557" s="1">
        <v>10</v>
      </c>
      <c r="O557" s="1">
        <v>5</v>
      </c>
      <c r="P557" s="1">
        <v>5</v>
      </c>
      <c r="Q557" s="1">
        <v>2</v>
      </c>
      <c r="R557" s="1">
        <v>2</v>
      </c>
      <c r="S557" s="1">
        <v>2</v>
      </c>
      <c r="T557" s="1">
        <v>0</v>
      </c>
      <c r="U557" s="1">
        <v>105</v>
      </c>
      <c r="V557" s="1">
        <v>132</v>
      </c>
      <c r="W557" s="1">
        <v>106</v>
      </c>
      <c r="X557" s="1">
        <v>100</v>
      </c>
      <c r="Y557" s="1">
        <v>120</v>
      </c>
      <c r="Z557" s="1">
        <v>85</v>
      </c>
      <c r="AA557" s="1">
        <v>0</v>
      </c>
      <c r="AB557" s="1">
        <v>15</v>
      </c>
      <c r="AC557" s="1">
        <v>20</v>
      </c>
      <c r="AD557" s="1">
        <v>0</v>
      </c>
      <c r="AE557" s="1">
        <v>135</v>
      </c>
      <c r="AF557" s="1">
        <v>100</v>
      </c>
      <c r="AG557" s="1">
        <v>750545</v>
      </c>
      <c r="AH557" s="1">
        <v>0</v>
      </c>
      <c r="AI557" s="1">
        <v>750573</v>
      </c>
      <c r="AJ557" s="1" t="s">
        <v>6642</v>
      </c>
      <c r="AK557" s="1" t="s">
        <v>6643</v>
      </c>
      <c r="AL557" s="1">
        <v>14</v>
      </c>
      <c r="AM557" s="1" t="s">
        <v>1806</v>
      </c>
      <c r="AN557" s="1" t="s">
        <v>6644</v>
      </c>
      <c r="AO557" s="1" t="s">
        <v>4954</v>
      </c>
      <c r="AP557" s="1">
        <v>0</v>
      </c>
      <c r="AQ557" s="1" t="s">
        <v>1118</v>
      </c>
      <c r="AR557" s="1" t="s">
        <v>1119</v>
      </c>
      <c r="AS557" s="1" t="s">
        <v>1120</v>
      </c>
      <c r="AT557" s="1" t="s">
        <v>328</v>
      </c>
      <c r="AU557" s="1">
        <v>4</v>
      </c>
      <c r="AV557" s="1">
        <v>0</v>
      </c>
      <c r="AW557" s="1" t="s">
        <v>6645</v>
      </c>
      <c r="AX557" s="1" t="s">
        <v>6646</v>
      </c>
      <c r="AY557" s="1">
        <v>5</v>
      </c>
      <c r="AZ557" s="1">
        <v>0</v>
      </c>
      <c r="BA557" s="1" t="s">
        <v>328</v>
      </c>
      <c r="BB557" s="1" t="s">
        <v>328</v>
      </c>
      <c r="BC557" s="1" t="s">
        <v>4720</v>
      </c>
      <c r="BD557" s="1">
        <v>10703</v>
      </c>
      <c r="BE557">
        <v>0</v>
      </c>
      <c r="BH557">
        <f>COUNTIF(Dropdowns!$I:$AF,C557)</f>
        <v>0</v>
      </c>
    </row>
    <row r="558" spans="1:60" x14ac:dyDescent="0.3">
      <c r="A558" s="1">
        <v>370</v>
      </c>
      <c r="B558" s="1" t="s">
        <v>6647</v>
      </c>
      <c r="C558" s="207" t="s">
        <v>6648</v>
      </c>
      <c r="D558" s="1" t="s">
        <v>6648</v>
      </c>
      <c r="E558" s="1" t="s">
        <v>328</v>
      </c>
      <c r="F558" s="1" t="s">
        <v>328</v>
      </c>
      <c r="G558" s="1" t="s">
        <v>6649</v>
      </c>
      <c r="H558" s="1" t="s">
        <v>6650</v>
      </c>
      <c r="I558" s="1" t="s">
        <v>6651</v>
      </c>
      <c r="J558" s="1">
        <v>1</v>
      </c>
      <c r="K558" s="1">
        <v>4</v>
      </c>
      <c r="L558" s="1">
        <v>3240</v>
      </c>
      <c r="M558" s="1">
        <v>10</v>
      </c>
      <c r="N558" s="1">
        <v>10</v>
      </c>
      <c r="O558" s="1">
        <v>5</v>
      </c>
      <c r="P558" s="1">
        <v>5</v>
      </c>
      <c r="Q558" s="1">
        <v>2</v>
      </c>
      <c r="R558" s="1">
        <v>2</v>
      </c>
      <c r="S558" s="1">
        <v>2</v>
      </c>
      <c r="T558" s="1">
        <v>0</v>
      </c>
      <c r="U558" s="1">
        <v>110</v>
      </c>
      <c r="V558" s="1">
        <v>96</v>
      </c>
      <c r="W558" s="1">
        <v>112</v>
      </c>
      <c r="X558" s="1">
        <v>100</v>
      </c>
      <c r="Y558" s="1">
        <v>116</v>
      </c>
      <c r="Z558" s="1">
        <v>112</v>
      </c>
      <c r="AA558" s="1">
        <v>0</v>
      </c>
      <c r="AB558" s="1">
        <v>15</v>
      </c>
      <c r="AC558" s="1">
        <v>20</v>
      </c>
      <c r="AD558" s="1">
        <v>0</v>
      </c>
      <c r="AE558" s="1">
        <v>122</v>
      </c>
      <c r="AF558" s="1">
        <v>100</v>
      </c>
      <c r="AG558" s="1">
        <v>750517</v>
      </c>
      <c r="AH558" s="1">
        <v>0</v>
      </c>
      <c r="AI558" s="1">
        <v>300101</v>
      </c>
      <c r="AJ558" s="1" t="s">
        <v>6652</v>
      </c>
      <c r="AK558" s="1" t="s">
        <v>6653</v>
      </c>
      <c r="AL558" s="1">
        <v>13</v>
      </c>
      <c r="AM558" s="1" t="s">
        <v>1806</v>
      </c>
      <c r="AN558" s="1" t="s">
        <v>5726</v>
      </c>
      <c r="AO558" s="1" t="s">
        <v>6654</v>
      </c>
      <c r="AP558" s="1">
        <v>0</v>
      </c>
      <c r="AQ558" s="1" t="s">
        <v>1118</v>
      </c>
      <c r="AR558" s="1" t="s">
        <v>1119</v>
      </c>
      <c r="AS558" s="1" t="s">
        <v>1120</v>
      </c>
      <c r="AT558" s="1" t="s">
        <v>328</v>
      </c>
      <c r="AU558" s="1">
        <v>212</v>
      </c>
      <c r="AV558" s="1">
        <v>0</v>
      </c>
      <c r="AW558" s="1" t="s">
        <v>6645</v>
      </c>
      <c r="AX558" s="1" t="s">
        <v>6646</v>
      </c>
      <c r="AY558" s="1">
        <v>4</v>
      </c>
      <c r="AZ558" s="1">
        <v>0</v>
      </c>
      <c r="BA558" s="1" t="s">
        <v>328</v>
      </c>
      <c r="BB558" s="1" t="s">
        <v>328</v>
      </c>
      <c r="BC558" s="1" t="s">
        <v>4720</v>
      </c>
      <c r="BD558" s="1">
        <v>10402</v>
      </c>
      <c r="BE558">
        <v>0</v>
      </c>
      <c r="BH558">
        <f>COUNTIF(Dropdowns!$I:$AF,C558)</f>
        <v>0</v>
      </c>
    </row>
    <row r="559" spans="1:60" x14ac:dyDescent="0.3">
      <c r="A559" s="1">
        <v>371</v>
      </c>
      <c r="B559" s="1" t="s">
        <v>6655</v>
      </c>
      <c r="C559" s="207" t="s">
        <v>6656</v>
      </c>
      <c r="D559" s="1" t="s">
        <v>6656</v>
      </c>
      <c r="E559" s="1" t="s">
        <v>328</v>
      </c>
      <c r="F559" s="1" t="s">
        <v>328</v>
      </c>
      <c r="G559" s="1" t="s">
        <v>6657</v>
      </c>
      <c r="H559" s="1" t="s">
        <v>6658</v>
      </c>
      <c r="I559" s="1" t="s">
        <v>6659</v>
      </c>
      <c r="J559" s="1">
        <v>3</v>
      </c>
      <c r="K559" s="1">
        <v>4</v>
      </c>
      <c r="L559" s="1">
        <v>15900</v>
      </c>
      <c r="M559" s="1">
        <v>15</v>
      </c>
      <c r="N559" s="1">
        <v>30</v>
      </c>
      <c r="O559" s="1">
        <v>10</v>
      </c>
      <c r="P559" s="1">
        <v>15</v>
      </c>
      <c r="Q559" s="1">
        <v>5</v>
      </c>
      <c r="R559" s="1">
        <v>2</v>
      </c>
      <c r="S559" s="1">
        <v>5</v>
      </c>
      <c r="T559" s="1">
        <v>0</v>
      </c>
      <c r="U559" s="1">
        <v>100</v>
      </c>
      <c r="V559" s="1">
        <v>114</v>
      </c>
      <c r="W559" s="1">
        <v>110</v>
      </c>
      <c r="X559" s="1">
        <v>100</v>
      </c>
      <c r="Y559" s="1">
        <v>115</v>
      </c>
      <c r="Z559" s="1">
        <v>90</v>
      </c>
      <c r="AA559" s="1">
        <v>0</v>
      </c>
      <c r="AB559" s="1">
        <v>15</v>
      </c>
      <c r="AC559" s="1">
        <v>40</v>
      </c>
      <c r="AD559" s="1">
        <v>0</v>
      </c>
      <c r="AE559" s="1">
        <v>122</v>
      </c>
      <c r="AF559" s="1">
        <v>100</v>
      </c>
      <c r="AG559" s="1">
        <v>750539</v>
      </c>
      <c r="AH559" s="1">
        <v>0</v>
      </c>
      <c r="AI559" s="1">
        <v>750540</v>
      </c>
      <c r="AJ559" s="1" t="s">
        <v>6660</v>
      </c>
      <c r="AK559" s="1" t="s">
        <v>328</v>
      </c>
      <c r="AL559" s="1">
        <v>13</v>
      </c>
      <c r="AM559" s="1" t="s">
        <v>1806</v>
      </c>
      <c r="AN559" s="1" t="s">
        <v>5726</v>
      </c>
      <c r="AO559" s="1" t="s">
        <v>4832</v>
      </c>
      <c r="AP559" s="1">
        <v>0</v>
      </c>
      <c r="AQ559" s="1" t="s">
        <v>1140</v>
      </c>
      <c r="AR559" s="1" t="s">
        <v>1141</v>
      </c>
      <c r="AS559" s="1" t="s">
        <v>1142</v>
      </c>
      <c r="AT559" s="1" t="s">
        <v>328</v>
      </c>
      <c r="AU559" s="1">
        <v>241</v>
      </c>
      <c r="AV559" s="1">
        <v>0</v>
      </c>
      <c r="AW559" s="1" t="s">
        <v>6645</v>
      </c>
      <c r="AX559" s="1" t="s">
        <v>6661</v>
      </c>
      <c r="AY559" s="1">
        <v>4</v>
      </c>
      <c r="AZ559" s="1">
        <v>0</v>
      </c>
      <c r="BA559" s="1" t="s">
        <v>328</v>
      </c>
      <c r="BB559" s="1" t="s">
        <v>328</v>
      </c>
      <c r="BC559" s="1" t="s">
        <v>4757</v>
      </c>
      <c r="BD559" s="1">
        <v>10302</v>
      </c>
      <c r="BE559">
        <v>0</v>
      </c>
      <c r="BH559">
        <f>COUNTIF(Dropdowns!$I:$AF,C559)</f>
        <v>1</v>
      </c>
    </row>
    <row r="560" spans="1:60" x14ac:dyDescent="0.3">
      <c r="A560" s="1">
        <v>372</v>
      </c>
      <c r="B560" s="1" t="s">
        <v>6662</v>
      </c>
      <c r="C560" s="207" t="s">
        <v>6663</v>
      </c>
      <c r="D560" s="1" t="s">
        <v>6663</v>
      </c>
      <c r="E560" s="1" t="s">
        <v>328</v>
      </c>
      <c r="F560" s="1" t="s">
        <v>328</v>
      </c>
      <c r="G560" s="1" t="s">
        <v>6664</v>
      </c>
      <c r="H560" s="1" t="s">
        <v>6665</v>
      </c>
      <c r="I560" s="1" t="s">
        <v>6666</v>
      </c>
      <c r="J560" s="1">
        <v>4</v>
      </c>
      <c r="K560" s="1">
        <v>5</v>
      </c>
      <c r="L560" s="1">
        <v>14160</v>
      </c>
      <c r="M560" s="1">
        <v>20</v>
      </c>
      <c r="N560" s="1">
        <v>20</v>
      </c>
      <c r="O560" s="1">
        <v>10</v>
      </c>
      <c r="P560" s="1">
        <v>10</v>
      </c>
      <c r="Q560" s="1">
        <v>2</v>
      </c>
      <c r="R560" s="1">
        <v>5</v>
      </c>
      <c r="S560" s="1">
        <v>5</v>
      </c>
      <c r="T560" s="1">
        <v>0</v>
      </c>
      <c r="U560" s="1">
        <v>105</v>
      </c>
      <c r="V560" s="1">
        <v>118</v>
      </c>
      <c r="W560" s="1">
        <v>110</v>
      </c>
      <c r="X560" s="1">
        <v>100</v>
      </c>
      <c r="Y560" s="1">
        <v>122</v>
      </c>
      <c r="Z560" s="1">
        <v>110</v>
      </c>
      <c r="AA560" s="1">
        <v>0</v>
      </c>
      <c r="AB560" s="1">
        <v>15</v>
      </c>
      <c r="AC560" s="1">
        <v>20</v>
      </c>
      <c r="AD560" s="1">
        <v>0</v>
      </c>
      <c r="AE560" s="1">
        <v>122</v>
      </c>
      <c r="AF560" s="1">
        <v>100</v>
      </c>
      <c r="AG560" s="1">
        <v>750542</v>
      </c>
      <c r="AH560" s="1">
        <v>0</v>
      </c>
      <c r="AI560" s="1">
        <v>750577</v>
      </c>
      <c r="AJ560" s="1" t="s">
        <v>6667</v>
      </c>
      <c r="AK560" s="1" t="s">
        <v>6668</v>
      </c>
      <c r="AL560" s="1">
        <v>14</v>
      </c>
      <c r="AM560" s="1" t="s">
        <v>398</v>
      </c>
      <c r="AN560" s="1" t="s">
        <v>5311</v>
      </c>
      <c r="AO560" s="1" t="s">
        <v>5057</v>
      </c>
      <c r="AP560" s="1">
        <v>0</v>
      </c>
      <c r="AQ560" s="1" t="s">
        <v>1130</v>
      </c>
      <c r="AR560" s="1" t="s">
        <v>1154</v>
      </c>
      <c r="AS560" s="1" t="s">
        <v>1129</v>
      </c>
      <c r="AT560" s="1" t="s">
        <v>328</v>
      </c>
      <c r="AU560" s="1">
        <v>48</v>
      </c>
      <c r="AV560" s="1">
        <v>0</v>
      </c>
      <c r="AW560" s="1" t="s">
        <v>6645</v>
      </c>
      <c r="AX560" s="1" t="s">
        <v>6669</v>
      </c>
      <c r="AY560" s="1">
        <v>5</v>
      </c>
      <c r="AZ560" s="1">
        <v>0</v>
      </c>
      <c r="BA560" s="1" t="s">
        <v>328</v>
      </c>
      <c r="BB560" s="1" t="s">
        <v>328</v>
      </c>
      <c r="BC560" s="1" t="s">
        <v>4720</v>
      </c>
      <c r="BD560" s="1">
        <v>10202</v>
      </c>
      <c r="BE560">
        <v>0</v>
      </c>
      <c r="BH560">
        <f>COUNTIF(Dropdowns!$I:$AF,C560)</f>
        <v>1</v>
      </c>
    </row>
    <row r="561" spans="1:60" x14ac:dyDescent="0.3">
      <c r="A561" s="1">
        <v>373</v>
      </c>
      <c r="B561" s="1" t="s">
        <v>6670</v>
      </c>
      <c r="C561" s="207" t="s">
        <v>6671</v>
      </c>
      <c r="D561" s="1" t="s">
        <v>6671</v>
      </c>
      <c r="E561" s="1" t="s">
        <v>328</v>
      </c>
      <c r="F561" s="1" t="s">
        <v>328</v>
      </c>
      <c r="G561" s="1" t="s">
        <v>6672</v>
      </c>
      <c r="H561" s="1" t="s">
        <v>6673</v>
      </c>
      <c r="I561" s="1" t="s">
        <v>6674</v>
      </c>
      <c r="J561" s="1">
        <v>4</v>
      </c>
      <c r="K561" s="1">
        <v>4</v>
      </c>
      <c r="L561" s="1">
        <v>13200</v>
      </c>
      <c r="M561" s="1">
        <v>20</v>
      </c>
      <c r="N561" s="1">
        <v>20</v>
      </c>
      <c r="O561" s="1">
        <v>10</v>
      </c>
      <c r="P561" s="1">
        <v>10</v>
      </c>
      <c r="Q561" s="1">
        <v>2</v>
      </c>
      <c r="R561" s="1">
        <v>5</v>
      </c>
      <c r="S561" s="1">
        <v>5</v>
      </c>
      <c r="T561" s="1">
        <v>0</v>
      </c>
      <c r="U561" s="1">
        <v>98</v>
      </c>
      <c r="V561" s="1">
        <v>102</v>
      </c>
      <c r="W561" s="1">
        <v>105</v>
      </c>
      <c r="X561" s="1">
        <v>100</v>
      </c>
      <c r="Y561" s="1">
        <v>125</v>
      </c>
      <c r="Z561" s="1">
        <v>106</v>
      </c>
      <c r="AA561" s="1">
        <v>0</v>
      </c>
      <c r="AB561" s="1">
        <v>15</v>
      </c>
      <c r="AC561" s="1">
        <v>20</v>
      </c>
      <c r="AD561" s="1">
        <v>0</v>
      </c>
      <c r="AE561" s="1">
        <v>130</v>
      </c>
      <c r="AF561" s="1">
        <v>100</v>
      </c>
      <c r="AG561" s="1">
        <v>750523</v>
      </c>
      <c r="AH561" s="1">
        <v>0</v>
      </c>
      <c r="AI561" s="1">
        <v>300103</v>
      </c>
      <c r="AJ561" s="1" t="s">
        <v>328</v>
      </c>
      <c r="AK561" s="1" t="s">
        <v>6675</v>
      </c>
      <c r="AL561" s="1">
        <v>13</v>
      </c>
      <c r="AM561" s="1" t="s">
        <v>4719</v>
      </c>
      <c r="AN561" s="1" t="s">
        <v>4864</v>
      </c>
      <c r="AO561" s="1" t="s">
        <v>4832</v>
      </c>
      <c r="AP561" s="1">
        <v>0</v>
      </c>
      <c r="AQ561" s="1" t="s">
        <v>1130</v>
      </c>
      <c r="AR561" s="1" t="s">
        <v>1154</v>
      </c>
      <c r="AS561" s="1" t="s">
        <v>1129</v>
      </c>
      <c r="AT561" s="1" t="s">
        <v>328</v>
      </c>
      <c r="AU561" s="1">
        <v>48</v>
      </c>
      <c r="AV561" s="1">
        <v>0</v>
      </c>
      <c r="AW561" s="1" t="s">
        <v>6645</v>
      </c>
      <c r="AX561" s="1" t="s">
        <v>6661</v>
      </c>
      <c r="AY561" s="1">
        <v>4</v>
      </c>
      <c r="AZ561" s="1">
        <v>0</v>
      </c>
      <c r="BA561" s="1" t="s">
        <v>328</v>
      </c>
      <c r="BB561" s="1" t="s">
        <v>328</v>
      </c>
      <c r="BC561" s="1" t="s">
        <v>4720</v>
      </c>
      <c r="BD561" s="1">
        <v>10802</v>
      </c>
      <c r="BE561">
        <v>0</v>
      </c>
      <c r="BH561">
        <f>COUNTIF(Dropdowns!$I:$AF,C561)</f>
        <v>1</v>
      </c>
    </row>
    <row r="562" spans="1:60" x14ac:dyDescent="0.3">
      <c r="A562" s="1">
        <v>374</v>
      </c>
      <c r="B562" s="1" t="s">
        <v>6676</v>
      </c>
      <c r="C562" s="207" t="s">
        <v>6677</v>
      </c>
      <c r="D562" s="1" t="s">
        <v>6677</v>
      </c>
      <c r="E562" s="1" t="s">
        <v>328</v>
      </c>
      <c r="F562" s="1" t="s">
        <v>328</v>
      </c>
      <c r="G562" s="1" t="s">
        <v>6678</v>
      </c>
      <c r="H562" s="1" t="s">
        <v>6679</v>
      </c>
      <c r="I562" s="1" t="s">
        <v>6680</v>
      </c>
      <c r="J562" s="1">
        <v>5</v>
      </c>
      <c r="K562" s="1">
        <v>5</v>
      </c>
      <c r="L562" s="1">
        <v>22560</v>
      </c>
      <c r="M562" s="1">
        <v>40</v>
      </c>
      <c r="N562" s="1">
        <v>30</v>
      </c>
      <c r="O562" s="1">
        <v>25</v>
      </c>
      <c r="P562" s="1">
        <v>15</v>
      </c>
      <c r="Q562" s="1">
        <v>5</v>
      </c>
      <c r="R562" s="1">
        <v>5</v>
      </c>
      <c r="S562" s="1">
        <v>2</v>
      </c>
      <c r="T562" s="1">
        <v>5</v>
      </c>
      <c r="U562" s="1">
        <v>106</v>
      </c>
      <c r="V562" s="1">
        <v>115</v>
      </c>
      <c r="W562" s="1">
        <v>115</v>
      </c>
      <c r="X562" s="1">
        <v>100</v>
      </c>
      <c r="Y562" s="1">
        <v>120</v>
      </c>
      <c r="Z562" s="1">
        <v>110</v>
      </c>
      <c r="AA562" s="1">
        <v>0</v>
      </c>
      <c r="AB562" s="1">
        <v>15</v>
      </c>
      <c r="AC562" s="1">
        <v>5</v>
      </c>
      <c r="AD562" s="1">
        <v>11</v>
      </c>
      <c r="AE562" s="1">
        <v>135</v>
      </c>
      <c r="AF562" s="1">
        <v>100</v>
      </c>
      <c r="AG562" s="1">
        <v>750528</v>
      </c>
      <c r="AH562" s="1">
        <v>0</v>
      </c>
      <c r="AI562" s="1">
        <v>750532</v>
      </c>
      <c r="AJ562" s="1" t="s">
        <v>6681</v>
      </c>
      <c r="AK562" s="1" t="s">
        <v>6682</v>
      </c>
      <c r="AL562" s="1">
        <v>19</v>
      </c>
      <c r="AM562" s="1" t="s">
        <v>387</v>
      </c>
      <c r="AN562" s="1" t="s">
        <v>6683</v>
      </c>
      <c r="AO562" s="1" t="s">
        <v>6684</v>
      </c>
      <c r="AP562" s="1">
        <v>0</v>
      </c>
      <c r="AQ562" s="1" t="s">
        <v>1167</v>
      </c>
      <c r="AR562" s="1" t="s">
        <v>1168</v>
      </c>
      <c r="AS562" s="1" t="s">
        <v>1169</v>
      </c>
      <c r="AT562" s="1" t="s">
        <v>328</v>
      </c>
      <c r="AU562" s="1">
        <v>238</v>
      </c>
      <c r="AV562" s="1">
        <v>0</v>
      </c>
      <c r="AW562" s="1" t="s">
        <v>6645</v>
      </c>
      <c r="AX562" s="1" t="s">
        <v>6661</v>
      </c>
      <c r="AY562" s="1">
        <v>5</v>
      </c>
      <c r="AZ562" s="1">
        <v>0</v>
      </c>
      <c r="BA562" s="1" t="s">
        <v>328</v>
      </c>
      <c r="BB562" s="1" t="s">
        <v>328</v>
      </c>
      <c r="BC562" s="1" t="s">
        <v>4853</v>
      </c>
      <c r="BD562" s="1">
        <v>10402</v>
      </c>
      <c r="BE562">
        <v>0</v>
      </c>
      <c r="BH562">
        <f>COUNTIF(Dropdowns!$I:$AF,C562)</f>
        <v>1</v>
      </c>
    </row>
    <row r="563" spans="1:60" x14ac:dyDescent="0.3">
      <c r="A563" s="1">
        <v>9102</v>
      </c>
      <c r="B563" s="1" t="s">
        <v>6685</v>
      </c>
      <c r="C563" s="207" t="s">
        <v>6686</v>
      </c>
      <c r="D563" s="1" t="s">
        <v>6686</v>
      </c>
      <c r="E563" s="1" t="s">
        <v>328</v>
      </c>
      <c r="F563" s="1" t="s">
        <v>328</v>
      </c>
      <c r="G563" s="1" t="s">
        <v>6687</v>
      </c>
      <c r="H563" s="1" t="s">
        <v>6688</v>
      </c>
      <c r="I563" s="1" t="s">
        <v>6689</v>
      </c>
      <c r="J563" s="1">
        <v>4</v>
      </c>
      <c r="K563" s="1">
        <v>5</v>
      </c>
      <c r="L563" s="1">
        <v>14100</v>
      </c>
      <c r="M563" s="1">
        <v>20</v>
      </c>
      <c r="N563" s="1">
        <v>20</v>
      </c>
      <c r="O563" s="1">
        <v>10</v>
      </c>
      <c r="P563" s="1">
        <v>10</v>
      </c>
      <c r="Q563" s="1">
        <v>2</v>
      </c>
      <c r="R563" s="1">
        <v>5</v>
      </c>
      <c r="S563" s="1">
        <v>5</v>
      </c>
      <c r="T563" s="1">
        <v>0</v>
      </c>
      <c r="U563" s="1">
        <v>108</v>
      </c>
      <c r="V563" s="1">
        <v>120</v>
      </c>
      <c r="W563" s="1">
        <v>112</v>
      </c>
      <c r="X563" s="1">
        <v>60</v>
      </c>
      <c r="Y563" s="1">
        <v>120</v>
      </c>
      <c r="Z563" s="1">
        <v>98</v>
      </c>
      <c r="AA563" s="1">
        <v>0</v>
      </c>
      <c r="AB563" s="1">
        <v>15</v>
      </c>
      <c r="AC563" s="1">
        <v>20</v>
      </c>
      <c r="AD563" s="1">
        <v>0</v>
      </c>
      <c r="AE563" s="1">
        <v>122</v>
      </c>
      <c r="AF563" s="1">
        <v>999</v>
      </c>
      <c r="AG563" s="1">
        <v>100124</v>
      </c>
      <c r="AH563" s="1">
        <v>0</v>
      </c>
      <c r="AI563" s="1">
        <v>300104</v>
      </c>
      <c r="AJ563" s="1" t="s">
        <v>1196</v>
      </c>
      <c r="AK563" s="1" t="s">
        <v>328</v>
      </c>
      <c r="AL563" s="1">
        <v>14</v>
      </c>
      <c r="AM563" s="1" t="s">
        <v>4719</v>
      </c>
      <c r="AN563" s="1" t="s">
        <v>5311</v>
      </c>
      <c r="AO563" s="1" t="s">
        <v>5057</v>
      </c>
      <c r="AP563" s="1">
        <v>0</v>
      </c>
      <c r="AQ563" s="1" t="s">
        <v>1130</v>
      </c>
      <c r="AR563" s="1" t="s">
        <v>1154</v>
      </c>
      <c r="AS563" s="1" t="s">
        <v>1129</v>
      </c>
      <c r="AT563" s="1" t="s">
        <v>328</v>
      </c>
      <c r="AU563" s="1">
        <v>65</v>
      </c>
      <c r="AV563" s="1">
        <v>0</v>
      </c>
      <c r="AW563" s="1" t="s">
        <v>5790</v>
      </c>
      <c r="AX563" s="1" t="s">
        <v>1806</v>
      </c>
      <c r="AY563" s="1">
        <v>5</v>
      </c>
      <c r="AZ563" s="1">
        <v>0</v>
      </c>
      <c r="BA563" s="1" t="s">
        <v>328</v>
      </c>
      <c r="BB563" s="1" t="s">
        <v>328</v>
      </c>
      <c r="BC563" s="1" t="s">
        <v>328</v>
      </c>
      <c r="BD563" s="1">
        <v>0</v>
      </c>
      <c r="BE563">
        <v>0</v>
      </c>
      <c r="BH563">
        <f>COUNTIF(Dropdowns!$I:$AF,C563)</f>
        <v>0</v>
      </c>
    </row>
    <row r="564" spans="1:60" x14ac:dyDescent="0.3">
      <c r="A564" s="1">
        <v>9103</v>
      </c>
      <c r="B564" s="1" t="s">
        <v>6690</v>
      </c>
      <c r="C564" s="207" t="s">
        <v>6691</v>
      </c>
      <c r="D564" s="1" t="s">
        <v>6691</v>
      </c>
      <c r="E564" s="1" t="s">
        <v>328</v>
      </c>
      <c r="F564" s="1" t="s">
        <v>328</v>
      </c>
      <c r="G564" s="1" t="s">
        <v>6692</v>
      </c>
      <c r="H564" s="1" t="s">
        <v>6693</v>
      </c>
      <c r="I564" s="1" t="s">
        <v>6694</v>
      </c>
      <c r="J564" s="1">
        <v>1</v>
      </c>
      <c r="K564" s="1">
        <v>5</v>
      </c>
      <c r="L564" s="1">
        <v>12900</v>
      </c>
      <c r="M564" s="1">
        <v>20</v>
      </c>
      <c r="N564" s="1">
        <v>20</v>
      </c>
      <c r="O564" s="1">
        <v>10</v>
      </c>
      <c r="P564" s="1">
        <v>10</v>
      </c>
      <c r="Q564" s="1">
        <v>2</v>
      </c>
      <c r="R564" s="1">
        <v>5</v>
      </c>
      <c r="S564" s="1">
        <v>5</v>
      </c>
      <c r="T564" s="1">
        <v>0</v>
      </c>
      <c r="U564" s="1">
        <v>100</v>
      </c>
      <c r="V564" s="1">
        <v>100</v>
      </c>
      <c r="W564" s="1">
        <v>100</v>
      </c>
      <c r="X564" s="1">
        <v>100</v>
      </c>
      <c r="Y564" s="1">
        <v>100</v>
      </c>
      <c r="Z564" s="1">
        <v>100</v>
      </c>
      <c r="AA564" s="1">
        <v>0</v>
      </c>
      <c r="AB564" s="1">
        <v>15</v>
      </c>
      <c r="AC564" s="1">
        <v>50</v>
      </c>
      <c r="AD564" s="1">
        <v>0</v>
      </c>
      <c r="AE564" s="1">
        <v>100</v>
      </c>
      <c r="AF564" s="1">
        <v>100</v>
      </c>
      <c r="AG564" s="1">
        <v>100124</v>
      </c>
      <c r="AH564" s="1">
        <v>0</v>
      </c>
      <c r="AI564" s="1">
        <v>300104</v>
      </c>
      <c r="AJ564" s="1" t="s">
        <v>1196</v>
      </c>
      <c r="AK564" s="1" t="s">
        <v>328</v>
      </c>
      <c r="AL564" s="1">
        <v>13</v>
      </c>
      <c r="AM564" s="1" t="s">
        <v>4790</v>
      </c>
      <c r="AN564" s="1" t="s">
        <v>4861</v>
      </c>
      <c r="AO564" s="1" t="s">
        <v>5428</v>
      </c>
      <c r="AP564" s="1">
        <v>0</v>
      </c>
      <c r="AQ564" s="1" t="s">
        <v>1118</v>
      </c>
      <c r="AR564" s="1" t="s">
        <v>1119</v>
      </c>
      <c r="AS564" s="1" t="s">
        <v>1120</v>
      </c>
      <c r="AT564" s="1" t="s">
        <v>328</v>
      </c>
      <c r="AU564" s="1">
        <v>55</v>
      </c>
      <c r="AV564" s="1">
        <v>0</v>
      </c>
      <c r="AW564" s="1" t="s">
        <v>5790</v>
      </c>
      <c r="AX564" s="1" t="s">
        <v>1806</v>
      </c>
      <c r="AY564" s="1">
        <v>5</v>
      </c>
      <c r="AZ564" s="1">
        <v>0</v>
      </c>
      <c r="BA564" s="1" t="s">
        <v>328</v>
      </c>
      <c r="BB564" s="1" t="s">
        <v>328</v>
      </c>
      <c r="BC564" s="1" t="s">
        <v>328</v>
      </c>
      <c r="BD564" s="1">
        <v>0</v>
      </c>
      <c r="BE564">
        <v>0</v>
      </c>
      <c r="BH564">
        <f>COUNTIF(Dropdowns!$I:$AF,C564)</f>
        <v>0</v>
      </c>
    </row>
    <row r="565" spans="1:60" x14ac:dyDescent="0.3">
      <c r="A565" s="1">
        <v>9104</v>
      </c>
      <c r="B565" s="1" t="s">
        <v>6695</v>
      </c>
      <c r="C565" s="207" t="s">
        <v>6696</v>
      </c>
      <c r="D565" s="1" t="s">
        <v>6696</v>
      </c>
      <c r="E565" s="1" t="s">
        <v>328</v>
      </c>
      <c r="F565" s="1" t="s">
        <v>328</v>
      </c>
      <c r="G565" s="1" t="s">
        <v>6697</v>
      </c>
      <c r="H565" s="1" t="s">
        <v>6698</v>
      </c>
      <c r="I565" s="1" t="s">
        <v>6699</v>
      </c>
      <c r="J565" s="1">
        <v>2</v>
      </c>
      <c r="K565" s="1">
        <v>5</v>
      </c>
      <c r="L565" s="1">
        <v>2700</v>
      </c>
      <c r="M565" s="1">
        <v>10</v>
      </c>
      <c r="N565" s="1">
        <v>10</v>
      </c>
      <c r="O565" s="1">
        <v>5</v>
      </c>
      <c r="P565" s="1">
        <v>5</v>
      </c>
      <c r="Q565" s="1">
        <v>2</v>
      </c>
      <c r="R565" s="1">
        <v>2</v>
      </c>
      <c r="S565" s="1">
        <v>2</v>
      </c>
      <c r="T565" s="1">
        <v>0</v>
      </c>
      <c r="U565" s="1">
        <v>115</v>
      </c>
      <c r="V565" s="1">
        <v>110</v>
      </c>
      <c r="W565" s="1">
        <v>120</v>
      </c>
      <c r="X565" s="1">
        <v>100</v>
      </c>
      <c r="Y565" s="1">
        <v>85</v>
      </c>
      <c r="Z565" s="1">
        <v>95</v>
      </c>
      <c r="AA565" s="1">
        <v>0</v>
      </c>
      <c r="AB565" s="1">
        <v>15</v>
      </c>
      <c r="AC565" s="1">
        <v>5</v>
      </c>
      <c r="AD565" s="1">
        <v>0</v>
      </c>
      <c r="AE565" s="1">
        <v>110</v>
      </c>
      <c r="AF565" s="1">
        <v>120</v>
      </c>
      <c r="AG565" s="1">
        <v>100124</v>
      </c>
      <c r="AH565" s="1">
        <v>0</v>
      </c>
      <c r="AI565" s="1">
        <v>300104</v>
      </c>
      <c r="AJ565" s="1" t="s">
        <v>1196</v>
      </c>
      <c r="AK565" s="1" t="s">
        <v>328</v>
      </c>
      <c r="AL565" s="1">
        <v>13</v>
      </c>
      <c r="AM565" s="1" t="s">
        <v>1806</v>
      </c>
      <c r="AN565" s="1" t="s">
        <v>4747</v>
      </c>
      <c r="AO565" s="1" t="s">
        <v>4744</v>
      </c>
      <c r="AP565" s="1">
        <v>0</v>
      </c>
      <c r="AQ565" s="1" t="s">
        <v>1129</v>
      </c>
      <c r="AR565" s="1" t="s">
        <v>1119</v>
      </c>
      <c r="AS565" s="1" t="s">
        <v>1130</v>
      </c>
      <c r="AT565" s="1" t="s">
        <v>328</v>
      </c>
      <c r="AU565" s="1">
        <v>6</v>
      </c>
      <c r="AV565" s="1">
        <v>0</v>
      </c>
      <c r="AW565" s="1" t="s">
        <v>5790</v>
      </c>
      <c r="AX565" s="1" t="s">
        <v>1806</v>
      </c>
      <c r="AY565" s="1">
        <v>5</v>
      </c>
      <c r="AZ565" s="1">
        <v>0</v>
      </c>
      <c r="BA565" s="1" t="s">
        <v>328</v>
      </c>
      <c r="BB565" s="1" t="s">
        <v>328</v>
      </c>
      <c r="BC565" s="1" t="s">
        <v>328</v>
      </c>
      <c r="BD565" s="1">
        <v>0</v>
      </c>
      <c r="BE565">
        <v>0</v>
      </c>
      <c r="BH565">
        <f>COUNTIF(Dropdowns!$I:$AF,C565)</f>
        <v>0</v>
      </c>
    </row>
    <row r="566" spans="1:60" x14ac:dyDescent="0.3">
      <c r="A566" s="1">
        <v>20013</v>
      </c>
      <c r="B566" s="1" t="s">
        <v>6700</v>
      </c>
      <c r="C566" s="207" t="s">
        <v>6754</v>
      </c>
      <c r="D566" s="1" t="s">
        <v>6701</v>
      </c>
      <c r="E566" s="1" t="s">
        <v>6629</v>
      </c>
      <c r="F566" s="1" t="s">
        <v>6630</v>
      </c>
      <c r="G566" s="1" t="s">
        <v>6702</v>
      </c>
      <c r="H566" s="1" t="s">
        <v>6703</v>
      </c>
      <c r="I566" s="1" t="s">
        <v>6704</v>
      </c>
      <c r="J566" s="1">
        <v>1</v>
      </c>
      <c r="K566" s="1">
        <v>4</v>
      </c>
      <c r="L566" s="1">
        <v>2100</v>
      </c>
      <c r="M566" s="1">
        <v>10</v>
      </c>
      <c r="N566" s="1">
        <v>10</v>
      </c>
      <c r="O566" s="1">
        <v>5</v>
      </c>
      <c r="P566" s="1">
        <v>5</v>
      </c>
      <c r="Q566" s="1">
        <v>2</v>
      </c>
      <c r="R566" s="1">
        <v>2</v>
      </c>
      <c r="S566" s="1">
        <v>2</v>
      </c>
      <c r="T566" s="1">
        <v>0</v>
      </c>
      <c r="U566" s="1">
        <v>110</v>
      </c>
      <c r="V566" s="1">
        <v>115</v>
      </c>
      <c r="W566" s="1">
        <v>115</v>
      </c>
      <c r="X566" s="1">
        <v>100</v>
      </c>
      <c r="Y566" s="1">
        <v>105</v>
      </c>
      <c r="Z566" s="1">
        <v>115</v>
      </c>
      <c r="AA566" s="1">
        <v>0</v>
      </c>
      <c r="AB566" s="1">
        <v>15</v>
      </c>
      <c r="AC566" s="1">
        <v>20</v>
      </c>
      <c r="AD566" s="1">
        <v>0</v>
      </c>
      <c r="AE566" s="1">
        <v>112</v>
      </c>
      <c r="AF566" s="1">
        <v>100</v>
      </c>
      <c r="AG566" s="1">
        <v>740040</v>
      </c>
      <c r="AH566" s="1">
        <v>740041</v>
      </c>
      <c r="AI566" s="1">
        <v>300101</v>
      </c>
      <c r="AJ566" s="1" t="s">
        <v>6705</v>
      </c>
      <c r="AK566" s="1" t="s">
        <v>6706</v>
      </c>
      <c r="AL566" s="1">
        <v>13</v>
      </c>
      <c r="AM566" s="1" t="s">
        <v>1806</v>
      </c>
      <c r="AN566" s="1" t="s">
        <v>4780</v>
      </c>
      <c r="AO566" s="1" t="s">
        <v>6707</v>
      </c>
      <c r="AP566" s="1">
        <v>0</v>
      </c>
      <c r="AQ566" s="1" t="s">
        <v>1118</v>
      </c>
      <c r="AR566" s="1" t="s">
        <v>1743</v>
      </c>
      <c r="AS566" s="1" t="s">
        <v>1120</v>
      </c>
      <c r="AT566" s="1" t="s">
        <v>328</v>
      </c>
      <c r="AU566" s="1">
        <v>13</v>
      </c>
      <c r="AV566" s="1">
        <v>0</v>
      </c>
      <c r="AW566" s="1" t="s">
        <v>4492</v>
      </c>
      <c r="AX566" s="1" t="s">
        <v>5416</v>
      </c>
      <c r="AY566" s="1">
        <v>4</v>
      </c>
      <c r="AZ566" s="1">
        <v>3013</v>
      </c>
      <c r="BA566" s="1" t="s">
        <v>328</v>
      </c>
      <c r="BB566" s="1" t="s">
        <v>4782</v>
      </c>
      <c r="BC566" s="1" t="s">
        <v>4783</v>
      </c>
      <c r="BD566" s="1">
        <v>0</v>
      </c>
      <c r="BE566">
        <v>0</v>
      </c>
      <c r="BH566">
        <f>COUNTIF(Dropdowns!$I:$AF,C566)</f>
        <v>0</v>
      </c>
    </row>
    <row r="567" spans="1:60" x14ac:dyDescent="0.3">
      <c r="A567" s="1">
        <v>20046</v>
      </c>
      <c r="B567" s="1" t="s">
        <v>6708</v>
      </c>
      <c r="C567" s="207" t="s">
        <v>6755</v>
      </c>
      <c r="D567" s="1" t="s">
        <v>6709</v>
      </c>
      <c r="E567" s="1" t="s">
        <v>6631</v>
      </c>
      <c r="F567" s="1" t="s">
        <v>6632</v>
      </c>
      <c r="G567" s="1" t="s">
        <v>6710</v>
      </c>
      <c r="H567" s="1" t="s">
        <v>6711</v>
      </c>
      <c r="I567" s="1" t="s">
        <v>6712</v>
      </c>
      <c r="J567" s="1">
        <v>3</v>
      </c>
      <c r="K567" s="1">
        <v>6</v>
      </c>
      <c r="L567" s="1">
        <v>16800</v>
      </c>
      <c r="M567" s="1">
        <v>15</v>
      </c>
      <c r="N567" s="1">
        <v>30</v>
      </c>
      <c r="O567" s="1">
        <v>10</v>
      </c>
      <c r="P567" s="1">
        <v>15</v>
      </c>
      <c r="Q567" s="1">
        <v>5</v>
      </c>
      <c r="R567" s="1">
        <v>2</v>
      </c>
      <c r="S567" s="1">
        <v>5</v>
      </c>
      <c r="T567" s="1">
        <v>0</v>
      </c>
      <c r="U567" s="1">
        <v>98</v>
      </c>
      <c r="V567" s="1">
        <v>122</v>
      </c>
      <c r="W567" s="1">
        <v>98</v>
      </c>
      <c r="X567" s="1">
        <v>100</v>
      </c>
      <c r="Y567" s="1">
        <v>115</v>
      </c>
      <c r="Z567" s="1">
        <v>110</v>
      </c>
      <c r="AA567" s="1">
        <v>0</v>
      </c>
      <c r="AB567" s="1">
        <v>15</v>
      </c>
      <c r="AC567" s="1">
        <v>40</v>
      </c>
      <c r="AD567" s="1">
        <v>0</v>
      </c>
      <c r="AE567" s="1">
        <v>135</v>
      </c>
      <c r="AF567" s="1">
        <v>115</v>
      </c>
      <c r="AG567" s="1">
        <v>740038</v>
      </c>
      <c r="AH567" s="1">
        <v>740052</v>
      </c>
      <c r="AI567" s="1">
        <v>750578</v>
      </c>
      <c r="AJ567" s="1" t="s">
        <v>6713</v>
      </c>
      <c r="AK567" s="1" t="s">
        <v>328</v>
      </c>
      <c r="AL567" s="1">
        <v>13</v>
      </c>
      <c r="AM567" s="1" t="s">
        <v>4762</v>
      </c>
      <c r="AN567" s="1" t="s">
        <v>4864</v>
      </c>
      <c r="AO567" s="1" t="s">
        <v>5427</v>
      </c>
      <c r="AP567" s="1">
        <v>0</v>
      </c>
      <c r="AQ567" s="1" t="s">
        <v>1140</v>
      </c>
      <c r="AR567" s="1" t="s">
        <v>4835</v>
      </c>
      <c r="AS567" s="1" t="s">
        <v>4839</v>
      </c>
      <c r="AT567" s="1" t="s">
        <v>328</v>
      </c>
      <c r="AU567" s="1">
        <v>46</v>
      </c>
      <c r="AV567" s="1">
        <v>0</v>
      </c>
      <c r="AW567" s="1" t="s">
        <v>4492</v>
      </c>
      <c r="AX567" s="1" t="s">
        <v>5416</v>
      </c>
      <c r="AY567" s="1">
        <v>6</v>
      </c>
      <c r="AZ567" s="1">
        <v>3046</v>
      </c>
      <c r="BA567" s="1" t="s">
        <v>328</v>
      </c>
      <c r="BB567" s="1" t="s">
        <v>4846</v>
      </c>
      <c r="BC567" s="1" t="s">
        <v>4769</v>
      </c>
      <c r="BD567" s="1">
        <v>0</v>
      </c>
      <c r="BE567">
        <v>0</v>
      </c>
      <c r="BH567">
        <f>COUNTIF(Dropdowns!$I:$AF,C567)</f>
        <v>1</v>
      </c>
    </row>
    <row r="568" spans="1:60" x14ac:dyDescent="0.3">
      <c r="A568" s="1">
        <v>20050</v>
      </c>
      <c r="B568" s="1" t="s">
        <v>6714</v>
      </c>
      <c r="C568" s="207" t="s">
        <v>6756</v>
      </c>
      <c r="D568" s="1" t="s">
        <v>6715</v>
      </c>
      <c r="E568" s="1" t="s">
        <v>6633</v>
      </c>
      <c r="F568" s="1" t="s">
        <v>6634</v>
      </c>
      <c r="G568" s="1" t="s">
        <v>6716</v>
      </c>
      <c r="H568" s="1" t="s">
        <v>6717</v>
      </c>
      <c r="I568" s="1" t="s">
        <v>6718</v>
      </c>
      <c r="J568" s="1">
        <v>3</v>
      </c>
      <c r="K568" s="1">
        <v>6</v>
      </c>
      <c r="L568" s="1">
        <v>18000</v>
      </c>
      <c r="M568" s="1">
        <v>15</v>
      </c>
      <c r="N568" s="1">
        <v>30</v>
      </c>
      <c r="O568" s="1">
        <v>10</v>
      </c>
      <c r="P568" s="1">
        <v>15</v>
      </c>
      <c r="Q568" s="1">
        <v>5</v>
      </c>
      <c r="R568" s="1">
        <v>2</v>
      </c>
      <c r="S568" s="1">
        <v>5</v>
      </c>
      <c r="T568" s="1">
        <v>0</v>
      </c>
      <c r="U568" s="1">
        <v>100</v>
      </c>
      <c r="V568" s="1">
        <v>118</v>
      </c>
      <c r="W568" s="1">
        <v>105</v>
      </c>
      <c r="X568" s="1">
        <v>100</v>
      </c>
      <c r="Y568" s="1">
        <v>115</v>
      </c>
      <c r="Z568" s="1">
        <v>105</v>
      </c>
      <c r="AA568" s="1">
        <v>0</v>
      </c>
      <c r="AB568" s="1">
        <v>15</v>
      </c>
      <c r="AC568" s="1">
        <v>40</v>
      </c>
      <c r="AD568" s="1">
        <v>0</v>
      </c>
      <c r="AE568" s="1">
        <v>135</v>
      </c>
      <c r="AF568" s="1">
        <v>115</v>
      </c>
      <c r="AG568" s="1">
        <v>740037</v>
      </c>
      <c r="AH568" s="1">
        <v>740057</v>
      </c>
      <c r="AI568" s="1">
        <v>300104</v>
      </c>
      <c r="AJ568" s="1" t="s">
        <v>6719</v>
      </c>
      <c r="AK568" s="1" t="s">
        <v>6720</v>
      </c>
      <c r="AL568" s="1">
        <v>13</v>
      </c>
      <c r="AM568" s="1" t="s">
        <v>4762</v>
      </c>
      <c r="AN568" s="1" t="s">
        <v>5726</v>
      </c>
      <c r="AO568" s="1" t="s">
        <v>5427</v>
      </c>
      <c r="AP568" s="1">
        <v>0</v>
      </c>
      <c r="AQ568" s="1" t="s">
        <v>1746</v>
      </c>
      <c r="AR568" s="1" t="s">
        <v>4835</v>
      </c>
      <c r="AS568" s="1" t="s">
        <v>1142</v>
      </c>
      <c r="AT568" s="1" t="s">
        <v>328</v>
      </c>
      <c r="AU568" s="1">
        <v>50</v>
      </c>
      <c r="AV568" s="1">
        <v>0</v>
      </c>
      <c r="AW568" s="1" t="s">
        <v>4492</v>
      </c>
      <c r="AX568" s="1" t="s">
        <v>5416</v>
      </c>
      <c r="AY568" s="1">
        <v>6</v>
      </c>
      <c r="AZ568" s="1">
        <v>3050</v>
      </c>
      <c r="BA568" s="1" t="s">
        <v>328</v>
      </c>
      <c r="BB568" s="1" t="s">
        <v>4851</v>
      </c>
      <c r="BC568" s="1" t="s">
        <v>328</v>
      </c>
      <c r="BD568" s="1">
        <v>0</v>
      </c>
      <c r="BE568">
        <v>0</v>
      </c>
      <c r="BH568">
        <f>COUNTIF(Dropdowns!$I:$AF,C568)</f>
        <v>1</v>
      </c>
    </row>
    <row r="569" spans="1:60" x14ac:dyDescent="0.3">
      <c r="A569" s="1">
        <v>20066</v>
      </c>
      <c r="B569" s="1" t="s">
        <v>6721</v>
      </c>
      <c r="C569" s="207" t="s">
        <v>6758</v>
      </c>
      <c r="D569" s="1" t="s">
        <v>6722</v>
      </c>
      <c r="E569" s="1" t="s">
        <v>6635</v>
      </c>
      <c r="F569" s="1" t="s">
        <v>6636</v>
      </c>
      <c r="G569" s="1" t="s">
        <v>6723</v>
      </c>
      <c r="H569" s="1" t="s">
        <v>6724</v>
      </c>
      <c r="I569" s="1" t="s">
        <v>6725</v>
      </c>
      <c r="J569" s="1">
        <v>4</v>
      </c>
      <c r="K569" s="1">
        <v>5</v>
      </c>
      <c r="L569" s="1">
        <v>12300</v>
      </c>
      <c r="M569" s="1">
        <v>20</v>
      </c>
      <c r="N569" s="1">
        <v>20</v>
      </c>
      <c r="O569" s="1">
        <v>10</v>
      </c>
      <c r="P569" s="1">
        <v>10</v>
      </c>
      <c r="Q569" s="1">
        <v>2</v>
      </c>
      <c r="R569" s="1">
        <v>5</v>
      </c>
      <c r="S569" s="1">
        <v>5</v>
      </c>
      <c r="T569" s="1">
        <v>0</v>
      </c>
      <c r="U569" s="1">
        <v>130</v>
      </c>
      <c r="V569" s="1">
        <v>125</v>
      </c>
      <c r="W569" s="1">
        <v>105</v>
      </c>
      <c r="X569" s="1">
        <v>100</v>
      </c>
      <c r="Y569" s="1">
        <v>100</v>
      </c>
      <c r="Z569" s="1">
        <v>100</v>
      </c>
      <c r="AA569" s="1">
        <v>0</v>
      </c>
      <c r="AB569" s="1">
        <v>15</v>
      </c>
      <c r="AC569" s="1">
        <v>20</v>
      </c>
      <c r="AD569" s="1">
        <v>0</v>
      </c>
      <c r="AE569" s="1">
        <v>115</v>
      </c>
      <c r="AF569" s="1">
        <v>110</v>
      </c>
      <c r="AG569" s="1">
        <v>740039</v>
      </c>
      <c r="AH569" s="1">
        <v>740045</v>
      </c>
      <c r="AI569" s="1">
        <v>300103</v>
      </c>
      <c r="AJ569" s="1" t="s">
        <v>6726</v>
      </c>
      <c r="AK569" s="1" t="s">
        <v>6727</v>
      </c>
      <c r="AL569" s="1">
        <v>13</v>
      </c>
      <c r="AM569" s="1" t="s">
        <v>4719</v>
      </c>
      <c r="AN569" s="1" t="s">
        <v>4864</v>
      </c>
      <c r="AO569" s="1" t="s">
        <v>6728</v>
      </c>
      <c r="AP569" s="1">
        <v>0</v>
      </c>
      <c r="AQ569" s="1" t="s">
        <v>1745</v>
      </c>
      <c r="AR569" s="1" t="s">
        <v>1154</v>
      </c>
      <c r="AS569" s="1" t="s">
        <v>1744</v>
      </c>
      <c r="AT569" s="1" t="s">
        <v>328</v>
      </c>
      <c r="AU569" s="1">
        <v>66</v>
      </c>
      <c r="AV569" s="1">
        <v>0</v>
      </c>
      <c r="AW569" s="1" t="s">
        <v>4492</v>
      </c>
      <c r="AX569" s="1" t="s">
        <v>5416</v>
      </c>
      <c r="AY569" s="1">
        <v>5</v>
      </c>
      <c r="AZ569" s="1">
        <v>3066</v>
      </c>
      <c r="BA569" s="1" t="s">
        <v>328</v>
      </c>
      <c r="BB569" s="1" t="s">
        <v>4891</v>
      </c>
      <c r="BC569" s="1" t="s">
        <v>4783</v>
      </c>
      <c r="BD569" s="1">
        <v>0</v>
      </c>
      <c r="BE569">
        <v>0</v>
      </c>
      <c r="BH569">
        <f>COUNTIF(Dropdowns!$I:$AF,C569)</f>
        <v>1</v>
      </c>
    </row>
    <row r="570" spans="1:60" x14ac:dyDescent="0.3">
      <c r="A570" s="1">
        <v>375</v>
      </c>
      <c r="B570" s="1" t="s">
        <v>6873</v>
      </c>
      <c r="C570" s="207" t="s">
        <v>6874</v>
      </c>
      <c r="D570" s="1" t="s">
        <v>6874</v>
      </c>
      <c r="E570" s="1" t="s">
        <v>328</v>
      </c>
      <c r="F570" s="1" t="s">
        <v>328</v>
      </c>
      <c r="G570" s="1" t="s">
        <v>6875</v>
      </c>
      <c r="H570" s="1" t="s">
        <v>6876</v>
      </c>
      <c r="I570" s="1" t="s">
        <v>6877</v>
      </c>
      <c r="J570" s="1">
        <v>1</v>
      </c>
      <c r="K570" s="1">
        <v>5</v>
      </c>
      <c r="L570" s="1">
        <v>4800</v>
      </c>
      <c r="M570" s="1">
        <v>10</v>
      </c>
      <c r="N570" s="1">
        <v>10</v>
      </c>
      <c r="O570" s="1">
        <v>5</v>
      </c>
      <c r="P570" s="1">
        <v>5</v>
      </c>
      <c r="Q570" s="1">
        <v>2</v>
      </c>
      <c r="R570" s="1">
        <v>2</v>
      </c>
      <c r="S570" s="1">
        <v>2</v>
      </c>
      <c r="T570" s="1">
        <v>0</v>
      </c>
      <c r="U570" s="1">
        <v>90</v>
      </c>
      <c r="V570" s="1">
        <v>128</v>
      </c>
      <c r="W570" s="1">
        <v>105</v>
      </c>
      <c r="X570" s="1">
        <v>100</v>
      </c>
      <c r="Y570" s="1">
        <v>120</v>
      </c>
      <c r="Z570" s="1">
        <v>150</v>
      </c>
      <c r="AA570" s="1">
        <v>0</v>
      </c>
      <c r="AB570" s="1">
        <v>15</v>
      </c>
      <c r="AC570" s="1">
        <v>20</v>
      </c>
      <c r="AD570" s="1">
        <v>0</v>
      </c>
      <c r="AE570" s="1">
        <v>120</v>
      </c>
      <c r="AF570" s="1">
        <v>100</v>
      </c>
      <c r="AG570" s="1">
        <v>750610</v>
      </c>
      <c r="AH570" s="1">
        <v>0</v>
      </c>
      <c r="AI570" s="1">
        <v>300101</v>
      </c>
      <c r="AJ570" s="1" t="s">
        <v>6878</v>
      </c>
      <c r="AK570" s="1" t="s">
        <v>6879</v>
      </c>
      <c r="AL570" s="1">
        <v>18</v>
      </c>
      <c r="AM570" s="1" t="s">
        <v>1806</v>
      </c>
      <c r="AN570" s="1" t="s">
        <v>6880</v>
      </c>
      <c r="AO570" s="1" t="s">
        <v>6881</v>
      </c>
      <c r="AP570" s="1">
        <v>0</v>
      </c>
      <c r="AQ570" s="1" t="s">
        <v>1118</v>
      </c>
      <c r="AR570" s="1" t="s">
        <v>1119</v>
      </c>
      <c r="AS570" s="1" t="s">
        <v>1120</v>
      </c>
      <c r="AT570" s="1" t="s">
        <v>328</v>
      </c>
      <c r="AU570" s="1">
        <v>4</v>
      </c>
      <c r="AV570" s="1">
        <v>0</v>
      </c>
      <c r="AW570" s="1" t="s">
        <v>6882</v>
      </c>
      <c r="AX570" s="1" t="s">
        <v>4762</v>
      </c>
      <c r="AY570" s="1">
        <v>5</v>
      </c>
      <c r="AZ570" s="1">
        <v>0</v>
      </c>
      <c r="BA570" s="1" t="s">
        <v>328</v>
      </c>
      <c r="BB570" s="1" t="s">
        <v>328</v>
      </c>
      <c r="BC570" s="1" t="s">
        <v>4720</v>
      </c>
      <c r="BD570" s="1">
        <v>10701</v>
      </c>
      <c r="BE570">
        <v>0</v>
      </c>
    </row>
    <row r="571" spans="1:60" x14ac:dyDescent="0.3">
      <c r="A571" s="1">
        <v>376</v>
      </c>
      <c r="B571" s="1" t="s">
        <v>6883</v>
      </c>
      <c r="C571" s="207" t="s">
        <v>6884</v>
      </c>
      <c r="D571" s="1" t="s">
        <v>6884</v>
      </c>
      <c r="E571" s="1" t="s">
        <v>328</v>
      </c>
      <c r="F571" s="1" t="s">
        <v>328</v>
      </c>
      <c r="G571" s="1" t="s">
        <v>6885</v>
      </c>
      <c r="H571" s="1" t="s">
        <v>6886</v>
      </c>
      <c r="I571" s="1" t="s">
        <v>6887</v>
      </c>
      <c r="J571" s="1">
        <v>2</v>
      </c>
      <c r="K571" s="1">
        <v>5</v>
      </c>
      <c r="L571" s="1">
        <v>9600</v>
      </c>
      <c r="M571" s="1">
        <v>25</v>
      </c>
      <c r="N571" s="1">
        <v>20</v>
      </c>
      <c r="O571" s="1">
        <v>15</v>
      </c>
      <c r="P571" s="1">
        <v>10</v>
      </c>
      <c r="Q571" s="1">
        <v>5</v>
      </c>
      <c r="R571" s="1">
        <v>5</v>
      </c>
      <c r="S571" s="1">
        <v>2</v>
      </c>
      <c r="T571" s="1">
        <v>0</v>
      </c>
      <c r="U571" s="1">
        <v>150</v>
      </c>
      <c r="V571" s="1">
        <v>100</v>
      </c>
      <c r="W571" s="1">
        <v>108</v>
      </c>
      <c r="X571" s="1">
        <v>100</v>
      </c>
      <c r="Y571" s="1">
        <v>105</v>
      </c>
      <c r="Z571" s="1">
        <v>105</v>
      </c>
      <c r="AA571" s="1">
        <v>0</v>
      </c>
      <c r="AB571" s="1">
        <v>15</v>
      </c>
      <c r="AC571" s="1">
        <v>5</v>
      </c>
      <c r="AD571" s="1">
        <v>0</v>
      </c>
      <c r="AE571" s="1">
        <v>105</v>
      </c>
      <c r="AF571" s="1">
        <v>100</v>
      </c>
      <c r="AG571" s="1">
        <v>750602</v>
      </c>
      <c r="AH571" s="1">
        <v>0</v>
      </c>
      <c r="AI571" s="1">
        <v>300102</v>
      </c>
      <c r="AJ571" s="1" t="s">
        <v>6888</v>
      </c>
      <c r="AK571" s="1" t="s">
        <v>6889</v>
      </c>
      <c r="AL571" s="1">
        <v>14</v>
      </c>
      <c r="AM571" s="1" t="s">
        <v>1806</v>
      </c>
      <c r="AN571" s="1" t="s">
        <v>6890</v>
      </c>
      <c r="AO571" s="1" t="s">
        <v>6891</v>
      </c>
      <c r="AP571" s="1">
        <v>0</v>
      </c>
      <c r="AQ571" s="1" t="s">
        <v>1129</v>
      </c>
      <c r="AR571" s="1" t="s">
        <v>1119</v>
      </c>
      <c r="AS571" s="1" t="s">
        <v>1130</v>
      </c>
      <c r="AT571" s="1" t="s">
        <v>328</v>
      </c>
      <c r="AU571" s="1">
        <v>150</v>
      </c>
      <c r="AV571" s="1">
        <v>0</v>
      </c>
      <c r="AW571" s="1" t="s">
        <v>6882</v>
      </c>
      <c r="AX571" s="1" t="s">
        <v>331</v>
      </c>
      <c r="AY571" s="1">
        <v>5</v>
      </c>
      <c r="AZ571" s="1">
        <v>0</v>
      </c>
      <c r="BA571" s="1" t="s">
        <v>328</v>
      </c>
      <c r="BB571" s="1" t="s">
        <v>328</v>
      </c>
      <c r="BC571" s="1" t="s">
        <v>4769</v>
      </c>
      <c r="BD571" s="1">
        <v>10703</v>
      </c>
      <c r="BE571">
        <v>0</v>
      </c>
    </row>
    <row r="572" spans="1:60" x14ac:dyDescent="0.3">
      <c r="A572" s="1">
        <v>377</v>
      </c>
      <c r="B572" s="1" t="s">
        <v>6892</v>
      </c>
      <c r="C572" s="207" t="s">
        <v>6893</v>
      </c>
      <c r="D572" s="1" t="s">
        <v>6894</v>
      </c>
      <c r="E572" s="1" t="s">
        <v>328</v>
      </c>
      <c r="F572" s="1" t="s">
        <v>328</v>
      </c>
      <c r="G572" s="1" t="s">
        <v>6895</v>
      </c>
      <c r="H572" s="1" t="s">
        <v>6896</v>
      </c>
      <c r="I572" s="1" t="s">
        <v>6897</v>
      </c>
      <c r="J572" s="1">
        <v>3</v>
      </c>
      <c r="K572" s="1">
        <v>5</v>
      </c>
      <c r="L572" s="1">
        <v>16200</v>
      </c>
      <c r="M572" s="1">
        <v>15</v>
      </c>
      <c r="N572" s="1">
        <v>30</v>
      </c>
      <c r="O572" s="1">
        <v>10</v>
      </c>
      <c r="P572" s="1">
        <v>15</v>
      </c>
      <c r="Q572" s="1">
        <v>5</v>
      </c>
      <c r="R572" s="1">
        <v>2</v>
      </c>
      <c r="S572" s="1">
        <v>5</v>
      </c>
      <c r="T572" s="1">
        <v>0</v>
      </c>
      <c r="U572" s="1">
        <v>96</v>
      </c>
      <c r="V572" s="1">
        <v>100</v>
      </c>
      <c r="W572" s="1">
        <v>120</v>
      </c>
      <c r="X572" s="1">
        <v>100</v>
      </c>
      <c r="Y572" s="1">
        <v>130</v>
      </c>
      <c r="Z572" s="1">
        <v>80</v>
      </c>
      <c r="AA572" s="1">
        <v>0</v>
      </c>
      <c r="AB572" s="1">
        <v>15</v>
      </c>
      <c r="AC572" s="1">
        <v>40</v>
      </c>
      <c r="AD572" s="1">
        <v>0</v>
      </c>
      <c r="AE572" s="1">
        <v>130</v>
      </c>
      <c r="AF572" s="1">
        <v>100</v>
      </c>
      <c r="AG572" s="1">
        <v>119701</v>
      </c>
      <c r="AH572" s="1">
        <v>0</v>
      </c>
      <c r="AI572" s="1">
        <v>300104</v>
      </c>
      <c r="AJ572" s="1" t="s">
        <v>6898</v>
      </c>
      <c r="AK572" s="1" t="s">
        <v>6899</v>
      </c>
      <c r="AL572" s="1">
        <v>13</v>
      </c>
      <c r="AM572" s="1" t="s">
        <v>354</v>
      </c>
      <c r="AN572" s="1" t="s">
        <v>5384</v>
      </c>
      <c r="AO572" s="1" t="s">
        <v>5063</v>
      </c>
      <c r="AP572" s="1">
        <v>0</v>
      </c>
      <c r="AQ572" s="1" t="s">
        <v>1746</v>
      </c>
      <c r="AR572" s="1" t="s">
        <v>1141</v>
      </c>
      <c r="AS572" s="1" t="s">
        <v>1142</v>
      </c>
      <c r="AT572" s="1" t="s">
        <v>328</v>
      </c>
      <c r="AU572" s="1">
        <v>241</v>
      </c>
      <c r="AV572" s="1">
        <v>0</v>
      </c>
      <c r="AW572" s="1" t="s">
        <v>6882</v>
      </c>
      <c r="AX572" s="1" t="s">
        <v>331</v>
      </c>
      <c r="AY572" s="1">
        <v>5</v>
      </c>
      <c r="AZ572" s="1">
        <v>0</v>
      </c>
      <c r="BA572" s="1" t="s">
        <v>328</v>
      </c>
      <c r="BB572" s="1" t="s">
        <v>328</v>
      </c>
      <c r="BC572" s="1" t="s">
        <v>4853</v>
      </c>
      <c r="BD572" s="1">
        <v>10402</v>
      </c>
      <c r="BE572">
        <v>0</v>
      </c>
    </row>
    <row r="573" spans="1:60" x14ac:dyDescent="0.3">
      <c r="A573" s="1">
        <v>378</v>
      </c>
      <c r="B573" s="1" t="s">
        <v>6900</v>
      </c>
      <c r="C573" s="207" t="s">
        <v>6901</v>
      </c>
      <c r="D573" s="1" t="s">
        <v>6902</v>
      </c>
      <c r="E573" s="1" t="s">
        <v>328</v>
      </c>
      <c r="F573" s="1" t="s">
        <v>328</v>
      </c>
      <c r="G573" s="1" t="s">
        <v>6903</v>
      </c>
      <c r="H573" s="1" t="s">
        <v>6904</v>
      </c>
      <c r="I573" s="1" t="s">
        <v>6905</v>
      </c>
      <c r="J573" s="1">
        <v>4</v>
      </c>
      <c r="K573" s="1">
        <v>5</v>
      </c>
      <c r="L573" s="1">
        <v>16200</v>
      </c>
      <c r="M573" s="1">
        <v>20</v>
      </c>
      <c r="N573" s="1">
        <v>20</v>
      </c>
      <c r="O573" s="1">
        <v>10</v>
      </c>
      <c r="P573" s="1">
        <v>10</v>
      </c>
      <c r="Q573" s="1">
        <v>2</v>
      </c>
      <c r="R573" s="1">
        <v>5</v>
      </c>
      <c r="S573" s="1">
        <v>5</v>
      </c>
      <c r="T573" s="1">
        <v>0</v>
      </c>
      <c r="U573" s="1">
        <v>100</v>
      </c>
      <c r="V573" s="1">
        <v>108</v>
      </c>
      <c r="W573" s="1">
        <v>108</v>
      </c>
      <c r="X573" s="1">
        <v>100</v>
      </c>
      <c r="Y573" s="1">
        <v>98</v>
      </c>
      <c r="Z573" s="1">
        <v>105</v>
      </c>
      <c r="AA573" s="1">
        <v>0</v>
      </c>
      <c r="AB573" s="1">
        <v>15</v>
      </c>
      <c r="AC573" s="1">
        <v>20</v>
      </c>
      <c r="AD573" s="1">
        <v>0</v>
      </c>
      <c r="AE573" s="1">
        <v>145</v>
      </c>
      <c r="AF573" s="1">
        <v>100</v>
      </c>
      <c r="AG573" s="1">
        <v>119601</v>
      </c>
      <c r="AH573" s="1">
        <v>0</v>
      </c>
      <c r="AI573" s="1">
        <v>300103</v>
      </c>
      <c r="AJ573" s="1" t="s">
        <v>6906</v>
      </c>
      <c r="AK573" s="1" t="s">
        <v>328</v>
      </c>
      <c r="AL573" s="1">
        <v>13</v>
      </c>
      <c r="AM573" s="1" t="s">
        <v>354</v>
      </c>
      <c r="AN573" s="1" t="s">
        <v>5384</v>
      </c>
      <c r="AO573" s="1" t="s">
        <v>5063</v>
      </c>
      <c r="AP573" s="1">
        <v>0</v>
      </c>
      <c r="AQ573" s="1" t="s">
        <v>1130</v>
      </c>
      <c r="AR573" s="1" t="s">
        <v>4868</v>
      </c>
      <c r="AS573" s="1" t="s">
        <v>1129</v>
      </c>
      <c r="AT573" s="1" t="s">
        <v>328</v>
      </c>
      <c r="AU573" s="1">
        <v>48</v>
      </c>
      <c r="AV573" s="1">
        <v>0</v>
      </c>
      <c r="AW573" s="1" t="s">
        <v>6882</v>
      </c>
      <c r="AX573" s="1" t="s">
        <v>331</v>
      </c>
      <c r="AY573" s="1">
        <v>5</v>
      </c>
      <c r="AZ573" s="1">
        <v>0</v>
      </c>
      <c r="BA573" s="1" t="s">
        <v>328</v>
      </c>
      <c r="BB573" s="1" t="s">
        <v>328</v>
      </c>
      <c r="BC573" s="1" t="s">
        <v>4853</v>
      </c>
      <c r="BD573" s="1">
        <v>10201</v>
      </c>
      <c r="BE573">
        <v>0</v>
      </c>
    </row>
    <row r="574" spans="1:60" x14ac:dyDescent="0.3">
      <c r="A574" s="1">
        <v>1035</v>
      </c>
      <c r="B574" s="1" t="s">
        <v>6969</v>
      </c>
      <c r="C574" s="207" t="s">
        <v>6970</v>
      </c>
      <c r="D574" s="1" t="s">
        <v>6970</v>
      </c>
      <c r="E574" s="1" t="s">
        <v>328</v>
      </c>
      <c r="F574" s="1" t="s">
        <v>328</v>
      </c>
      <c r="G574" s="1" t="s">
        <v>6971</v>
      </c>
      <c r="H574" s="1" t="s">
        <v>6972</v>
      </c>
      <c r="I574" s="1" t="s">
        <v>6973</v>
      </c>
      <c r="J574" s="1">
        <v>1</v>
      </c>
      <c r="K574" s="1">
        <v>5</v>
      </c>
      <c r="L574" s="1">
        <v>3600</v>
      </c>
      <c r="M574" s="1">
        <v>10</v>
      </c>
      <c r="N574" s="1">
        <v>10</v>
      </c>
      <c r="O574" s="1">
        <v>5</v>
      </c>
      <c r="P574" s="1">
        <v>5</v>
      </c>
      <c r="Q574" s="1">
        <v>2</v>
      </c>
      <c r="R574" s="1">
        <v>2</v>
      </c>
      <c r="S574" s="1">
        <v>2</v>
      </c>
      <c r="T574" s="1">
        <v>0</v>
      </c>
      <c r="U574" s="1">
        <v>140</v>
      </c>
      <c r="V574" s="1">
        <v>95</v>
      </c>
      <c r="W574" s="1">
        <v>100</v>
      </c>
      <c r="X574" s="1">
        <v>100</v>
      </c>
      <c r="Y574" s="1">
        <v>90</v>
      </c>
      <c r="Z574" s="1">
        <v>95</v>
      </c>
      <c r="AA574" s="1">
        <v>0</v>
      </c>
      <c r="AB574" s="1">
        <v>15</v>
      </c>
      <c r="AC574" s="1">
        <v>20</v>
      </c>
      <c r="AD574" s="1">
        <v>1</v>
      </c>
      <c r="AE574" s="1">
        <v>115</v>
      </c>
      <c r="AF574" s="1">
        <v>100</v>
      </c>
      <c r="AG574" s="1">
        <v>120506</v>
      </c>
      <c r="AH574" s="1">
        <v>0</v>
      </c>
      <c r="AI574" s="1">
        <v>120509</v>
      </c>
      <c r="AJ574" s="1" t="s">
        <v>6974</v>
      </c>
      <c r="AK574" s="1" t="s">
        <v>6975</v>
      </c>
      <c r="AL574" s="1">
        <v>13</v>
      </c>
      <c r="AM574" s="1" t="s">
        <v>1806</v>
      </c>
      <c r="AN574" s="1" t="s">
        <v>6976</v>
      </c>
      <c r="AO574" s="1" t="s">
        <v>4751</v>
      </c>
      <c r="AP574" s="1">
        <v>0</v>
      </c>
      <c r="AQ574" s="1" t="s">
        <v>1118</v>
      </c>
      <c r="AR574" s="1" t="s">
        <v>1743</v>
      </c>
      <c r="AS574" s="1" t="s">
        <v>1120</v>
      </c>
      <c r="AT574" s="1" t="s">
        <v>328</v>
      </c>
      <c r="AU574" s="1">
        <v>1035</v>
      </c>
      <c r="AV574" s="1">
        <v>1</v>
      </c>
      <c r="AW574" s="1" t="s">
        <v>6977</v>
      </c>
      <c r="AX574" s="1" t="s">
        <v>6978</v>
      </c>
      <c r="AY574" s="1">
        <v>7</v>
      </c>
      <c r="AZ574" s="1">
        <v>0</v>
      </c>
      <c r="BA574" s="1" t="s">
        <v>328</v>
      </c>
      <c r="BB574" s="1" t="s">
        <v>328</v>
      </c>
      <c r="BC574" s="1" t="s">
        <v>5386</v>
      </c>
      <c r="BD574" s="1">
        <v>0</v>
      </c>
      <c r="BE574">
        <v>0</v>
      </c>
    </row>
    <row r="575" spans="1:60" x14ac:dyDescent="0.3">
      <c r="A575" s="1">
        <v>1036</v>
      </c>
      <c r="B575" s="1" t="s">
        <v>6979</v>
      </c>
      <c r="C575" s="207" t="s">
        <v>6980</v>
      </c>
      <c r="D575" s="1" t="s">
        <v>6980</v>
      </c>
      <c r="E575" s="1" t="s">
        <v>328</v>
      </c>
      <c r="F575" s="1" t="s">
        <v>328</v>
      </c>
      <c r="G575" s="1" t="s">
        <v>6981</v>
      </c>
      <c r="H575" s="1" t="s">
        <v>6982</v>
      </c>
      <c r="I575" s="1" t="s">
        <v>6983</v>
      </c>
      <c r="J575" s="1">
        <v>2</v>
      </c>
      <c r="K575" s="1">
        <v>5</v>
      </c>
      <c r="L575" s="1">
        <v>8880</v>
      </c>
      <c r="M575" s="1">
        <v>25</v>
      </c>
      <c r="N575" s="1">
        <v>20</v>
      </c>
      <c r="O575" s="1">
        <v>15</v>
      </c>
      <c r="P575" s="1">
        <v>10</v>
      </c>
      <c r="Q575" s="1">
        <v>5</v>
      </c>
      <c r="R575" s="1">
        <v>5</v>
      </c>
      <c r="S575" s="1">
        <v>2</v>
      </c>
      <c r="T575" s="1">
        <v>0</v>
      </c>
      <c r="U575" s="1">
        <v>100</v>
      </c>
      <c r="V575" s="1">
        <v>102</v>
      </c>
      <c r="W575" s="1">
        <v>125</v>
      </c>
      <c r="X575" s="1">
        <v>100</v>
      </c>
      <c r="Y575" s="1">
        <v>120</v>
      </c>
      <c r="Z575" s="1">
        <v>130</v>
      </c>
      <c r="AA575" s="1">
        <v>0</v>
      </c>
      <c r="AB575" s="1">
        <v>15</v>
      </c>
      <c r="AC575" s="1">
        <v>5</v>
      </c>
      <c r="AD575" s="1">
        <v>1</v>
      </c>
      <c r="AE575" s="1">
        <v>105</v>
      </c>
      <c r="AF575" s="1">
        <v>100</v>
      </c>
      <c r="AG575" s="1">
        <v>750712</v>
      </c>
      <c r="AH575" s="1">
        <v>0</v>
      </c>
      <c r="AI575" s="1">
        <v>750713</v>
      </c>
      <c r="AJ575" s="1" t="s">
        <v>6984</v>
      </c>
      <c r="AK575" s="1" t="s">
        <v>328</v>
      </c>
      <c r="AL575" s="1">
        <v>12</v>
      </c>
      <c r="AM575" s="1" t="s">
        <v>1806</v>
      </c>
      <c r="AN575" s="1" t="s">
        <v>6985</v>
      </c>
      <c r="AO575" s="1" t="s">
        <v>4809</v>
      </c>
      <c r="AP575" s="1">
        <v>0</v>
      </c>
      <c r="AQ575" s="1" t="s">
        <v>1129</v>
      </c>
      <c r="AR575" s="1" t="s">
        <v>1743</v>
      </c>
      <c r="AS575" s="1" t="s">
        <v>1130</v>
      </c>
      <c r="AT575" s="1" t="s">
        <v>328</v>
      </c>
      <c r="AU575" s="1">
        <v>1036</v>
      </c>
      <c r="AV575" s="1">
        <v>1</v>
      </c>
      <c r="AW575" s="1" t="s">
        <v>6977</v>
      </c>
      <c r="AX575" s="1" t="s">
        <v>6978</v>
      </c>
      <c r="AY575" s="1">
        <v>7</v>
      </c>
      <c r="AZ575" s="1">
        <v>0</v>
      </c>
      <c r="BA575" s="1" t="s">
        <v>328</v>
      </c>
      <c r="BB575" s="1" t="s">
        <v>328</v>
      </c>
      <c r="BC575" s="1" t="s">
        <v>5386</v>
      </c>
      <c r="BD575" s="1">
        <v>0</v>
      </c>
      <c r="BE575">
        <v>0</v>
      </c>
    </row>
    <row r="576" spans="1:60" x14ac:dyDescent="0.3">
      <c r="A576" s="1">
        <v>1037</v>
      </c>
      <c r="B576" s="1" t="s">
        <v>6986</v>
      </c>
      <c r="C576" s="207" t="s">
        <v>235</v>
      </c>
      <c r="D576" s="1" t="s">
        <v>235</v>
      </c>
      <c r="E576" s="1" t="s">
        <v>328</v>
      </c>
      <c r="F576" s="1" t="s">
        <v>328</v>
      </c>
      <c r="G576" s="1" t="s">
        <v>6987</v>
      </c>
      <c r="H576" s="1" t="s">
        <v>6988</v>
      </c>
      <c r="I576" s="1" t="s">
        <v>6989</v>
      </c>
      <c r="J576" s="1">
        <v>3</v>
      </c>
      <c r="K576" s="1">
        <v>5</v>
      </c>
      <c r="L576" s="1">
        <v>17400</v>
      </c>
      <c r="M576" s="1">
        <v>15</v>
      </c>
      <c r="N576" s="1">
        <v>30</v>
      </c>
      <c r="O576" s="1">
        <v>10</v>
      </c>
      <c r="P576" s="1">
        <v>15</v>
      </c>
      <c r="Q576" s="1">
        <v>5</v>
      </c>
      <c r="R576" s="1">
        <v>2</v>
      </c>
      <c r="S576" s="1">
        <v>5</v>
      </c>
      <c r="T576" s="1">
        <v>0</v>
      </c>
      <c r="U576" s="1">
        <v>98</v>
      </c>
      <c r="V576" s="1">
        <v>112</v>
      </c>
      <c r="W576" s="1">
        <v>100</v>
      </c>
      <c r="X576" s="1">
        <v>100</v>
      </c>
      <c r="Y576" s="1">
        <v>105</v>
      </c>
      <c r="Z576" s="1">
        <v>85</v>
      </c>
      <c r="AA576" s="1">
        <v>0</v>
      </c>
      <c r="AB576" s="1">
        <v>15</v>
      </c>
      <c r="AC576" s="1">
        <v>40</v>
      </c>
      <c r="AD576" s="1">
        <v>1</v>
      </c>
      <c r="AE576" s="1">
        <v>135</v>
      </c>
      <c r="AF576" s="1">
        <v>100</v>
      </c>
      <c r="AG576" s="1">
        <v>120401</v>
      </c>
      <c r="AH576" s="1">
        <v>0</v>
      </c>
      <c r="AI576" s="1">
        <v>120413</v>
      </c>
      <c r="AJ576" s="1" t="s">
        <v>6990</v>
      </c>
      <c r="AK576" s="1" t="s">
        <v>6991</v>
      </c>
      <c r="AL576" s="1">
        <v>18</v>
      </c>
      <c r="AM576" s="1" t="s">
        <v>1806</v>
      </c>
      <c r="AN576" s="1" t="s">
        <v>6992</v>
      </c>
      <c r="AO576" s="1" t="s">
        <v>5019</v>
      </c>
      <c r="AP576" s="1">
        <v>0</v>
      </c>
      <c r="AQ576" s="1" t="s">
        <v>1140</v>
      </c>
      <c r="AR576" s="1" t="s">
        <v>4835</v>
      </c>
      <c r="AS576" s="1" t="s">
        <v>1142</v>
      </c>
      <c r="AT576" s="1" t="s">
        <v>328</v>
      </c>
      <c r="AU576" s="1">
        <v>1037</v>
      </c>
      <c r="AV576" s="1">
        <v>1</v>
      </c>
      <c r="AW576" s="1" t="s">
        <v>6977</v>
      </c>
      <c r="AX576" s="1" t="s">
        <v>6993</v>
      </c>
      <c r="AY576" s="1">
        <v>7</v>
      </c>
      <c r="AZ576" s="1">
        <v>0</v>
      </c>
      <c r="BA576" s="1" t="s">
        <v>328</v>
      </c>
      <c r="BB576" s="1" t="s">
        <v>328</v>
      </c>
      <c r="BC576" s="1" t="s">
        <v>5386</v>
      </c>
      <c r="BD576" s="1">
        <v>0</v>
      </c>
      <c r="BE576">
        <v>0</v>
      </c>
    </row>
    <row r="577" spans="1:57" x14ac:dyDescent="0.3">
      <c r="A577" s="1">
        <v>1038</v>
      </c>
      <c r="B577" s="1" t="s">
        <v>6994</v>
      </c>
      <c r="C577" s="207" t="s">
        <v>6995</v>
      </c>
      <c r="D577" s="1" t="s">
        <v>6995</v>
      </c>
      <c r="E577" s="1" t="s">
        <v>328</v>
      </c>
      <c r="F577" s="1" t="s">
        <v>328</v>
      </c>
      <c r="G577" s="1" t="s">
        <v>6996</v>
      </c>
      <c r="H577" s="1" t="s">
        <v>6997</v>
      </c>
      <c r="I577" s="1" t="s">
        <v>6998</v>
      </c>
      <c r="J577" s="1">
        <v>4</v>
      </c>
      <c r="K577" s="1">
        <v>5</v>
      </c>
      <c r="L577" s="1">
        <v>14100</v>
      </c>
      <c r="M577" s="1">
        <v>20</v>
      </c>
      <c r="N577" s="1">
        <v>20</v>
      </c>
      <c r="O577" s="1">
        <v>10</v>
      </c>
      <c r="P577" s="1">
        <v>10</v>
      </c>
      <c r="Q577" s="1">
        <v>2</v>
      </c>
      <c r="R577" s="1">
        <v>5</v>
      </c>
      <c r="S577" s="1">
        <v>5</v>
      </c>
      <c r="T577" s="1">
        <v>0</v>
      </c>
      <c r="U577" s="1">
        <v>105</v>
      </c>
      <c r="V577" s="1">
        <v>125</v>
      </c>
      <c r="W577" s="1">
        <v>98</v>
      </c>
      <c r="X577" s="1">
        <v>100</v>
      </c>
      <c r="Y577" s="1">
        <v>133</v>
      </c>
      <c r="Z577" s="1">
        <v>100</v>
      </c>
      <c r="AA577" s="1">
        <v>0</v>
      </c>
      <c r="AB577" s="1">
        <v>15</v>
      </c>
      <c r="AC577" s="1">
        <v>20</v>
      </c>
      <c r="AD577" s="1">
        <v>1</v>
      </c>
      <c r="AE577" s="1">
        <v>125</v>
      </c>
      <c r="AF577" s="1">
        <v>100</v>
      </c>
      <c r="AG577" s="1">
        <v>750710</v>
      </c>
      <c r="AH577" s="1">
        <v>0</v>
      </c>
      <c r="AI577" s="1">
        <v>750714</v>
      </c>
      <c r="AJ577" s="1" t="s">
        <v>6999</v>
      </c>
      <c r="AK577" s="1" t="s">
        <v>7000</v>
      </c>
      <c r="AL577" s="1">
        <v>19</v>
      </c>
      <c r="AM577" s="1" t="s">
        <v>1806</v>
      </c>
      <c r="AN577" s="1" t="s">
        <v>7001</v>
      </c>
      <c r="AO577" s="1" t="s">
        <v>5258</v>
      </c>
      <c r="AP577" s="1">
        <v>0</v>
      </c>
      <c r="AQ577" s="1" t="s">
        <v>1130</v>
      </c>
      <c r="AR577" s="1" t="s">
        <v>1154</v>
      </c>
      <c r="AS577" s="1" t="s">
        <v>1744</v>
      </c>
      <c r="AT577" s="1" t="s">
        <v>328</v>
      </c>
      <c r="AU577" s="1">
        <v>1038</v>
      </c>
      <c r="AV577" s="1">
        <v>1</v>
      </c>
      <c r="AW577" s="1" t="s">
        <v>6977</v>
      </c>
      <c r="AX577" s="1" t="s">
        <v>7002</v>
      </c>
      <c r="AY577" s="1">
        <v>7</v>
      </c>
      <c r="AZ577" s="1">
        <v>0</v>
      </c>
      <c r="BA577" s="1" t="s">
        <v>328</v>
      </c>
      <c r="BB577" s="1" t="s">
        <v>328</v>
      </c>
      <c r="BC577" s="1" t="s">
        <v>5386</v>
      </c>
      <c r="BD577" s="1">
        <v>0</v>
      </c>
      <c r="BE577">
        <v>0</v>
      </c>
    </row>
    <row r="578" spans="1:57" x14ac:dyDescent="0.3">
      <c r="A578" s="1">
        <v>1039</v>
      </c>
      <c r="B578" s="1" t="s">
        <v>7003</v>
      </c>
      <c r="C578" s="207" t="s">
        <v>7004</v>
      </c>
      <c r="D578" s="1" t="s">
        <v>7004</v>
      </c>
      <c r="E578" s="1" t="s">
        <v>328</v>
      </c>
      <c r="F578" s="1" t="s">
        <v>328</v>
      </c>
      <c r="G578" s="1" t="s">
        <v>7005</v>
      </c>
      <c r="H578" s="1" t="s">
        <v>7006</v>
      </c>
      <c r="I578" s="1" t="s">
        <v>7007</v>
      </c>
      <c r="J578" s="1">
        <v>4</v>
      </c>
      <c r="K578" s="1">
        <v>5</v>
      </c>
      <c r="L578" s="1">
        <v>14100</v>
      </c>
      <c r="M578" s="1">
        <v>20</v>
      </c>
      <c r="N578" s="1">
        <v>20</v>
      </c>
      <c r="O578" s="1">
        <v>10</v>
      </c>
      <c r="P578" s="1">
        <v>10</v>
      </c>
      <c r="Q578" s="1">
        <v>2</v>
      </c>
      <c r="R578" s="1">
        <v>5</v>
      </c>
      <c r="S578" s="1">
        <v>5</v>
      </c>
      <c r="T578" s="1">
        <v>0</v>
      </c>
      <c r="U578" s="1">
        <v>100</v>
      </c>
      <c r="V578" s="1">
        <v>128</v>
      </c>
      <c r="W578" s="1">
        <v>95</v>
      </c>
      <c r="X578" s="1">
        <v>100</v>
      </c>
      <c r="Y578" s="1">
        <v>125</v>
      </c>
      <c r="Z578" s="1">
        <v>108</v>
      </c>
      <c r="AA578" s="1">
        <v>0</v>
      </c>
      <c r="AB578" s="1">
        <v>15</v>
      </c>
      <c r="AC578" s="1">
        <v>20</v>
      </c>
      <c r="AD578" s="1">
        <v>1</v>
      </c>
      <c r="AE578" s="1">
        <v>125</v>
      </c>
      <c r="AF578" s="1">
        <v>100</v>
      </c>
      <c r="AG578" s="1">
        <v>750711</v>
      </c>
      <c r="AH578" s="1">
        <v>0</v>
      </c>
      <c r="AI578" s="1">
        <v>750715</v>
      </c>
      <c r="AJ578" s="1" t="s">
        <v>7008</v>
      </c>
      <c r="AK578" s="1" t="s">
        <v>328</v>
      </c>
      <c r="AL578" s="1">
        <v>17</v>
      </c>
      <c r="AM578" s="1" t="s">
        <v>1806</v>
      </c>
      <c r="AN578" s="1" t="s">
        <v>7009</v>
      </c>
      <c r="AO578" s="1" t="s">
        <v>5258</v>
      </c>
      <c r="AP578" s="1">
        <v>0</v>
      </c>
      <c r="AQ578" s="1" t="s">
        <v>1130</v>
      </c>
      <c r="AR578" s="1" t="s">
        <v>1154</v>
      </c>
      <c r="AS578" s="1" t="s">
        <v>1744</v>
      </c>
      <c r="AT578" s="1" t="s">
        <v>328</v>
      </c>
      <c r="AU578" s="1">
        <v>1039</v>
      </c>
      <c r="AV578" s="1">
        <v>1</v>
      </c>
      <c r="AW578" s="1" t="s">
        <v>6977</v>
      </c>
      <c r="AX578" s="1" t="s">
        <v>7002</v>
      </c>
      <c r="AY578" s="1">
        <v>7</v>
      </c>
      <c r="AZ578" s="1">
        <v>0</v>
      </c>
      <c r="BA578" s="1" t="s">
        <v>328</v>
      </c>
      <c r="BB578" s="1" t="s">
        <v>328</v>
      </c>
      <c r="BC578" s="1" t="s">
        <v>5386</v>
      </c>
      <c r="BD578" s="1">
        <v>0</v>
      </c>
      <c r="BE578">
        <v>0</v>
      </c>
    </row>
    <row r="579" spans="1:57" x14ac:dyDescent="0.3">
      <c r="A579" s="1">
        <v>1040</v>
      </c>
      <c r="B579" s="1" t="s">
        <v>7010</v>
      </c>
      <c r="C579" s="207" t="s">
        <v>7011</v>
      </c>
      <c r="D579" s="1" t="s">
        <v>7011</v>
      </c>
      <c r="E579" s="1" t="s">
        <v>328</v>
      </c>
      <c r="F579" s="1" t="s">
        <v>328</v>
      </c>
      <c r="G579" s="1" t="s">
        <v>7012</v>
      </c>
      <c r="H579" s="1" t="s">
        <v>7013</v>
      </c>
      <c r="I579" s="1" t="s">
        <v>7014</v>
      </c>
      <c r="J579" s="1">
        <v>5</v>
      </c>
      <c r="K579" s="1">
        <v>5</v>
      </c>
      <c r="L579" s="1">
        <v>23760</v>
      </c>
      <c r="M579" s="1">
        <v>40</v>
      </c>
      <c r="N579" s="1">
        <v>30</v>
      </c>
      <c r="O579" s="1">
        <v>25</v>
      </c>
      <c r="P579" s="1">
        <v>15</v>
      </c>
      <c r="Q579" s="1">
        <v>5</v>
      </c>
      <c r="R579" s="1">
        <v>5</v>
      </c>
      <c r="S579" s="1">
        <v>2</v>
      </c>
      <c r="T579" s="1">
        <v>5</v>
      </c>
      <c r="U579" s="1">
        <v>96</v>
      </c>
      <c r="V579" s="1">
        <v>128</v>
      </c>
      <c r="W579" s="1">
        <v>118</v>
      </c>
      <c r="X579" s="1">
        <v>100</v>
      </c>
      <c r="Y579" s="1">
        <v>120</v>
      </c>
      <c r="Z579" s="1">
        <v>120</v>
      </c>
      <c r="AA579" s="1">
        <v>0</v>
      </c>
      <c r="AB579" s="1">
        <v>15</v>
      </c>
      <c r="AC579" s="1">
        <v>5</v>
      </c>
      <c r="AD579" s="1">
        <v>9</v>
      </c>
      <c r="AE579" s="1">
        <v>114</v>
      </c>
      <c r="AF579" s="1">
        <v>100</v>
      </c>
      <c r="AG579" s="1">
        <v>750693</v>
      </c>
      <c r="AH579" s="1">
        <v>0</v>
      </c>
      <c r="AI579" s="1">
        <v>750695</v>
      </c>
      <c r="AJ579" s="1" t="s">
        <v>7015</v>
      </c>
      <c r="AK579" s="1" t="s">
        <v>7016</v>
      </c>
      <c r="AL579" s="1">
        <v>14</v>
      </c>
      <c r="AM579" s="1" t="s">
        <v>1806</v>
      </c>
      <c r="AN579" s="1" t="s">
        <v>7017</v>
      </c>
      <c r="AO579" s="1" t="s">
        <v>4985</v>
      </c>
      <c r="AP579" s="1">
        <v>0</v>
      </c>
      <c r="AQ579" s="1" t="s">
        <v>1167</v>
      </c>
      <c r="AR579" s="1" t="s">
        <v>4911</v>
      </c>
      <c r="AS579" s="1" t="s">
        <v>6967</v>
      </c>
      <c r="AT579" s="1" t="s">
        <v>328</v>
      </c>
      <c r="AU579" s="1">
        <v>1040</v>
      </c>
      <c r="AV579" s="1">
        <v>1</v>
      </c>
      <c r="AW579" s="1" t="s">
        <v>6977</v>
      </c>
      <c r="AX579" s="1" t="s">
        <v>6978</v>
      </c>
      <c r="AY579" s="1">
        <v>7</v>
      </c>
      <c r="AZ579" s="1">
        <v>0</v>
      </c>
      <c r="BA579" s="1" t="s">
        <v>328</v>
      </c>
      <c r="BB579" s="1" t="s">
        <v>328</v>
      </c>
      <c r="BC579" s="1" t="s">
        <v>5386</v>
      </c>
      <c r="BD579" s="1">
        <v>0</v>
      </c>
      <c r="BE579">
        <v>0</v>
      </c>
    </row>
    <row r="580" spans="1:57" x14ac:dyDescent="0.3">
      <c r="A580" s="1">
        <v>1041</v>
      </c>
      <c r="B580" s="1" t="s">
        <v>7018</v>
      </c>
      <c r="C580" s="207" t="s">
        <v>7019</v>
      </c>
      <c r="D580" s="1" t="s">
        <v>7019</v>
      </c>
      <c r="E580" s="1" t="s">
        <v>328</v>
      </c>
      <c r="F580" s="1" t="s">
        <v>328</v>
      </c>
      <c r="G580" s="1" t="s">
        <v>7020</v>
      </c>
      <c r="H580" s="1" t="s">
        <v>7021</v>
      </c>
      <c r="I580" s="1" t="s">
        <v>7022</v>
      </c>
      <c r="J580" s="1">
        <v>6</v>
      </c>
      <c r="K580" s="1">
        <v>5</v>
      </c>
      <c r="L580" s="1">
        <v>28800</v>
      </c>
      <c r="M580" s="1">
        <v>30</v>
      </c>
      <c r="N580" s="1">
        <v>40</v>
      </c>
      <c r="O580" s="1">
        <v>15</v>
      </c>
      <c r="P580" s="1">
        <v>25</v>
      </c>
      <c r="Q580" s="1">
        <v>5</v>
      </c>
      <c r="R580" s="1">
        <v>2</v>
      </c>
      <c r="S580" s="1">
        <v>5</v>
      </c>
      <c r="T580" s="1">
        <v>5</v>
      </c>
      <c r="U580" s="1">
        <v>110</v>
      </c>
      <c r="V580" s="1">
        <v>135</v>
      </c>
      <c r="W580" s="1">
        <v>105</v>
      </c>
      <c r="X580" s="1">
        <v>100</v>
      </c>
      <c r="Y580" s="1">
        <v>85</v>
      </c>
      <c r="Z580" s="1">
        <v>90</v>
      </c>
      <c r="AA580" s="1">
        <v>125</v>
      </c>
      <c r="AB580" s="1">
        <v>15</v>
      </c>
      <c r="AC580" s="1">
        <v>40</v>
      </c>
      <c r="AD580" s="1">
        <v>5</v>
      </c>
      <c r="AE580" s="1">
        <v>110</v>
      </c>
      <c r="AF580" s="1">
        <v>100</v>
      </c>
      <c r="AG580" s="1">
        <v>750690</v>
      </c>
      <c r="AH580" s="1">
        <v>0</v>
      </c>
      <c r="AI580" s="1">
        <v>750691</v>
      </c>
      <c r="AJ580" s="1" t="s">
        <v>7023</v>
      </c>
      <c r="AK580" s="1" t="s">
        <v>328</v>
      </c>
      <c r="AL580" s="1">
        <v>8</v>
      </c>
      <c r="AM580" s="1" t="s">
        <v>1806</v>
      </c>
      <c r="AN580" s="1" t="s">
        <v>7024</v>
      </c>
      <c r="AO580" s="1" t="s">
        <v>4942</v>
      </c>
      <c r="AP580" s="1">
        <v>0</v>
      </c>
      <c r="AQ580" s="1" t="s">
        <v>5067</v>
      </c>
      <c r="AR580" s="1" t="s">
        <v>1201</v>
      </c>
      <c r="AS580" s="1" t="s">
        <v>6968</v>
      </c>
      <c r="AT580" s="1" t="s">
        <v>328</v>
      </c>
      <c r="AU580" s="1">
        <v>1041</v>
      </c>
      <c r="AV580" s="1">
        <v>1</v>
      </c>
      <c r="AW580" s="1" t="s">
        <v>6977</v>
      </c>
      <c r="AX580" s="1" t="s">
        <v>6993</v>
      </c>
      <c r="AY580" s="1">
        <v>7</v>
      </c>
      <c r="AZ580" s="1">
        <v>0</v>
      </c>
      <c r="BA580" s="1" t="s">
        <v>328</v>
      </c>
      <c r="BB580" s="1" t="s">
        <v>328</v>
      </c>
      <c r="BC580" s="1" t="s">
        <v>5386</v>
      </c>
      <c r="BD580" s="1">
        <v>0</v>
      </c>
      <c r="BE580">
        <v>0</v>
      </c>
    </row>
    <row r="581" spans="1:57" x14ac:dyDescent="0.3">
      <c r="A581" s="1">
        <v>9105</v>
      </c>
      <c r="B581" s="1" t="s">
        <v>7025</v>
      </c>
      <c r="C581" s="207" t="s">
        <v>7084</v>
      </c>
      <c r="D581" s="1" t="s">
        <v>7019</v>
      </c>
      <c r="E581" s="1" t="s">
        <v>328</v>
      </c>
      <c r="F581" s="1" t="s">
        <v>328</v>
      </c>
      <c r="G581" s="1" t="s">
        <v>7026</v>
      </c>
      <c r="H581" s="1" t="s">
        <v>7027</v>
      </c>
      <c r="I581" s="1" t="s">
        <v>7028</v>
      </c>
      <c r="J581" s="1">
        <v>1</v>
      </c>
      <c r="K581" s="1">
        <v>3</v>
      </c>
      <c r="L581" s="1">
        <v>2700</v>
      </c>
      <c r="M581" s="1">
        <v>10</v>
      </c>
      <c r="N581" s="1">
        <v>10</v>
      </c>
      <c r="O581" s="1">
        <v>5</v>
      </c>
      <c r="P581" s="1">
        <v>5</v>
      </c>
      <c r="Q581" s="1">
        <v>2</v>
      </c>
      <c r="R581" s="1">
        <v>2</v>
      </c>
      <c r="S581" s="1">
        <v>2</v>
      </c>
      <c r="T581" s="1">
        <v>0</v>
      </c>
      <c r="U581" s="1">
        <v>650</v>
      </c>
      <c r="V581" s="1">
        <v>120</v>
      </c>
      <c r="W581" s="1">
        <v>100</v>
      </c>
      <c r="X581" s="1">
        <v>100</v>
      </c>
      <c r="Y581" s="1">
        <v>105</v>
      </c>
      <c r="Z581" s="1">
        <v>100</v>
      </c>
      <c r="AA581" s="1">
        <v>0</v>
      </c>
      <c r="AB581" s="1">
        <v>15</v>
      </c>
      <c r="AC581" s="1">
        <v>20</v>
      </c>
      <c r="AD581" s="1">
        <v>0</v>
      </c>
      <c r="AE581" s="1">
        <v>105</v>
      </c>
      <c r="AF581" s="1">
        <v>120</v>
      </c>
      <c r="AG581" s="1">
        <v>100503</v>
      </c>
      <c r="AH581" s="1">
        <v>0</v>
      </c>
      <c r="AI581" s="1">
        <v>900107</v>
      </c>
      <c r="AJ581" s="1" t="s">
        <v>7029</v>
      </c>
      <c r="AK581" s="1" t="s">
        <v>328</v>
      </c>
      <c r="AL581" s="1">
        <v>13</v>
      </c>
      <c r="AM581" s="1" t="s">
        <v>1806</v>
      </c>
      <c r="AN581" s="1" t="s">
        <v>4747</v>
      </c>
      <c r="AO581" s="1" t="s">
        <v>4744</v>
      </c>
      <c r="AP581" s="1">
        <v>0</v>
      </c>
      <c r="AQ581" s="1" t="s">
        <v>5852</v>
      </c>
      <c r="AR581" s="1" t="s">
        <v>1119</v>
      </c>
      <c r="AS581" s="1" t="s">
        <v>1129</v>
      </c>
      <c r="AT581" s="1" t="s">
        <v>328</v>
      </c>
      <c r="AU581" s="1">
        <v>6</v>
      </c>
      <c r="AV581" s="1">
        <v>0</v>
      </c>
      <c r="AW581" s="1" t="s">
        <v>5790</v>
      </c>
      <c r="AX581" s="1" t="s">
        <v>1806</v>
      </c>
      <c r="AY581" s="1">
        <v>3</v>
      </c>
      <c r="AZ581" s="1">
        <v>0</v>
      </c>
      <c r="BA581" s="1" t="s">
        <v>328</v>
      </c>
      <c r="BB581" s="1" t="s">
        <v>328</v>
      </c>
      <c r="BC581" s="1" t="s">
        <v>328</v>
      </c>
      <c r="BD581" s="1">
        <v>0</v>
      </c>
      <c r="BE581">
        <v>0</v>
      </c>
    </row>
    <row r="582" spans="1:57" x14ac:dyDescent="0.3">
      <c r="A582" s="1">
        <v>9106</v>
      </c>
      <c r="B582" s="1" t="s">
        <v>7030</v>
      </c>
      <c r="C582" s="207" t="s">
        <v>7031</v>
      </c>
      <c r="D582" s="1" t="s">
        <v>7031</v>
      </c>
      <c r="E582" s="1" t="s">
        <v>328</v>
      </c>
      <c r="F582" s="1" t="s">
        <v>328</v>
      </c>
      <c r="G582" s="1" t="s">
        <v>7032</v>
      </c>
      <c r="H582" s="1" t="s">
        <v>7033</v>
      </c>
      <c r="I582" s="1" t="s">
        <v>7034</v>
      </c>
      <c r="J582" s="1">
        <v>2</v>
      </c>
      <c r="K582" s="1">
        <v>4</v>
      </c>
      <c r="L582" s="1">
        <v>9300</v>
      </c>
      <c r="M582" s="1">
        <v>20</v>
      </c>
      <c r="N582" s="1">
        <v>20</v>
      </c>
      <c r="O582" s="1">
        <v>10</v>
      </c>
      <c r="P582" s="1">
        <v>10</v>
      </c>
      <c r="Q582" s="1">
        <v>2</v>
      </c>
      <c r="R582" s="1">
        <v>5</v>
      </c>
      <c r="S582" s="1">
        <v>5</v>
      </c>
      <c r="T582" s="1">
        <v>0</v>
      </c>
      <c r="U582" s="1">
        <v>500</v>
      </c>
      <c r="V582" s="1">
        <v>120</v>
      </c>
      <c r="W582" s="1">
        <v>112</v>
      </c>
      <c r="X582" s="1">
        <v>60</v>
      </c>
      <c r="Y582" s="1">
        <v>120</v>
      </c>
      <c r="Z582" s="1">
        <v>150</v>
      </c>
      <c r="AA582" s="1">
        <v>0</v>
      </c>
      <c r="AB582" s="1">
        <v>15</v>
      </c>
      <c r="AC582" s="1">
        <v>20</v>
      </c>
      <c r="AD582" s="1">
        <v>0</v>
      </c>
      <c r="AE582" s="1">
        <v>100</v>
      </c>
      <c r="AF582" s="1">
        <v>100</v>
      </c>
      <c r="AG582" s="1">
        <v>100107</v>
      </c>
      <c r="AH582" s="1">
        <v>0</v>
      </c>
      <c r="AI582" s="1">
        <v>300103</v>
      </c>
      <c r="AJ582" s="1" t="s">
        <v>328</v>
      </c>
      <c r="AK582" s="1" t="s">
        <v>328</v>
      </c>
      <c r="AL582" s="1">
        <v>13</v>
      </c>
      <c r="AM582" s="1" t="s">
        <v>4790</v>
      </c>
      <c r="AN582" s="1" t="s">
        <v>4793</v>
      </c>
      <c r="AO582" s="1" t="s">
        <v>4802</v>
      </c>
      <c r="AP582" s="1">
        <v>0</v>
      </c>
      <c r="AQ582" s="1" t="s">
        <v>1129</v>
      </c>
      <c r="AR582" s="1" t="s">
        <v>1119</v>
      </c>
      <c r="AS582" s="1" t="s">
        <v>1130</v>
      </c>
      <c r="AT582" s="1" t="s">
        <v>328</v>
      </c>
      <c r="AU582" s="1">
        <v>20</v>
      </c>
      <c r="AV582" s="1">
        <v>0</v>
      </c>
      <c r="AW582" s="1" t="s">
        <v>5790</v>
      </c>
      <c r="AX582" s="1" t="s">
        <v>1806</v>
      </c>
      <c r="AY582" s="1">
        <v>5</v>
      </c>
      <c r="AZ582" s="1">
        <v>0</v>
      </c>
      <c r="BA582" s="1" t="s">
        <v>328</v>
      </c>
      <c r="BB582" s="1" t="s">
        <v>328</v>
      </c>
      <c r="BC582" s="1" t="s">
        <v>328</v>
      </c>
      <c r="BD582" s="1">
        <v>0</v>
      </c>
      <c r="BE582">
        <v>0</v>
      </c>
    </row>
    <row r="583" spans="1:57" x14ac:dyDescent="0.3">
      <c r="A583" s="1">
        <v>9107</v>
      </c>
      <c r="B583" s="1" t="s">
        <v>7035</v>
      </c>
      <c r="C583" s="207" t="s">
        <v>7085</v>
      </c>
      <c r="D583" s="1" t="s">
        <v>6970</v>
      </c>
      <c r="E583" s="1" t="s">
        <v>328</v>
      </c>
      <c r="F583" s="1" t="s">
        <v>328</v>
      </c>
      <c r="G583" s="1" t="s">
        <v>7036</v>
      </c>
      <c r="H583" s="1" t="s">
        <v>7037</v>
      </c>
      <c r="I583" s="1" t="s">
        <v>7038</v>
      </c>
      <c r="J583" s="1">
        <v>1</v>
      </c>
      <c r="K583" s="1">
        <v>5</v>
      </c>
      <c r="L583" s="1">
        <v>3600</v>
      </c>
      <c r="M583" s="1">
        <v>10</v>
      </c>
      <c r="N583" s="1">
        <v>10</v>
      </c>
      <c r="O583" s="1">
        <v>5</v>
      </c>
      <c r="P583" s="1">
        <v>5</v>
      </c>
      <c r="Q583" s="1">
        <v>2</v>
      </c>
      <c r="R583" s="1">
        <v>2</v>
      </c>
      <c r="S583" s="1">
        <v>2</v>
      </c>
      <c r="T583" s="1">
        <v>0</v>
      </c>
      <c r="U583" s="1">
        <v>140</v>
      </c>
      <c r="V583" s="1">
        <v>95</v>
      </c>
      <c r="W583" s="1">
        <v>100</v>
      </c>
      <c r="X583" s="1">
        <v>100</v>
      </c>
      <c r="Y583" s="1">
        <v>90</v>
      </c>
      <c r="Z583" s="1">
        <v>95</v>
      </c>
      <c r="AA583" s="1">
        <v>0</v>
      </c>
      <c r="AB583" s="1">
        <v>15</v>
      </c>
      <c r="AC583" s="1">
        <v>20</v>
      </c>
      <c r="AD583" s="1">
        <v>1</v>
      </c>
      <c r="AE583" s="1">
        <v>115</v>
      </c>
      <c r="AF583" s="1">
        <v>100</v>
      </c>
      <c r="AG583" s="1">
        <v>100503</v>
      </c>
      <c r="AH583" s="1">
        <v>0</v>
      </c>
      <c r="AI583" s="1">
        <v>900107</v>
      </c>
      <c r="AJ583" s="1" t="s">
        <v>7039</v>
      </c>
      <c r="AK583" s="1" t="s">
        <v>328</v>
      </c>
      <c r="AL583" s="1">
        <v>17</v>
      </c>
      <c r="AM583" s="1" t="s">
        <v>1806</v>
      </c>
      <c r="AN583" s="1" t="s">
        <v>7040</v>
      </c>
      <c r="AO583" s="1" t="s">
        <v>4751</v>
      </c>
      <c r="AP583" s="1">
        <v>0</v>
      </c>
      <c r="AQ583" s="1" t="s">
        <v>1118</v>
      </c>
      <c r="AR583" s="1" t="s">
        <v>1119</v>
      </c>
      <c r="AS583" s="1" t="s">
        <v>1120</v>
      </c>
      <c r="AT583" s="1" t="s">
        <v>328</v>
      </c>
      <c r="AU583" s="1">
        <v>1006</v>
      </c>
      <c r="AV583" s="1">
        <v>1</v>
      </c>
      <c r="AW583" s="1" t="s">
        <v>5790</v>
      </c>
      <c r="AX583" s="1" t="s">
        <v>1806</v>
      </c>
      <c r="AY583" s="1">
        <v>7</v>
      </c>
      <c r="AZ583" s="1">
        <v>0</v>
      </c>
      <c r="BA583" s="1" t="s">
        <v>328</v>
      </c>
      <c r="BB583" s="1" t="s">
        <v>328</v>
      </c>
      <c r="BC583" s="1" t="s">
        <v>5386</v>
      </c>
      <c r="BD583" s="1">
        <v>0</v>
      </c>
      <c r="BE583">
        <v>0</v>
      </c>
    </row>
    <row r="584" spans="1:57" x14ac:dyDescent="0.3">
      <c r="A584" s="1">
        <v>9108</v>
      </c>
      <c r="B584" s="1" t="s">
        <v>7041</v>
      </c>
      <c r="C584" s="207" t="s">
        <v>7086</v>
      </c>
      <c r="D584" s="1" t="s">
        <v>235</v>
      </c>
      <c r="E584" s="1" t="s">
        <v>328</v>
      </c>
      <c r="F584" s="1" t="s">
        <v>328</v>
      </c>
      <c r="G584" s="1" t="s">
        <v>7042</v>
      </c>
      <c r="H584" s="1" t="s">
        <v>7043</v>
      </c>
      <c r="I584" s="1" t="s">
        <v>7044</v>
      </c>
      <c r="J584" s="1">
        <v>3</v>
      </c>
      <c r="K584" s="1">
        <v>5</v>
      </c>
      <c r="L584" s="1">
        <v>17400</v>
      </c>
      <c r="M584" s="1">
        <v>15</v>
      </c>
      <c r="N584" s="1">
        <v>30</v>
      </c>
      <c r="O584" s="1">
        <v>10</v>
      </c>
      <c r="P584" s="1">
        <v>15</v>
      </c>
      <c r="Q584" s="1">
        <v>5</v>
      </c>
      <c r="R584" s="1">
        <v>2</v>
      </c>
      <c r="S584" s="1">
        <v>5</v>
      </c>
      <c r="T584" s="1">
        <v>0</v>
      </c>
      <c r="U584" s="1">
        <v>98</v>
      </c>
      <c r="V584" s="1">
        <v>112</v>
      </c>
      <c r="W584" s="1">
        <v>100</v>
      </c>
      <c r="X584" s="1">
        <v>100</v>
      </c>
      <c r="Y584" s="1">
        <v>105</v>
      </c>
      <c r="Z584" s="1">
        <v>85</v>
      </c>
      <c r="AA584" s="1">
        <v>0</v>
      </c>
      <c r="AB584" s="1">
        <v>15</v>
      </c>
      <c r="AC584" s="1">
        <v>40</v>
      </c>
      <c r="AD584" s="1">
        <v>1</v>
      </c>
      <c r="AE584" s="1">
        <v>135</v>
      </c>
      <c r="AF584" s="1">
        <v>100</v>
      </c>
      <c r="AG584" s="1">
        <v>100503</v>
      </c>
      <c r="AH584" s="1">
        <v>0</v>
      </c>
      <c r="AI584" s="1">
        <v>900107</v>
      </c>
      <c r="AJ584" s="1" t="s">
        <v>7045</v>
      </c>
      <c r="AK584" s="1" t="s">
        <v>328</v>
      </c>
      <c r="AL584" s="1">
        <v>19</v>
      </c>
      <c r="AM584" s="1" t="s">
        <v>1806</v>
      </c>
      <c r="AN584" s="1" t="s">
        <v>7046</v>
      </c>
      <c r="AO584" s="1" t="s">
        <v>5019</v>
      </c>
      <c r="AP584" s="1">
        <v>0</v>
      </c>
      <c r="AQ584" s="1" t="s">
        <v>1140</v>
      </c>
      <c r="AR584" s="1" t="s">
        <v>1141</v>
      </c>
      <c r="AS584" s="1" t="s">
        <v>1142</v>
      </c>
      <c r="AT584" s="1" t="s">
        <v>328</v>
      </c>
      <c r="AU584" s="1">
        <v>150</v>
      </c>
      <c r="AV584" s="1">
        <v>1</v>
      </c>
      <c r="AW584" s="1" t="s">
        <v>5790</v>
      </c>
      <c r="AX584" s="1" t="s">
        <v>1806</v>
      </c>
      <c r="AY584" s="1">
        <v>7</v>
      </c>
      <c r="AZ584" s="1">
        <v>0</v>
      </c>
      <c r="BA584" s="1" t="s">
        <v>328</v>
      </c>
      <c r="BB584" s="1" t="s">
        <v>328</v>
      </c>
      <c r="BC584" s="1" t="s">
        <v>5386</v>
      </c>
      <c r="BD584" s="1">
        <v>0</v>
      </c>
      <c r="BE584">
        <v>0</v>
      </c>
    </row>
    <row r="585" spans="1:57" x14ac:dyDescent="0.3">
      <c r="A585" s="1">
        <v>9109</v>
      </c>
      <c r="B585" s="1" t="s">
        <v>7047</v>
      </c>
      <c r="C585" s="207" t="s">
        <v>7048</v>
      </c>
      <c r="D585" s="1" t="s">
        <v>7048</v>
      </c>
      <c r="E585" s="1" t="s">
        <v>328</v>
      </c>
      <c r="F585" s="1" t="s">
        <v>328</v>
      </c>
      <c r="G585" s="1" t="s">
        <v>7049</v>
      </c>
      <c r="H585" s="1" t="s">
        <v>7050</v>
      </c>
      <c r="I585" s="1" t="s">
        <v>7051</v>
      </c>
      <c r="J585" s="1">
        <v>1</v>
      </c>
      <c r="K585" s="1">
        <v>3</v>
      </c>
      <c r="L585" s="1">
        <v>2700</v>
      </c>
      <c r="M585" s="1">
        <v>10</v>
      </c>
      <c r="N585" s="1">
        <v>10</v>
      </c>
      <c r="O585" s="1">
        <v>5</v>
      </c>
      <c r="P585" s="1">
        <v>5</v>
      </c>
      <c r="Q585" s="1">
        <v>2</v>
      </c>
      <c r="R585" s="1">
        <v>2</v>
      </c>
      <c r="S585" s="1">
        <v>2</v>
      </c>
      <c r="T585" s="1">
        <v>0</v>
      </c>
      <c r="U585" s="1">
        <v>650</v>
      </c>
      <c r="V585" s="1">
        <v>120</v>
      </c>
      <c r="W585" s="1">
        <v>100</v>
      </c>
      <c r="X585" s="1">
        <v>100</v>
      </c>
      <c r="Y585" s="1">
        <v>105</v>
      </c>
      <c r="Z585" s="1">
        <v>100</v>
      </c>
      <c r="AA585" s="1">
        <v>0</v>
      </c>
      <c r="AB585" s="1">
        <v>15</v>
      </c>
      <c r="AC585" s="1">
        <v>20</v>
      </c>
      <c r="AD585" s="1">
        <v>0</v>
      </c>
      <c r="AE585" s="1">
        <v>105</v>
      </c>
      <c r="AF585" s="1">
        <v>120</v>
      </c>
      <c r="AG585" s="1">
        <v>100602</v>
      </c>
      <c r="AH585" s="1">
        <v>0</v>
      </c>
      <c r="AI585" s="1">
        <v>300101</v>
      </c>
      <c r="AJ585" s="1" t="s">
        <v>328</v>
      </c>
      <c r="AK585" s="1" t="s">
        <v>328</v>
      </c>
      <c r="AL585" s="1">
        <v>13</v>
      </c>
      <c r="AM585" s="1" t="s">
        <v>1806</v>
      </c>
      <c r="AN585" s="1" t="s">
        <v>4747</v>
      </c>
      <c r="AO585" s="1" t="s">
        <v>4744</v>
      </c>
      <c r="AP585" s="1">
        <v>0</v>
      </c>
      <c r="AQ585" s="1" t="s">
        <v>5852</v>
      </c>
      <c r="AR585" s="1" t="s">
        <v>1119</v>
      </c>
      <c r="AS585" s="1" t="s">
        <v>1129</v>
      </c>
      <c r="AT585" s="1" t="s">
        <v>328</v>
      </c>
      <c r="AU585" s="1">
        <v>6</v>
      </c>
      <c r="AV585" s="1">
        <v>0</v>
      </c>
      <c r="AW585" s="1" t="s">
        <v>5790</v>
      </c>
      <c r="AX585" s="1" t="s">
        <v>1806</v>
      </c>
      <c r="AY585" s="1">
        <v>5</v>
      </c>
      <c r="AZ585" s="1">
        <v>0</v>
      </c>
      <c r="BA585" s="1" t="s">
        <v>328</v>
      </c>
      <c r="BB585" s="1" t="s">
        <v>328</v>
      </c>
      <c r="BC585" s="1" t="s">
        <v>328</v>
      </c>
      <c r="BD585" s="1">
        <v>0</v>
      </c>
      <c r="BE585">
        <v>0</v>
      </c>
    </row>
    <row r="586" spans="1:57" x14ac:dyDescent="0.3">
      <c r="A586" s="1">
        <v>379</v>
      </c>
      <c r="B586" s="1" t="s">
        <v>7104</v>
      </c>
      <c r="C586" s="207" t="s">
        <v>7105</v>
      </c>
      <c r="D586" s="1" t="s">
        <v>7105</v>
      </c>
      <c r="E586" s="1" t="s">
        <v>328</v>
      </c>
      <c r="F586" s="1" t="s">
        <v>328</v>
      </c>
      <c r="G586" s="1" t="s">
        <v>7106</v>
      </c>
      <c r="H586" s="1" t="s">
        <v>7107</v>
      </c>
      <c r="I586" s="1" t="s">
        <v>7108</v>
      </c>
      <c r="J586" s="1">
        <v>1</v>
      </c>
      <c r="K586" s="1">
        <v>4</v>
      </c>
      <c r="L586" s="1">
        <v>2760</v>
      </c>
      <c r="M586" s="1">
        <v>10</v>
      </c>
      <c r="N586" s="1">
        <v>10</v>
      </c>
      <c r="O586" s="1">
        <v>5</v>
      </c>
      <c r="P586" s="1">
        <v>5</v>
      </c>
      <c r="Q586" s="1">
        <v>2</v>
      </c>
      <c r="R586" s="1">
        <v>2</v>
      </c>
      <c r="S586" s="1">
        <v>2</v>
      </c>
      <c r="T586" s="1">
        <v>0</v>
      </c>
      <c r="U586" s="1">
        <v>108</v>
      </c>
      <c r="V586" s="1">
        <v>110</v>
      </c>
      <c r="W586" s="1">
        <v>124</v>
      </c>
      <c r="X586" s="1">
        <v>100</v>
      </c>
      <c r="Y586" s="1">
        <v>110</v>
      </c>
      <c r="Z586" s="1">
        <v>110</v>
      </c>
      <c r="AA586" s="1">
        <v>0</v>
      </c>
      <c r="AB586" s="1">
        <v>15</v>
      </c>
      <c r="AC586" s="1">
        <v>20</v>
      </c>
      <c r="AD586" s="1">
        <v>0</v>
      </c>
      <c r="AE586" s="1">
        <v>108</v>
      </c>
      <c r="AF586" s="1">
        <v>100</v>
      </c>
      <c r="AG586" s="1">
        <v>750746</v>
      </c>
      <c r="AH586" s="1">
        <v>0</v>
      </c>
      <c r="AI586" s="1">
        <v>300101</v>
      </c>
      <c r="AJ586" s="1" t="s">
        <v>328</v>
      </c>
      <c r="AK586" s="1" t="s">
        <v>328</v>
      </c>
      <c r="AL586" s="1">
        <v>13</v>
      </c>
      <c r="AM586" s="1" t="s">
        <v>1806</v>
      </c>
      <c r="AN586" s="1" t="s">
        <v>7109</v>
      </c>
      <c r="AO586" s="1" t="s">
        <v>5063</v>
      </c>
      <c r="AP586" s="1">
        <v>0</v>
      </c>
      <c r="AQ586" s="1" t="s">
        <v>1118</v>
      </c>
      <c r="AR586" s="1" t="s">
        <v>1119</v>
      </c>
      <c r="AS586" s="1" t="s">
        <v>1120</v>
      </c>
      <c r="AT586" s="1" t="s">
        <v>328</v>
      </c>
      <c r="AU586" s="1">
        <v>212</v>
      </c>
      <c r="AV586" s="1">
        <v>0</v>
      </c>
      <c r="AW586" s="1" t="s">
        <v>7110</v>
      </c>
      <c r="AX586" s="1" t="s">
        <v>4762</v>
      </c>
      <c r="AY586" s="1">
        <v>4</v>
      </c>
      <c r="AZ586" s="1">
        <v>0</v>
      </c>
      <c r="BA586" s="1" t="s">
        <v>328</v>
      </c>
      <c r="BB586" s="1" t="s">
        <v>328</v>
      </c>
      <c r="BC586" s="1" t="s">
        <v>328</v>
      </c>
      <c r="BD586" s="1">
        <v>10301</v>
      </c>
      <c r="BE586">
        <v>0</v>
      </c>
    </row>
    <row r="587" spans="1:57" x14ac:dyDescent="0.3">
      <c r="A587" s="1">
        <v>380</v>
      </c>
      <c r="B587" s="1" t="s">
        <v>7111</v>
      </c>
      <c r="C587" s="207" t="s">
        <v>7112</v>
      </c>
      <c r="D587" s="1" t="s">
        <v>7112</v>
      </c>
      <c r="E587" s="1" t="s">
        <v>328</v>
      </c>
      <c r="F587" s="1" t="s">
        <v>328</v>
      </c>
      <c r="G587" s="1" t="s">
        <v>7113</v>
      </c>
      <c r="H587" s="1" t="s">
        <v>7114</v>
      </c>
      <c r="I587" s="1" t="s">
        <v>7115</v>
      </c>
      <c r="J587" s="1">
        <v>2</v>
      </c>
      <c r="K587" s="1">
        <v>4</v>
      </c>
      <c r="L587" s="1">
        <v>8700</v>
      </c>
      <c r="M587" s="1">
        <v>25</v>
      </c>
      <c r="N587" s="1">
        <v>20</v>
      </c>
      <c r="O587" s="1">
        <v>15</v>
      </c>
      <c r="P587" s="1">
        <v>10</v>
      </c>
      <c r="Q587" s="1">
        <v>5</v>
      </c>
      <c r="R587" s="1">
        <v>5</v>
      </c>
      <c r="S587" s="1">
        <v>2</v>
      </c>
      <c r="T587" s="1">
        <v>0</v>
      </c>
      <c r="U587" s="1">
        <v>100</v>
      </c>
      <c r="V587" s="1">
        <v>100</v>
      </c>
      <c r="W587" s="1">
        <v>125</v>
      </c>
      <c r="X587" s="1">
        <v>100</v>
      </c>
      <c r="Y587" s="1">
        <v>110</v>
      </c>
      <c r="Z587" s="1">
        <v>110</v>
      </c>
      <c r="AA587" s="1">
        <v>0</v>
      </c>
      <c r="AB587" s="1">
        <v>15</v>
      </c>
      <c r="AC587" s="1">
        <v>5</v>
      </c>
      <c r="AD587" s="1">
        <v>0</v>
      </c>
      <c r="AE587" s="1">
        <v>110</v>
      </c>
      <c r="AF587" s="1">
        <v>100</v>
      </c>
      <c r="AG587" s="1">
        <v>750749</v>
      </c>
      <c r="AH587" s="1">
        <v>0</v>
      </c>
      <c r="AI587" s="1">
        <v>300102</v>
      </c>
      <c r="AJ587" s="1" t="s">
        <v>7116</v>
      </c>
      <c r="AK587" s="1" t="s">
        <v>7117</v>
      </c>
      <c r="AL587" s="1">
        <v>13</v>
      </c>
      <c r="AM587" s="1" t="s">
        <v>4790</v>
      </c>
      <c r="AN587" s="1" t="s">
        <v>4795</v>
      </c>
      <c r="AO587" s="1" t="s">
        <v>5417</v>
      </c>
      <c r="AP587" s="1">
        <v>0</v>
      </c>
      <c r="AQ587" s="1" t="s">
        <v>1129</v>
      </c>
      <c r="AR587" s="1" t="s">
        <v>1119</v>
      </c>
      <c r="AS587" s="1" t="s">
        <v>1130</v>
      </c>
      <c r="AT587" s="1" t="s">
        <v>328</v>
      </c>
      <c r="AU587" s="1">
        <v>150</v>
      </c>
      <c r="AV587" s="1">
        <v>0</v>
      </c>
      <c r="AW587" s="1" t="s">
        <v>7110</v>
      </c>
      <c r="AX587" s="1" t="s">
        <v>331</v>
      </c>
      <c r="AY587" s="1">
        <v>4</v>
      </c>
      <c r="AZ587" s="1">
        <v>0</v>
      </c>
      <c r="BA587" s="1" t="s">
        <v>328</v>
      </c>
      <c r="BB587" s="1" t="s">
        <v>328</v>
      </c>
      <c r="BC587" s="1" t="s">
        <v>328</v>
      </c>
      <c r="BD587" s="1">
        <v>10402</v>
      </c>
      <c r="BE587">
        <v>0</v>
      </c>
    </row>
    <row r="588" spans="1:57" x14ac:dyDescent="0.3">
      <c r="A588" s="1">
        <v>381</v>
      </c>
      <c r="B588" s="1" t="s">
        <v>7118</v>
      </c>
      <c r="C588" s="207" t="s">
        <v>7119</v>
      </c>
      <c r="D588" s="1" t="s">
        <v>7119</v>
      </c>
      <c r="E588" s="1" t="s">
        <v>328</v>
      </c>
      <c r="F588" s="1" t="s">
        <v>328</v>
      </c>
      <c r="G588" s="1" t="s">
        <v>7120</v>
      </c>
      <c r="H588" s="1" t="s">
        <v>7121</v>
      </c>
      <c r="I588" s="1" t="s">
        <v>7122</v>
      </c>
      <c r="J588" s="1">
        <v>3</v>
      </c>
      <c r="K588" s="1">
        <v>5</v>
      </c>
      <c r="L588" s="1">
        <v>16500</v>
      </c>
      <c r="M588" s="1">
        <v>15</v>
      </c>
      <c r="N588" s="1">
        <v>30</v>
      </c>
      <c r="O588" s="1">
        <v>10</v>
      </c>
      <c r="P588" s="1">
        <v>15</v>
      </c>
      <c r="Q588" s="1">
        <v>5</v>
      </c>
      <c r="R588" s="1">
        <v>2</v>
      </c>
      <c r="S588" s="1">
        <v>5</v>
      </c>
      <c r="T588" s="1">
        <v>0</v>
      </c>
      <c r="U588" s="1">
        <v>95</v>
      </c>
      <c r="V588" s="1">
        <v>120</v>
      </c>
      <c r="W588" s="1">
        <v>105</v>
      </c>
      <c r="X588" s="1">
        <v>100</v>
      </c>
      <c r="Y588" s="1">
        <v>100</v>
      </c>
      <c r="Z588" s="1">
        <v>88</v>
      </c>
      <c r="AA588" s="1">
        <v>0</v>
      </c>
      <c r="AB588" s="1">
        <v>15</v>
      </c>
      <c r="AC588" s="1">
        <v>40</v>
      </c>
      <c r="AD588" s="1">
        <v>0</v>
      </c>
      <c r="AE588" s="1">
        <v>130</v>
      </c>
      <c r="AF588" s="1">
        <v>100</v>
      </c>
      <c r="AG588" s="1">
        <v>120701</v>
      </c>
      <c r="AH588" s="1">
        <v>0</v>
      </c>
      <c r="AI588" s="1">
        <v>120702</v>
      </c>
      <c r="AJ588" s="1" t="s">
        <v>7123</v>
      </c>
      <c r="AK588" s="1" t="s">
        <v>328</v>
      </c>
      <c r="AL588" s="1">
        <v>17</v>
      </c>
      <c r="AM588" s="1" t="s">
        <v>4762</v>
      </c>
      <c r="AN588" s="1" t="s">
        <v>7124</v>
      </c>
      <c r="AO588" s="1" t="s">
        <v>4845</v>
      </c>
      <c r="AP588" s="1">
        <v>0</v>
      </c>
      <c r="AQ588" s="1" t="s">
        <v>1140</v>
      </c>
      <c r="AR588" s="1" t="s">
        <v>1141</v>
      </c>
      <c r="AS588" s="1" t="s">
        <v>1142</v>
      </c>
      <c r="AT588" s="1" t="s">
        <v>328</v>
      </c>
      <c r="AU588" s="1">
        <v>241</v>
      </c>
      <c r="AV588" s="1">
        <v>0</v>
      </c>
      <c r="AW588" s="1" t="s">
        <v>7110</v>
      </c>
      <c r="AX588" s="1" t="s">
        <v>331</v>
      </c>
      <c r="AY588" s="1">
        <v>5</v>
      </c>
      <c r="AZ588" s="1">
        <v>0</v>
      </c>
      <c r="BA588" s="1" t="s">
        <v>328</v>
      </c>
      <c r="BB588" s="1" t="s">
        <v>328</v>
      </c>
      <c r="BC588" s="1" t="s">
        <v>4720</v>
      </c>
      <c r="BD588" s="1">
        <v>10705</v>
      </c>
      <c r="BE588">
        <v>0</v>
      </c>
    </row>
    <row r="589" spans="1:57" x14ac:dyDescent="0.3">
      <c r="A589" s="1">
        <v>382</v>
      </c>
      <c r="B589" s="1" t="s">
        <v>7125</v>
      </c>
      <c r="C589" s="207" t="s">
        <v>7126</v>
      </c>
      <c r="D589" s="1" t="s">
        <v>7126</v>
      </c>
      <c r="E589" s="1" t="s">
        <v>328</v>
      </c>
      <c r="F589" s="1" t="s">
        <v>328</v>
      </c>
      <c r="G589" s="1" t="s">
        <v>7127</v>
      </c>
      <c r="H589" s="1" t="s">
        <v>7128</v>
      </c>
      <c r="I589" s="1" t="s">
        <v>7129</v>
      </c>
      <c r="J589" s="1">
        <v>4</v>
      </c>
      <c r="K589" s="1">
        <v>4</v>
      </c>
      <c r="L589" s="1">
        <v>13800</v>
      </c>
      <c r="M589" s="1">
        <v>20</v>
      </c>
      <c r="N589" s="1">
        <v>20</v>
      </c>
      <c r="O589" s="1">
        <v>10</v>
      </c>
      <c r="P589" s="1">
        <v>10</v>
      </c>
      <c r="Q589" s="1">
        <v>2</v>
      </c>
      <c r="R589" s="1">
        <v>5</v>
      </c>
      <c r="S589" s="1">
        <v>5</v>
      </c>
      <c r="T589" s="1">
        <v>0</v>
      </c>
      <c r="U589" s="1">
        <v>100</v>
      </c>
      <c r="V589" s="1">
        <v>110</v>
      </c>
      <c r="W589" s="1">
        <v>106</v>
      </c>
      <c r="X589" s="1">
        <v>100</v>
      </c>
      <c r="Y589" s="1">
        <v>120</v>
      </c>
      <c r="Z589" s="1">
        <v>110</v>
      </c>
      <c r="AA589" s="1">
        <v>0</v>
      </c>
      <c r="AB589" s="1">
        <v>15</v>
      </c>
      <c r="AC589" s="1">
        <v>20</v>
      </c>
      <c r="AD589" s="1">
        <v>0</v>
      </c>
      <c r="AE589" s="1">
        <v>122</v>
      </c>
      <c r="AF589" s="1">
        <v>100</v>
      </c>
      <c r="AG589" s="1">
        <v>120801</v>
      </c>
      <c r="AH589" s="1">
        <v>0</v>
      </c>
      <c r="AI589" s="1">
        <v>120811</v>
      </c>
      <c r="AJ589" s="1" t="s">
        <v>7130</v>
      </c>
      <c r="AK589" s="1" t="s">
        <v>7131</v>
      </c>
      <c r="AL589" s="1">
        <v>12</v>
      </c>
      <c r="AM589" s="1" t="s">
        <v>398</v>
      </c>
      <c r="AN589" s="1" t="s">
        <v>7132</v>
      </c>
      <c r="AO589" s="1" t="s">
        <v>4998</v>
      </c>
      <c r="AP589" s="1">
        <v>0</v>
      </c>
      <c r="AQ589" s="1" t="s">
        <v>1130</v>
      </c>
      <c r="AR589" s="1" t="s">
        <v>1154</v>
      </c>
      <c r="AS589" s="1" t="s">
        <v>1129</v>
      </c>
      <c r="AT589" s="1" t="s">
        <v>328</v>
      </c>
      <c r="AU589" s="1">
        <v>48</v>
      </c>
      <c r="AV589" s="1">
        <v>0</v>
      </c>
      <c r="AW589" s="1" t="s">
        <v>7110</v>
      </c>
      <c r="AX589" s="1" t="s">
        <v>331</v>
      </c>
      <c r="AY589" s="1">
        <v>4</v>
      </c>
      <c r="AZ589" s="1">
        <v>0</v>
      </c>
      <c r="BA589" s="1" t="s">
        <v>328</v>
      </c>
      <c r="BB589" s="1" t="s">
        <v>328</v>
      </c>
      <c r="BC589" s="1" t="s">
        <v>328</v>
      </c>
      <c r="BD589" s="1">
        <v>10402</v>
      </c>
      <c r="BE589">
        <v>0</v>
      </c>
    </row>
    <row r="590" spans="1:57" x14ac:dyDescent="0.3">
      <c r="A590">
        <v>20080</v>
      </c>
      <c r="B590" t="s">
        <v>7140</v>
      </c>
      <c r="C590" s="208" t="s">
        <v>7141</v>
      </c>
      <c r="D590" t="s">
        <v>7141</v>
      </c>
      <c r="E590" t="s">
        <v>7133</v>
      </c>
      <c r="F590" t="s">
        <v>7134</v>
      </c>
      <c r="G590" t="s">
        <v>7142</v>
      </c>
      <c r="H590" t="s">
        <v>7143</v>
      </c>
      <c r="I590" t="s">
        <v>7144</v>
      </c>
      <c r="J590">
        <v>5</v>
      </c>
      <c r="K590">
        <v>4</v>
      </c>
      <c r="L590">
        <v>20400</v>
      </c>
      <c r="M590">
        <v>40</v>
      </c>
      <c r="N590">
        <v>30</v>
      </c>
      <c r="O590">
        <v>25</v>
      </c>
      <c r="P590">
        <v>15</v>
      </c>
      <c r="Q590">
        <v>5</v>
      </c>
      <c r="R590">
        <v>5</v>
      </c>
      <c r="S590">
        <v>2</v>
      </c>
      <c r="T590">
        <v>5</v>
      </c>
      <c r="U590">
        <v>110</v>
      </c>
      <c r="V590">
        <v>132</v>
      </c>
      <c r="W590">
        <v>95</v>
      </c>
      <c r="X590">
        <v>100</v>
      </c>
      <c r="Y590">
        <v>116</v>
      </c>
      <c r="Z590">
        <v>100</v>
      </c>
      <c r="AA590">
        <v>0</v>
      </c>
      <c r="AB590">
        <v>15</v>
      </c>
      <c r="AC590">
        <v>5</v>
      </c>
      <c r="AD590">
        <v>9</v>
      </c>
      <c r="AE590">
        <v>116</v>
      </c>
      <c r="AF590">
        <v>110</v>
      </c>
      <c r="AG590">
        <v>740084</v>
      </c>
      <c r="AH590">
        <v>740088</v>
      </c>
      <c r="AI590">
        <v>740086</v>
      </c>
      <c r="AJ590" t="s">
        <v>7145</v>
      </c>
      <c r="AK590" t="s">
        <v>328</v>
      </c>
      <c r="AL590">
        <v>19</v>
      </c>
      <c r="AM590" t="s">
        <v>4858</v>
      </c>
      <c r="AN590" t="s">
        <v>5204</v>
      </c>
      <c r="AO590" t="s">
        <v>7146</v>
      </c>
      <c r="AP590">
        <v>0</v>
      </c>
      <c r="AQ590" t="s">
        <v>1167</v>
      </c>
      <c r="AR590" t="s">
        <v>4911</v>
      </c>
      <c r="AS590" t="s">
        <v>7135</v>
      </c>
      <c r="AT590" t="s">
        <v>328</v>
      </c>
      <c r="AU590">
        <v>80</v>
      </c>
      <c r="AV590">
        <v>0</v>
      </c>
      <c r="AW590" t="s">
        <v>4492</v>
      </c>
      <c r="AX590" t="s">
        <v>5416</v>
      </c>
      <c r="AY590">
        <v>4</v>
      </c>
      <c r="AZ590">
        <v>3080</v>
      </c>
      <c r="BA590" t="s">
        <v>328</v>
      </c>
      <c r="BB590" t="s">
        <v>4925</v>
      </c>
      <c r="BC590" t="s">
        <v>4720</v>
      </c>
      <c r="BD590">
        <v>0</v>
      </c>
      <c r="BE590">
        <v>0</v>
      </c>
    </row>
    <row r="591" spans="1:57" x14ac:dyDescent="0.3">
      <c r="A591">
        <v>20212</v>
      </c>
      <c r="B591" t="s">
        <v>7147</v>
      </c>
      <c r="C591" s="208" t="s">
        <v>7148</v>
      </c>
      <c r="D591" t="s">
        <v>7148</v>
      </c>
      <c r="E591" t="s">
        <v>7136</v>
      </c>
      <c r="F591" t="s">
        <v>7137</v>
      </c>
      <c r="G591" t="s">
        <v>7149</v>
      </c>
      <c r="H591" t="s">
        <v>7150</v>
      </c>
      <c r="I591" t="s">
        <v>7151</v>
      </c>
      <c r="J591">
        <v>1</v>
      </c>
      <c r="K591">
        <v>5</v>
      </c>
      <c r="L591">
        <v>3180</v>
      </c>
      <c r="M591">
        <v>10</v>
      </c>
      <c r="N591">
        <v>10</v>
      </c>
      <c r="O591">
        <v>5</v>
      </c>
      <c r="P591">
        <v>5</v>
      </c>
      <c r="Q591">
        <v>2</v>
      </c>
      <c r="R591">
        <v>2</v>
      </c>
      <c r="S591">
        <v>2</v>
      </c>
      <c r="T591">
        <v>0</v>
      </c>
      <c r="U591">
        <v>110</v>
      </c>
      <c r="V591">
        <v>112</v>
      </c>
      <c r="W591">
        <v>118</v>
      </c>
      <c r="X591">
        <v>100</v>
      </c>
      <c r="Y591">
        <v>115</v>
      </c>
      <c r="Z591">
        <v>122</v>
      </c>
      <c r="AA591">
        <v>0</v>
      </c>
      <c r="AB591">
        <v>15</v>
      </c>
      <c r="AC591">
        <v>40</v>
      </c>
      <c r="AD591">
        <v>0</v>
      </c>
      <c r="AE591">
        <v>110</v>
      </c>
      <c r="AF591">
        <v>100</v>
      </c>
      <c r="AG591">
        <v>740077</v>
      </c>
      <c r="AH591">
        <v>740078</v>
      </c>
      <c r="AI591">
        <v>300101</v>
      </c>
      <c r="AJ591" t="s">
        <v>328</v>
      </c>
      <c r="AK591" t="s">
        <v>7152</v>
      </c>
      <c r="AL591">
        <v>13</v>
      </c>
      <c r="AM591" t="s">
        <v>1806</v>
      </c>
      <c r="AN591" t="s">
        <v>5161</v>
      </c>
      <c r="AO591" t="s">
        <v>5354</v>
      </c>
      <c r="AP591">
        <v>0</v>
      </c>
      <c r="AQ591" t="s">
        <v>1118</v>
      </c>
      <c r="AR591" t="s">
        <v>1119</v>
      </c>
      <c r="AS591" t="s">
        <v>4761</v>
      </c>
      <c r="AT591" t="s">
        <v>328</v>
      </c>
      <c r="AU591">
        <v>212</v>
      </c>
      <c r="AV591">
        <v>0</v>
      </c>
      <c r="AW591" t="s">
        <v>5162</v>
      </c>
      <c r="AX591" t="s">
        <v>5416</v>
      </c>
      <c r="AY591">
        <v>5</v>
      </c>
      <c r="AZ591">
        <v>3212</v>
      </c>
      <c r="BA591" t="s">
        <v>328</v>
      </c>
      <c r="BB591" t="s">
        <v>5163</v>
      </c>
      <c r="BC591" t="s">
        <v>328</v>
      </c>
      <c r="BD591">
        <v>0</v>
      </c>
      <c r="BE591">
        <v>0</v>
      </c>
    </row>
    <row r="592" spans="1:57" x14ac:dyDescent="0.3">
      <c r="A592">
        <v>20228</v>
      </c>
      <c r="B592" t="s">
        <v>7153</v>
      </c>
      <c r="C592" s="208" t="s">
        <v>7192</v>
      </c>
      <c r="D592" t="s">
        <v>7154</v>
      </c>
      <c r="E592" t="s">
        <v>7138</v>
      </c>
      <c r="F592" t="s">
        <v>7139</v>
      </c>
      <c r="G592" t="s">
        <v>7155</v>
      </c>
      <c r="H592" t="s">
        <v>7156</v>
      </c>
      <c r="I592" t="s">
        <v>7157</v>
      </c>
      <c r="J592">
        <v>2</v>
      </c>
      <c r="K592">
        <v>6</v>
      </c>
      <c r="L592">
        <v>8340</v>
      </c>
      <c r="M592">
        <v>25</v>
      </c>
      <c r="N592">
        <v>20</v>
      </c>
      <c r="O592">
        <v>15</v>
      </c>
      <c r="P592">
        <v>10</v>
      </c>
      <c r="Q592">
        <v>5</v>
      </c>
      <c r="R592">
        <v>5</v>
      </c>
      <c r="S592">
        <v>2</v>
      </c>
      <c r="T592">
        <v>0</v>
      </c>
      <c r="U592">
        <v>128</v>
      </c>
      <c r="V592">
        <v>115</v>
      </c>
      <c r="W592">
        <v>95</v>
      </c>
      <c r="X592">
        <v>100</v>
      </c>
      <c r="Y592">
        <v>115</v>
      </c>
      <c r="Z592">
        <v>112</v>
      </c>
      <c r="AA592">
        <v>0</v>
      </c>
      <c r="AB592">
        <v>15</v>
      </c>
      <c r="AC592">
        <v>5</v>
      </c>
      <c r="AD592">
        <v>0</v>
      </c>
      <c r="AE592">
        <v>128</v>
      </c>
      <c r="AF592">
        <v>100</v>
      </c>
      <c r="AG592">
        <v>740068</v>
      </c>
      <c r="AH592">
        <v>740076</v>
      </c>
      <c r="AI592">
        <v>740072</v>
      </c>
      <c r="AJ592" t="s">
        <v>7158</v>
      </c>
      <c r="AK592" t="s">
        <v>7159</v>
      </c>
      <c r="AL592">
        <v>14</v>
      </c>
      <c r="AM592" t="s">
        <v>4790</v>
      </c>
      <c r="AN592" t="s">
        <v>7160</v>
      </c>
      <c r="AO592" t="s">
        <v>7161</v>
      </c>
      <c r="AP592">
        <v>0</v>
      </c>
      <c r="AQ592" t="s">
        <v>1129</v>
      </c>
      <c r="AR592" t="s">
        <v>1743</v>
      </c>
      <c r="AS592" t="s">
        <v>1745</v>
      </c>
      <c r="AT592" t="s">
        <v>328</v>
      </c>
      <c r="AU592">
        <v>228</v>
      </c>
      <c r="AV592">
        <v>0</v>
      </c>
      <c r="AW592" t="s">
        <v>5189</v>
      </c>
      <c r="AX592" t="s">
        <v>5416</v>
      </c>
      <c r="AY592">
        <v>6</v>
      </c>
      <c r="AZ592">
        <v>3228</v>
      </c>
      <c r="BA592" t="s">
        <v>328</v>
      </c>
      <c r="BB592" t="s">
        <v>328</v>
      </c>
      <c r="BC592" t="s">
        <v>328</v>
      </c>
      <c r="BD592">
        <v>0</v>
      </c>
      <c r="BE592">
        <v>0</v>
      </c>
    </row>
    <row r="593" spans="1:57" x14ac:dyDescent="0.3">
      <c r="A593">
        <v>20282</v>
      </c>
      <c r="B593" t="s">
        <v>7162</v>
      </c>
      <c r="C593" s="208" t="s">
        <v>7163</v>
      </c>
      <c r="D593" t="s">
        <v>7163</v>
      </c>
      <c r="E593" t="s">
        <v>328</v>
      </c>
      <c r="F593" t="s">
        <v>328</v>
      </c>
      <c r="G593" t="s">
        <v>7164</v>
      </c>
      <c r="H593" t="s">
        <v>7165</v>
      </c>
      <c r="I593" t="s">
        <v>7166</v>
      </c>
      <c r="J593">
        <v>6</v>
      </c>
      <c r="K593">
        <v>6</v>
      </c>
      <c r="L593">
        <v>29580</v>
      </c>
      <c r="M593">
        <v>30</v>
      </c>
      <c r="N593">
        <v>40</v>
      </c>
      <c r="O593">
        <v>15</v>
      </c>
      <c r="P593">
        <v>25</v>
      </c>
      <c r="Q593">
        <v>5</v>
      </c>
      <c r="R593">
        <v>2</v>
      </c>
      <c r="S593">
        <v>5</v>
      </c>
      <c r="T593">
        <v>5</v>
      </c>
      <c r="U593">
        <v>118</v>
      </c>
      <c r="V593">
        <v>110</v>
      </c>
      <c r="W593">
        <v>146</v>
      </c>
      <c r="X593">
        <v>100</v>
      </c>
      <c r="Y593">
        <v>115</v>
      </c>
      <c r="Z593">
        <v>110</v>
      </c>
      <c r="AA593">
        <v>129</v>
      </c>
      <c r="AB593">
        <v>15</v>
      </c>
      <c r="AC593">
        <v>40</v>
      </c>
      <c r="AD593">
        <v>5</v>
      </c>
      <c r="AE593">
        <v>112</v>
      </c>
      <c r="AF593">
        <v>100</v>
      </c>
      <c r="AG593">
        <v>740090</v>
      </c>
      <c r="AH593">
        <v>740062</v>
      </c>
      <c r="AI593">
        <v>740067</v>
      </c>
      <c r="AJ593" t="s">
        <v>1296</v>
      </c>
      <c r="AK593" t="s">
        <v>7167</v>
      </c>
      <c r="AL593">
        <v>8</v>
      </c>
      <c r="AM593" t="s">
        <v>335</v>
      </c>
      <c r="AN593" t="s">
        <v>4728</v>
      </c>
      <c r="AO593" t="s">
        <v>7168</v>
      </c>
      <c r="AP593">
        <v>0</v>
      </c>
      <c r="AQ593" t="s">
        <v>5067</v>
      </c>
      <c r="AR593" t="s">
        <v>1201</v>
      </c>
      <c r="AS593" t="s">
        <v>6968</v>
      </c>
      <c r="AT593" t="s">
        <v>328</v>
      </c>
      <c r="AU593">
        <v>164</v>
      </c>
      <c r="AV593">
        <v>0</v>
      </c>
      <c r="AW593" t="s">
        <v>5265</v>
      </c>
      <c r="AX593" t="s">
        <v>5416</v>
      </c>
      <c r="AY593">
        <v>6</v>
      </c>
      <c r="AZ593">
        <v>3282</v>
      </c>
      <c r="BA593" t="s">
        <v>328</v>
      </c>
      <c r="BB593" t="s">
        <v>328</v>
      </c>
      <c r="BC593" t="s">
        <v>4720</v>
      </c>
      <c r="BD593">
        <v>0</v>
      </c>
      <c r="BE593">
        <v>0</v>
      </c>
    </row>
    <row r="594" spans="1:57" x14ac:dyDescent="0.3">
      <c r="A594">
        <v>383</v>
      </c>
      <c r="B594" t="s">
        <v>7193</v>
      </c>
      <c r="C594" s="208" t="s">
        <v>7194</v>
      </c>
      <c r="D594" t="s">
        <v>7194</v>
      </c>
      <c r="E594" t="s">
        <v>328</v>
      </c>
      <c r="F594" t="s">
        <v>328</v>
      </c>
      <c r="G594" t="s">
        <v>7195</v>
      </c>
      <c r="H594" t="s">
        <v>7196</v>
      </c>
      <c r="I594" t="s">
        <v>7197</v>
      </c>
      <c r="J594">
        <v>1</v>
      </c>
      <c r="K594">
        <v>4</v>
      </c>
      <c r="L594">
        <v>3240</v>
      </c>
      <c r="M594">
        <v>10</v>
      </c>
      <c r="N594">
        <v>10</v>
      </c>
      <c r="O594">
        <v>5</v>
      </c>
      <c r="P594">
        <v>5</v>
      </c>
      <c r="Q594">
        <v>2</v>
      </c>
      <c r="R594">
        <v>2</v>
      </c>
      <c r="S594">
        <v>2</v>
      </c>
      <c r="T594">
        <v>0</v>
      </c>
      <c r="U594">
        <v>110</v>
      </c>
      <c r="V594">
        <v>105</v>
      </c>
      <c r="W594">
        <v>116</v>
      </c>
      <c r="X594">
        <v>100</v>
      </c>
      <c r="Y594">
        <v>112</v>
      </c>
      <c r="Z594">
        <v>110</v>
      </c>
      <c r="AA594">
        <v>0</v>
      </c>
      <c r="AB594">
        <v>15</v>
      </c>
      <c r="AC594">
        <v>20</v>
      </c>
      <c r="AD594">
        <v>0</v>
      </c>
      <c r="AE594">
        <v>116</v>
      </c>
      <c r="AF594">
        <v>100</v>
      </c>
      <c r="AG594">
        <v>750755</v>
      </c>
      <c r="AH594">
        <v>0</v>
      </c>
      <c r="AI594">
        <v>300101</v>
      </c>
      <c r="AJ594" t="s">
        <v>7198</v>
      </c>
      <c r="AK594" t="s">
        <v>328</v>
      </c>
      <c r="AL594">
        <v>13</v>
      </c>
      <c r="AM594" t="s">
        <v>1806</v>
      </c>
      <c r="AN594" t="s">
        <v>5398</v>
      </c>
      <c r="AO594" t="s">
        <v>7199</v>
      </c>
      <c r="AP594">
        <v>0</v>
      </c>
      <c r="AQ594" t="s">
        <v>1118</v>
      </c>
      <c r="AR594" t="s">
        <v>1119</v>
      </c>
      <c r="AS594" t="s">
        <v>1120</v>
      </c>
      <c r="AT594" t="s">
        <v>328</v>
      </c>
      <c r="AU594">
        <v>212</v>
      </c>
      <c r="AV594">
        <v>0</v>
      </c>
      <c r="AW594" t="s">
        <v>7200</v>
      </c>
      <c r="AX594" t="s">
        <v>7201</v>
      </c>
      <c r="AY594">
        <v>4</v>
      </c>
      <c r="AZ594">
        <v>0</v>
      </c>
      <c r="BA594" t="s">
        <v>328</v>
      </c>
      <c r="BB594" t="s">
        <v>328</v>
      </c>
      <c r="BC594" t="s">
        <v>4769</v>
      </c>
      <c r="BD594">
        <v>10703</v>
      </c>
      <c r="BE594">
        <v>0</v>
      </c>
    </row>
    <row r="595" spans="1:57" x14ac:dyDescent="0.3">
      <c r="A595">
        <v>384</v>
      </c>
      <c r="B595" t="s">
        <v>7202</v>
      </c>
      <c r="C595" s="208" t="s">
        <v>7203</v>
      </c>
      <c r="D595" t="s">
        <v>7203</v>
      </c>
      <c r="E595" t="s">
        <v>328</v>
      </c>
      <c r="F595" t="s">
        <v>328</v>
      </c>
      <c r="G595" t="s">
        <v>7204</v>
      </c>
      <c r="H595" t="s">
        <v>7205</v>
      </c>
      <c r="I595" t="s">
        <v>7206</v>
      </c>
      <c r="J595">
        <v>2</v>
      </c>
      <c r="K595">
        <v>5</v>
      </c>
      <c r="L595">
        <v>9300</v>
      </c>
      <c r="M595">
        <v>25</v>
      </c>
      <c r="N595">
        <v>20</v>
      </c>
      <c r="O595">
        <v>15</v>
      </c>
      <c r="P595">
        <v>10</v>
      </c>
      <c r="Q595">
        <v>5</v>
      </c>
      <c r="R595">
        <v>5</v>
      </c>
      <c r="S595">
        <v>2</v>
      </c>
      <c r="T595">
        <v>0</v>
      </c>
      <c r="U595">
        <v>130</v>
      </c>
      <c r="V595">
        <v>95</v>
      </c>
      <c r="W595">
        <v>110</v>
      </c>
      <c r="X595">
        <v>100</v>
      </c>
      <c r="Y595">
        <v>105</v>
      </c>
      <c r="Z595">
        <v>120</v>
      </c>
      <c r="AA595">
        <v>0</v>
      </c>
      <c r="AB595">
        <v>15</v>
      </c>
      <c r="AC595">
        <v>5</v>
      </c>
      <c r="AD595">
        <v>0</v>
      </c>
      <c r="AE595">
        <v>115</v>
      </c>
      <c r="AF595">
        <v>100</v>
      </c>
      <c r="AG595">
        <v>750754</v>
      </c>
      <c r="AH595">
        <v>0</v>
      </c>
      <c r="AI595">
        <v>750757</v>
      </c>
      <c r="AJ595" t="s">
        <v>7207</v>
      </c>
      <c r="AK595" t="s">
        <v>7208</v>
      </c>
      <c r="AL595">
        <v>13</v>
      </c>
      <c r="AM595" t="s">
        <v>4790</v>
      </c>
      <c r="AN595" t="s">
        <v>388</v>
      </c>
      <c r="AO595" t="s">
        <v>5030</v>
      </c>
      <c r="AP595">
        <v>0</v>
      </c>
      <c r="AQ595" t="s">
        <v>1129</v>
      </c>
      <c r="AR595" t="s">
        <v>1119</v>
      </c>
      <c r="AS595" t="s">
        <v>1130</v>
      </c>
      <c r="AT595" t="s">
        <v>328</v>
      </c>
      <c r="AU595">
        <v>150</v>
      </c>
      <c r="AV595">
        <v>0</v>
      </c>
      <c r="AW595" t="s">
        <v>7200</v>
      </c>
      <c r="AX595" t="s">
        <v>7209</v>
      </c>
      <c r="AY595">
        <v>5</v>
      </c>
      <c r="AZ595">
        <v>0</v>
      </c>
      <c r="BA595" t="s">
        <v>328</v>
      </c>
      <c r="BB595" t="s">
        <v>328</v>
      </c>
      <c r="BC595" t="s">
        <v>328</v>
      </c>
      <c r="BD595">
        <v>10702</v>
      </c>
      <c r="BE595">
        <v>0</v>
      </c>
    </row>
    <row r="596" spans="1:57" x14ac:dyDescent="0.3">
      <c r="A596">
        <v>385</v>
      </c>
      <c r="B596" t="s">
        <v>7210</v>
      </c>
      <c r="C596" s="208" t="s">
        <v>7211</v>
      </c>
      <c r="D596" t="s">
        <v>7211</v>
      </c>
      <c r="E596" t="s">
        <v>328</v>
      </c>
      <c r="F596" t="s">
        <v>328</v>
      </c>
      <c r="G596" t="s">
        <v>7212</v>
      </c>
      <c r="H596" t="s">
        <v>7213</v>
      </c>
      <c r="I596" t="s">
        <v>7214</v>
      </c>
      <c r="J596">
        <v>4</v>
      </c>
      <c r="K596">
        <v>5</v>
      </c>
      <c r="L596">
        <v>13800</v>
      </c>
      <c r="M596">
        <v>20</v>
      </c>
      <c r="N596">
        <v>20</v>
      </c>
      <c r="O596">
        <v>10</v>
      </c>
      <c r="P596">
        <v>10</v>
      </c>
      <c r="Q596">
        <v>2</v>
      </c>
      <c r="R596">
        <v>5</v>
      </c>
      <c r="S596">
        <v>5</v>
      </c>
      <c r="T596">
        <v>0</v>
      </c>
      <c r="U596">
        <v>115</v>
      </c>
      <c r="V596">
        <v>120</v>
      </c>
      <c r="W596">
        <v>80</v>
      </c>
      <c r="X596">
        <v>100</v>
      </c>
      <c r="Y596">
        <v>130</v>
      </c>
      <c r="Z596">
        <v>116</v>
      </c>
      <c r="AA596">
        <v>0</v>
      </c>
      <c r="AB596">
        <v>15</v>
      </c>
      <c r="AC596">
        <v>20</v>
      </c>
      <c r="AD596">
        <v>0</v>
      </c>
      <c r="AE596">
        <v>125</v>
      </c>
      <c r="AF596">
        <v>100</v>
      </c>
      <c r="AG596">
        <v>121501</v>
      </c>
      <c r="AH596">
        <v>0</v>
      </c>
      <c r="AI596">
        <v>121503</v>
      </c>
      <c r="AJ596" t="s">
        <v>7215</v>
      </c>
      <c r="AK596" t="s">
        <v>7216</v>
      </c>
      <c r="AL596">
        <v>12</v>
      </c>
      <c r="AM596" t="s">
        <v>4719</v>
      </c>
      <c r="AN596" t="s">
        <v>5188</v>
      </c>
      <c r="AO596" t="s">
        <v>5090</v>
      </c>
      <c r="AP596">
        <v>0</v>
      </c>
      <c r="AQ596" t="s">
        <v>1130</v>
      </c>
      <c r="AR596" t="s">
        <v>1154</v>
      </c>
      <c r="AS596" t="s">
        <v>1129</v>
      </c>
      <c r="AT596" t="s">
        <v>328</v>
      </c>
      <c r="AU596">
        <v>48</v>
      </c>
      <c r="AV596">
        <v>0</v>
      </c>
      <c r="AW596" t="s">
        <v>7200</v>
      </c>
      <c r="AX596" t="s">
        <v>7217</v>
      </c>
      <c r="AY596">
        <v>5</v>
      </c>
      <c r="AZ596">
        <v>0</v>
      </c>
      <c r="BA596" t="s">
        <v>328</v>
      </c>
      <c r="BB596" t="s">
        <v>328</v>
      </c>
      <c r="BC596" t="s">
        <v>4769</v>
      </c>
      <c r="BD596">
        <v>10402</v>
      </c>
      <c r="BE596">
        <v>0</v>
      </c>
    </row>
    <row r="597" spans="1:57" x14ac:dyDescent="0.3">
      <c r="A597">
        <v>386</v>
      </c>
      <c r="B597" t="s">
        <v>7218</v>
      </c>
      <c r="C597" s="208" t="s">
        <v>7219</v>
      </c>
      <c r="D597" t="s">
        <v>7219</v>
      </c>
      <c r="E597" t="s">
        <v>328</v>
      </c>
      <c r="F597" t="s">
        <v>328</v>
      </c>
      <c r="G597" t="s">
        <v>7220</v>
      </c>
      <c r="H597" t="s">
        <v>7221</v>
      </c>
      <c r="I597" t="s">
        <v>7222</v>
      </c>
      <c r="J597">
        <v>5</v>
      </c>
      <c r="K597">
        <v>5</v>
      </c>
      <c r="L597">
        <v>22560</v>
      </c>
      <c r="M597">
        <v>40</v>
      </c>
      <c r="N597">
        <v>30</v>
      </c>
      <c r="O597">
        <v>25</v>
      </c>
      <c r="P597">
        <v>15</v>
      </c>
      <c r="Q597">
        <v>5</v>
      </c>
      <c r="R597">
        <v>5</v>
      </c>
      <c r="S597">
        <v>2</v>
      </c>
      <c r="T597">
        <v>5</v>
      </c>
      <c r="U597">
        <v>115</v>
      </c>
      <c r="V597">
        <v>95</v>
      </c>
      <c r="W597">
        <v>120</v>
      </c>
      <c r="X597">
        <v>100</v>
      </c>
      <c r="Y597">
        <v>130</v>
      </c>
      <c r="Z597">
        <v>115</v>
      </c>
      <c r="AA597">
        <v>0</v>
      </c>
      <c r="AB597">
        <v>15</v>
      </c>
      <c r="AC597">
        <v>5</v>
      </c>
      <c r="AD597">
        <v>10</v>
      </c>
      <c r="AE597">
        <v>130</v>
      </c>
      <c r="AF597">
        <v>100</v>
      </c>
      <c r="AG597">
        <v>121401</v>
      </c>
      <c r="AH597">
        <v>0</v>
      </c>
      <c r="AI597">
        <v>121402</v>
      </c>
      <c r="AJ597" t="s">
        <v>7223</v>
      </c>
      <c r="AK597" t="s">
        <v>328</v>
      </c>
      <c r="AL597">
        <v>17</v>
      </c>
      <c r="AM597" t="s">
        <v>4858</v>
      </c>
      <c r="AN597" t="s">
        <v>7224</v>
      </c>
      <c r="AO597" t="s">
        <v>5155</v>
      </c>
      <c r="AP597">
        <v>0</v>
      </c>
      <c r="AQ597" t="s">
        <v>7225</v>
      </c>
      <c r="AR597" t="s">
        <v>5956</v>
      </c>
      <c r="AS597" t="s">
        <v>7226</v>
      </c>
      <c r="AT597" t="s">
        <v>328</v>
      </c>
      <c r="AU597">
        <v>238</v>
      </c>
      <c r="AV597">
        <v>0</v>
      </c>
      <c r="AW597" t="s">
        <v>7200</v>
      </c>
      <c r="AX597" t="s">
        <v>7217</v>
      </c>
      <c r="AY597">
        <v>5</v>
      </c>
      <c r="AZ597">
        <v>0</v>
      </c>
      <c r="BA597" t="s">
        <v>328</v>
      </c>
      <c r="BB597" t="s">
        <v>328</v>
      </c>
      <c r="BC597" t="s">
        <v>4720</v>
      </c>
      <c r="BD597">
        <v>10202</v>
      </c>
      <c r="BE597">
        <v>0</v>
      </c>
    </row>
    <row r="598" spans="1:57" x14ac:dyDescent="0.3">
      <c r="A598">
        <v>387</v>
      </c>
      <c r="B598" t="s">
        <v>7227</v>
      </c>
      <c r="C598" s="208" t="s">
        <v>7228</v>
      </c>
      <c r="D598" t="s">
        <v>7228</v>
      </c>
      <c r="E598" t="s">
        <v>328</v>
      </c>
      <c r="F598" t="s">
        <v>328</v>
      </c>
      <c r="G598" t="s">
        <v>7229</v>
      </c>
      <c r="H598" t="s">
        <v>7230</v>
      </c>
      <c r="I598" t="s">
        <v>7231</v>
      </c>
      <c r="J598">
        <v>6</v>
      </c>
      <c r="K598">
        <v>5</v>
      </c>
      <c r="L598">
        <v>29160</v>
      </c>
      <c r="M598">
        <v>30</v>
      </c>
      <c r="N598">
        <v>40</v>
      </c>
      <c r="O598">
        <v>15</v>
      </c>
      <c r="P598">
        <v>25</v>
      </c>
      <c r="Q598">
        <v>5</v>
      </c>
      <c r="R598">
        <v>2</v>
      </c>
      <c r="S598">
        <v>5</v>
      </c>
      <c r="T598">
        <v>5</v>
      </c>
      <c r="U598">
        <v>115</v>
      </c>
      <c r="V598">
        <v>95</v>
      </c>
      <c r="W598">
        <v>125</v>
      </c>
      <c r="X598">
        <v>100</v>
      </c>
      <c r="Y598">
        <v>130</v>
      </c>
      <c r="Z598">
        <v>120</v>
      </c>
      <c r="AA598">
        <v>125</v>
      </c>
      <c r="AB598">
        <v>15</v>
      </c>
      <c r="AC598">
        <v>40</v>
      </c>
      <c r="AD598">
        <v>6</v>
      </c>
      <c r="AE598">
        <v>110</v>
      </c>
      <c r="AF598">
        <v>100</v>
      </c>
      <c r="AG598">
        <v>750756</v>
      </c>
      <c r="AH598">
        <v>0</v>
      </c>
      <c r="AI598">
        <v>300106</v>
      </c>
      <c r="AJ598" t="s">
        <v>7232</v>
      </c>
      <c r="AK598" t="s">
        <v>7233</v>
      </c>
      <c r="AL598">
        <v>7</v>
      </c>
      <c r="AM598" t="s">
        <v>387</v>
      </c>
      <c r="AN598" t="s">
        <v>7234</v>
      </c>
      <c r="AO598" t="s">
        <v>4910</v>
      </c>
      <c r="AP598">
        <v>0</v>
      </c>
      <c r="AQ598" t="s">
        <v>1200</v>
      </c>
      <c r="AR598" t="s">
        <v>1201</v>
      </c>
      <c r="AS598" t="s">
        <v>6968</v>
      </c>
      <c r="AT598" t="s">
        <v>328</v>
      </c>
      <c r="AU598">
        <v>229</v>
      </c>
      <c r="AV598">
        <v>0</v>
      </c>
      <c r="AW598" t="s">
        <v>7200</v>
      </c>
      <c r="AX598" t="s">
        <v>7201</v>
      </c>
      <c r="AY598">
        <v>5</v>
      </c>
      <c r="AZ598">
        <v>0</v>
      </c>
      <c r="BA598" t="s">
        <v>328</v>
      </c>
      <c r="BB598" t="s">
        <v>328</v>
      </c>
      <c r="BC598" t="s">
        <v>4853</v>
      </c>
      <c r="BD598">
        <v>10802</v>
      </c>
      <c r="BE598">
        <v>0</v>
      </c>
    </row>
    <row r="599" spans="1:57" x14ac:dyDescent="0.3">
      <c r="A599">
        <v>9110</v>
      </c>
      <c r="B599" t="s">
        <v>7235</v>
      </c>
      <c r="C599" s="208" t="s">
        <v>6121</v>
      </c>
      <c r="D599" t="s">
        <v>6121</v>
      </c>
      <c r="E599" t="s">
        <v>328</v>
      </c>
      <c r="F599" t="s">
        <v>328</v>
      </c>
      <c r="G599" t="s">
        <v>7236</v>
      </c>
      <c r="H599" t="s">
        <v>7237</v>
      </c>
      <c r="I599" t="s">
        <v>7238</v>
      </c>
      <c r="J599">
        <v>2</v>
      </c>
      <c r="K599">
        <v>5</v>
      </c>
      <c r="L599">
        <v>9300</v>
      </c>
      <c r="M599">
        <v>20</v>
      </c>
      <c r="N599">
        <v>20</v>
      </c>
      <c r="O599">
        <v>10</v>
      </c>
      <c r="P599">
        <v>10</v>
      </c>
      <c r="Q599">
        <v>2</v>
      </c>
      <c r="R599">
        <v>5</v>
      </c>
      <c r="S599">
        <v>5</v>
      </c>
      <c r="T599">
        <v>0</v>
      </c>
      <c r="U599">
        <v>1200</v>
      </c>
      <c r="V599">
        <v>120</v>
      </c>
      <c r="W599">
        <v>112</v>
      </c>
      <c r="X599">
        <v>60</v>
      </c>
      <c r="Y599">
        <v>120</v>
      </c>
      <c r="Z599">
        <v>98</v>
      </c>
      <c r="AA599">
        <v>0</v>
      </c>
      <c r="AB599">
        <v>15</v>
      </c>
      <c r="AC599">
        <v>20</v>
      </c>
      <c r="AD599">
        <v>0</v>
      </c>
      <c r="AE599">
        <v>100</v>
      </c>
      <c r="AF599">
        <v>999</v>
      </c>
      <c r="AG599">
        <v>100107</v>
      </c>
      <c r="AH599">
        <v>0</v>
      </c>
      <c r="AI599">
        <v>755307</v>
      </c>
      <c r="AJ599" t="s">
        <v>328</v>
      </c>
      <c r="AK599" t="s">
        <v>328</v>
      </c>
      <c r="AL599">
        <v>13</v>
      </c>
      <c r="AM599" t="s">
        <v>4790</v>
      </c>
      <c r="AN599" t="s">
        <v>4793</v>
      </c>
      <c r="AO599" t="s">
        <v>4802</v>
      </c>
      <c r="AP599">
        <v>0</v>
      </c>
      <c r="AQ599" t="s">
        <v>1129</v>
      </c>
      <c r="AR599" t="s">
        <v>1119</v>
      </c>
      <c r="AS599" t="s">
        <v>1130</v>
      </c>
      <c r="AT599" t="s">
        <v>328</v>
      </c>
      <c r="AU599">
        <v>20</v>
      </c>
      <c r="AV599">
        <v>0</v>
      </c>
      <c r="AW599" t="s">
        <v>5790</v>
      </c>
      <c r="AX599" t="s">
        <v>1806</v>
      </c>
      <c r="AY599">
        <v>5</v>
      </c>
      <c r="AZ599">
        <v>0</v>
      </c>
      <c r="BA599" t="s">
        <v>328</v>
      </c>
      <c r="BB599" t="s">
        <v>328</v>
      </c>
      <c r="BC599" t="s">
        <v>328</v>
      </c>
      <c r="BD599">
        <v>0</v>
      </c>
      <c r="BE599">
        <v>0</v>
      </c>
    </row>
    <row r="600" spans="1:57" x14ac:dyDescent="0.3">
      <c r="A600">
        <v>9111</v>
      </c>
      <c r="B600" t="s">
        <v>7239</v>
      </c>
      <c r="C600" s="208" t="s">
        <v>7240</v>
      </c>
      <c r="D600" t="s">
        <v>7241</v>
      </c>
      <c r="E600" t="s">
        <v>328</v>
      </c>
      <c r="F600" t="s">
        <v>328</v>
      </c>
      <c r="G600" t="s">
        <v>7242</v>
      </c>
      <c r="H600" t="s">
        <v>7243</v>
      </c>
      <c r="I600" t="s">
        <v>7244</v>
      </c>
      <c r="J600">
        <v>2</v>
      </c>
      <c r="K600">
        <v>5</v>
      </c>
      <c r="L600">
        <v>9300</v>
      </c>
      <c r="M600">
        <v>20</v>
      </c>
      <c r="N600">
        <v>20</v>
      </c>
      <c r="O600">
        <v>10</v>
      </c>
      <c r="P600">
        <v>10</v>
      </c>
      <c r="Q600">
        <v>2</v>
      </c>
      <c r="R600">
        <v>5</v>
      </c>
      <c r="S600">
        <v>5</v>
      </c>
      <c r="T600">
        <v>0</v>
      </c>
      <c r="U600">
        <v>800</v>
      </c>
      <c r="V600">
        <v>120</v>
      </c>
      <c r="W600">
        <v>112</v>
      </c>
      <c r="X600">
        <v>60</v>
      </c>
      <c r="Y600">
        <v>250</v>
      </c>
      <c r="Z600">
        <v>60</v>
      </c>
      <c r="AA600">
        <v>0</v>
      </c>
      <c r="AB600">
        <v>0</v>
      </c>
      <c r="AC600">
        <v>0</v>
      </c>
      <c r="AD600">
        <v>0</v>
      </c>
      <c r="AE600">
        <v>100</v>
      </c>
      <c r="AF600">
        <v>100</v>
      </c>
      <c r="AG600">
        <v>100107</v>
      </c>
      <c r="AH600">
        <v>0</v>
      </c>
      <c r="AI600">
        <v>300103</v>
      </c>
      <c r="AJ600" t="s">
        <v>328</v>
      </c>
      <c r="AK600" t="s">
        <v>328</v>
      </c>
      <c r="AL600">
        <v>13</v>
      </c>
      <c r="AM600" t="s">
        <v>4790</v>
      </c>
      <c r="AN600" t="s">
        <v>4793</v>
      </c>
      <c r="AO600" t="s">
        <v>4802</v>
      </c>
      <c r="AP600">
        <v>0</v>
      </c>
      <c r="AQ600" t="s">
        <v>1129</v>
      </c>
      <c r="AR600" t="s">
        <v>1119</v>
      </c>
      <c r="AS600" t="s">
        <v>1130</v>
      </c>
      <c r="AT600" t="s">
        <v>328</v>
      </c>
      <c r="AU600">
        <v>20</v>
      </c>
      <c r="AV600">
        <v>0</v>
      </c>
      <c r="AW600" t="s">
        <v>5790</v>
      </c>
      <c r="AX600" t="s">
        <v>1806</v>
      </c>
      <c r="AY600">
        <v>5</v>
      </c>
      <c r="AZ600">
        <v>0</v>
      </c>
      <c r="BA600" t="s">
        <v>328</v>
      </c>
      <c r="BB600" t="s">
        <v>328</v>
      </c>
      <c r="BC600" t="s">
        <v>328</v>
      </c>
      <c r="BD600">
        <v>0</v>
      </c>
      <c r="BE600">
        <v>0</v>
      </c>
    </row>
    <row r="601" spans="1:57" x14ac:dyDescent="0.3">
      <c r="A601">
        <v>9112</v>
      </c>
      <c r="B601" t="s">
        <v>7245</v>
      </c>
      <c r="C601" s="208" t="s">
        <v>7246</v>
      </c>
      <c r="D601" t="s">
        <v>7247</v>
      </c>
      <c r="E601" t="s">
        <v>328</v>
      </c>
      <c r="F601" t="s">
        <v>328</v>
      </c>
      <c r="G601" t="s">
        <v>7248</v>
      </c>
      <c r="H601" t="s">
        <v>7249</v>
      </c>
      <c r="I601" t="s">
        <v>7250</v>
      </c>
      <c r="J601">
        <v>2</v>
      </c>
      <c r="K601">
        <v>5</v>
      </c>
      <c r="L601">
        <v>9300</v>
      </c>
      <c r="M601">
        <v>20</v>
      </c>
      <c r="N601">
        <v>20</v>
      </c>
      <c r="O601">
        <v>10</v>
      </c>
      <c r="P601">
        <v>10</v>
      </c>
      <c r="Q601">
        <v>2</v>
      </c>
      <c r="R601">
        <v>5</v>
      </c>
      <c r="S601">
        <v>5</v>
      </c>
      <c r="T601">
        <v>0</v>
      </c>
      <c r="U601">
        <v>800</v>
      </c>
      <c r="V601">
        <v>120</v>
      </c>
      <c r="W601">
        <v>112</v>
      </c>
      <c r="X601">
        <v>60</v>
      </c>
      <c r="Y601">
        <v>250</v>
      </c>
      <c r="Z601">
        <v>60</v>
      </c>
      <c r="AA601">
        <v>0</v>
      </c>
      <c r="AB601">
        <v>0</v>
      </c>
      <c r="AC601">
        <v>0</v>
      </c>
      <c r="AD601">
        <v>0</v>
      </c>
      <c r="AE601">
        <v>100</v>
      </c>
      <c r="AF601">
        <v>100</v>
      </c>
      <c r="AG601">
        <v>100107</v>
      </c>
      <c r="AH601">
        <v>0</v>
      </c>
      <c r="AI601">
        <v>300103</v>
      </c>
      <c r="AJ601" t="s">
        <v>328</v>
      </c>
      <c r="AK601" t="s">
        <v>328</v>
      </c>
      <c r="AL601">
        <v>13</v>
      </c>
      <c r="AM601" t="s">
        <v>4790</v>
      </c>
      <c r="AN601" t="s">
        <v>4793</v>
      </c>
      <c r="AO601" t="s">
        <v>4802</v>
      </c>
      <c r="AP601">
        <v>0</v>
      </c>
      <c r="AQ601" t="s">
        <v>1129</v>
      </c>
      <c r="AR601" t="s">
        <v>1119</v>
      </c>
      <c r="AS601" t="s">
        <v>1130</v>
      </c>
      <c r="AT601" t="s">
        <v>328</v>
      </c>
      <c r="AU601">
        <v>20</v>
      </c>
      <c r="AV601">
        <v>0</v>
      </c>
      <c r="AW601" t="s">
        <v>5790</v>
      </c>
      <c r="AX601" t="s">
        <v>1806</v>
      </c>
      <c r="AY601">
        <v>5</v>
      </c>
      <c r="AZ601">
        <v>0</v>
      </c>
      <c r="BA601" t="s">
        <v>328</v>
      </c>
      <c r="BB601" t="s">
        <v>328</v>
      </c>
      <c r="BC601" t="s">
        <v>328</v>
      </c>
      <c r="BD601">
        <v>0</v>
      </c>
      <c r="BE601">
        <v>0</v>
      </c>
    </row>
    <row r="602" spans="1:57" x14ac:dyDescent="0.3">
      <c r="A602">
        <v>9113</v>
      </c>
      <c r="B602" t="s">
        <v>7251</v>
      </c>
      <c r="C602" s="208" t="s">
        <v>7252</v>
      </c>
      <c r="D602" t="s">
        <v>7253</v>
      </c>
      <c r="E602" t="s">
        <v>328</v>
      </c>
      <c r="F602" t="s">
        <v>328</v>
      </c>
      <c r="G602" t="s">
        <v>7254</v>
      </c>
      <c r="H602" t="s">
        <v>7255</v>
      </c>
      <c r="I602" t="s">
        <v>7256</v>
      </c>
      <c r="J602">
        <v>1</v>
      </c>
      <c r="K602">
        <v>5</v>
      </c>
      <c r="L602">
        <v>3000</v>
      </c>
      <c r="M602">
        <v>10</v>
      </c>
      <c r="N602">
        <v>10</v>
      </c>
      <c r="O602">
        <v>5</v>
      </c>
      <c r="P602">
        <v>5</v>
      </c>
      <c r="Q602">
        <v>2</v>
      </c>
      <c r="R602">
        <v>2</v>
      </c>
      <c r="S602">
        <v>2</v>
      </c>
      <c r="T602">
        <v>0</v>
      </c>
      <c r="U602">
        <v>1200</v>
      </c>
      <c r="V602">
        <v>100</v>
      </c>
      <c r="W602">
        <v>98</v>
      </c>
      <c r="X602">
        <v>100</v>
      </c>
      <c r="Y602">
        <v>100</v>
      </c>
      <c r="Z602">
        <v>100</v>
      </c>
      <c r="AA602">
        <v>0</v>
      </c>
      <c r="AB602">
        <v>0</v>
      </c>
      <c r="AC602">
        <v>0</v>
      </c>
      <c r="AD602">
        <v>0</v>
      </c>
      <c r="AE602">
        <v>98</v>
      </c>
      <c r="AF602">
        <v>100</v>
      </c>
      <c r="AG602">
        <v>100504</v>
      </c>
      <c r="AH602">
        <v>0</v>
      </c>
      <c r="AI602">
        <v>300101</v>
      </c>
      <c r="AJ602" t="s">
        <v>328</v>
      </c>
      <c r="AK602" t="s">
        <v>328</v>
      </c>
      <c r="AL602">
        <v>13</v>
      </c>
      <c r="AM602" t="s">
        <v>4790</v>
      </c>
      <c r="AN602" t="s">
        <v>4793</v>
      </c>
      <c r="AO602" t="s">
        <v>4802</v>
      </c>
      <c r="AP602">
        <v>0</v>
      </c>
      <c r="AQ602" t="s">
        <v>1129</v>
      </c>
      <c r="AR602" t="s">
        <v>1119</v>
      </c>
      <c r="AS602" t="s">
        <v>1130</v>
      </c>
      <c r="AT602" t="s">
        <v>328</v>
      </c>
      <c r="AU602">
        <v>20</v>
      </c>
      <c r="AV602">
        <v>0</v>
      </c>
      <c r="AW602" t="s">
        <v>5790</v>
      </c>
      <c r="AX602" t="s">
        <v>1806</v>
      </c>
      <c r="AY602">
        <v>5</v>
      </c>
      <c r="AZ602">
        <v>0</v>
      </c>
      <c r="BA602" t="s">
        <v>328</v>
      </c>
      <c r="BB602" t="s">
        <v>328</v>
      </c>
      <c r="BC602" t="s">
        <v>328</v>
      </c>
      <c r="BD602">
        <v>0</v>
      </c>
      <c r="BE602">
        <v>0</v>
      </c>
    </row>
    <row r="603" spans="1:57" x14ac:dyDescent="0.3">
      <c r="A603">
        <v>9114</v>
      </c>
      <c r="B603" t="s">
        <v>7257</v>
      </c>
      <c r="C603" s="208" t="s">
        <v>7258</v>
      </c>
      <c r="D603" t="s">
        <v>7259</v>
      </c>
      <c r="E603" t="s">
        <v>328</v>
      </c>
      <c r="F603" t="s">
        <v>328</v>
      </c>
      <c r="G603" t="s">
        <v>7260</v>
      </c>
      <c r="H603" t="s">
        <v>7261</v>
      </c>
      <c r="I603" t="s">
        <v>7262</v>
      </c>
      <c r="J603">
        <v>1</v>
      </c>
      <c r="K603">
        <v>5</v>
      </c>
      <c r="L603">
        <v>3000</v>
      </c>
      <c r="M603">
        <v>10</v>
      </c>
      <c r="N603">
        <v>10</v>
      </c>
      <c r="O603">
        <v>5</v>
      </c>
      <c r="P603">
        <v>5</v>
      </c>
      <c r="Q603">
        <v>2</v>
      </c>
      <c r="R603">
        <v>2</v>
      </c>
      <c r="S603">
        <v>2</v>
      </c>
      <c r="T603">
        <v>0</v>
      </c>
      <c r="U603">
        <v>1200</v>
      </c>
      <c r="V603">
        <v>100</v>
      </c>
      <c r="W603">
        <v>98</v>
      </c>
      <c r="X603">
        <v>100</v>
      </c>
      <c r="Y603">
        <v>100</v>
      </c>
      <c r="Z603">
        <v>100</v>
      </c>
      <c r="AA603">
        <v>0</v>
      </c>
      <c r="AB603">
        <v>0</v>
      </c>
      <c r="AC603">
        <v>0</v>
      </c>
      <c r="AD603">
        <v>0</v>
      </c>
      <c r="AE603">
        <v>98</v>
      </c>
      <c r="AF603">
        <v>100</v>
      </c>
      <c r="AG603">
        <v>100504</v>
      </c>
      <c r="AH603">
        <v>0</v>
      </c>
      <c r="AI603">
        <v>300101</v>
      </c>
      <c r="AJ603" t="s">
        <v>328</v>
      </c>
      <c r="AK603" t="s">
        <v>328</v>
      </c>
      <c r="AL603">
        <v>13</v>
      </c>
      <c r="AM603" t="s">
        <v>4790</v>
      </c>
      <c r="AN603" t="s">
        <v>4793</v>
      </c>
      <c r="AO603" t="s">
        <v>4802</v>
      </c>
      <c r="AP603">
        <v>0</v>
      </c>
      <c r="AQ603" t="s">
        <v>1129</v>
      </c>
      <c r="AR603" t="s">
        <v>1119</v>
      </c>
      <c r="AS603" t="s">
        <v>1130</v>
      </c>
      <c r="AT603" t="s">
        <v>328</v>
      </c>
      <c r="AU603">
        <v>20</v>
      </c>
      <c r="AV603">
        <v>0</v>
      </c>
      <c r="AW603" t="s">
        <v>5790</v>
      </c>
      <c r="AX603" t="s">
        <v>1806</v>
      </c>
      <c r="AY603">
        <v>5</v>
      </c>
      <c r="AZ603">
        <v>0</v>
      </c>
      <c r="BA603" t="s">
        <v>328</v>
      </c>
      <c r="BB603" t="s">
        <v>328</v>
      </c>
      <c r="BC603" t="s">
        <v>328</v>
      </c>
      <c r="BD603">
        <v>0</v>
      </c>
      <c r="BE603">
        <v>0</v>
      </c>
    </row>
    <row r="604" spans="1:57" x14ac:dyDescent="0.3">
      <c r="A604">
        <v>9115</v>
      </c>
      <c r="B604" t="s">
        <v>7263</v>
      </c>
      <c r="C604" s="208" t="s">
        <v>7264</v>
      </c>
      <c r="D604" t="s">
        <v>7265</v>
      </c>
      <c r="E604" t="s">
        <v>328</v>
      </c>
      <c r="F604" t="s">
        <v>328</v>
      </c>
      <c r="G604" t="s">
        <v>7266</v>
      </c>
      <c r="H604" t="s">
        <v>7267</v>
      </c>
      <c r="I604" t="s">
        <v>7268</v>
      </c>
      <c r="J604">
        <v>1</v>
      </c>
      <c r="K604">
        <v>5</v>
      </c>
      <c r="L604">
        <v>3000</v>
      </c>
      <c r="M604">
        <v>10</v>
      </c>
      <c r="N604">
        <v>10</v>
      </c>
      <c r="O604">
        <v>5</v>
      </c>
      <c r="P604">
        <v>5</v>
      </c>
      <c r="Q604">
        <v>2</v>
      </c>
      <c r="R604">
        <v>2</v>
      </c>
      <c r="S604">
        <v>2</v>
      </c>
      <c r="T604">
        <v>0</v>
      </c>
      <c r="U604">
        <v>1200</v>
      </c>
      <c r="V604">
        <v>100</v>
      </c>
      <c r="W604">
        <v>98</v>
      </c>
      <c r="X604">
        <v>100</v>
      </c>
      <c r="Y604">
        <v>100</v>
      </c>
      <c r="Z604">
        <v>100</v>
      </c>
      <c r="AA604">
        <v>0</v>
      </c>
      <c r="AB604">
        <v>0</v>
      </c>
      <c r="AC604">
        <v>0</v>
      </c>
      <c r="AD604">
        <v>0</v>
      </c>
      <c r="AE604">
        <v>98</v>
      </c>
      <c r="AF604">
        <v>100</v>
      </c>
      <c r="AG604">
        <v>100504</v>
      </c>
      <c r="AH604">
        <v>0</v>
      </c>
      <c r="AI604">
        <v>300101</v>
      </c>
      <c r="AJ604" t="s">
        <v>328</v>
      </c>
      <c r="AK604" t="s">
        <v>328</v>
      </c>
      <c r="AL604">
        <v>13</v>
      </c>
      <c r="AM604" t="s">
        <v>4790</v>
      </c>
      <c r="AN604" t="s">
        <v>4793</v>
      </c>
      <c r="AO604" t="s">
        <v>4802</v>
      </c>
      <c r="AP604">
        <v>0</v>
      </c>
      <c r="AQ604" t="s">
        <v>1129</v>
      </c>
      <c r="AR604" t="s">
        <v>1119</v>
      </c>
      <c r="AS604" t="s">
        <v>1130</v>
      </c>
      <c r="AT604" t="s">
        <v>328</v>
      </c>
      <c r="AU604">
        <v>20</v>
      </c>
      <c r="AV604">
        <v>0</v>
      </c>
      <c r="AW604" t="s">
        <v>5790</v>
      </c>
      <c r="AX604" t="s">
        <v>1806</v>
      </c>
      <c r="AY604">
        <v>5</v>
      </c>
      <c r="AZ604">
        <v>0</v>
      </c>
      <c r="BA604" t="s">
        <v>328</v>
      </c>
      <c r="BB604" t="s">
        <v>328</v>
      </c>
      <c r="BC604" t="s">
        <v>328</v>
      </c>
      <c r="BD604">
        <v>0</v>
      </c>
      <c r="BE604">
        <v>0</v>
      </c>
    </row>
    <row r="605" spans="1:57" x14ac:dyDescent="0.3">
      <c r="A605">
        <v>9116</v>
      </c>
      <c r="B605" t="s">
        <v>7269</v>
      </c>
      <c r="C605" s="208" t="s">
        <v>7270</v>
      </c>
      <c r="D605" t="s">
        <v>7271</v>
      </c>
      <c r="E605" t="s">
        <v>328</v>
      </c>
      <c r="F605" t="s">
        <v>328</v>
      </c>
      <c r="G605" t="s">
        <v>7272</v>
      </c>
      <c r="H605" t="s">
        <v>7273</v>
      </c>
      <c r="I605" t="s">
        <v>7274</v>
      </c>
      <c r="J605">
        <v>1</v>
      </c>
      <c r="K605">
        <v>5</v>
      </c>
      <c r="L605">
        <v>3000</v>
      </c>
      <c r="M605">
        <v>10</v>
      </c>
      <c r="N605">
        <v>10</v>
      </c>
      <c r="O605">
        <v>5</v>
      </c>
      <c r="P605">
        <v>5</v>
      </c>
      <c r="Q605">
        <v>2</v>
      </c>
      <c r="R605">
        <v>2</v>
      </c>
      <c r="S605">
        <v>2</v>
      </c>
      <c r="T605">
        <v>0</v>
      </c>
      <c r="U605">
        <v>1200</v>
      </c>
      <c r="V605">
        <v>100</v>
      </c>
      <c r="W605">
        <v>98</v>
      </c>
      <c r="X605">
        <v>100</v>
      </c>
      <c r="Y605">
        <v>100</v>
      </c>
      <c r="Z605">
        <v>100</v>
      </c>
      <c r="AA605">
        <v>0</v>
      </c>
      <c r="AB605">
        <v>0</v>
      </c>
      <c r="AC605">
        <v>0</v>
      </c>
      <c r="AD605">
        <v>0</v>
      </c>
      <c r="AE605">
        <v>98</v>
      </c>
      <c r="AF605">
        <v>100</v>
      </c>
      <c r="AG605">
        <v>100504</v>
      </c>
      <c r="AH605">
        <v>0</v>
      </c>
      <c r="AI605">
        <v>300101</v>
      </c>
      <c r="AJ605" t="s">
        <v>328</v>
      </c>
      <c r="AK605" t="s">
        <v>328</v>
      </c>
      <c r="AL605">
        <v>13</v>
      </c>
      <c r="AM605" t="s">
        <v>4790</v>
      </c>
      <c r="AN605" t="s">
        <v>4793</v>
      </c>
      <c r="AO605" t="s">
        <v>4802</v>
      </c>
      <c r="AP605">
        <v>0</v>
      </c>
      <c r="AQ605" t="s">
        <v>1129</v>
      </c>
      <c r="AR605" t="s">
        <v>1119</v>
      </c>
      <c r="AS605" t="s">
        <v>1130</v>
      </c>
      <c r="AT605" t="s">
        <v>328</v>
      </c>
      <c r="AU605">
        <v>20</v>
      </c>
      <c r="AV605">
        <v>0</v>
      </c>
      <c r="AW605" t="s">
        <v>5790</v>
      </c>
      <c r="AX605" t="s">
        <v>1806</v>
      </c>
      <c r="AY605">
        <v>5</v>
      </c>
      <c r="AZ605">
        <v>0</v>
      </c>
      <c r="BA605" t="s">
        <v>328</v>
      </c>
      <c r="BB605" t="s">
        <v>328</v>
      </c>
      <c r="BC605" t="s">
        <v>328</v>
      </c>
      <c r="BD605">
        <v>0</v>
      </c>
      <c r="BE605">
        <v>0</v>
      </c>
    </row>
    <row r="606" spans="1:57" x14ac:dyDescent="0.3">
      <c r="A606">
        <v>9117</v>
      </c>
      <c r="B606" t="s">
        <v>7275</v>
      </c>
      <c r="C606" s="208" t="s">
        <v>7276</v>
      </c>
      <c r="D606" t="s">
        <v>7276</v>
      </c>
      <c r="E606" t="s">
        <v>328</v>
      </c>
      <c r="F606" t="s">
        <v>328</v>
      </c>
      <c r="G606" t="s">
        <v>7277</v>
      </c>
      <c r="H606" t="s">
        <v>7278</v>
      </c>
      <c r="I606" t="s">
        <v>7279</v>
      </c>
      <c r="J606">
        <v>1</v>
      </c>
      <c r="K606">
        <v>5</v>
      </c>
      <c r="L606">
        <v>3000</v>
      </c>
      <c r="M606">
        <v>10</v>
      </c>
      <c r="N606">
        <v>10</v>
      </c>
      <c r="O606">
        <v>5</v>
      </c>
      <c r="P606">
        <v>5</v>
      </c>
      <c r="Q606">
        <v>2</v>
      </c>
      <c r="R606">
        <v>2</v>
      </c>
      <c r="S606">
        <v>2</v>
      </c>
      <c r="T606">
        <v>0</v>
      </c>
      <c r="U606">
        <v>1200</v>
      </c>
      <c r="V606">
        <v>100</v>
      </c>
      <c r="W606">
        <v>98</v>
      </c>
      <c r="X606">
        <v>100</v>
      </c>
      <c r="Y606">
        <v>100</v>
      </c>
      <c r="Z606">
        <v>100</v>
      </c>
      <c r="AA606">
        <v>0</v>
      </c>
      <c r="AB606">
        <v>0</v>
      </c>
      <c r="AC606">
        <v>0</v>
      </c>
      <c r="AD606">
        <v>0</v>
      </c>
      <c r="AE606">
        <v>98</v>
      </c>
      <c r="AF606">
        <v>100</v>
      </c>
      <c r="AG606">
        <v>100504</v>
      </c>
      <c r="AH606">
        <v>0</v>
      </c>
      <c r="AI606">
        <v>300101</v>
      </c>
      <c r="AJ606" t="s">
        <v>328</v>
      </c>
      <c r="AK606" t="s">
        <v>328</v>
      </c>
      <c r="AL606">
        <v>13</v>
      </c>
      <c r="AM606" t="s">
        <v>4790</v>
      </c>
      <c r="AN606" t="s">
        <v>4793</v>
      </c>
      <c r="AO606" t="s">
        <v>4802</v>
      </c>
      <c r="AP606">
        <v>0</v>
      </c>
      <c r="AQ606" t="s">
        <v>1129</v>
      </c>
      <c r="AR606" t="s">
        <v>1119</v>
      </c>
      <c r="AS606" t="s">
        <v>1130</v>
      </c>
      <c r="AT606" t="s">
        <v>328</v>
      </c>
      <c r="AU606">
        <v>20</v>
      </c>
      <c r="AV606">
        <v>0</v>
      </c>
      <c r="AW606" t="s">
        <v>5790</v>
      </c>
      <c r="AX606" t="s">
        <v>1806</v>
      </c>
      <c r="AY606">
        <v>5</v>
      </c>
      <c r="AZ606">
        <v>0</v>
      </c>
      <c r="BA606" t="s">
        <v>328</v>
      </c>
      <c r="BB606" t="s">
        <v>328</v>
      </c>
      <c r="BC606" t="s">
        <v>328</v>
      </c>
      <c r="BD606">
        <v>0</v>
      </c>
      <c r="BE606">
        <v>0</v>
      </c>
    </row>
    <row r="607" spans="1:57" x14ac:dyDescent="0.3">
      <c r="A607">
        <v>388</v>
      </c>
      <c r="B607" t="s">
        <v>7997</v>
      </c>
      <c r="C607" s="208" t="s">
        <v>7998</v>
      </c>
      <c r="D607" t="s">
        <v>7998</v>
      </c>
      <c r="E607" t="s">
        <v>328</v>
      </c>
      <c r="F607" t="s">
        <v>328</v>
      </c>
      <c r="G607" t="s">
        <v>7999</v>
      </c>
      <c r="H607" t="s">
        <v>8000</v>
      </c>
      <c r="I607" t="s">
        <v>8001</v>
      </c>
      <c r="J607">
        <v>3</v>
      </c>
      <c r="K607">
        <v>5</v>
      </c>
      <c r="L607">
        <v>17760</v>
      </c>
      <c r="M607">
        <v>15</v>
      </c>
      <c r="N607">
        <v>30</v>
      </c>
      <c r="O607">
        <v>10</v>
      </c>
      <c r="P607">
        <v>15</v>
      </c>
      <c r="Q607">
        <v>5</v>
      </c>
      <c r="R607">
        <v>2</v>
      </c>
      <c r="S607">
        <v>5</v>
      </c>
      <c r="T607">
        <v>0</v>
      </c>
      <c r="U607">
        <v>110</v>
      </c>
      <c r="V607">
        <v>115</v>
      </c>
      <c r="W607">
        <v>110</v>
      </c>
      <c r="X607">
        <v>100</v>
      </c>
      <c r="Y607">
        <v>120</v>
      </c>
      <c r="Z607">
        <v>110</v>
      </c>
      <c r="AA607">
        <v>0</v>
      </c>
      <c r="AB607">
        <v>15</v>
      </c>
      <c r="AC607">
        <v>40</v>
      </c>
      <c r="AD607">
        <v>0</v>
      </c>
      <c r="AE607">
        <v>115</v>
      </c>
      <c r="AF607">
        <v>100</v>
      </c>
      <c r="AG607">
        <v>750801</v>
      </c>
      <c r="AH607">
        <v>0</v>
      </c>
      <c r="AI607">
        <v>300104</v>
      </c>
      <c r="AJ607" t="s">
        <v>8002</v>
      </c>
      <c r="AK607" t="s">
        <v>8003</v>
      </c>
      <c r="AL607">
        <v>13</v>
      </c>
      <c r="AM607" t="s">
        <v>1806</v>
      </c>
      <c r="AN607" t="s">
        <v>8004</v>
      </c>
      <c r="AO607" t="s">
        <v>8005</v>
      </c>
      <c r="AP607">
        <v>0</v>
      </c>
      <c r="AQ607" t="s">
        <v>1192</v>
      </c>
      <c r="AR607" t="s">
        <v>1141</v>
      </c>
      <c r="AS607" t="s">
        <v>1142</v>
      </c>
      <c r="AT607" t="s">
        <v>328</v>
      </c>
      <c r="AU607">
        <v>241</v>
      </c>
      <c r="AV607">
        <v>0</v>
      </c>
      <c r="AW607" t="s">
        <v>8006</v>
      </c>
      <c r="AX607" t="s">
        <v>331</v>
      </c>
      <c r="AY607">
        <v>5</v>
      </c>
      <c r="AZ607">
        <v>0</v>
      </c>
      <c r="BA607" t="s">
        <v>328</v>
      </c>
      <c r="BB607" t="s">
        <v>328</v>
      </c>
      <c r="BC607" t="s">
        <v>4783</v>
      </c>
      <c r="BD607">
        <v>10201</v>
      </c>
      <c r="BE607">
        <v>0</v>
      </c>
    </row>
    <row r="608" spans="1:57" x14ac:dyDescent="0.3">
      <c r="A608">
        <v>389</v>
      </c>
      <c r="B608" t="s">
        <v>8007</v>
      </c>
      <c r="C608" s="208" t="s">
        <v>8008</v>
      </c>
      <c r="D608" t="s">
        <v>8009</v>
      </c>
      <c r="E608" t="s">
        <v>328</v>
      </c>
      <c r="F608" t="s">
        <v>328</v>
      </c>
      <c r="G608" t="s">
        <v>8010</v>
      </c>
      <c r="H608" t="s">
        <v>8011</v>
      </c>
      <c r="I608" t="s">
        <v>8012</v>
      </c>
      <c r="J608">
        <v>3</v>
      </c>
      <c r="K608">
        <v>5</v>
      </c>
      <c r="L608">
        <v>17880</v>
      </c>
      <c r="M608">
        <v>15</v>
      </c>
      <c r="N608">
        <v>30</v>
      </c>
      <c r="O608">
        <v>10</v>
      </c>
      <c r="P608">
        <v>15</v>
      </c>
      <c r="Q608">
        <v>5</v>
      </c>
      <c r="R608">
        <v>2</v>
      </c>
      <c r="S608">
        <v>5</v>
      </c>
      <c r="T608">
        <v>0</v>
      </c>
      <c r="U608">
        <v>90</v>
      </c>
      <c r="V608">
        <v>140</v>
      </c>
      <c r="W608">
        <v>85</v>
      </c>
      <c r="X608">
        <v>100</v>
      </c>
      <c r="Y608">
        <v>125</v>
      </c>
      <c r="Z608">
        <v>80</v>
      </c>
      <c r="AA608">
        <v>0</v>
      </c>
      <c r="AB608">
        <v>15</v>
      </c>
      <c r="AC608">
        <v>40</v>
      </c>
      <c r="AD608">
        <v>0</v>
      </c>
      <c r="AE608">
        <v>132</v>
      </c>
      <c r="AF608">
        <v>100</v>
      </c>
      <c r="AG608">
        <v>750799</v>
      </c>
      <c r="AH608">
        <v>0</v>
      </c>
      <c r="AI608">
        <v>750802</v>
      </c>
      <c r="AJ608" t="s">
        <v>8013</v>
      </c>
      <c r="AK608" t="s">
        <v>8014</v>
      </c>
      <c r="AL608">
        <v>14</v>
      </c>
      <c r="AM608" t="s">
        <v>4762</v>
      </c>
      <c r="AN608" t="s">
        <v>8015</v>
      </c>
      <c r="AO608" t="s">
        <v>4845</v>
      </c>
      <c r="AP608">
        <v>0</v>
      </c>
      <c r="AQ608" t="s">
        <v>1140</v>
      </c>
      <c r="AR608" t="s">
        <v>1141</v>
      </c>
      <c r="AS608" t="s">
        <v>1142</v>
      </c>
      <c r="AT608" t="s">
        <v>328</v>
      </c>
      <c r="AU608">
        <v>241</v>
      </c>
      <c r="AV608">
        <v>0</v>
      </c>
      <c r="AW608" t="s">
        <v>8006</v>
      </c>
      <c r="AX608" t="s">
        <v>331</v>
      </c>
      <c r="AY608">
        <v>5</v>
      </c>
      <c r="AZ608">
        <v>0</v>
      </c>
      <c r="BA608" t="s">
        <v>328</v>
      </c>
      <c r="BB608" t="s">
        <v>328</v>
      </c>
      <c r="BC608" t="s">
        <v>328</v>
      </c>
      <c r="BD608">
        <v>10202</v>
      </c>
      <c r="BE608">
        <v>0</v>
      </c>
    </row>
    <row r="609" spans="1:57" x14ac:dyDescent="0.3">
      <c r="A609">
        <v>390</v>
      </c>
      <c r="B609" t="s">
        <v>8016</v>
      </c>
      <c r="C609" s="208" t="s">
        <v>8017</v>
      </c>
      <c r="D609" t="s">
        <v>8017</v>
      </c>
      <c r="E609" t="s">
        <v>328</v>
      </c>
      <c r="F609" t="s">
        <v>328</v>
      </c>
      <c r="G609" t="s">
        <v>8018</v>
      </c>
      <c r="H609" t="s">
        <v>8019</v>
      </c>
      <c r="I609" t="s">
        <v>8020</v>
      </c>
      <c r="J609">
        <v>4</v>
      </c>
      <c r="K609">
        <v>5</v>
      </c>
      <c r="L609">
        <v>16380</v>
      </c>
      <c r="M609">
        <v>20</v>
      </c>
      <c r="N609">
        <v>20</v>
      </c>
      <c r="O609">
        <v>10</v>
      </c>
      <c r="P609">
        <v>10</v>
      </c>
      <c r="Q609">
        <v>2</v>
      </c>
      <c r="R609">
        <v>5</v>
      </c>
      <c r="S609">
        <v>5</v>
      </c>
      <c r="T609">
        <v>0</v>
      </c>
      <c r="U609">
        <v>112</v>
      </c>
      <c r="V609">
        <v>112</v>
      </c>
      <c r="W609">
        <v>118</v>
      </c>
      <c r="X609">
        <v>100</v>
      </c>
      <c r="Y609">
        <v>110</v>
      </c>
      <c r="Z609">
        <v>110</v>
      </c>
      <c r="AA609">
        <v>0</v>
      </c>
      <c r="AB609">
        <v>15</v>
      </c>
      <c r="AC609">
        <v>20</v>
      </c>
      <c r="AD609">
        <v>0</v>
      </c>
      <c r="AE609">
        <v>118</v>
      </c>
      <c r="AF609">
        <v>100</v>
      </c>
      <c r="AG609">
        <v>750800</v>
      </c>
      <c r="AH609">
        <v>0</v>
      </c>
      <c r="AI609">
        <v>750830</v>
      </c>
      <c r="AJ609" t="s">
        <v>8021</v>
      </c>
      <c r="AK609" t="s">
        <v>8022</v>
      </c>
      <c r="AL609">
        <v>13</v>
      </c>
      <c r="AM609" t="s">
        <v>4719</v>
      </c>
      <c r="AN609" t="s">
        <v>4864</v>
      </c>
      <c r="AO609" t="s">
        <v>5711</v>
      </c>
      <c r="AP609">
        <v>0</v>
      </c>
      <c r="AQ609" t="s">
        <v>1130</v>
      </c>
      <c r="AR609" t="s">
        <v>1154</v>
      </c>
      <c r="AS609" t="s">
        <v>1129</v>
      </c>
      <c r="AT609" t="s">
        <v>328</v>
      </c>
      <c r="AU609">
        <v>48</v>
      </c>
      <c r="AV609">
        <v>0</v>
      </c>
      <c r="AW609" t="s">
        <v>8006</v>
      </c>
      <c r="AX609" t="s">
        <v>331</v>
      </c>
      <c r="AY609">
        <v>5</v>
      </c>
      <c r="AZ609">
        <v>0</v>
      </c>
      <c r="BA609" t="s">
        <v>328</v>
      </c>
      <c r="BB609" t="s">
        <v>328</v>
      </c>
      <c r="BC609" t="s">
        <v>4769</v>
      </c>
      <c r="BD609">
        <v>10301</v>
      </c>
      <c r="BE609">
        <v>0</v>
      </c>
    </row>
    <row r="610" spans="1:57" x14ac:dyDescent="0.3">
      <c r="A610">
        <v>391</v>
      </c>
      <c r="B610" t="s">
        <v>8066</v>
      </c>
      <c r="C610" s="208" t="s">
        <v>8097</v>
      </c>
      <c r="D610" t="s">
        <v>8067</v>
      </c>
      <c r="E610" t="s">
        <v>328</v>
      </c>
      <c r="F610" t="s">
        <v>328</v>
      </c>
      <c r="G610" t="s">
        <v>8068</v>
      </c>
      <c r="H610" t="s">
        <v>8069</v>
      </c>
      <c r="I610" t="s">
        <v>8070</v>
      </c>
      <c r="J610">
        <v>2</v>
      </c>
      <c r="K610">
        <v>5</v>
      </c>
      <c r="L610">
        <v>8760</v>
      </c>
      <c r="M610">
        <v>25</v>
      </c>
      <c r="N610">
        <v>20</v>
      </c>
      <c r="O610">
        <v>15</v>
      </c>
      <c r="P610">
        <v>10</v>
      </c>
      <c r="Q610">
        <v>5</v>
      </c>
      <c r="R610">
        <v>5</v>
      </c>
      <c r="S610">
        <v>2</v>
      </c>
      <c r="T610">
        <v>0</v>
      </c>
      <c r="U610">
        <v>122</v>
      </c>
      <c r="V610">
        <v>92</v>
      </c>
      <c r="W610">
        <v>115</v>
      </c>
      <c r="X610">
        <v>100</v>
      </c>
      <c r="Y610">
        <v>90</v>
      </c>
      <c r="Z610">
        <v>130</v>
      </c>
      <c r="AA610">
        <v>0</v>
      </c>
      <c r="AB610">
        <v>15</v>
      </c>
      <c r="AC610">
        <v>5</v>
      </c>
      <c r="AD610">
        <v>0</v>
      </c>
      <c r="AE610">
        <v>116</v>
      </c>
      <c r="AF610">
        <v>100</v>
      </c>
      <c r="AG610">
        <v>750837</v>
      </c>
      <c r="AH610">
        <v>0</v>
      </c>
      <c r="AI610">
        <v>300102</v>
      </c>
      <c r="AJ610" t="s">
        <v>8071</v>
      </c>
      <c r="AK610" t="s">
        <v>8072</v>
      </c>
      <c r="AL610">
        <v>7</v>
      </c>
      <c r="AM610" t="s">
        <v>398</v>
      </c>
      <c r="AN610" t="s">
        <v>8073</v>
      </c>
      <c r="AO610" t="s">
        <v>8074</v>
      </c>
      <c r="AP610">
        <v>0</v>
      </c>
      <c r="AQ610" t="s">
        <v>1129</v>
      </c>
      <c r="AR610" t="s">
        <v>1119</v>
      </c>
      <c r="AS610" t="s">
        <v>1130</v>
      </c>
      <c r="AT610" t="s">
        <v>328</v>
      </c>
      <c r="AU610">
        <v>150</v>
      </c>
      <c r="AV610">
        <v>0</v>
      </c>
      <c r="AW610" t="s">
        <v>8075</v>
      </c>
      <c r="AX610" t="s">
        <v>331</v>
      </c>
      <c r="AY610">
        <v>5</v>
      </c>
      <c r="AZ610">
        <v>0</v>
      </c>
      <c r="BA610" t="s">
        <v>328</v>
      </c>
      <c r="BB610" t="s">
        <v>328</v>
      </c>
      <c r="BC610" t="s">
        <v>4783</v>
      </c>
      <c r="BD610">
        <v>10802</v>
      </c>
      <c r="BE610">
        <v>0</v>
      </c>
    </row>
    <row r="611" spans="1:57" x14ac:dyDescent="0.3">
      <c r="A611">
        <v>392</v>
      </c>
      <c r="B611" t="s">
        <v>8076</v>
      </c>
      <c r="C611" s="208" t="s">
        <v>8077</v>
      </c>
      <c r="D611" t="s">
        <v>8077</v>
      </c>
      <c r="E611" t="s">
        <v>328</v>
      </c>
      <c r="F611" t="s">
        <v>328</v>
      </c>
      <c r="G611" t="s">
        <v>8078</v>
      </c>
      <c r="H611" t="s">
        <v>8079</v>
      </c>
      <c r="I611" t="s">
        <v>8080</v>
      </c>
      <c r="J611">
        <v>2</v>
      </c>
      <c r="K611">
        <v>4</v>
      </c>
      <c r="L611">
        <v>7500</v>
      </c>
      <c r="M611">
        <v>25</v>
      </c>
      <c r="N611">
        <v>20</v>
      </c>
      <c r="O611">
        <v>15</v>
      </c>
      <c r="P611">
        <v>10</v>
      </c>
      <c r="Q611">
        <v>5</v>
      </c>
      <c r="R611">
        <v>5</v>
      </c>
      <c r="S611">
        <v>2</v>
      </c>
      <c r="T611">
        <v>0</v>
      </c>
      <c r="U611">
        <v>98</v>
      </c>
      <c r="V611">
        <v>100</v>
      </c>
      <c r="W611">
        <v>105</v>
      </c>
      <c r="X611">
        <v>100</v>
      </c>
      <c r="Y611">
        <v>100</v>
      </c>
      <c r="Z611">
        <v>122</v>
      </c>
      <c r="AA611">
        <v>0</v>
      </c>
      <c r="AB611">
        <v>15</v>
      </c>
      <c r="AC611">
        <v>5</v>
      </c>
      <c r="AD611">
        <v>0</v>
      </c>
      <c r="AE611">
        <v>118</v>
      </c>
      <c r="AF611">
        <v>100</v>
      </c>
      <c r="AG611">
        <v>750831</v>
      </c>
      <c r="AH611">
        <v>0</v>
      </c>
      <c r="AI611">
        <v>300102</v>
      </c>
      <c r="AJ611" t="s">
        <v>8081</v>
      </c>
      <c r="AK611" t="s">
        <v>8082</v>
      </c>
      <c r="AL611">
        <v>14</v>
      </c>
      <c r="AM611" t="s">
        <v>4790</v>
      </c>
      <c r="AN611" t="s">
        <v>402</v>
      </c>
      <c r="AO611" t="s">
        <v>5144</v>
      </c>
      <c r="AP611">
        <v>0</v>
      </c>
      <c r="AQ611" t="s">
        <v>1129</v>
      </c>
      <c r="AR611" t="s">
        <v>1119</v>
      </c>
      <c r="AS611" t="s">
        <v>1130</v>
      </c>
      <c r="AT611" t="s">
        <v>328</v>
      </c>
      <c r="AU611">
        <v>150</v>
      </c>
      <c r="AV611">
        <v>0</v>
      </c>
      <c r="AW611" t="s">
        <v>8075</v>
      </c>
      <c r="AX611" t="s">
        <v>331</v>
      </c>
      <c r="AY611">
        <v>4</v>
      </c>
      <c r="AZ611">
        <v>0</v>
      </c>
      <c r="BA611" t="s">
        <v>328</v>
      </c>
      <c r="BB611" t="s">
        <v>328</v>
      </c>
      <c r="BC611" t="s">
        <v>328</v>
      </c>
      <c r="BD611">
        <v>10402</v>
      </c>
      <c r="BE611">
        <v>0</v>
      </c>
    </row>
    <row r="612" spans="1:57" x14ac:dyDescent="0.3">
      <c r="A612">
        <v>393</v>
      </c>
      <c r="B612" t="s">
        <v>8083</v>
      </c>
      <c r="C612" s="208" t="s">
        <v>8084</v>
      </c>
      <c r="D612" t="s">
        <v>8084</v>
      </c>
      <c r="E612" t="s">
        <v>328</v>
      </c>
      <c r="F612" t="s">
        <v>328</v>
      </c>
      <c r="G612" t="s">
        <v>8085</v>
      </c>
      <c r="H612" t="s">
        <v>8086</v>
      </c>
      <c r="I612" t="s">
        <v>8087</v>
      </c>
      <c r="J612">
        <v>4</v>
      </c>
      <c r="K612">
        <v>5</v>
      </c>
      <c r="L612">
        <v>15900</v>
      </c>
      <c r="M612">
        <v>20</v>
      </c>
      <c r="N612">
        <v>20</v>
      </c>
      <c r="O612">
        <v>10</v>
      </c>
      <c r="P612">
        <v>10</v>
      </c>
      <c r="Q612">
        <v>2</v>
      </c>
      <c r="R612">
        <v>5</v>
      </c>
      <c r="S612">
        <v>5</v>
      </c>
      <c r="T612">
        <v>0</v>
      </c>
      <c r="U612">
        <v>110</v>
      </c>
      <c r="V612">
        <v>140</v>
      </c>
      <c r="W612">
        <v>115</v>
      </c>
      <c r="X612">
        <v>100</v>
      </c>
      <c r="Y612">
        <v>110</v>
      </c>
      <c r="Z612">
        <v>90</v>
      </c>
      <c r="AA612">
        <v>0</v>
      </c>
      <c r="AB612">
        <v>15</v>
      </c>
      <c r="AC612">
        <v>20</v>
      </c>
      <c r="AD612">
        <v>0</v>
      </c>
      <c r="AE612">
        <v>122</v>
      </c>
      <c r="AF612">
        <v>100</v>
      </c>
      <c r="AG612">
        <v>750845</v>
      </c>
      <c r="AH612">
        <v>0</v>
      </c>
      <c r="AI612">
        <v>750846</v>
      </c>
      <c r="AJ612" t="s">
        <v>8088</v>
      </c>
      <c r="AK612" t="s">
        <v>8089</v>
      </c>
      <c r="AL612">
        <v>13</v>
      </c>
      <c r="AM612" t="s">
        <v>4719</v>
      </c>
      <c r="AN612" t="s">
        <v>4884</v>
      </c>
      <c r="AO612" t="s">
        <v>6400</v>
      </c>
      <c r="AP612">
        <v>0</v>
      </c>
      <c r="AQ612" t="s">
        <v>1130</v>
      </c>
      <c r="AR612" t="s">
        <v>1154</v>
      </c>
      <c r="AS612" t="s">
        <v>1129</v>
      </c>
      <c r="AT612" t="s">
        <v>328</v>
      </c>
      <c r="AU612">
        <v>48</v>
      </c>
      <c r="AV612">
        <v>0</v>
      </c>
      <c r="AW612" t="s">
        <v>8075</v>
      </c>
      <c r="AX612" t="s">
        <v>331</v>
      </c>
      <c r="AY612">
        <v>5</v>
      </c>
      <c r="AZ612">
        <v>0</v>
      </c>
      <c r="BA612" t="s">
        <v>328</v>
      </c>
      <c r="BB612" t="s">
        <v>328</v>
      </c>
      <c r="BC612" t="s">
        <v>4720</v>
      </c>
      <c r="BD612">
        <v>10402</v>
      </c>
      <c r="BE612">
        <v>0</v>
      </c>
    </row>
    <row r="613" spans="1:57" x14ac:dyDescent="0.3">
      <c r="A613">
        <v>394</v>
      </c>
      <c r="B613" t="s">
        <v>8090</v>
      </c>
      <c r="C613" s="208" t="s">
        <v>8091</v>
      </c>
      <c r="D613" t="s">
        <v>8091</v>
      </c>
      <c r="E613" t="s">
        <v>328</v>
      </c>
      <c r="F613" t="s">
        <v>328</v>
      </c>
      <c r="G613" t="s">
        <v>8092</v>
      </c>
      <c r="H613" t="s">
        <v>8093</v>
      </c>
      <c r="I613" t="s">
        <v>8094</v>
      </c>
      <c r="J613">
        <v>4</v>
      </c>
      <c r="K613">
        <v>4</v>
      </c>
      <c r="L613">
        <v>13560</v>
      </c>
      <c r="M613">
        <v>20</v>
      </c>
      <c r="N613">
        <v>20</v>
      </c>
      <c r="O613">
        <v>10</v>
      </c>
      <c r="P613">
        <v>10</v>
      </c>
      <c r="Q613">
        <v>2</v>
      </c>
      <c r="R613">
        <v>5</v>
      </c>
      <c r="S613">
        <v>5</v>
      </c>
      <c r="T613">
        <v>0</v>
      </c>
      <c r="U613">
        <v>105</v>
      </c>
      <c r="V613">
        <v>102</v>
      </c>
      <c r="W613">
        <v>110</v>
      </c>
      <c r="X613">
        <v>100</v>
      </c>
      <c r="Y613">
        <v>118</v>
      </c>
      <c r="Z613">
        <v>115</v>
      </c>
      <c r="AA613">
        <v>0</v>
      </c>
      <c r="AB613">
        <v>15</v>
      </c>
      <c r="AC613">
        <v>20</v>
      </c>
      <c r="AD613">
        <v>0</v>
      </c>
      <c r="AE613">
        <v>116</v>
      </c>
      <c r="AF613">
        <v>100</v>
      </c>
      <c r="AG613">
        <v>121601</v>
      </c>
      <c r="AH613">
        <v>0</v>
      </c>
      <c r="AI613">
        <v>300103</v>
      </c>
      <c r="AJ613" t="s">
        <v>328</v>
      </c>
      <c r="AK613" t="s">
        <v>328</v>
      </c>
      <c r="AL613">
        <v>13</v>
      </c>
      <c r="AM613" t="s">
        <v>398</v>
      </c>
      <c r="AN613" t="s">
        <v>8095</v>
      </c>
      <c r="AO613" t="s">
        <v>8096</v>
      </c>
      <c r="AP613">
        <v>0</v>
      </c>
      <c r="AQ613" t="s">
        <v>1130</v>
      </c>
      <c r="AR613" t="s">
        <v>1154</v>
      </c>
      <c r="AS613" t="s">
        <v>1129</v>
      </c>
      <c r="AT613" t="s">
        <v>328</v>
      </c>
      <c r="AU613">
        <v>48</v>
      </c>
      <c r="AV613">
        <v>0</v>
      </c>
      <c r="AW613" t="s">
        <v>8075</v>
      </c>
      <c r="AX613" t="s">
        <v>331</v>
      </c>
      <c r="AY613">
        <v>4</v>
      </c>
      <c r="AZ613">
        <v>0</v>
      </c>
      <c r="BA613" t="s">
        <v>328</v>
      </c>
      <c r="BB613" t="s">
        <v>328</v>
      </c>
      <c r="BC613" t="s">
        <v>4720</v>
      </c>
      <c r="BD613">
        <v>10303</v>
      </c>
      <c r="BE613">
        <v>0</v>
      </c>
    </row>
    <row r="614" spans="1:57" x14ac:dyDescent="0.3">
      <c r="A614">
        <v>395</v>
      </c>
      <c r="B614" t="s">
        <v>8479</v>
      </c>
      <c r="C614" s="208" t="s">
        <v>8480</v>
      </c>
      <c r="D614" t="s">
        <v>8480</v>
      </c>
      <c r="E614" t="s">
        <v>328</v>
      </c>
      <c r="F614" t="s">
        <v>328</v>
      </c>
      <c r="G614" t="s">
        <v>8481</v>
      </c>
      <c r="H614" t="s">
        <v>8482</v>
      </c>
      <c r="I614" t="s">
        <v>8483</v>
      </c>
      <c r="J614">
        <v>5</v>
      </c>
      <c r="K614">
        <v>5</v>
      </c>
      <c r="L614">
        <v>24900</v>
      </c>
      <c r="M614">
        <v>40</v>
      </c>
      <c r="N614">
        <v>30</v>
      </c>
      <c r="O614">
        <v>25</v>
      </c>
      <c r="P614">
        <v>15</v>
      </c>
      <c r="Q614">
        <v>5</v>
      </c>
      <c r="R614">
        <v>5</v>
      </c>
      <c r="S614">
        <v>2</v>
      </c>
      <c r="T614">
        <v>5</v>
      </c>
      <c r="U614">
        <v>108</v>
      </c>
      <c r="V614">
        <v>110</v>
      </c>
      <c r="W614">
        <v>100</v>
      </c>
      <c r="X614">
        <v>100</v>
      </c>
      <c r="Y614">
        <v>135</v>
      </c>
      <c r="Z614">
        <v>120</v>
      </c>
      <c r="AA614">
        <v>0</v>
      </c>
      <c r="AB614">
        <v>15</v>
      </c>
      <c r="AC614">
        <v>5</v>
      </c>
      <c r="AD614">
        <v>8</v>
      </c>
      <c r="AE614">
        <v>135</v>
      </c>
      <c r="AF614">
        <v>100</v>
      </c>
      <c r="AG614">
        <v>750924</v>
      </c>
      <c r="AH614">
        <v>0</v>
      </c>
      <c r="AI614">
        <v>750934</v>
      </c>
      <c r="AJ614" t="s">
        <v>8484</v>
      </c>
      <c r="AK614" t="s">
        <v>328</v>
      </c>
      <c r="AL614">
        <v>18</v>
      </c>
      <c r="AM614" t="s">
        <v>4858</v>
      </c>
      <c r="AN614" t="s">
        <v>4984</v>
      </c>
      <c r="AO614" t="s">
        <v>5205</v>
      </c>
      <c r="AP614">
        <v>0</v>
      </c>
      <c r="AQ614" t="s">
        <v>1167</v>
      </c>
      <c r="AR614" t="s">
        <v>1168</v>
      </c>
      <c r="AS614" t="s">
        <v>6967</v>
      </c>
      <c r="AT614" t="s">
        <v>328</v>
      </c>
      <c r="AU614">
        <v>238</v>
      </c>
      <c r="AV614">
        <v>0</v>
      </c>
      <c r="AW614" t="s">
        <v>8485</v>
      </c>
      <c r="AX614" t="s">
        <v>331</v>
      </c>
      <c r="AY614">
        <v>5</v>
      </c>
      <c r="AZ614">
        <v>0</v>
      </c>
      <c r="BA614" t="s">
        <v>328</v>
      </c>
      <c r="BB614" t="s">
        <v>328</v>
      </c>
      <c r="BC614" t="s">
        <v>328</v>
      </c>
      <c r="BD614">
        <v>10403</v>
      </c>
      <c r="BE614">
        <v>0</v>
      </c>
    </row>
    <row r="615" spans="1:57" x14ac:dyDescent="0.3">
      <c r="A615">
        <v>396</v>
      </c>
      <c r="B615" t="s">
        <v>8486</v>
      </c>
      <c r="C615" s="208" t="s">
        <v>8487</v>
      </c>
      <c r="D615" t="s">
        <v>8487</v>
      </c>
      <c r="E615" t="s">
        <v>328</v>
      </c>
      <c r="F615" t="s">
        <v>328</v>
      </c>
      <c r="G615" t="s">
        <v>8488</v>
      </c>
      <c r="H615" t="s">
        <v>8489</v>
      </c>
      <c r="I615" t="s">
        <v>8490</v>
      </c>
      <c r="J615">
        <v>5</v>
      </c>
      <c r="K615">
        <v>4</v>
      </c>
      <c r="L615">
        <v>22500</v>
      </c>
      <c r="M615">
        <v>40</v>
      </c>
      <c r="N615">
        <v>30</v>
      </c>
      <c r="O615">
        <v>25</v>
      </c>
      <c r="P615">
        <v>15</v>
      </c>
      <c r="Q615">
        <v>5</v>
      </c>
      <c r="R615">
        <v>5</v>
      </c>
      <c r="S615">
        <v>2</v>
      </c>
      <c r="T615">
        <v>5</v>
      </c>
      <c r="U615">
        <v>105</v>
      </c>
      <c r="V615">
        <v>128</v>
      </c>
      <c r="W615">
        <v>95</v>
      </c>
      <c r="X615">
        <v>100</v>
      </c>
      <c r="Y615">
        <v>110</v>
      </c>
      <c r="Z615">
        <v>95</v>
      </c>
      <c r="AA615">
        <v>0</v>
      </c>
      <c r="AB615">
        <v>15</v>
      </c>
      <c r="AC615">
        <v>5</v>
      </c>
      <c r="AD615">
        <v>10</v>
      </c>
      <c r="AE615">
        <v>122</v>
      </c>
      <c r="AF615">
        <v>100</v>
      </c>
      <c r="AG615">
        <v>121801</v>
      </c>
      <c r="AH615">
        <v>0</v>
      </c>
      <c r="AI615">
        <v>121803</v>
      </c>
      <c r="AJ615" t="s">
        <v>8491</v>
      </c>
      <c r="AK615" t="s">
        <v>8492</v>
      </c>
      <c r="AL615">
        <v>18</v>
      </c>
      <c r="AM615" t="s">
        <v>4858</v>
      </c>
      <c r="AN615" t="s">
        <v>8493</v>
      </c>
      <c r="AO615" t="s">
        <v>5114</v>
      </c>
      <c r="AP615">
        <v>0</v>
      </c>
      <c r="AQ615" t="s">
        <v>1167</v>
      </c>
      <c r="AR615" t="s">
        <v>1168</v>
      </c>
      <c r="AS615" t="s">
        <v>6967</v>
      </c>
      <c r="AT615" t="s">
        <v>328</v>
      </c>
      <c r="AU615">
        <v>238</v>
      </c>
      <c r="AV615">
        <v>0</v>
      </c>
      <c r="AW615" t="s">
        <v>8485</v>
      </c>
      <c r="AX615" t="s">
        <v>331</v>
      </c>
      <c r="AY615">
        <v>4</v>
      </c>
      <c r="AZ615">
        <v>0</v>
      </c>
      <c r="BA615" t="s">
        <v>328</v>
      </c>
      <c r="BB615" t="s">
        <v>328</v>
      </c>
      <c r="BC615" t="s">
        <v>4769</v>
      </c>
      <c r="BD615">
        <v>10402</v>
      </c>
      <c r="BE615">
        <v>0</v>
      </c>
    </row>
    <row r="616" spans="1:57" x14ac:dyDescent="0.3">
      <c r="A616">
        <v>397</v>
      </c>
      <c r="B616" t="s">
        <v>8494</v>
      </c>
      <c r="C616" s="208" t="s">
        <v>8495</v>
      </c>
      <c r="D616" t="s">
        <v>8495</v>
      </c>
      <c r="E616" t="s">
        <v>328</v>
      </c>
      <c r="F616" t="s">
        <v>328</v>
      </c>
      <c r="G616" t="s">
        <v>8496</v>
      </c>
      <c r="H616" t="s">
        <v>8497</v>
      </c>
      <c r="I616" t="s">
        <v>8498</v>
      </c>
      <c r="J616">
        <v>6</v>
      </c>
      <c r="K616">
        <v>5</v>
      </c>
      <c r="L616">
        <v>31500</v>
      </c>
      <c r="M616">
        <v>30</v>
      </c>
      <c r="N616">
        <v>40</v>
      </c>
      <c r="O616">
        <v>15</v>
      </c>
      <c r="P616">
        <v>25</v>
      </c>
      <c r="Q616">
        <v>5</v>
      </c>
      <c r="R616">
        <v>2</v>
      </c>
      <c r="S616">
        <v>5</v>
      </c>
      <c r="T616">
        <v>5</v>
      </c>
      <c r="U616">
        <v>110</v>
      </c>
      <c r="V616">
        <v>95</v>
      </c>
      <c r="W616">
        <v>110</v>
      </c>
      <c r="X616">
        <v>100</v>
      </c>
      <c r="Y616">
        <v>100</v>
      </c>
      <c r="Z616">
        <v>110</v>
      </c>
      <c r="AA616">
        <v>125</v>
      </c>
      <c r="AB616">
        <v>15</v>
      </c>
      <c r="AC616">
        <v>40</v>
      </c>
      <c r="AD616">
        <v>5</v>
      </c>
      <c r="AE616">
        <v>130</v>
      </c>
      <c r="AF616">
        <v>100</v>
      </c>
      <c r="AG616">
        <v>750923</v>
      </c>
      <c r="AH616">
        <v>0</v>
      </c>
      <c r="AI616">
        <v>750157</v>
      </c>
      <c r="AJ616" t="s">
        <v>8499</v>
      </c>
      <c r="AK616" t="s">
        <v>328</v>
      </c>
      <c r="AL616">
        <v>8</v>
      </c>
      <c r="AM616" t="s">
        <v>4716</v>
      </c>
      <c r="AN616" t="s">
        <v>4728</v>
      </c>
      <c r="AO616" t="s">
        <v>4942</v>
      </c>
      <c r="AP616">
        <v>0</v>
      </c>
      <c r="AQ616" t="s">
        <v>1200</v>
      </c>
      <c r="AR616" t="s">
        <v>1201</v>
      </c>
      <c r="AS616" t="s">
        <v>6968</v>
      </c>
      <c r="AT616" t="s">
        <v>328</v>
      </c>
      <c r="AU616">
        <v>164</v>
      </c>
      <c r="AV616">
        <v>0</v>
      </c>
      <c r="AW616" t="s">
        <v>8485</v>
      </c>
      <c r="AX616" t="s">
        <v>4719</v>
      </c>
      <c r="AY616">
        <v>5</v>
      </c>
      <c r="AZ616">
        <v>0</v>
      </c>
      <c r="BA616" t="s">
        <v>328</v>
      </c>
      <c r="BB616" t="s">
        <v>328</v>
      </c>
      <c r="BC616" t="s">
        <v>4720</v>
      </c>
      <c r="BD616">
        <v>10202</v>
      </c>
      <c r="BE616">
        <v>0</v>
      </c>
    </row>
    <row r="617" spans="1:57" x14ac:dyDescent="0.3">
      <c r="A617">
        <v>398</v>
      </c>
      <c r="B617" t="s">
        <v>8500</v>
      </c>
      <c r="C617" s="208" t="s">
        <v>8501</v>
      </c>
      <c r="D617" t="s">
        <v>8501</v>
      </c>
      <c r="E617" t="s">
        <v>328</v>
      </c>
      <c r="F617" t="s">
        <v>328</v>
      </c>
      <c r="G617" t="s">
        <v>8502</v>
      </c>
      <c r="H617" t="s">
        <v>8503</v>
      </c>
      <c r="I617" t="s">
        <v>8504</v>
      </c>
      <c r="J617">
        <v>6</v>
      </c>
      <c r="K617">
        <v>5</v>
      </c>
      <c r="L617">
        <v>31560</v>
      </c>
      <c r="M617">
        <v>30</v>
      </c>
      <c r="N617">
        <v>40</v>
      </c>
      <c r="O617">
        <v>15</v>
      </c>
      <c r="P617">
        <v>25</v>
      </c>
      <c r="Q617">
        <v>5</v>
      </c>
      <c r="R617">
        <v>2</v>
      </c>
      <c r="S617">
        <v>5</v>
      </c>
      <c r="T617">
        <v>5</v>
      </c>
      <c r="U617">
        <v>115</v>
      </c>
      <c r="V617">
        <v>90</v>
      </c>
      <c r="W617">
        <v>100</v>
      </c>
      <c r="X617">
        <v>100</v>
      </c>
      <c r="Y617">
        <v>95</v>
      </c>
      <c r="Z617">
        <v>105</v>
      </c>
      <c r="AA617">
        <v>130</v>
      </c>
      <c r="AB617">
        <v>15</v>
      </c>
      <c r="AC617">
        <v>40</v>
      </c>
      <c r="AD617">
        <v>5</v>
      </c>
      <c r="AE617">
        <v>125</v>
      </c>
      <c r="AF617">
        <v>100</v>
      </c>
      <c r="AG617">
        <v>750940</v>
      </c>
      <c r="AH617">
        <v>0</v>
      </c>
      <c r="AI617">
        <v>300106</v>
      </c>
      <c r="AJ617" t="s">
        <v>8505</v>
      </c>
      <c r="AK617" t="s">
        <v>8506</v>
      </c>
      <c r="AL617">
        <v>8</v>
      </c>
      <c r="AM617" t="s">
        <v>4716</v>
      </c>
      <c r="AN617" t="s">
        <v>8507</v>
      </c>
      <c r="AO617" t="s">
        <v>5190</v>
      </c>
      <c r="AP617">
        <v>0</v>
      </c>
      <c r="AQ617" t="s">
        <v>1200</v>
      </c>
      <c r="AR617" t="s">
        <v>1201</v>
      </c>
      <c r="AS617" t="s">
        <v>6968</v>
      </c>
      <c r="AT617" t="s">
        <v>328</v>
      </c>
      <c r="AU617">
        <v>164</v>
      </c>
      <c r="AV617">
        <v>0</v>
      </c>
      <c r="AW617" t="s">
        <v>8485</v>
      </c>
      <c r="AX617" t="s">
        <v>4719</v>
      </c>
      <c r="AY617">
        <v>5</v>
      </c>
      <c r="AZ617">
        <v>0</v>
      </c>
      <c r="BA617" t="s">
        <v>328</v>
      </c>
      <c r="BB617" t="s">
        <v>328</v>
      </c>
      <c r="BC617" t="s">
        <v>4720</v>
      </c>
      <c r="BD617">
        <v>10202</v>
      </c>
      <c r="BE617">
        <v>0</v>
      </c>
    </row>
    <row r="618" spans="1:57" x14ac:dyDescent="0.3">
      <c r="A618">
        <v>20131</v>
      </c>
      <c r="B618" t="s">
        <v>8576</v>
      </c>
      <c r="C618" s="208" t="s">
        <v>8621</v>
      </c>
      <c r="D618" t="s">
        <v>8577</v>
      </c>
      <c r="E618" t="s">
        <v>8572</v>
      </c>
      <c r="F618" t="s">
        <v>8573</v>
      </c>
      <c r="G618" t="s">
        <v>8578</v>
      </c>
      <c r="H618" t="s">
        <v>8579</v>
      </c>
      <c r="I618" t="s">
        <v>8580</v>
      </c>
      <c r="J618">
        <v>2</v>
      </c>
      <c r="K618">
        <v>4</v>
      </c>
      <c r="L618">
        <v>6600</v>
      </c>
      <c r="M618">
        <v>25</v>
      </c>
      <c r="N618">
        <v>20</v>
      </c>
      <c r="O618">
        <v>15</v>
      </c>
      <c r="P618">
        <v>10</v>
      </c>
      <c r="Q618">
        <v>5</v>
      </c>
      <c r="R618">
        <v>5</v>
      </c>
      <c r="S618">
        <v>2</v>
      </c>
      <c r="T618">
        <v>0</v>
      </c>
      <c r="U618">
        <v>116</v>
      </c>
      <c r="V618">
        <v>102</v>
      </c>
      <c r="W618">
        <v>120</v>
      </c>
      <c r="X618">
        <v>100</v>
      </c>
      <c r="Y618">
        <v>115</v>
      </c>
      <c r="Z618">
        <v>115</v>
      </c>
      <c r="AA618">
        <v>0</v>
      </c>
      <c r="AB618">
        <v>15</v>
      </c>
      <c r="AC618">
        <v>5</v>
      </c>
      <c r="AD618">
        <v>0</v>
      </c>
      <c r="AE618">
        <v>105</v>
      </c>
      <c r="AF618">
        <v>100</v>
      </c>
      <c r="AG618">
        <v>740092</v>
      </c>
      <c r="AH618">
        <v>740093</v>
      </c>
      <c r="AI618">
        <v>300102</v>
      </c>
      <c r="AJ618" t="s">
        <v>1164</v>
      </c>
      <c r="AK618" t="s">
        <v>328</v>
      </c>
      <c r="AL618">
        <v>13</v>
      </c>
      <c r="AM618" t="s">
        <v>4790</v>
      </c>
      <c r="AN618" t="s">
        <v>4793</v>
      </c>
      <c r="AO618" t="s">
        <v>8581</v>
      </c>
      <c r="AP618">
        <v>0</v>
      </c>
      <c r="AQ618" t="s">
        <v>1744</v>
      </c>
      <c r="AR618" t="s">
        <v>1119</v>
      </c>
      <c r="AS618" t="s">
        <v>1745</v>
      </c>
      <c r="AT618" t="s">
        <v>328</v>
      </c>
      <c r="AU618">
        <v>131</v>
      </c>
      <c r="AV618">
        <v>0</v>
      </c>
      <c r="AW618" t="s">
        <v>5024</v>
      </c>
      <c r="AX618" t="s">
        <v>5416</v>
      </c>
      <c r="AY618">
        <v>4</v>
      </c>
      <c r="AZ618">
        <v>3131</v>
      </c>
      <c r="BA618" t="s">
        <v>328</v>
      </c>
      <c r="BB618" t="s">
        <v>328</v>
      </c>
      <c r="BC618" t="s">
        <v>328</v>
      </c>
      <c r="BD618">
        <v>0</v>
      </c>
      <c r="BE618">
        <v>0</v>
      </c>
    </row>
    <row r="619" spans="1:57" x14ac:dyDescent="0.3">
      <c r="A619">
        <v>20233</v>
      </c>
      <c r="B619" t="s">
        <v>8582</v>
      </c>
      <c r="C619" s="208" t="s">
        <v>8622</v>
      </c>
      <c r="D619" t="s">
        <v>8583</v>
      </c>
      <c r="E619" t="s">
        <v>328</v>
      </c>
      <c r="F619" t="s">
        <v>328</v>
      </c>
      <c r="G619" t="s">
        <v>8584</v>
      </c>
      <c r="H619" t="s">
        <v>8585</v>
      </c>
      <c r="I619" t="s">
        <v>8586</v>
      </c>
      <c r="J619">
        <v>1</v>
      </c>
      <c r="K619">
        <v>6</v>
      </c>
      <c r="L619">
        <v>3840</v>
      </c>
      <c r="M619">
        <v>10</v>
      </c>
      <c r="N619">
        <v>10</v>
      </c>
      <c r="O619">
        <v>5</v>
      </c>
      <c r="P619">
        <v>5</v>
      </c>
      <c r="Q619">
        <v>2</v>
      </c>
      <c r="R619">
        <v>2</v>
      </c>
      <c r="S619">
        <v>2</v>
      </c>
      <c r="T619">
        <v>0</v>
      </c>
      <c r="U619">
        <v>112</v>
      </c>
      <c r="V619">
        <v>118</v>
      </c>
      <c r="W619">
        <v>102</v>
      </c>
      <c r="X619">
        <v>100</v>
      </c>
      <c r="Y619">
        <v>131</v>
      </c>
      <c r="Z619">
        <v>115</v>
      </c>
      <c r="AA619">
        <v>0</v>
      </c>
      <c r="AB619">
        <v>15</v>
      </c>
      <c r="AC619">
        <v>20</v>
      </c>
      <c r="AD619">
        <v>0</v>
      </c>
      <c r="AE619">
        <v>132</v>
      </c>
      <c r="AF619">
        <v>100</v>
      </c>
      <c r="AG619">
        <v>740104</v>
      </c>
      <c r="AH619">
        <v>740105</v>
      </c>
      <c r="AI619">
        <v>300101</v>
      </c>
      <c r="AJ619" t="s">
        <v>8587</v>
      </c>
      <c r="AK619" t="s">
        <v>8588</v>
      </c>
      <c r="AL619">
        <v>12</v>
      </c>
      <c r="AM619" t="s">
        <v>1806</v>
      </c>
      <c r="AN619" t="s">
        <v>5196</v>
      </c>
      <c r="AO619" t="s">
        <v>5118</v>
      </c>
      <c r="AP619">
        <v>0</v>
      </c>
      <c r="AQ619" t="s">
        <v>4742</v>
      </c>
      <c r="AR619" t="s">
        <v>1119</v>
      </c>
      <c r="AS619" t="s">
        <v>4761</v>
      </c>
      <c r="AT619" t="s">
        <v>328</v>
      </c>
      <c r="AU619">
        <v>233</v>
      </c>
      <c r="AV619">
        <v>0</v>
      </c>
      <c r="AW619" t="s">
        <v>5197</v>
      </c>
      <c r="AX619" t="s">
        <v>5416</v>
      </c>
      <c r="AY619">
        <v>6</v>
      </c>
      <c r="AZ619">
        <v>3233</v>
      </c>
      <c r="BA619" t="s">
        <v>328</v>
      </c>
      <c r="BB619" t="s">
        <v>328</v>
      </c>
      <c r="BC619" t="s">
        <v>4739</v>
      </c>
      <c r="BD619">
        <v>0</v>
      </c>
      <c r="BE619">
        <v>0</v>
      </c>
    </row>
    <row r="620" spans="1:57" x14ac:dyDescent="0.3">
      <c r="A620">
        <v>20256</v>
      </c>
      <c r="B620" t="s">
        <v>8589</v>
      </c>
      <c r="C620" s="208" t="s">
        <v>8590</v>
      </c>
      <c r="D620" t="s">
        <v>8590</v>
      </c>
      <c r="E620" t="s">
        <v>8574</v>
      </c>
      <c r="F620" t="s">
        <v>328</v>
      </c>
      <c r="G620" t="s">
        <v>8591</v>
      </c>
      <c r="H620" t="s">
        <v>8592</v>
      </c>
      <c r="I620" t="s">
        <v>8593</v>
      </c>
      <c r="J620">
        <v>3</v>
      </c>
      <c r="K620">
        <v>4</v>
      </c>
      <c r="L620">
        <v>15600</v>
      </c>
      <c r="M620">
        <v>15</v>
      </c>
      <c r="N620">
        <v>30</v>
      </c>
      <c r="O620">
        <v>10</v>
      </c>
      <c r="P620">
        <v>15</v>
      </c>
      <c r="Q620">
        <v>5</v>
      </c>
      <c r="R620">
        <v>2</v>
      </c>
      <c r="S620">
        <v>5</v>
      </c>
      <c r="T620">
        <v>0</v>
      </c>
      <c r="U620">
        <v>100</v>
      </c>
      <c r="V620">
        <v>140</v>
      </c>
      <c r="W620">
        <v>95</v>
      </c>
      <c r="X620">
        <v>100</v>
      </c>
      <c r="Y620">
        <v>118</v>
      </c>
      <c r="Z620">
        <v>85</v>
      </c>
      <c r="AA620">
        <v>0</v>
      </c>
      <c r="AB620">
        <v>15</v>
      </c>
      <c r="AC620">
        <v>40</v>
      </c>
      <c r="AD620">
        <v>0</v>
      </c>
      <c r="AE620">
        <v>116</v>
      </c>
      <c r="AF620">
        <v>100</v>
      </c>
      <c r="AG620">
        <v>740101</v>
      </c>
      <c r="AH620">
        <v>740102</v>
      </c>
      <c r="AI620">
        <v>111501</v>
      </c>
      <c r="AJ620" t="s">
        <v>8594</v>
      </c>
      <c r="AK620" t="s">
        <v>1267</v>
      </c>
      <c r="AL620">
        <v>13</v>
      </c>
      <c r="AM620" t="s">
        <v>4762</v>
      </c>
      <c r="AN620" t="s">
        <v>4884</v>
      </c>
      <c r="AO620" t="s">
        <v>4832</v>
      </c>
      <c r="AP620">
        <v>0</v>
      </c>
      <c r="AQ620" t="s">
        <v>1746</v>
      </c>
      <c r="AR620" t="s">
        <v>1141</v>
      </c>
      <c r="AS620" t="s">
        <v>8571</v>
      </c>
      <c r="AT620" t="s">
        <v>328</v>
      </c>
      <c r="AU620">
        <v>241</v>
      </c>
      <c r="AV620">
        <v>0</v>
      </c>
      <c r="AW620" t="s">
        <v>5225</v>
      </c>
      <c r="AX620" t="s">
        <v>5416</v>
      </c>
      <c r="AY620">
        <v>4</v>
      </c>
      <c r="AZ620">
        <v>3256</v>
      </c>
      <c r="BA620" t="s">
        <v>328</v>
      </c>
      <c r="BB620" t="s">
        <v>328</v>
      </c>
      <c r="BC620" t="s">
        <v>328</v>
      </c>
      <c r="BD620">
        <v>0</v>
      </c>
      <c r="BE620">
        <v>0</v>
      </c>
    </row>
    <row r="621" spans="1:57" x14ac:dyDescent="0.3">
      <c r="A621">
        <v>20262</v>
      </c>
      <c r="B621" t="s">
        <v>8595</v>
      </c>
      <c r="C621" s="208" t="s">
        <v>8596</v>
      </c>
      <c r="D621" t="s">
        <v>8596</v>
      </c>
      <c r="E621" t="s">
        <v>8575</v>
      </c>
      <c r="F621" t="s">
        <v>328</v>
      </c>
      <c r="G621" t="s">
        <v>8597</v>
      </c>
      <c r="H621" t="s">
        <v>8598</v>
      </c>
      <c r="I621" t="s">
        <v>8599</v>
      </c>
      <c r="J621">
        <v>4</v>
      </c>
      <c r="K621">
        <v>5</v>
      </c>
      <c r="L621">
        <v>12900</v>
      </c>
      <c r="M621">
        <v>20</v>
      </c>
      <c r="N621">
        <v>20</v>
      </c>
      <c r="O621">
        <v>10</v>
      </c>
      <c r="P621">
        <v>10</v>
      </c>
      <c r="Q621">
        <v>2</v>
      </c>
      <c r="R621">
        <v>5</v>
      </c>
      <c r="S621">
        <v>5</v>
      </c>
      <c r="T621">
        <v>0</v>
      </c>
      <c r="U621">
        <v>108</v>
      </c>
      <c r="V621">
        <v>128</v>
      </c>
      <c r="W621">
        <v>105</v>
      </c>
      <c r="X621">
        <v>100</v>
      </c>
      <c r="Y621">
        <v>130</v>
      </c>
      <c r="Z621">
        <v>120</v>
      </c>
      <c r="AA621">
        <v>0</v>
      </c>
      <c r="AB621">
        <v>15</v>
      </c>
      <c r="AC621">
        <v>20</v>
      </c>
      <c r="AD621">
        <v>0</v>
      </c>
      <c r="AE621">
        <v>115</v>
      </c>
      <c r="AF621">
        <v>100</v>
      </c>
      <c r="AG621">
        <v>740095</v>
      </c>
      <c r="AH621">
        <v>740097</v>
      </c>
      <c r="AI621">
        <v>740098</v>
      </c>
      <c r="AJ621" t="s">
        <v>8600</v>
      </c>
      <c r="AK621" t="s">
        <v>8601</v>
      </c>
      <c r="AL621">
        <v>13</v>
      </c>
      <c r="AM621" t="s">
        <v>4719</v>
      </c>
      <c r="AN621" t="s">
        <v>4834</v>
      </c>
      <c r="AO621" t="s">
        <v>8602</v>
      </c>
      <c r="AP621">
        <v>0</v>
      </c>
      <c r="AQ621" t="s">
        <v>1130</v>
      </c>
      <c r="AR621" t="s">
        <v>1154</v>
      </c>
      <c r="AS621" t="s">
        <v>1744</v>
      </c>
      <c r="AT621" t="s">
        <v>328</v>
      </c>
      <c r="AU621">
        <v>216</v>
      </c>
      <c r="AV621">
        <v>0</v>
      </c>
      <c r="AW621" t="s">
        <v>5226</v>
      </c>
      <c r="AX621" t="s">
        <v>5416</v>
      </c>
      <c r="AY621">
        <v>5</v>
      </c>
      <c r="AZ621">
        <v>3262</v>
      </c>
      <c r="BA621" t="s">
        <v>328</v>
      </c>
      <c r="BB621" t="s">
        <v>328</v>
      </c>
      <c r="BC621" t="s">
        <v>328</v>
      </c>
      <c r="BD621">
        <v>0</v>
      </c>
      <c r="BE621">
        <v>0</v>
      </c>
    </row>
    <row r="622" spans="1:57" x14ac:dyDescent="0.3">
      <c r="A622">
        <v>399</v>
      </c>
      <c r="B622" t="s">
        <v>8623</v>
      </c>
      <c r="C622" s="208" t="s">
        <v>8624</v>
      </c>
      <c r="D622" t="s">
        <v>8624</v>
      </c>
      <c r="E622" t="s">
        <v>328</v>
      </c>
      <c r="F622" t="s">
        <v>328</v>
      </c>
      <c r="G622" t="s">
        <v>8625</v>
      </c>
      <c r="H622" t="s">
        <v>8626</v>
      </c>
      <c r="I622" t="s">
        <v>8627</v>
      </c>
      <c r="J622">
        <v>1</v>
      </c>
      <c r="K622">
        <v>5</v>
      </c>
      <c r="L622">
        <v>4200</v>
      </c>
      <c r="M622">
        <v>10</v>
      </c>
      <c r="N622">
        <v>10</v>
      </c>
      <c r="O622">
        <v>5</v>
      </c>
      <c r="P622">
        <v>5</v>
      </c>
      <c r="Q622">
        <v>2</v>
      </c>
      <c r="R622">
        <v>2</v>
      </c>
      <c r="S622">
        <v>2</v>
      </c>
      <c r="T622">
        <v>0</v>
      </c>
      <c r="U622">
        <v>115</v>
      </c>
      <c r="V622">
        <v>112</v>
      </c>
      <c r="W622">
        <v>105</v>
      </c>
      <c r="X622">
        <v>100</v>
      </c>
      <c r="Y622">
        <v>135</v>
      </c>
      <c r="Z622">
        <v>105</v>
      </c>
      <c r="AA622">
        <v>0</v>
      </c>
      <c r="AB622">
        <v>15</v>
      </c>
      <c r="AC622">
        <v>20</v>
      </c>
      <c r="AD622">
        <v>0</v>
      </c>
      <c r="AE622">
        <v>128</v>
      </c>
      <c r="AF622">
        <v>100</v>
      </c>
      <c r="AG622">
        <v>744001</v>
      </c>
      <c r="AH622">
        <v>0</v>
      </c>
      <c r="AI622">
        <v>744004</v>
      </c>
      <c r="AJ622" t="s">
        <v>8628</v>
      </c>
      <c r="AK622" t="s">
        <v>8629</v>
      </c>
      <c r="AL622">
        <v>17</v>
      </c>
      <c r="AM622" t="s">
        <v>1806</v>
      </c>
      <c r="AN622" t="s">
        <v>8630</v>
      </c>
      <c r="AO622" t="s">
        <v>4875</v>
      </c>
      <c r="AP622">
        <v>0</v>
      </c>
      <c r="AQ622" t="s">
        <v>4742</v>
      </c>
      <c r="AR622" t="s">
        <v>1119</v>
      </c>
      <c r="AS622" t="s">
        <v>1120</v>
      </c>
      <c r="AT622" t="s">
        <v>328</v>
      </c>
      <c r="AU622">
        <v>96</v>
      </c>
      <c r="AV622">
        <v>0</v>
      </c>
      <c r="AW622" t="s">
        <v>8631</v>
      </c>
      <c r="AX622" t="s">
        <v>8632</v>
      </c>
      <c r="AY622">
        <v>5</v>
      </c>
      <c r="AZ622">
        <v>0</v>
      </c>
      <c r="BA622" t="s">
        <v>328</v>
      </c>
      <c r="BB622" t="s">
        <v>328</v>
      </c>
      <c r="BC622" t="s">
        <v>4769</v>
      </c>
      <c r="BD622">
        <v>10402</v>
      </c>
      <c r="BE622">
        <v>0</v>
      </c>
    </row>
    <row r="623" spans="1:57" x14ac:dyDescent="0.3">
      <c r="A623">
        <v>1042</v>
      </c>
      <c r="B623" t="s">
        <v>8646</v>
      </c>
      <c r="C623" s="208" t="s">
        <v>8647</v>
      </c>
      <c r="D623" t="s">
        <v>8647</v>
      </c>
      <c r="E623" t="s">
        <v>328</v>
      </c>
      <c r="F623" t="s">
        <v>328</v>
      </c>
      <c r="G623" t="s">
        <v>8648</v>
      </c>
      <c r="H623" t="s">
        <v>8649</v>
      </c>
      <c r="I623" t="s">
        <v>8650</v>
      </c>
      <c r="J623">
        <v>1</v>
      </c>
      <c r="K623">
        <v>5</v>
      </c>
      <c r="L623">
        <v>3600</v>
      </c>
      <c r="M623">
        <v>10</v>
      </c>
      <c r="N623">
        <v>10</v>
      </c>
      <c r="O623">
        <v>5</v>
      </c>
      <c r="P623">
        <v>5</v>
      </c>
      <c r="Q623">
        <v>2</v>
      </c>
      <c r="R623">
        <v>2</v>
      </c>
      <c r="S623">
        <v>2</v>
      </c>
      <c r="T623">
        <v>0</v>
      </c>
      <c r="U623">
        <v>105</v>
      </c>
      <c r="V623">
        <v>95</v>
      </c>
      <c r="W623">
        <v>112</v>
      </c>
      <c r="X623">
        <v>100</v>
      </c>
      <c r="Y623">
        <v>122</v>
      </c>
      <c r="Z623">
        <v>138</v>
      </c>
      <c r="AA623">
        <v>0</v>
      </c>
      <c r="AB623">
        <v>15</v>
      </c>
      <c r="AC623">
        <v>20</v>
      </c>
      <c r="AD623">
        <v>1</v>
      </c>
      <c r="AE623">
        <v>130</v>
      </c>
      <c r="AF623">
        <v>100</v>
      </c>
      <c r="AG623">
        <v>750900</v>
      </c>
      <c r="AH623">
        <v>0</v>
      </c>
      <c r="AI623">
        <v>750905</v>
      </c>
      <c r="AJ623" t="s">
        <v>8651</v>
      </c>
      <c r="AK623" t="s">
        <v>8652</v>
      </c>
      <c r="AL623">
        <v>13</v>
      </c>
      <c r="AM623" t="s">
        <v>1806</v>
      </c>
      <c r="AN623" t="s">
        <v>6976</v>
      </c>
      <c r="AO623" t="s">
        <v>4751</v>
      </c>
      <c r="AP623">
        <v>0</v>
      </c>
      <c r="AQ623" t="s">
        <v>1118</v>
      </c>
      <c r="AR623" t="s">
        <v>1119</v>
      </c>
      <c r="AS623" t="s">
        <v>4761</v>
      </c>
      <c r="AT623" t="s">
        <v>328</v>
      </c>
      <c r="AU623">
        <v>1035</v>
      </c>
      <c r="AV623">
        <v>1</v>
      </c>
      <c r="AW623" t="s">
        <v>8653</v>
      </c>
      <c r="AX623" t="s">
        <v>6936</v>
      </c>
      <c r="AY623">
        <v>7</v>
      </c>
      <c r="AZ623">
        <v>0</v>
      </c>
      <c r="BA623" t="s">
        <v>328</v>
      </c>
      <c r="BB623" t="s">
        <v>328</v>
      </c>
      <c r="BC623" t="s">
        <v>5386</v>
      </c>
      <c r="BD623">
        <v>0</v>
      </c>
      <c r="BE623">
        <v>0</v>
      </c>
    </row>
    <row r="624" spans="1:57" x14ac:dyDescent="0.3">
      <c r="A624">
        <v>1043</v>
      </c>
      <c r="B624" t="s">
        <v>8654</v>
      </c>
      <c r="C624" s="208" t="s">
        <v>8655</v>
      </c>
      <c r="D624" t="s">
        <v>8655</v>
      </c>
      <c r="E624" t="s">
        <v>328</v>
      </c>
      <c r="F624" t="s">
        <v>328</v>
      </c>
      <c r="G624" t="s">
        <v>8656</v>
      </c>
      <c r="H624" t="s">
        <v>8657</v>
      </c>
      <c r="I624" t="s">
        <v>8658</v>
      </c>
      <c r="J624">
        <v>4</v>
      </c>
      <c r="K624">
        <v>5</v>
      </c>
      <c r="L624">
        <v>14100</v>
      </c>
      <c r="M624">
        <v>20</v>
      </c>
      <c r="N624">
        <v>20</v>
      </c>
      <c r="O624">
        <v>10</v>
      </c>
      <c r="P624">
        <v>10</v>
      </c>
      <c r="Q624">
        <v>2</v>
      </c>
      <c r="R624">
        <v>5</v>
      </c>
      <c r="S624">
        <v>5</v>
      </c>
      <c r="T624">
        <v>0</v>
      </c>
      <c r="U624">
        <v>100</v>
      </c>
      <c r="V624">
        <v>108</v>
      </c>
      <c r="W624">
        <v>108</v>
      </c>
      <c r="X624">
        <v>100</v>
      </c>
      <c r="Y624">
        <v>98</v>
      </c>
      <c r="Z624">
        <v>105</v>
      </c>
      <c r="AA624">
        <v>0</v>
      </c>
      <c r="AB624">
        <v>15</v>
      </c>
      <c r="AC624">
        <v>30</v>
      </c>
      <c r="AD624">
        <v>0</v>
      </c>
      <c r="AE624">
        <v>145</v>
      </c>
      <c r="AF624">
        <v>100</v>
      </c>
      <c r="AG624">
        <v>750907</v>
      </c>
      <c r="AH624">
        <v>0</v>
      </c>
      <c r="AI624">
        <v>750909</v>
      </c>
      <c r="AJ624" t="s">
        <v>8659</v>
      </c>
      <c r="AK624" t="s">
        <v>8660</v>
      </c>
      <c r="AL624">
        <v>13</v>
      </c>
      <c r="AM624" t="s">
        <v>398</v>
      </c>
      <c r="AN624" t="s">
        <v>5384</v>
      </c>
      <c r="AO624" t="s">
        <v>5258</v>
      </c>
      <c r="AP624">
        <v>0</v>
      </c>
      <c r="AQ624" t="s">
        <v>1130</v>
      </c>
      <c r="AR624" t="s">
        <v>1154</v>
      </c>
      <c r="AS624" t="s">
        <v>1744</v>
      </c>
      <c r="AT624" t="s">
        <v>328</v>
      </c>
      <c r="AU624">
        <v>1007</v>
      </c>
      <c r="AV624">
        <v>1</v>
      </c>
      <c r="AW624" t="s">
        <v>8653</v>
      </c>
      <c r="AX624" t="s">
        <v>8661</v>
      </c>
      <c r="AY624">
        <v>7</v>
      </c>
      <c r="AZ624">
        <v>0</v>
      </c>
      <c r="BA624" t="s">
        <v>328</v>
      </c>
      <c r="BB624" t="s">
        <v>328</v>
      </c>
      <c r="BC624" t="s">
        <v>5386</v>
      </c>
      <c r="BD624">
        <v>0</v>
      </c>
      <c r="BE624">
        <v>0</v>
      </c>
    </row>
    <row r="625" spans="1:57" x14ac:dyDescent="0.3">
      <c r="A625">
        <v>1044</v>
      </c>
      <c r="B625" t="s">
        <v>8662</v>
      </c>
      <c r="C625" s="208" t="s">
        <v>8686</v>
      </c>
      <c r="D625" t="s">
        <v>8663</v>
      </c>
      <c r="E625" t="s">
        <v>328</v>
      </c>
      <c r="F625" t="s">
        <v>328</v>
      </c>
      <c r="G625" t="s">
        <v>8664</v>
      </c>
      <c r="H625" t="s">
        <v>8665</v>
      </c>
      <c r="I625" t="s">
        <v>8666</v>
      </c>
      <c r="J625">
        <v>5</v>
      </c>
      <c r="K625">
        <v>5</v>
      </c>
      <c r="L625">
        <v>23760</v>
      </c>
      <c r="M625">
        <v>40</v>
      </c>
      <c r="N625">
        <v>30</v>
      </c>
      <c r="O625">
        <v>25</v>
      </c>
      <c r="P625">
        <v>15</v>
      </c>
      <c r="Q625">
        <v>5</v>
      </c>
      <c r="R625">
        <v>5</v>
      </c>
      <c r="S625">
        <v>2</v>
      </c>
      <c r="T625">
        <v>5</v>
      </c>
      <c r="U625">
        <v>96</v>
      </c>
      <c r="V625">
        <v>128</v>
      </c>
      <c r="W625">
        <v>128</v>
      </c>
      <c r="X625">
        <v>100</v>
      </c>
      <c r="Y625">
        <v>110</v>
      </c>
      <c r="Z625">
        <v>120</v>
      </c>
      <c r="AA625">
        <v>0</v>
      </c>
      <c r="AB625">
        <v>15</v>
      </c>
      <c r="AC625">
        <v>5</v>
      </c>
      <c r="AD625">
        <v>9</v>
      </c>
      <c r="AE625">
        <v>118</v>
      </c>
      <c r="AF625">
        <v>100</v>
      </c>
      <c r="AG625">
        <v>750913</v>
      </c>
      <c r="AH625">
        <v>0</v>
      </c>
      <c r="AI625">
        <v>750915</v>
      </c>
      <c r="AJ625" t="s">
        <v>8667</v>
      </c>
      <c r="AK625" t="s">
        <v>8668</v>
      </c>
      <c r="AL625">
        <v>18</v>
      </c>
      <c r="AM625" t="s">
        <v>4858</v>
      </c>
      <c r="AN625" t="s">
        <v>4937</v>
      </c>
      <c r="AO625" t="s">
        <v>5155</v>
      </c>
      <c r="AP625">
        <v>0</v>
      </c>
      <c r="AQ625" t="s">
        <v>1167</v>
      </c>
      <c r="AR625" t="s">
        <v>4911</v>
      </c>
      <c r="AS625" t="s">
        <v>6967</v>
      </c>
      <c r="AT625" t="s">
        <v>328</v>
      </c>
      <c r="AU625">
        <v>1026</v>
      </c>
      <c r="AV625">
        <v>1</v>
      </c>
      <c r="AW625" t="s">
        <v>8653</v>
      </c>
      <c r="AX625" t="s">
        <v>6752</v>
      </c>
      <c r="AY625">
        <v>7</v>
      </c>
      <c r="AZ625">
        <v>0</v>
      </c>
      <c r="BA625" t="s">
        <v>328</v>
      </c>
      <c r="BB625" t="s">
        <v>328</v>
      </c>
      <c r="BC625" t="s">
        <v>5386</v>
      </c>
      <c r="BD625">
        <v>0</v>
      </c>
      <c r="BE625">
        <v>0</v>
      </c>
    </row>
    <row r="626" spans="1:57" x14ac:dyDescent="0.3">
      <c r="A626">
        <v>20127</v>
      </c>
      <c r="B626" t="s">
        <v>8724</v>
      </c>
      <c r="C626" s="208" t="s">
        <v>8742</v>
      </c>
      <c r="D626" t="s">
        <v>8725</v>
      </c>
      <c r="E626" t="s">
        <v>8722</v>
      </c>
      <c r="F626" t="s">
        <v>8723</v>
      </c>
      <c r="G626" t="s">
        <v>8726</v>
      </c>
      <c r="H626" t="s">
        <v>8727</v>
      </c>
      <c r="I626" t="s">
        <v>8728</v>
      </c>
      <c r="J626">
        <v>2</v>
      </c>
      <c r="K626">
        <v>6</v>
      </c>
      <c r="L626">
        <v>9300</v>
      </c>
      <c r="M626">
        <v>25</v>
      </c>
      <c r="N626">
        <v>20</v>
      </c>
      <c r="O626">
        <v>15</v>
      </c>
      <c r="P626">
        <v>10</v>
      </c>
      <c r="Q626">
        <v>5</v>
      </c>
      <c r="R626">
        <v>5</v>
      </c>
      <c r="S626">
        <v>2</v>
      </c>
      <c r="T626">
        <v>0</v>
      </c>
      <c r="U626">
        <v>110</v>
      </c>
      <c r="V626">
        <v>135</v>
      </c>
      <c r="W626">
        <v>115</v>
      </c>
      <c r="X626">
        <v>100</v>
      </c>
      <c r="Y626">
        <v>120</v>
      </c>
      <c r="Z626">
        <v>130</v>
      </c>
      <c r="AA626">
        <v>0</v>
      </c>
      <c r="AB626">
        <v>15</v>
      </c>
      <c r="AC626">
        <v>5</v>
      </c>
      <c r="AD626">
        <v>0</v>
      </c>
      <c r="AE626">
        <v>115</v>
      </c>
      <c r="AF626">
        <v>100</v>
      </c>
      <c r="AG626">
        <v>1000901</v>
      </c>
      <c r="AH626">
        <v>1000905</v>
      </c>
      <c r="AI626">
        <v>300102</v>
      </c>
      <c r="AJ626" t="s">
        <v>8729</v>
      </c>
      <c r="AK626" t="s">
        <v>8730</v>
      </c>
      <c r="AL626">
        <v>13</v>
      </c>
      <c r="AM626" t="s">
        <v>4790</v>
      </c>
      <c r="AN626" t="s">
        <v>4795</v>
      </c>
      <c r="AO626" t="s">
        <v>8731</v>
      </c>
      <c r="AP626">
        <v>0</v>
      </c>
      <c r="AQ626" t="s">
        <v>1744</v>
      </c>
      <c r="AR626" t="s">
        <v>1743</v>
      </c>
      <c r="AS626" t="s">
        <v>1130</v>
      </c>
      <c r="AT626" t="s">
        <v>328</v>
      </c>
      <c r="AU626">
        <v>127</v>
      </c>
      <c r="AV626">
        <v>0</v>
      </c>
      <c r="AW626" t="s">
        <v>5015</v>
      </c>
      <c r="AX626" t="s">
        <v>5416</v>
      </c>
      <c r="AY626">
        <v>6</v>
      </c>
      <c r="AZ626">
        <v>3127</v>
      </c>
      <c r="BA626" t="s">
        <v>328</v>
      </c>
      <c r="BB626" t="s">
        <v>4952</v>
      </c>
      <c r="BC626" t="s">
        <v>4783</v>
      </c>
      <c r="BD626">
        <v>0</v>
      </c>
      <c r="BE626">
        <v>0</v>
      </c>
    </row>
    <row r="627" spans="1:57" x14ac:dyDescent="0.3">
      <c r="A627">
        <v>400</v>
      </c>
      <c r="B627" t="s">
        <v>8867</v>
      </c>
      <c r="C627" s="208" t="s">
        <v>8892</v>
      </c>
      <c r="D627" t="s">
        <v>8868</v>
      </c>
      <c r="E627" t="s">
        <v>328</v>
      </c>
      <c r="F627" t="s">
        <v>328</v>
      </c>
      <c r="G627" t="s">
        <v>8869</v>
      </c>
      <c r="H627" t="s">
        <v>8870</v>
      </c>
      <c r="I627" t="s">
        <v>8871</v>
      </c>
      <c r="J627">
        <v>1</v>
      </c>
      <c r="K627">
        <v>5</v>
      </c>
      <c r="L627">
        <v>4260</v>
      </c>
      <c r="M627">
        <v>10</v>
      </c>
      <c r="N627">
        <v>10</v>
      </c>
      <c r="O627">
        <v>5</v>
      </c>
      <c r="P627">
        <v>5</v>
      </c>
      <c r="Q627">
        <v>2</v>
      </c>
      <c r="R627">
        <v>2</v>
      </c>
      <c r="S627">
        <v>2</v>
      </c>
      <c r="T627">
        <v>0</v>
      </c>
      <c r="U627">
        <v>112</v>
      </c>
      <c r="V627">
        <v>118</v>
      </c>
      <c r="W627">
        <v>90</v>
      </c>
      <c r="X627">
        <v>100</v>
      </c>
      <c r="Y627">
        <v>115</v>
      </c>
      <c r="Z627">
        <v>125</v>
      </c>
      <c r="AA627">
        <v>0</v>
      </c>
      <c r="AB627">
        <v>15</v>
      </c>
      <c r="AC627">
        <v>20</v>
      </c>
      <c r="AD627">
        <v>0</v>
      </c>
      <c r="AE627">
        <v>130</v>
      </c>
      <c r="AF627">
        <v>100</v>
      </c>
      <c r="AG627">
        <v>1000601</v>
      </c>
      <c r="AH627">
        <v>0</v>
      </c>
      <c r="AI627">
        <v>300101</v>
      </c>
      <c r="AJ627" t="s">
        <v>8872</v>
      </c>
      <c r="AK627" t="s">
        <v>8873</v>
      </c>
      <c r="AL627">
        <v>13</v>
      </c>
      <c r="AM627" t="s">
        <v>1806</v>
      </c>
      <c r="AN627" t="s">
        <v>4780</v>
      </c>
      <c r="AO627" t="s">
        <v>8874</v>
      </c>
      <c r="AP627">
        <v>0</v>
      </c>
      <c r="AQ627" t="s">
        <v>1118</v>
      </c>
      <c r="AR627" t="s">
        <v>1119</v>
      </c>
      <c r="AS627" t="s">
        <v>1120</v>
      </c>
      <c r="AT627" t="s">
        <v>328</v>
      </c>
      <c r="AU627">
        <v>4</v>
      </c>
      <c r="AV627">
        <v>0</v>
      </c>
      <c r="AW627" t="s">
        <v>8875</v>
      </c>
      <c r="AX627" t="s">
        <v>4762</v>
      </c>
      <c r="AY627">
        <v>5</v>
      </c>
      <c r="AZ627">
        <v>0</v>
      </c>
      <c r="BA627" t="s">
        <v>328</v>
      </c>
      <c r="BB627" t="s">
        <v>328</v>
      </c>
      <c r="BC627" t="s">
        <v>4720</v>
      </c>
      <c r="BD627">
        <v>10303</v>
      </c>
      <c r="BE627">
        <v>0</v>
      </c>
    </row>
    <row r="628" spans="1:57" x14ac:dyDescent="0.3">
      <c r="A628">
        <v>401</v>
      </c>
      <c r="B628" t="s">
        <v>8876</v>
      </c>
      <c r="C628" s="208" t="s">
        <v>8877</v>
      </c>
      <c r="D628" t="s">
        <v>8877</v>
      </c>
      <c r="E628" t="s">
        <v>328</v>
      </c>
      <c r="F628" t="s">
        <v>328</v>
      </c>
      <c r="G628" t="s">
        <v>8878</v>
      </c>
      <c r="H628" t="s">
        <v>8879</v>
      </c>
      <c r="I628" t="s">
        <v>8880</v>
      </c>
      <c r="J628">
        <v>2</v>
      </c>
      <c r="K628">
        <v>5</v>
      </c>
      <c r="L628">
        <v>8940</v>
      </c>
      <c r="M628">
        <v>25</v>
      </c>
      <c r="N628">
        <v>20</v>
      </c>
      <c r="O628">
        <v>15</v>
      </c>
      <c r="P628">
        <v>10</v>
      </c>
      <c r="Q628">
        <v>5</v>
      </c>
      <c r="R628">
        <v>5</v>
      </c>
      <c r="S628">
        <v>2</v>
      </c>
      <c r="T628">
        <v>0</v>
      </c>
      <c r="U628">
        <v>108</v>
      </c>
      <c r="V628">
        <v>102</v>
      </c>
      <c r="W628">
        <v>118</v>
      </c>
      <c r="X628">
        <v>100</v>
      </c>
      <c r="Y628">
        <v>110</v>
      </c>
      <c r="Z628">
        <v>135</v>
      </c>
      <c r="AA628">
        <v>0</v>
      </c>
      <c r="AB628">
        <v>15</v>
      </c>
      <c r="AC628">
        <v>5</v>
      </c>
      <c r="AD628">
        <v>0</v>
      </c>
      <c r="AE628">
        <v>110</v>
      </c>
      <c r="AF628">
        <v>100</v>
      </c>
      <c r="AG628">
        <v>1000701</v>
      </c>
      <c r="AH628">
        <v>0</v>
      </c>
      <c r="AI628">
        <v>300102</v>
      </c>
      <c r="AJ628" t="s">
        <v>8881</v>
      </c>
      <c r="AK628" t="s">
        <v>8882</v>
      </c>
      <c r="AL628">
        <v>12</v>
      </c>
      <c r="AM628" t="s">
        <v>4790</v>
      </c>
      <c r="AN628" t="s">
        <v>5198</v>
      </c>
      <c r="AO628" t="s">
        <v>8883</v>
      </c>
      <c r="AP628">
        <v>0</v>
      </c>
      <c r="AQ628" t="s">
        <v>1129</v>
      </c>
      <c r="AR628" t="s">
        <v>1119</v>
      </c>
      <c r="AS628" t="s">
        <v>1130</v>
      </c>
      <c r="AT628" t="s">
        <v>328</v>
      </c>
      <c r="AU628">
        <v>150</v>
      </c>
      <c r="AV628">
        <v>0</v>
      </c>
      <c r="AW628" t="s">
        <v>8875</v>
      </c>
      <c r="AX628" t="s">
        <v>331</v>
      </c>
      <c r="AY628">
        <v>5</v>
      </c>
      <c r="AZ628">
        <v>0</v>
      </c>
      <c r="BA628" t="s">
        <v>328</v>
      </c>
      <c r="BB628" t="s">
        <v>328</v>
      </c>
      <c r="BC628" t="s">
        <v>4720</v>
      </c>
      <c r="BD628">
        <v>10402</v>
      </c>
      <c r="BE628">
        <v>0</v>
      </c>
    </row>
    <row r="629" spans="1:57" x14ac:dyDescent="0.3">
      <c r="A629">
        <v>402</v>
      </c>
      <c r="B629" t="s">
        <v>8884</v>
      </c>
      <c r="C629" s="208" t="s">
        <v>8885</v>
      </c>
      <c r="D629" t="s">
        <v>8885</v>
      </c>
      <c r="E629" t="s">
        <v>328</v>
      </c>
      <c r="F629" t="s">
        <v>328</v>
      </c>
      <c r="G629" t="s">
        <v>8886</v>
      </c>
      <c r="H629" t="s">
        <v>8887</v>
      </c>
      <c r="I629" t="s">
        <v>8888</v>
      </c>
      <c r="J629">
        <v>3</v>
      </c>
      <c r="K629">
        <v>5</v>
      </c>
      <c r="L629">
        <v>16260</v>
      </c>
      <c r="M629">
        <v>15</v>
      </c>
      <c r="N629">
        <v>30</v>
      </c>
      <c r="O629">
        <v>10</v>
      </c>
      <c r="P629">
        <v>15</v>
      </c>
      <c r="Q629">
        <v>5</v>
      </c>
      <c r="R629">
        <v>2</v>
      </c>
      <c r="S629">
        <v>5</v>
      </c>
      <c r="T629">
        <v>0</v>
      </c>
      <c r="U629">
        <v>100</v>
      </c>
      <c r="V629">
        <v>112</v>
      </c>
      <c r="W629">
        <v>98</v>
      </c>
      <c r="X629">
        <v>100</v>
      </c>
      <c r="Y629">
        <v>110</v>
      </c>
      <c r="Z629">
        <v>115</v>
      </c>
      <c r="AA629">
        <v>0</v>
      </c>
      <c r="AB629">
        <v>15</v>
      </c>
      <c r="AC629">
        <v>40</v>
      </c>
      <c r="AD629">
        <v>0</v>
      </c>
      <c r="AE629">
        <v>125</v>
      </c>
      <c r="AF629">
        <v>100</v>
      </c>
      <c r="AG629">
        <v>1000801</v>
      </c>
      <c r="AH629">
        <v>0</v>
      </c>
      <c r="AI629">
        <v>1000802</v>
      </c>
      <c r="AJ629" t="s">
        <v>8889</v>
      </c>
      <c r="AK629" t="s">
        <v>328</v>
      </c>
      <c r="AL629">
        <v>14</v>
      </c>
      <c r="AM629" t="s">
        <v>470</v>
      </c>
      <c r="AN629" t="s">
        <v>8890</v>
      </c>
      <c r="AO629" t="s">
        <v>8891</v>
      </c>
      <c r="AP629">
        <v>0</v>
      </c>
      <c r="AQ629" t="s">
        <v>1140</v>
      </c>
      <c r="AR629" t="s">
        <v>1141</v>
      </c>
      <c r="AS629" t="s">
        <v>1142</v>
      </c>
      <c r="AT629" t="s">
        <v>328</v>
      </c>
      <c r="AU629">
        <v>241</v>
      </c>
      <c r="AV629">
        <v>0</v>
      </c>
      <c r="AW629" t="s">
        <v>8875</v>
      </c>
      <c r="AX629" t="s">
        <v>331</v>
      </c>
      <c r="AY629">
        <v>5</v>
      </c>
      <c r="AZ629">
        <v>0</v>
      </c>
      <c r="BA629" t="s">
        <v>328</v>
      </c>
      <c r="BB629" t="s">
        <v>328</v>
      </c>
      <c r="BC629" t="s">
        <v>328</v>
      </c>
      <c r="BD629">
        <v>10501</v>
      </c>
      <c r="BE629">
        <v>0</v>
      </c>
    </row>
    <row r="630" spans="1:57" x14ac:dyDescent="0.3">
      <c r="A630">
        <v>9118</v>
      </c>
      <c r="B630" t="s">
        <v>8922</v>
      </c>
      <c r="C630" s="208" t="s">
        <v>98</v>
      </c>
      <c r="D630" t="s">
        <v>8923</v>
      </c>
      <c r="E630" t="s">
        <v>328</v>
      </c>
      <c r="F630" t="s">
        <v>328</v>
      </c>
      <c r="G630" t="s">
        <v>8924</v>
      </c>
      <c r="H630" t="s">
        <v>8925</v>
      </c>
      <c r="I630" t="s">
        <v>8926</v>
      </c>
      <c r="J630">
        <v>4</v>
      </c>
      <c r="K630">
        <v>4</v>
      </c>
      <c r="L630">
        <v>12900</v>
      </c>
      <c r="M630">
        <v>20</v>
      </c>
      <c r="N630">
        <v>20</v>
      </c>
      <c r="O630">
        <v>10</v>
      </c>
      <c r="P630">
        <v>10</v>
      </c>
      <c r="Q630">
        <v>2</v>
      </c>
      <c r="R630">
        <v>5</v>
      </c>
      <c r="S630">
        <v>5</v>
      </c>
      <c r="T630">
        <v>0</v>
      </c>
      <c r="U630">
        <v>1100</v>
      </c>
      <c r="V630">
        <v>440</v>
      </c>
      <c r="W630">
        <v>115</v>
      </c>
      <c r="X630">
        <v>100</v>
      </c>
      <c r="Y630">
        <v>120</v>
      </c>
      <c r="Z630">
        <v>115</v>
      </c>
      <c r="AA630">
        <v>0</v>
      </c>
      <c r="AB630">
        <v>15</v>
      </c>
      <c r="AC630">
        <v>50</v>
      </c>
      <c r="AD630">
        <v>0</v>
      </c>
      <c r="AE630">
        <v>110</v>
      </c>
      <c r="AF630">
        <v>100</v>
      </c>
      <c r="AG630">
        <v>102203</v>
      </c>
      <c r="AH630">
        <v>0</v>
      </c>
      <c r="AI630">
        <v>300103</v>
      </c>
      <c r="AJ630" t="s">
        <v>1164</v>
      </c>
      <c r="AK630" t="s">
        <v>328</v>
      </c>
      <c r="AL630">
        <v>13</v>
      </c>
      <c r="AM630" t="s">
        <v>4719</v>
      </c>
      <c r="AN630" t="s">
        <v>4747</v>
      </c>
      <c r="AO630" t="s">
        <v>4799</v>
      </c>
      <c r="AP630">
        <v>0</v>
      </c>
      <c r="AQ630" t="s">
        <v>1154</v>
      </c>
      <c r="AR630" t="s">
        <v>5993</v>
      </c>
      <c r="AS630" t="s">
        <v>5993</v>
      </c>
      <c r="AT630" t="s">
        <v>328</v>
      </c>
      <c r="AU630">
        <v>54</v>
      </c>
      <c r="AV630">
        <v>0</v>
      </c>
      <c r="AW630" t="s">
        <v>5790</v>
      </c>
      <c r="AX630" t="s">
        <v>1806</v>
      </c>
      <c r="AY630">
        <v>5</v>
      </c>
      <c r="AZ630">
        <v>0</v>
      </c>
      <c r="BA630" t="s">
        <v>328</v>
      </c>
      <c r="BB630" t="s">
        <v>328</v>
      </c>
      <c r="BC630" t="s">
        <v>328</v>
      </c>
      <c r="BD630">
        <v>0</v>
      </c>
      <c r="BE630">
        <v>0</v>
      </c>
    </row>
    <row r="631" spans="1:57" x14ac:dyDescent="0.3">
      <c r="A631">
        <v>20310</v>
      </c>
      <c r="B631" t="s">
        <v>8927</v>
      </c>
      <c r="C631" s="208" t="s">
        <v>8959</v>
      </c>
      <c r="D631" t="s">
        <v>8928</v>
      </c>
      <c r="E631" t="s">
        <v>328</v>
      </c>
      <c r="F631" t="s">
        <v>328</v>
      </c>
      <c r="G631" t="s">
        <v>8929</v>
      </c>
      <c r="H631" t="s">
        <v>8930</v>
      </c>
      <c r="I631" t="s">
        <v>8931</v>
      </c>
      <c r="J631">
        <v>1</v>
      </c>
      <c r="K631">
        <v>5</v>
      </c>
      <c r="L631">
        <v>3240</v>
      </c>
      <c r="M631">
        <v>10</v>
      </c>
      <c r="N631">
        <v>10</v>
      </c>
      <c r="O631">
        <v>5</v>
      </c>
      <c r="P631">
        <v>5</v>
      </c>
      <c r="Q631">
        <v>2</v>
      </c>
      <c r="R631">
        <v>2</v>
      </c>
      <c r="S631">
        <v>2</v>
      </c>
      <c r="T631">
        <v>0</v>
      </c>
      <c r="U631">
        <v>110</v>
      </c>
      <c r="V631">
        <v>122</v>
      </c>
      <c r="W631">
        <v>115</v>
      </c>
      <c r="X631">
        <v>100</v>
      </c>
      <c r="Y631">
        <v>120</v>
      </c>
      <c r="Z631">
        <v>115</v>
      </c>
      <c r="AA631">
        <v>0</v>
      </c>
      <c r="AB631">
        <v>15</v>
      </c>
      <c r="AC631">
        <v>20</v>
      </c>
      <c r="AD631">
        <v>0</v>
      </c>
      <c r="AE631">
        <v>115</v>
      </c>
      <c r="AF631">
        <v>100</v>
      </c>
      <c r="AG631">
        <v>992431</v>
      </c>
      <c r="AH631">
        <v>992432</v>
      </c>
      <c r="AI631">
        <v>300101</v>
      </c>
      <c r="AJ631" t="s">
        <v>8921</v>
      </c>
      <c r="AK631" t="s">
        <v>328</v>
      </c>
      <c r="AL631">
        <v>12</v>
      </c>
      <c r="AM631" t="s">
        <v>1806</v>
      </c>
      <c r="AN631" t="s">
        <v>8932</v>
      </c>
      <c r="AO631" t="s">
        <v>8933</v>
      </c>
      <c r="AP631">
        <v>0</v>
      </c>
      <c r="AQ631" t="s">
        <v>1118</v>
      </c>
      <c r="AR631" t="s">
        <v>1119</v>
      </c>
      <c r="AS631" t="s">
        <v>4761</v>
      </c>
      <c r="AT631" t="s">
        <v>328</v>
      </c>
      <c r="AU631">
        <v>212</v>
      </c>
      <c r="AV631">
        <v>0</v>
      </c>
      <c r="AW631" t="s">
        <v>5315</v>
      </c>
      <c r="AX631" t="s">
        <v>5416</v>
      </c>
      <c r="AY631">
        <v>5</v>
      </c>
      <c r="AZ631">
        <v>3310</v>
      </c>
      <c r="BA631" t="s">
        <v>328</v>
      </c>
      <c r="BB631" t="s">
        <v>328</v>
      </c>
      <c r="BC631" t="s">
        <v>328</v>
      </c>
      <c r="BD631">
        <v>0</v>
      </c>
      <c r="BE631">
        <v>0</v>
      </c>
    </row>
    <row r="632" spans="1:57" x14ac:dyDescent="0.3">
      <c r="A632">
        <v>20206</v>
      </c>
      <c r="B632" t="s">
        <v>8988</v>
      </c>
      <c r="C632" s="208" t="s">
        <v>8989</v>
      </c>
      <c r="D632" t="s">
        <v>8989</v>
      </c>
      <c r="E632" t="s">
        <v>8985</v>
      </c>
      <c r="F632" t="s">
        <v>8986</v>
      </c>
      <c r="G632" t="s">
        <v>8990</v>
      </c>
      <c r="H632" t="s">
        <v>8991</v>
      </c>
      <c r="I632" t="s">
        <v>8992</v>
      </c>
      <c r="J632">
        <v>4</v>
      </c>
      <c r="K632">
        <v>6</v>
      </c>
      <c r="L632">
        <v>15120</v>
      </c>
      <c r="M632">
        <v>20</v>
      </c>
      <c r="N632">
        <v>20</v>
      </c>
      <c r="O632">
        <v>10</v>
      </c>
      <c r="P632">
        <v>10</v>
      </c>
      <c r="Q632">
        <v>2</v>
      </c>
      <c r="R632">
        <v>5</v>
      </c>
      <c r="S632">
        <v>5</v>
      </c>
      <c r="T632">
        <v>0</v>
      </c>
      <c r="U632">
        <v>100</v>
      </c>
      <c r="V632">
        <v>118</v>
      </c>
      <c r="W632">
        <v>110</v>
      </c>
      <c r="X632">
        <v>100</v>
      </c>
      <c r="Y632">
        <v>132</v>
      </c>
      <c r="Z632">
        <v>110</v>
      </c>
      <c r="AA632">
        <v>0</v>
      </c>
      <c r="AB632">
        <v>15</v>
      </c>
      <c r="AC632">
        <v>40</v>
      </c>
      <c r="AD632">
        <v>0</v>
      </c>
      <c r="AE632">
        <v>145</v>
      </c>
      <c r="AF632">
        <v>100</v>
      </c>
      <c r="AG632">
        <v>992495</v>
      </c>
      <c r="AH632">
        <v>992501</v>
      </c>
      <c r="AI632">
        <v>108502</v>
      </c>
      <c r="AJ632" t="s">
        <v>8993</v>
      </c>
      <c r="AK632" t="s">
        <v>8987</v>
      </c>
      <c r="AL632">
        <v>14</v>
      </c>
      <c r="AM632" t="s">
        <v>4719</v>
      </c>
      <c r="AN632" t="s">
        <v>8994</v>
      </c>
      <c r="AO632" t="s">
        <v>8995</v>
      </c>
      <c r="AP632">
        <v>0</v>
      </c>
      <c r="AQ632" t="s">
        <v>1130</v>
      </c>
      <c r="AR632" t="s">
        <v>1154</v>
      </c>
      <c r="AS632" t="s">
        <v>1744</v>
      </c>
      <c r="AT632" t="s">
        <v>328</v>
      </c>
      <c r="AU632">
        <v>206</v>
      </c>
      <c r="AV632">
        <v>0</v>
      </c>
      <c r="AW632" t="s">
        <v>4818</v>
      </c>
      <c r="AX632" t="s">
        <v>5416</v>
      </c>
      <c r="AY632">
        <v>6</v>
      </c>
      <c r="AZ632">
        <v>3206</v>
      </c>
      <c r="BA632" t="s">
        <v>328</v>
      </c>
      <c r="BB632" t="s">
        <v>5153</v>
      </c>
      <c r="BC632" t="s">
        <v>5149</v>
      </c>
      <c r="BD632">
        <v>0</v>
      </c>
      <c r="BE632">
        <v>0</v>
      </c>
    </row>
    <row r="633" spans="1:57" x14ac:dyDescent="0.3">
      <c r="A633">
        <v>20162</v>
      </c>
      <c r="B633" t="s">
        <v>9016</v>
      </c>
      <c r="C633" s="208" t="s">
        <v>9017</v>
      </c>
      <c r="D633" t="s">
        <v>9017</v>
      </c>
      <c r="E633" t="s">
        <v>9014</v>
      </c>
      <c r="F633" t="s">
        <v>9015</v>
      </c>
      <c r="G633" t="s">
        <v>9018</v>
      </c>
      <c r="H633" t="s">
        <v>9019</v>
      </c>
      <c r="I633" t="s">
        <v>9020</v>
      </c>
      <c r="J633">
        <v>6</v>
      </c>
      <c r="K633">
        <v>5</v>
      </c>
      <c r="L633">
        <v>27600</v>
      </c>
      <c r="M633">
        <v>30</v>
      </c>
      <c r="N633">
        <v>40</v>
      </c>
      <c r="O633">
        <v>15</v>
      </c>
      <c r="P633">
        <v>25</v>
      </c>
      <c r="Q633">
        <v>5</v>
      </c>
      <c r="R633">
        <v>2</v>
      </c>
      <c r="S633">
        <v>5</v>
      </c>
      <c r="T633">
        <v>5</v>
      </c>
      <c r="U633">
        <v>125</v>
      </c>
      <c r="V633">
        <v>120</v>
      </c>
      <c r="W633">
        <v>125</v>
      </c>
      <c r="X633">
        <v>100</v>
      </c>
      <c r="Y633">
        <v>122</v>
      </c>
      <c r="Z633">
        <v>85</v>
      </c>
      <c r="AA633">
        <v>123</v>
      </c>
      <c r="AB633">
        <v>15</v>
      </c>
      <c r="AC633">
        <v>40</v>
      </c>
      <c r="AD633">
        <v>4</v>
      </c>
      <c r="AE633">
        <v>105</v>
      </c>
      <c r="AF633">
        <v>100</v>
      </c>
      <c r="AG633">
        <v>992510</v>
      </c>
      <c r="AH633">
        <v>992514</v>
      </c>
      <c r="AI633">
        <v>300106</v>
      </c>
      <c r="AJ633" t="s">
        <v>9021</v>
      </c>
      <c r="AK633" t="s">
        <v>9022</v>
      </c>
      <c r="AL633">
        <v>9</v>
      </c>
      <c r="AM633" t="s">
        <v>4716</v>
      </c>
      <c r="AN633" t="s">
        <v>5467</v>
      </c>
      <c r="AO633" t="s">
        <v>7161</v>
      </c>
      <c r="AP633">
        <v>0</v>
      </c>
      <c r="AQ633" t="s">
        <v>5067</v>
      </c>
      <c r="AR633" t="s">
        <v>1201</v>
      </c>
      <c r="AS633" t="s">
        <v>6968</v>
      </c>
      <c r="AT633" t="s">
        <v>328</v>
      </c>
      <c r="AU633">
        <v>162</v>
      </c>
      <c r="AV633">
        <v>0</v>
      </c>
      <c r="AW633" t="s">
        <v>5061</v>
      </c>
      <c r="AX633" t="s">
        <v>5416</v>
      </c>
      <c r="AY633">
        <v>5</v>
      </c>
      <c r="AZ633">
        <v>3162</v>
      </c>
      <c r="BA633" t="s">
        <v>328</v>
      </c>
      <c r="BB633" t="s">
        <v>4716</v>
      </c>
      <c r="BC633" t="s">
        <v>4739</v>
      </c>
      <c r="BD633">
        <v>0</v>
      </c>
      <c r="BE633">
        <v>0</v>
      </c>
    </row>
    <row r="634" spans="1:57" x14ac:dyDescent="0.3">
      <c r="A634">
        <v>403</v>
      </c>
      <c r="B634" t="s">
        <v>9072</v>
      </c>
      <c r="C634" s="208" t="s">
        <v>9073</v>
      </c>
      <c r="D634" t="s">
        <v>9074</v>
      </c>
      <c r="E634" t="s">
        <v>328</v>
      </c>
      <c r="F634" t="s">
        <v>328</v>
      </c>
      <c r="G634" t="s">
        <v>9075</v>
      </c>
      <c r="H634" t="s">
        <v>9076</v>
      </c>
      <c r="I634" t="s">
        <v>9077</v>
      </c>
      <c r="J634">
        <v>3</v>
      </c>
      <c r="K634">
        <v>5</v>
      </c>
      <c r="L634">
        <v>16380</v>
      </c>
      <c r="M634">
        <v>15</v>
      </c>
      <c r="N634">
        <v>30</v>
      </c>
      <c r="O634">
        <v>10</v>
      </c>
      <c r="P634">
        <v>15</v>
      </c>
      <c r="Q634">
        <v>5</v>
      </c>
      <c r="R634">
        <v>2</v>
      </c>
      <c r="S634">
        <v>5</v>
      </c>
      <c r="T634">
        <v>0</v>
      </c>
      <c r="U634">
        <v>100</v>
      </c>
      <c r="V634">
        <v>115</v>
      </c>
      <c r="W634">
        <v>95</v>
      </c>
      <c r="X634">
        <v>100</v>
      </c>
      <c r="Y634">
        <v>115</v>
      </c>
      <c r="Z634">
        <v>115</v>
      </c>
      <c r="AA634">
        <v>0</v>
      </c>
      <c r="AB634">
        <v>15</v>
      </c>
      <c r="AC634">
        <v>40</v>
      </c>
      <c r="AD634">
        <v>0</v>
      </c>
      <c r="AE634">
        <v>132</v>
      </c>
      <c r="AF634">
        <v>115</v>
      </c>
      <c r="AG634">
        <v>1002701</v>
      </c>
      <c r="AH634">
        <v>0</v>
      </c>
      <c r="AI634">
        <v>1002702</v>
      </c>
      <c r="AJ634" t="s">
        <v>9078</v>
      </c>
      <c r="AK634" t="s">
        <v>9079</v>
      </c>
      <c r="AL634">
        <v>13</v>
      </c>
      <c r="AM634" t="s">
        <v>470</v>
      </c>
      <c r="AN634" t="s">
        <v>5726</v>
      </c>
      <c r="AO634" t="s">
        <v>9080</v>
      </c>
      <c r="AP634">
        <v>0</v>
      </c>
      <c r="AQ634" t="s">
        <v>1140</v>
      </c>
      <c r="AR634" t="s">
        <v>1141</v>
      </c>
      <c r="AS634" t="s">
        <v>1142</v>
      </c>
      <c r="AT634" t="s">
        <v>328</v>
      </c>
      <c r="AU634">
        <v>50</v>
      </c>
      <c r="AV634">
        <v>0</v>
      </c>
      <c r="AW634" t="s">
        <v>9081</v>
      </c>
      <c r="AX634" t="s">
        <v>331</v>
      </c>
      <c r="AY634">
        <v>5</v>
      </c>
      <c r="AZ634">
        <v>0</v>
      </c>
      <c r="BA634" t="s">
        <v>328</v>
      </c>
      <c r="BB634" t="s">
        <v>328</v>
      </c>
      <c r="BC634" t="s">
        <v>328</v>
      </c>
      <c r="BD634">
        <v>10402</v>
      </c>
      <c r="BE634">
        <v>0</v>
      </c>
    </row>
    <row r="635" spans="1:57" x14ac:dyDescent="0.3">
      <c r="A635">
        <v>404</v>
      </c>
      <c r="B635" t="s">
        <v>9082</v>
      </c>
      <c r="C635" s="208" t="s">
        <v>9083</v>
      </c>
      <c r="D635" t="s">
        <v>9083</v>
      </c>
      <c r="E635" t="s">
        <v>328</v>
      </c>
      <c r="F635" t="s">
        <v>328</v>
      </c>
      <c r="G635" t="s">
        <v>9084</v>
      </c>
      <c r="H635" t="s">
        <v>9085</v>
      </c>
      <c r="I635" t="s">
        <v>9086</v>
      </c>
      <c r="J635">
        <v>4</v>
      </c>
      <c r="K635">
        <v>5</v>
      </c>
      <c r="L635">
        <v>15480</v>
      </c>
      <c r="M635">
        <v>20</v>
      </c>
      <c r="N635">
        <v>20</v>
      </c>
      <c r="O635">
        <v>10</v>
      </c>
      <c r="P635">
        <v>10</v>
      </c>
      <c r="Q635">
        <v>2</v>
      </c>
      <c r="R635">
        <v>5</v>
      </c>
      <c r="S635">
        <v>5</v>
      </c>
      <c r="T635">
        <v>0</v>
      </c>
      <c r="U635">
        <v>115</v>
      </c>
      <c r="V635">
        <v>122</v>
      </c>
      <c r="W635">
        <v>115</v>
      </c>
      <c r="X635">
        <v>100</v>
      </c>
      <c r="Y635">
        <v>125</v>
      </c>
      <c r="Z635">
        <v>105</v>
      </c>
      <c r="AA635">
        <v>0</v>
      </c>
      <c r="AB635">
        <v>15</v>
      </c>
      <c r="AC635">
        <v>20</v>
      </c>
      <c r="AD635">
        <v>0</v>
      </c>
      <c r="AE635">
        <v>118</v>
      </c>
      <c r="AF635">
        <v>100</v>
      </c>
      <c r="AG635">
        <v>1002501</v>
      </c>
      <c r="AH635">
        <v>0</v>
      </c>
      <c r="AI635">
        <v>300103</v>
      </c>
      <c r="AJ635" t="s">
        <v>9087</v>
      </c>
      <c r="AK635" t="s">
        <v>9088</v>
      </c>
      <c r="AL635">
        <v>14</v>
      </c>
      <c r="AM635" t="s">
        <v>398</v>
      </c>
      <c r="AN635" t="s">
        <v>9089</v>
      </c>
      <c r="AO635" t="s">
        <v>9090</v>
      </c>
      <c r="AP635">
        <v>0</v>
      </c>
      <c r="AQ635" t="s">
        <v>1130</v>
      </c>
      <c r="AR635" t="s">
        <v>1154</v>
      </c>
      <c r="AS635" t="s">
        <v>1129</v>
      </c>
      <c r="AT635" t="s">
        <v>328</v>
      </c>
      <c r="AU635">
        <v>62</v>
      </c>
      <c r="AV635">
        <v>0</v>
      </c>
      <c r="AW635" t="s">
        <v>9081</v>
      </c>
      <c r="AX635" t="s">
        <v>331</v>
      </c>
      <c r="AY635">
        <v>5</v>
      </c>
      <c r="AZ635">
        <v>0</v>
      </c>
      <c r="BA635" t="s">
        <v>328</v>
      </c>
      <c r="BB635" t="s">
        <v>328</v>
      </c>
      <c r="BC635" t="s">
        <v>4720</v>
      </c>
      <c r="BD635">
        <v>10202</v>
      </c>
      <c r="BE635">
        <v>0</v>
      </c>
    </row>
    <row r="636" spans="1:57" x14ac:dyDescent="0.3">
      <c r="A636">
        <v>405</v>
      </c>
      <c r="B636" t="s">
        <v>9091</v>
      </c>
      <c r="C636" s="208" t="s">
        <v>9092</v>
      </c>
      <c r="D636" t="s">
        <v>9093</v>
      </c>
      <c r="E636" t="s">
        <v>328</v>
      </c>
      <c r="F636" t="s">
        <v>328</v>
      </c>
      <c r="G636" t="s">
        <v>9094</v>
      </c>
      <c r="H636" t="s">
        <v>9095</v>
      </c>
      <c r="I636" t="s">
        <v>9096</v>
      </c>
      <c r="J636">
        <v>4</v>
      </c>
      <c r="K636">
        <v>4</v>
      </c>
      <c r="L636">
        <v>13740</v>
      </c>
      <c r="M636">
        <v>20</v>
      </c>
      <c r="N636">
        <v>20</v>
      </c>
      <c r="O636">
        <v>10</v>
      </c>
      <c r="P636">
        <v>10</v>
      </c>
      <c r="Q636">
        <v>2</v>
      </c>
      <c r="R636">
        <v>5</v>
      </c>
      <c r="S636">
        <v>5</v>
      </c>
      <c r="T636">
        <v>0</v>
      </c>
      <c r="U636">
        <v>105</v>
      </c>
      <c r="V636">
        <v>105</v>
      </c>
      <c r="W636">
        <v>118</v>
      </c>
      <c r="X636">
        <v>100</v>
      </c>
      <c r="Y636">
        <v>128</v>
      </c>
      <c r="Z636">
        <v>105</v>
      </c>
      <c r="AA636">
        <v>0</v>
      </c>
      <c r="AB636">
        <v>15</v>
      </c>
      <c r="AC636">
        <v>20</v>
      </c>
      <c r="AD636">
        <v>0</v>
      </c>
      <c r="AE636">
        <v>118</v>
      </c>
      <c r="AF636">
        <v>100</v>
      </c>
      <c r="AG636">
        <v>1002601</v>
      </c>
      <c r="AH636">
        <v>0</v>
      </c>
      <c r="AI636">
        <v>300103</v>
      </c>
      <c r="AJ636" t="s">
        <v>9097</v>
      </c>
      <c r="AK636" t="s">
        <v>328</v>
      </c>
      <c r="AL636">
        <v>19</v>
      </c>
      <c r="AM636" t="s">
        <v>1806</v>
      </c>
      <c r="AN636" t="s">
        <v>9098</v>
      </c>
      <c r="AO636" t="s">
        <v>9099</v>
      </c>
      <c r="AP636">
        <v>0</v>
      </c>
      <c r="AQ636" t="s">
        <v>1130</v>
      </c>
      <c r="AR636" t="s">
        <v>1154</v>
      </c>
      <c r="AS636" t="s">
        <v>1129</v>
      </c>
      <c r="AT636" t="s">
        <v>328</v>
      </c>
      <c r="AU636">
        <v>64</v>
      </c>
      <c r="AV636">
        <v>0</v>
      </c>
      <c r="AW636" t="s">
        <v>9081</v>
      </c>
      <c r="AX636" t="s">
        <v>331</v>
      </c>
      <c r="AY636">
        <v>4</v>
      </c>
      <c r="AZ636">
        <v>0</v>
      </c>
      <c r="BA636" t="s">
        <v>328</v>
      </c>
      <c r="BB636" t="s">
        <v>328</v>
      </c>
      <c r="BC636" t="s">
        <v>328</v>
      </c>
      <c r="BD636">
        <v>10402</v>
      </c>
      <c r="BE636">
        <v>0</v>
      </c>
    </row>
    <row r="637" spans="1:57" x14ac:dyDescent="0.3">
      <c r="A637">
        <v>406</v>
      </c>
      <c r="B637" t="s">
        <v>9100</v>
      </c>
      <c r="C637" s="208" t="s">
        <v>9101</v>
      </c>
      <c r="D637" t="s">
        <v>9101</v>
      </c>
      <c r="E637" t="s">
        <v>328</v>
      </c>
      <c r="F637" t="s">
        <v>328</v>
      </c>
      <c r="G637" t="s">
        <v>9102</v>
      </c>
      <c r="H637" t="s">
        <v>9103</v>
      </c>
      <c r="I637" t="s">
        <v>9104</v>
      </c>
      <c r="J637">
        <v>5</v>
      </c>
      <c r="K637">
        <v>5</v>
      </c>
      <c r="L637">
        <v>24960</v>
      </c>
      <c r="M637">
        <v>40</v>
      </c>
      <c r="N637">
        <v>30</v>
      </c>
      <c r="O637">
        <v>25</v>
      </c>
      <c r="P637">
        <v>15</v>
      </c>
      <c r="Q637">
        <v>5</v>
      </c>
      <c r="R637">
        <v>5</v>
      </c>
      <c r="S637">
        <v>2</v>
      </c>
      <c r="T637">
        <v>5</v>
      </c>
      <c r="U637">
        <v>105</v>
      </c>
      <c r="V637">
        <v>105</v>
      </c>
      <c r="W637">
        <v>135</v>
      </c>
      <c r="X637">
        <v>100</v>
      </c>
      <c r="Y637">
        <v>105</v>
      </c>
      <c r="Z637">
        <v>85</v>
      </c>
      <c r="AA637">
        <v>0</v>
      </c>
      <c r="AB637">
        <v>15</v>
      </c>
      <c r="AC637">
        <v>5</v>
      </c>
      <c r="AD637">
        <v>12</v>
      </c>
      <c r="AE637">
        <v>135</v>
      </c>
      <c r="AF637">
        <v>100</v>
      </c>
      <c r="AG637">
        <v>1002801</v>
      </c>
      <c r="AH637">
        <v>0</v>
      </c>
      <c r="AI637">
        <v>1002803</v>
      </c>
      <c r="AJ637" t="s">
        <v>9105</v>
      </c>
      <c r="AK637" t="s">
        <v>9106</v>
      </c>
      <c r="AL637">
        <v>19</v>
      </c>
      <c r="AM637" t="s">
        <v>4858</v>
      </c>
      <c r="AN637" t="s">
        <v>9107</v>
      </c>
      <c r="AO637" t="s">
        <v>5155</v>
      </c>
      <c r="AP637">
        <v>0</v>
      </c>
      <c r="AQ637" t="s">
        <v>1167</v>
      </c>
      <c r="AR637" t="s">
        <v>1168</v>
      </c>
      <c r="AS637" t="s">
        <v>6967</v>
      </c>
      <c r="AT637" t="s">
        <v>328</v>
      </c>
      <c r="AU637">
        <v>109</v>
      </c>
      <c r="AV637">
        <v>0</v>
      </c>
      <c r="AW637" t="s">
        <v>9081</v>
      </c>
      <c r="AX637" t="s">
        <v>331</v>
      </c>
      <c r="AY637">
        <v>5</v>
      </c>
      <c r="AZ637">
        <v>0</v>
      </c>
      <c r="BA637" t="s">
        <v>328</v>
      </c>
      <c r="BB637" t="s">
        <v>328</v>
      </c>
      <c r="BC637" t="s">
        <v>4720</v>
      </c>
      <c r="BD637">
        <v>10202</v>
      </c>
      <c r="BE637">
        <v>0</v>
      </c>
    </row>
    <row r="638" spans="1:57" x14ac:dyDescent="0.3">
      <c r="A638">
        <v>20196</v>
      </c>
      <c r="B638" t="s">
        <v>9114</v>
      </c>
      <c r="C638" s="208" t="s">
        <v>9149</v>
      </c>
      <c r="D638" t="s">
        <v>9115</v>
      </c>
      <c r="E638" t="s">
        <v>9112</v>
      </c>
      <c r="F638" t="s">
        <v>9113</v>
      </c>
      <c r="G638" t="s">
        <v>9116</v>
      </c>
      <c r="H638" t="s">
        <v>9117</v>
      </c>
      <c r="I638" t="s">
        <v>9118</v>
      </c>
      <c r="J638">
        <v>4</v>
      </c>
      <c r="K638">
        <v>6</v>
      </c>
      <c r="L638">
        <v>14700</v>
      </c>
      <c r="M638">
        <v>20</v>
      </c>
      <c r="N638">
        <v>20</v>
      </c>
      <c r="O638">
        <v>10</v>
      </c>
      <c r="P638">
        <v>10</v>
      </c>
      <c r="Q638">
        <v>2</v>
      </c>
      <c r="R638">
        <v>5</v>
      </c>
      <c r="S638">
        <v>5</v>
      </c>
      <c r="T638">
        <v>0</v>
      </c>
      <c r="U638">
        <v>110</v>
      </c>
      <c r="V638">
        <v>133</v>
      </c>
      <c r="W638">
        <v>108</v>
      </c>
      <c r="X638">
        <v>100</v>
      </c>
      <c r="Y638">
        <v>118</v>
      </c>
      <c r="Z638">
        <v>95</v>
      </c>
      <c r="AA638">
        <v>0</v>
      </c>
      <c r="AB638">
        <v>15</v>
      </c>
      <c r="AC638">
        <v>40</v>
      </c>
      <c r="AD638">
        <v>0</v>
      </c>
      <c r="AE638">
        <v>132</v>
      </c>
      <c r="AF638">
        <v>100</v>
      </c>
      <c r="AG638">
        <v>992515</v>
      </c>
      <c r="AH638">
        <v>992517</v>
      </c>
      <c r="AI638">
        <v>300103</v>
      </c>
      <c r="AJ638" t="s">
        <v>9119</v>
      </c>
      <c r="AK638" t="s">
        <v>1221</v>
      </c>
      <c r="AL638">
        <v>13</v>
      </c>
      <c r="AM638" t="s">
        <v>4719</v>
      </c>
      <c r="AN638" t="s">
        <v>9120</v>
      </c>
      <c r="AO638" t="s">
        <v>9121</v>
      </c>
      <c r="AP638">
        <v>0</v>
      </c>
      <c r="AQ638" t="s">
        <v>1130</v>
      </c>
      <c r="AR638" t="s">
        <v>1154</v>
      </c>
      <c r="AS638" t="s">
        <v>1744</v>
      </c>
      <c r="AT638" t="s">
        <v>328</v>
      </c>
      <c r="AU638">
        <v>196</v>
      </c>
      <c r="AV638">
        <v>0</v>
      </c>
      <c r="AW638" t="s">
        <v>5033</v>
      </c>
      <c r="AX638" t="s">
        <v>5416</v>
      </c>
      <c r="AY638">
        <v>6</v>
      </c>
      <c r="AZ638">
        <v>3196</v>
      </c>
      <c r="BA638" t="s">
        <v>328</v>
      </c>
      <c r="BB638" t="s">
        <v>4881</v>
      </c>
      <c r="BC638" t="s">
        <v>328</v>
      </c>
      <c r="BD638">
        <v>0</v>
      </c>
      <c r="BE638">
        <v>0</v>
      </c>
    </row>
    <row r="639" spans="1:57" x14ac:dyDescent="0.3">
      <c r="A639">
        <v>1045</v>
      </c>
      <c r="B639" t="s">
        <v>9156</v>
      </c>
      <c r="C639" s="208" t="s">
        <v>9157</v>
      </c>
      <c r="D639" t="s">
        <v>9157</v>
      </c>
      <c r="E639" t="s">
        <v>328</v>
      </c>
      <c r="F639" t="s">
        <v>328</v>
      </c>
      <c r="G639" t="s">
        <v>9158</v>
      </c>
      <c r="H639" t="s">
        <v>9159</v>
      </c>
      <c r="I639" t="s">
        <v>9160</v>
      </c>
      <c r="J639">
        <v>1</v>
      </c>
      <c r="K639">
        <v>5</v>
      </c>
      <c r="L639">
        <v>3600</v>
      </c>
      <c r="M639">
        <v>10</v>
      </c>
      <c r="N639">
        <v>10</v>
      </c>
      <c r="O639">
        <v>5</v>
      </c>
      <c r="P639">
        <v>5</v>
      </c>
      <c r="Q639">
        <v>2</v>
      </c>
      <c r="R639">
        <v>2</v>
      </c>
      <c r="S639">
        <v>2</v>
      </c>
      <c r="T639">
        <v>0</v>
      </c>
      <c r="U639">
        <v>120</v>
      </c>
      <c r="V639">
        <v>110</v>
      </c>
      <c r="W639">
        <v>110</v>
      </c>
      <c r="X639">
        <v>100</v>
      </c>
      <c r="Y639">
        <v>110</v>
      </c>
      <c r="Z639">
        <v>120</v>
      </c>
      <c r="AA639">
        <v>0</v>
      </c>
      <c r="AB639">
        <v>15</v>
      </c>
      <c r="AC639">
        <v>20</v>
      </c>
      <c r="AD639">
        <v>0</v>
      </c>
      <c r="AE639">
        <v>120</v>
      </c>
      <c r="AF639">
        <v>100</v>
      </c>
      <c r="AG639">
        <v>1003501</v>
      </c>
      <c r="AH639">
        <v>0</v>
      </c>
      <c r="AI639">
        <v>1003514</v>
      </c>
      <c r="AJ639" t="s">
        <v>9161</v>
      </c>
      <c r="AK639" t="s">
        <v>9162</v>
      </c>
      <c r="AL639">
        <v>13</v>
      </c>
      <c r="AM639" t="s">
        <v>1806</v>
      </c>
      <c r="AN639" t="s">
        <v>9163</v>
      </c>
      <c r="AO639" t="s">
        <v>4817</v>
      </c>
      <c r="AP639">
        <v>0</v>
      </c>
      <c r="AQ639" t="s">
        <v>1118</v>
      </c>
      <c r="AR639" t="s">
        <v>1119</v>
      </c>
      <c r="AS639" t="s">
        <v>4761</v>
      </c>
      <c r="AT639" t="s">
        <v>328</v>
      </c>
      <c r="AU639">
        <v>1006</v>
      </c>
      <c r="AV639">
        <v>1</v>
      </c>
      <c r="AW639" t="s">
        <v>9164</v>
      </c>
      <c r="AX639" t="s">
        <v>9165</v>
      </c>
      <c r="AY639">
        <v>7</v>
      </c>
      <c r="AZ639">
        <v>0</v>
      </c>
      <c r="BA639" t="s">
        <v>328</v>
      </c>
      <c r="BB639" t="s">
        <v>328</v>
      </c>
      <c r="BC639" t="s">
        <v>5386</v>
      </c>
      <c r="BD639">
        <v>0</v>
      </c>
      <c r="BE639">
        <v>0</v>
      </c>
    </row>
    <row r="640" spans="1:57" x14ac:dyDescent="0.3">
      <c r="A640">
        <v>1046</v>
      </c>
      <c r="B640" t="s">
        <v>9166</v>
      </c>
      <c r="C640" s="208" t="s">
        <v>9167</v>
      </c>
      <c r="D640" t="s">
        <v>9167</v>
      </c>
      <c r="E640" t="s">
        <v>328</v>
      </c>
      <c r="F640" t="s">
        <v>328</v>
      </c>
      <c r="G640" t="s">
        <v>9168</v>
      </c>
      <c r="H640" t="s">
        <v>9169</v>
      </c>
      <c r="I640" t="s">
        <v>9170</v>
      </c>
      <c r="J640">
        <v>2</v>
      </c>
      <c r="K640">
        <v>5</v>
      </c>
      <c r="L640">
        <v>9300</v>
      </c>
      <c r="M640">
        <v>25</v>
      </c>
      <c r="N640">
        <v>20</v>
      </c>
      <c r="O640">
        <v>15</v>
      </c>
      <c r="P640">
        <v>10</v>
      </c>
      <c r="Q640">
        <v>5</v>
      </c>
      <c r="R640">
        <v>5</v>
      </c>
      <c r="S640">
        <v>2</v>
      </c>
      <c r="T640">
        <v>0</v>
      </c>
      <c r="U640">
        <v>145</v>
      </c>
      <c r="V640">
        <v>105</v>
      </c>
      <c r="W640">
        <v>100</v>
      </c>
      <c r="X640">
        <v>100</v>
      </c>
      <c r="Y640">
        <v>135</v>
      </c>
      <c r="Z640">
        <v>95</v>
      </c>
      <c r="AA640">
        <v>0</v>
      </c>
      <c r="AB640">
        <v>15</v>
      </c>
      <c r="AC640">
        <v>5</v>
      </c>
      <c r="AD640">
        <v>0</v>
      </c>
      <c r="AE640">
        <v>112</v>
      </c>
      <c r="AF640">
        <v>100</v>
      </c>
      <c r="AG640">
        <v>1003620</v>
      </c>
      <c r="AH640">
        <v>0</v>
      </c>
      <c r="AI640">
        <v>1003602</v>
      </c>
      <c r="AJ640" t="s">
        <v>9171</v>
      </c>
      <c r="AK640" t="s">
        <v>328</v>
      </c>
      <c r="AL640">
        <v>13</v>
      </c>
      <c r="AM640" t="s">
        <v>398</v>
      </c>
      <c r="AN640" t="s">
        <v>4795</v>
      </c>
      <c r="AO640" t="s">
        <v>5742</v>
      </c>
      <c r="AP640">
        <v>0</v>
      </c>
      <c r="AQ640" t="s">
        <v>1744</v>
      </c>
      <c r="AR640" t="s">
        <v>1743</v>
      </c>
      <c r="AS640" t="s">
        <v>1745</v>
      </c>
      <c r="AT640" t="s">
        <v>328</v>
      </c>
      <c r="AU640">
        <v>1028</v>
      </c>
      <c r="AV640">
        <v>1</v>
      </c>
      <c r="AW640" t="s">
        <v>9164</v>
      </c>
      <c r="AX640" t="s">
        <v>9172</v>
      </c>
      <c r="AY640">
        <v>7</v>
      </c>
      <c r="AZ640">
        <v>0</v>
      </c>
      <c r="BA640" t="s">
        <v>328</v>
      </c>
      <c r="BB640" t="s">
        <v>328</v>
      </c>
      <c r="BC640" t="s">
        <v>5386</v>
      </c>
      <c r="BD640">
        <v>0</v>
      </c>
      <c r="BE640">
        <v>0</v>
      </c>
    </row>
    <row r="641" spans="1:57" x14ac:dyDescent="0.3">
      <c r="A641">
        <v>20288</v>
      </c>
      <c r="B641" t="s">
        <v>9173</v>
      </c>
      <c r="C641" s="208" t="s">
        <v>9174</v>
      </c>
      <c r="D641" t="s">
        <v>9174</v>
      </c>
      <c r="E641" t="s">
        <v>328</v>
      </c>
      <c r="F641" t="s">
        <v>328</v>
      </c>
      <c r="G641" t="s">
        <v>9175</v>
      </c>
      <c r="H641" t="s">
        <v>9176</v>
      </c>
      <c r="I641" t="s">
        <v>9177</v>
      </c>
      <c r="J641">
        <v>4</v>
      </c>
      <c r="K641">
        <v>5</v>
      </c>
      <c r="L641">
        <v>12900</v>
      </c>
      <c r="M641">
        <v>20</v>
      </c>
      <c r="N641">
        <v>20</v>
      </c>
      <c r="O641">
        <v>10</v>
      </c>
      <c r="P641">
        <v>10</v>
      </c>
      <c r="Q641">
        <v>2</v>
      </c>
      <c r="R641">
        <v>5</v>
      </c>
      <c r="S641">
        <v>5</v>
      </c>
      <c r="T641">
        <v>0</v>
      </c>
      <c r="U641">
        <v>100</v>
      </c>
      <c r="V641">
        <v>115</v>
      </c>
      <c r="W641">
        <v>122</v>
      </c>
      <c r="X641">
        <v>100</v>
      </c>
      <c r="Y641">
        <v>130</v>
      </c>
      <c r="Z641">
        <v>105</v>
      </c>
      <c r="AA641">
        <v>0</v>
      </c>
      <c r="AB641">
        <v>15</v>
      </c>
      <c r="AC641">
        <v>20</v>
      </c>
      <c r="AD641">
        <v>0</v>
      </c>
      <c r="AE641">
        <v>122</v>
      </c>
      <c r="AF641">
        <v>130</v>
      </c>
      <c r="AG641">
        <v>992521</v>
      </c>
      <c r="AH641">
        <v>992527</v>
      </c>
      <c r="AI641">
        <v>992522</v>
      </c>
      <c r="AJ641" t="s">
        <v>9155</v>
      </c>
      <c r="AK641" t="s">
        <v>9178</v>
      </c>
      <c r="AL641">
        <v>14</v>
      </c>
      <c r="AM641" t="s">
        <v>4719</v>
      </c>
      <c r="AN641" t="s">
        <v>5252</v>
      </c>
      <c r="AO641" t="s">
        <v>5454</v>
      </c>
      <c r="AP641">
        <v>0</v>
      </c>
      <c r="AQ641" t="s">
        <v>1130</v>
      </c>
      <c r="AR641" t="s">
        <v>1154</v>
      </c>
      <c r="AS641" t="s">
        <v>1744</v>
      </c>
      <c r="AT641" t="s">
        <v>328</v>
      </c>
      <c r="AU641">
        <v>48</v>
      </c>
      <c r="AV641">
        <v>0</v>
      </c>
      <c r="AW641" t="s">
        <v>5273</v>
      </c>
      <c r="AX641" t="s">
        <v>5416</v>
      </c>
      <c r="AY641">
        <v>5</v>
      </c>
      <c r="AZ641">
        <v>3288</v>
      </c>
      <c r="BA641" t="s">
        <v>328</v>
      </c>
      <c r="BB641" t="s">
        <v>328</v>
      </c>
      <c r="BC641" t="s">
        <v>328</v>
      </c>
      <c r="BD641">
        <v>0</v>
      </c>
      <c r="BE641">
        <v>0</v>
      </c>
    </row>
    <row r="642" spans="1:57" x14ac:dyDescent="0.3">
      <c r="A642">
        <v>20267</v>
      </c>
      <c r="B642" t="s">
        <v>9225</v>
      </c>
      <c r="C642" s="208" t="s">
        <v>9226</v>
      </c>
      <c r="D642" t="s">
        <v>9226</v>
      </c>
      <c r="E642" t="s">
        <v>328</v>
      </c>
      <c r="F642" t="s">
        <v>328</v>
      </c>
      <c r="G642" t="s">
        <v>9227</v>
      </c>
      <c r="H642" t="s">
        <v>9228</v>
      </c>
      <c r="I642" t="s">
        <v>9229</v>
      </c>
      <c r="J642">
        <v>2</v>
      </c>
      <c r="K642">
        <v>4</v>
      </c>
      <c r="L642">
        <v>7500</v>
      </c>
      <c r="M642">
        <v>25</v>
      </c>
      <c r="N642">
        <v>20</v>
      </c>
      <c r="O642">
        <v>15</v>
      </c>
      <c r="P642">
        <v>10</v>
      </c>
      <c r="Q642">
        <v>5</v>
      </c>
      <c r="R642">
        <v>5</v>
      </c>
      <c r="S642">
        <v>2</v>
      </c>
      <c r="T642">
        <v>0</v>
      </c>
      <c r="U642">
        <v>110</v>
      </c>
      <c r="V642">
        <v>118</v>
      </c>
      <c r="W642">
        <v>110</v>
      </c>
      <c r="X642">
        <v>100</v>
      </c>
      <c r="Y642">
        <v>100</v>
      </c>
      <c r="Z642">
        <v>110</v>
      </c>
      <c r="AA642">
        <v>0</v>
      </c>
      <c r="AB642">
        <v>15</v>
      </c>
      <c r="AC642">
        <v>5</v>
      </c>
      <c r="AD642">
        <v>0</v>
      </c>
      <c r="AE642">
        <v>120</v>
      </c>
      <c r="AF642">
        <v>100</v>
      </c>
      <c r="AG642">
        <v>992529</v>
      </c>
      <c r="AH642">
        <v>992530</v>
      </c>
      <c r="AI642">
        <v>300102</v>
      </c>
      <c r="AJ642" t="s">
        <v>9230</v>
      </c>
      <c r="AK642" t="s">
        <v>328</v>
      </c>
      <c r="AL642">
        <v>13</v>
      </c>
      <c r="AM642" t="s">
        <v>4790</v>
      </c>
      <c r="AN642" t="s">
        <v>4795</v>
      </c>
      <c r="AO642" t="s">
        <v>9231</v>
      </c>
      <c r="AP642">
        <v>0</v>
      </c>
      <c r="AQ642" t="s">
        <v>1744</v>
      </c>
      <c r="AR642" t="s">
        <v>1119</v>
      </c>
      <c r="AS642" t="s">
        <v>1130</v>
      </c>
      <c r="AT642" t="s">
        <v>328</v>
      </c>
      <c r="AU642">
        <v>116</v>
      </c>
      <c r="AV642">
        <v>0</v>
      </c>
      <c r="AW642" t="s">
        <v>5240</v>
      </c>
      <c r="AX642" t="s">
        <v>5416</v>
      </c>
      <c r="AY642">
        <v>4</v>
      </c>
      <c r="AZ642">
        <v>3267</v>
      </c>
      <c r="BA642" t="s">
        <v>328</v>
      </c>
      <c r="BB642" t="s">
        <v>328</v>
      </c>
      <c r="BC642" t="s">
        <v>4769</v>
      </c>
      <c r="BD642">
        <v>0</v>
      </c>
      <c r="BE642">
        <v>0</v>
      </c>
    </row>
  </sheetData>
  <autoFilter ref="A1:BD429" xr:uid="{758A8C06-F23F-4131-92FF-72A91D6332E2}">
    <sortState xmlns:xlrd2="http://schemas.microsoft.com/office/spreadsheetml/2017/richdata2" ref="A2:BD556">
      <sortCondition ref="A1:A429"/>
    </sortState>
  </autoFilter>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37D32-2069-40C2-9A92-99F1BB300981}">
  <sheetPr codeName="Sheet20">
    <tabColor theme="8" tint="0.79998168889431442"/>
  </sheetPr>
  <dimension ref="A1:BI57"/>
  <sheetViews>
    <sheetView topLeftCell="S1" workbookViewId="0">
      <pane ySplit="1" topLeftCell="A44" activePane="bottomLeft" state="frozen"/>
      <selection pane="bottomLeft"/>
    </sheetView>
  </sheetViews>
  <sheetFormatPr defaultRowHeight="14.4" x14ac:dyDescent="0.3"/>
  <cols>
    <col min="1" max="1" width="7.33203125" bestFit="1" customWidth="1"/>
    <col min="2" max="2" width="16.33203125" bestFit="1" customWidth="1"/>
    <col min="3" max="3" width="19.109375" bestFit="1" customWidth="1"/>
    <col min="4" max="4" width="21.88671875" bestFit="1" customWidth="1"/>
    <col min="5" max="5" width="16.33203125" bestFit="1" customWidth="1"/>
    <col min="6" max="6" width="13.33203125" bestFit="1" customWidth="1"/>
    <col min="7" max="7" width="10.109375" bestFit="1" customWidth="1"/>
    <col min="8" max="8" width="17.44140625" bestFit="1" customWidth="1"/>
    <col min="9" max="9" width="11" bestFit="1" customWidth="1"/>
    <col min="10" max="10" width="9.5546875" bestFit="1" customWidth="1"/>
    <col min="11" max="11" width="13.6640625" bestFit="1" customWidth="1"/>
    <col min="12" max="12" width="14.44140625" bestFit="1" customWidth="1"/>
    <col min="13" max="13" width="14.6640625" bestFit="1" customWidth="1"/>
    <col min="14" max="14" width="16.33203125" bestFit="1" customWidth="1"/>
    <col min="15" max="15" width="12.33203125" bestFit="1" customWidth="1"/>
    <col min="16" max="16" width="12" bestFit="1" customWidth="1"/>
    <col min="17" max="17" width="9.44140625" bestFit="1" customWidth="1"/>
    <col min="18" max="18" width="10.109375" bestFit="1" customWidth="1"/>
    <col min="19" max="19" width="15.109375" bestFit="1" customWidth="1"/>
    <col min="20" max="21" width="10.109375" bestFit="1" customWidth="1"/>
    <col min="22" max="22" width="17.44140625" bestFit="1" customWidth="1"/>
    <col min="23" max="23" width="19.44140625" bestFit="1" customWidth="1"/>
    <col min="24" max="24" width="47.6640625" bestFit="1" customWidth="1"/>
    <col min="25" max="25" width="34.109375" bestFit="1" customWidth="1"/>
    <col min="26" max="26" width="18.33203125" bestFit="1" customWidth="1"/>
    <col min="27" max="27" width="15.33203125" bestFit="1" customWidth="1"/>
    <col min="28" max="28" width="13.33203125" bestFit="1" customWidth="1"/>
    <col min="29" max="29" width="27.88671875" bestFit="1" customWidth="1"/>
    <col min="30" max="30" width="25.6640625" bestFit="1" customWidth="1"/>
    <col min="31" max="31" width="13" bestFit="1" customWidth="1"/>
    <col min="32" max="32" width="14.5546875" bestFit="1" customWidth="1"/>
    <col min="33" max="33" width="14.33203125" bestFit="1" customWidth="1"/>
    <col min="34" max="34" width="13.109375" bestFit="1" customWidth="1"/>
    <col min="35" max="35" width="16.33203125" bestFit="1" customWidth="1"/>
    <col min="36" max="36" width="16" bestFit="1" customWidth="1"/>
    <col min="37" max="37" width="19.109375" bestFit="1" customWidth="1"/>
    <col min="38" max="38" width="8.44140625" bestFit="1" customWidth="1"/>
    <col min="39" max="39" width="13.33203125" bestFit="1" customWidth="1"/>
    <col min="40" max="40" width="13.5546875" bestFit="1" customWidth="1"/>
    <col min="41" max="41" width="13.88671875" bestFit="1" customWidth="1"/>
    <col min="42" max="42" width="9.44140625" bestFit="1" customWidth="1"/>
    <col min="43" max="43" width="19.88671875" bestFit="1" customWidth="1"/>
    <col min="44" max="44" width="20.6640625" bestFit="1" customWidth="1"/>
    <col min="45" max="45" width="13.44140625" bestFit="1" customWidth="1"/>
    <col min="46" max="46" width="15" bestFit="1" customWidth="1"/>
    <col min="47" max="47" width="29.44140625" bestFit="1" customWidth="1"/>
    <col min="48" max="50" width="13" bestFit="1" customWidth="1"/>
    <col min="51" max="51" width="15.88671875" bestFit="1" customWidth="1"/>
    <col min="52" max="52" width="6" bestFit="1" customWidth="1"/>
    <col min="53" max="53" width="14.6640625" bestFit="1" customWidth="1"/>
    <col min="54" max="54" width="18.33203125" bestFit="1" customWidth="1"/>
    <col min="55" max="55" width="12.5546875" bestFit="1" customWidth="1"/>
    <col min="56" max="56" width="22.5546875" bestFit="1" customWidth="1"/>
    <col min="57" max="57" width="16" bestFit="1" customWidth="1"/>
    <col min="58" max="58" width="15" bestFit="1" customWidth="1"/>
    <col min="59" max="59" width="13.44140625" bestFit="1" customWidth="1"/>
    <col min="60" max="60" width="8.88671875" bestFit="1" customWidth="1"/>
  </cols>
  <sheetData>
    <row r="1" spans="1:61" x14ac:dyDescent="0.3">
      <c r="A1" s="38" t="s">
        <v>25</v>
      </c>
      <c r="B1" s="38" t="s">
        <v>1777</v>
      </c>
      <c r="C1" s="38" t="s">
        <v>219</v>
      </c>
      <c r="D1" s="38" t="s">
        <v>321</v>
      </c>
      <c r="E1" s="38" t="s">
        <v>2605</v>
      </c>
      <c r="F1" s="38" t="s">
        <v>2606</v>
      </c>
      <c r="G1" s="38" t="s">
        <v>2607</v>
      </c>
      <c r="H1" s="38" t="s">
        <v>2608</v>
      </c>
      <c r="I1" s="38" t="s">
        <v>4465</v>
      </c>
      <c r="J1" s="38" t="s">
        <v>61</v>
      </c>
      <c r="K1" s="38" t="s">
        <v>965</v>
      </c>
      <c r="L1" s="38" t="s">
        <v>966</v>
      </c>
      <c r="M1" s="38" t="s">
        <v>967</v>
      </c>
      <c r="N1" s="38" t="s">
        <v>968</v>
      </c>
      <c r="O1" s="38" t="s">
        <v>969</v>
      </c>
      <c r="P1" s="38" t="s">
        <v>4466</v>
      </c>
      <c r="Q1" s="38" t="s">
        <v>220</v>
      </c>
      <c r="R1" s="38" t="s">
        <v>41</v>
      </c>
      <c r="S1" s="38" t="s">
        <v>4467</v>
      </c>
      <c r="T1" s="38" t="s">
        <v>42</v>
      </c>
      <c r="U1" s="38" t="s">
        <v>879</v>
      </c>
      <c r="V1" s="38" t="s">
        <v>970</v>
      </c>
      <c r="W1" s="38" t="s">
        <v>4468</v>
      </c>
      <c r="X1" s="38" t="s">
        <v>4469</v>
      </c>
      <c r="Y1" s="38" t="s">
        <v>1114</v>
      </c>
      <c r="Z1" s="38" t="s">
        <v>1113</v>
      </c>
      <c r="AA1" s="38" t="s">
        <v>2609</v>
      </c>
      <c r="AB1" s="38" t="s">
        <v>2610</v>
      </c>
      <c r="AC1" s="38" t="s">
        <v>2611</v>
      </c>
      <c r="AD1" s="38" t="s">
        <v>2612</v>
      </c>
      <c r="AE1" s="38" t="s">
        <v>1696</v>
      </c>
      <c r="AF1" s="38" t="s">
        <v>1107</v>
      </c>
      <c r="AG1" s="38" t="s">
        <v>1108</v>
      </c>
      <c r="AH1" s="38" t="s">
        <v>1109</v>
      </c>
      <c r="AI1" s="38" t="s">
        <v>1110</v>
      </c>
      <c r="AJ1" s="38" t="s">
        <v>1111</v>
      </c>
      <c r="AK1" s="38" t="s">
        <v>221</v>
      </c>
      <c r="AL1" s="38" t="s">
        <v>2618</v>
      </c>
      <c r="AM1" s="38" t="s">
        <v>4470</v>
      </c>
      <c r="AN1" s="38" t="s">
        <v>1112</v>
      </c>
      <c r="AO1" s="10" t="s">
        <v>2617</v>
      </c>
      <c r="AP1" s="10" t="s">
        <v>2619</v>
      </c>
      <c r="AQ1" s="10" t="s">
        <v>4471</v>
      </c>
      <c r="AR1" s="10" t="s">
        <v>4472</v>
      </c>
      <c r="AS1" s="10" t="s">
        <v>2620</v>
      </c>
      <c r="AT1" s="10" t="s">
        <v>4473</v>
      </c>
      <c r="AU1" s="10" t="s">
        <v>2624</v>
      </c>
      <c r="AV1" s="10" t="s">
        <v>4474</v>
      </c>
      <c r="AW1" s="10" t="s">
        <v>4475</v>
      </c>
      <c r="AX1" s="10" t="s">
        <v>4476</v>
      </c>
      <c r="AY1" s="10" t="s">
        <v>4477</v>
      </c>
      <c r="AZ1" s="10" t="s">
        <v>2627</v>
      </c>
      <c r="BA1" s="10" t="s">
        <v>582</v>
      </c>
      <c r="BB1" s="10" t="s">
        <v>2628</v>
      </c>
      <c r="BC1" s="10" t="s">
        <v>2629</v>
      </c>
      <c r="BD1" s="10" t="s">
        <v>4478</v>
      </c>
      <c r="BE1" s="10" t="s">
        <v>4479</v>
      </c>
      <c r="BF1" s="10" t="s">
        <v>4480</v>
      </c>
      <c r="BG1" s="10" t="s">
        <v>4481</v>
      </c>
      <c r="BH1" s="10" t="s">
        <v>2635</v>
      </c>
    </row>
    <row r="2" spans="1:61" x14ac:dyDescent="0.3">
      <c r="A2">
        <v>1012</v>
      </c>
      <c r="B2" t="s">
        <v>4500</v>
      </c>
      <c r="C2" t="s">
        <v>985</v>
      </c>
      <c r="D2" t="s">
        <v>985</v>
      </c>
      <c r="E2" t="s">
        <v>4501</v>
      </c>
      <c r="G2" t="s">
        <v>4485</v>
      </c>
      <c r="H2" t="s">
        <v>4502</v>
      </c>
      <c r="I2">
        <v>1</v>
      </c>
      <c r="J2">
        <v>1</v>
      </c>
      <c r="K2" t="s">
        <v>972</v>
      </c>
      <c r="L2">
        <v>1</v>
      </c>
      <c r="M2">
        <v>112</v>
      </c>
      <c r="N2" t="s">
        <v>973</v>
      </c>
      <c r="O2">
        <v>10</v>
      </c>
      <c r="P2">
        <v>0</v>
      </c>
      <c r="Q2">
        <v>5</v>
      </c>
      <c r="R2">
        <v>902162</v>
      </c>
      <c r="S2">
        <v>2</v>
      </c>
      <c r="T2">
        <v>30010</v>
      </c>
      <c r="U2">
        <v>902165</v>
      </c>
      <c r="V2">
        <v>902166</v>
      </c>
      <c r="W2" t="s">
        <v>4503</v>
      </c>
      <c r="X2" t="s">
        <v>328</v>
      </c>
      <c r="Y2" t="s">
        <v>4504</v>
      </c>
      <c r="Z2">
        <v>902164</v>
      </c>
      <c r="AA2">
        <v>10</v>
      </c>
      <c r="AB2">
        <v>10</v>
      </c>
      <c r="AC2">
        <v>5</v>
      </c>
      <c r="AD2">
        <v>5</v>
      </c>
      <c r="AE2">
        <v>115</v>
      </c>
      <c r="AF2">
        <v>130</v>
      </c>
      <c r="AG2">
        <v>95</v>
      </c>
      <c r="AH2">
        <v>120</v>
      </c>
      <c r="AI2">
        <v>100</v>
      </c>
      <c r="AJ2">
        <v>0</v>
      </c>
      <c r="AK2">
        <v>50</v>
      </c>
      <c r="AL2">
        <v>30</v>
      </c>
      <c r="AM2">
        <v>150</v>
      </c>
      <c r="AN2">
        <v>100</v>
      </c>
      <c r="AO2">
        <v>15</v>
      </c>
      <c r="AP2">
        <v>0</v>
      </c>
      <c r="AQ2">
        <v>2</v>
      </c>
      <c r="AR2">
        <v>15</v>
      </c>
      <c r="AS2">
        <v>500</v>
      </c>
      <c r="AT2">
        <v>7</v>
      </c>
      <c r="AU2" t="s">
        <v>4505</v>
      </c>
      <c r="AV2" t="s">
        <v>4491</v>
      </c>
      <c r="AW2" t="s">
        <v>4491</v>
      </c>
      <c r="AX2" t="s">
        <v>4491</v>
      </c>
      <c r="AY2">
        <v>45</v>
      </c>
      <c r="AZ2">
        <v>11002</v>
      </c>
      <c r="BA2">
        <v>1</v>
      </c>
      <c r="BB2" t="s">
        <v>4492</v>
      </c>
      <c r="BC2" t="s">
        <v>1806</v>
      </c>
      <c r="BD2">
        <v>930012</v>
      </c>
      <c r="BE2" t="s">
        <v>4493</v>
      </c>
      <c r="BF2" t="s">
        <v>4494</v>
      </c>
      <c r="BG2">
        <v>100</v>
      </c>
      <c r="BH2">
        <v>10604</v>
      </c>
    </row>
    <row r="3" spans="1:61" x14ac:dyDescent="0.3">
      <c r="A3">
        <v>1008</v>
      </c>
      <c r="B3" t="s">
        <v>4506</v>
      </c>
      <c r="C3" t="s">
        <v>980</v>
      </c>
      <c r="D3" t="s">
        <v>980</v>
      </c>
      <c r="E3" t="s">
        <v>4507</v>
      </c>
      <c r="G3" t="s">
        <v>4485</v>
      </c>
      <c r="H3" t="s">
        <v>4508</v>
      </c>
      <c r="I3">
        <v>1</v>
      </c>
      <c r="J3">
        <v>1</v>
      </c>
      <c r="K3" t="s">
        <v>975</v>
      </c>
      <c r="L3">
        <v>1</v>
      </c>
      <c r="M3">
        <v>108</v>
      </c>
      <c r="N3" t="s">
        <v>973</v>
      </c>
      <c r="O3">
        <v>10</v>
      </c>
      <c r="P3">
        <v>0</v>
      </c>
      <c r="Q3">
        <v>5</v>
      </c>
      <c r="R3">
        <v>900921</v>
      </c>
      <c r="S3">
        <v>1</v>
      </c>
      <c r="T3">
        <v>900922</v>
      </c>
      <c r="U3">
        <v>900923</v>
      </c>
      <c r="V3">
        <v>900928</v>
      </c>
      <c r="W3" t="s">
        <v>4509</v>
      </c>
      <c r="X3" t="s">
        <v>4510</v>
      </c>
      <c r="Y3" t="s">
        <v>4511</v>
      </c>
      <c r="Z3">
        <v>900920</v>
      </c>
      <c r="AA3">
        <v>10</v>
      </c>
      <c r="AB3">
        <v>10</v>
      </c>
      <c r="AC3">
        <v>5</v>
      </c>
      <c r="AD3">
        <v>5</v>
      </c>
      <c r="AE3">
        <v>105</v>
      </c>
      <c r="AF3">
        <v>100</v>
      </c>
      <c r="AG3">
        <v>115</v>
      </c>
      <c r="AH3">
        <v>115</v>
      </c>
      <c r="AI3">
        <v>110</v>
      </c>
      <c r="AJ3">
        <v>0</v>
      </c>
      <c r="AK3">
        <v>60</v>
      </c>
      <c r="AL3">
        <v>40</v>
      </c>
      <c r="AM3">
        <v>150</v>
      </c>
      <c r="AN3">
        <v>100</v>
      </c>
      <c r="AO3">
        <v>18</v>
      </c>
      <c r="AP3">
        <v>0</v>
      </c>
      <c r="AQ3">
        <v>1</v>
      </c>
      <c r="AR3">
        <v>15</v>
      </c>
      <c r="AS3">
        <v>500</v>
      </c>
      <c r="AT3">
        <v>3</v>
      </c>
      <c r="AU3" t="s">
        <v>4512</v>
      </c>
      <c r="AV3" t="s">
        <v>4491</v>
      </c>
      <c r="AW3" t="s">
        <v>4491</v>
      </c>
      <c r="AX3" t="s">
        <v>4491</v>
      </c>
      <c r="AY3">
        <v>23</v>
      </c>
      <c r="AZ3">
        <v>11002</v>
      </c>
      <c r="BA3">
        <v>2</v>
      </c>
      <c r="BB3" t="s">
        <v>4492</v>
      </c>
      <c r="BC3" t="s">
        <v>1806</v>
      </c>
      <c r="BD3">
        <v>930008</v>
      </c>
      <c r="BE3" t="s">
        <v>4493</v>
      </c>
      <c r="BF3" t="s">
        <v>4494</v>
      </c>
      <c r="BG3">
        <v>100</v>
      </c>
      <c r="BH3">
        <v>10602</v>
      </c>
    </row>
    <row r="4" spans="1:61" x14ac:dyDescent="0.3">
      <c r="A4">
        <v>1006</v>
      </c>
      <c r="B4" t="s">
        <v>4513</v>
      </c>
      <c r="C4" t="s">
        <v>1695</v>
      </c>
      <c r="D4" t="s">
        <v>4514</v>
      </c>
      <c r="E4" t="s">
        <v>4515</v>
      </c>
      <c r="G4" t="s">
        <v>4485</v>
      </c>
      <c r="H4" t="s">
        <v>4516</v>
      </c>
      <c r="I4">
        <v>1</v>
      </c>
      <c r="J4">
        <v>1</v>
      </c>
      <c r="K4" t="s">
        <v>972</v>
      </c>
      <c r="L4">
        <v>1</v>
      </c>
      <c r="M4">
        <v>106</v>
      </c>
      <c r="N4" t="s">
        <v>973</v>
      </c>
      <c r="O4">
        <v>10</v>
      </c>
      <c r="P4">
        <v>0</v>
      </c>
      <c r="Q4">
        <v>5</v>
      </c>
      <c r="R4">
        <v>900783</v>
      </c>
      <c r="S4">
        <v>3</v>
      </c>
      <c r="T4">
        <v>1011</v>
      </c>
      <c r="U4">
        <v>900785</v>
      </c>
      <c r="V4">
        <v>900786</v>
      </c>
      <c r="W4" t="s">
        <v>4517</v>
      </c>
      <c r="X4" t="s">
        <v>4518</v>
      </c>
      <c r="Y4" t="s">
        <v>328</v>
      </c>
      <c r="Z4">
        <v>900780</v>
      </c>
      <c r="AA4">
        <v>10</v>
      </c>
      <c r="AB4">
        <v>10</v>
      </c>
      <c r="AC4">
        <v>5</v>
      </c>
      <c r="AD4">
        <v>5</v>
      </c>
      <c r="AE4">
        <v>110</v>
      </c>
      <c r="AF4">
        <v>120</v>
      </c>
      <c r="AG4">
        <v>110</v>
      </c>
      <c r="AH4">
        <v>105</v>
      </c>
      <c r="AI4">
        <v>70</v>
      </c>
      <c r="AJ4">
        <v>0</v>
      </c>
      <c r="AK4">
        <v>15</v>
      </c>
      <c r="AL4">
        <v>20</v>
      </c>
      <c r="AM4">
        <v>150</v>
      </c>
      <c r="AN4">
        <v>100</v>
      </c>
      <c r="AO4">
        <v>15</v>
      </c>
      <c r="AP4">
        <v>0</v>
      </c>
      <c r="AQ4">
        <v>2</v>
      </c>
      <c r="AR4">
        <v>15</v>
      </c>
      <c r="AS4">
        <v>500</v>
      </c>
      <c r="AT4">
        <v>7</v>
      </c>
      <c r="AU4" t="s">
        <v>4519</v>
      </c>
      <c r="AV4" t="s">
        <v>4491</v>
      </c>
      <c r="AW4" t="s">
        <v>4491</v>
      </c>
      <c r="AX4" t="s">
        <v>4491</v>
      </c>
      <c r="AY4">
        <v>27</v>
      </c>
      <c r="AZ4">
        <v>11002</v>
      </c>
      <c r="BA4">
        <v>1</v>
      </c>
      <c r="BB4" t="s">
        <v>4492</v>
      </c>
      <c r="BC4" t="s">
        <v>1806</v>
      </c>
      <c r="BD4">
        <v>930006</v>
      </c>
      <c r="BE4" t="s">
        <v>4493</v>
      </c>
      <c r="BF4" t="s">
        <v>4494</v>
      </c>
      <c r="BG4">
        <v>100</v>
      </c>
      <c r="BH4">
        <v>10603</v>
      </c>
    </row>
    <row r="5" spans="1:61" x14ac:dyDescent="0.3">
      <c r="A5">
        <v>1015</v>
      </c>
      <c r="B5" t="s">
        <v>4520</v>
      </c>
      <c r="C5" t="s">
        <v>1697</v>
      </c>
      <c r="D5" t="s">
        <v>4521</v>
      </c>
      <c r="E5" t="s">
        <v>4522</v>
      </c>
      <c r="G5" t="s">
        <v>4485</v>
      </c>
      <c r="H5" t="s">
        <v>4523</v>
      </c>
      <c r="I5">
        <v>1</v>
      </c>
      <c r="J5">
        <v>1</v>
      </c>
      <c r="K5" t="s">
        <v>972</v>
      </c>
      <c r="L5">
        <v>1</v>
      </c>
      <c r="M5">
        <v>115</v>
      </c>
      <c r="N5" t="s">
        <v>973</v>
      </c>
      <c r="O5">
        <v>10</v>
      </c>
      <c r="P5">
        <v>0</v>
      </c>
      <c r="Q5">
        <v>5</v>
      </c>
      <c r="R5">
        <v>750001</v>
      </c>
      <c r="S5">
        <v>1</v>
      </c>
      <c r="T5">
        <v>750003</v>
      </c>
      <c r="U5">
        <v>750008</v>
      </c>
      <c r="V5">
        <v>750009</v>
      </c>
      <c r="W5" t="s">
        <v>4524</v>
      </c>
      <c r="X5" t="s">
        <v>4525</v>
      </c>
      <c r="Y5" t="s">
        <v>4526</v>
      </c>
      <c r="Z5">
        <v>750007</v>
      </c>
      <c r="AA5">
        <v>10</v>
      </c>
      <c r="AB5">
        <v>10</v>
      </c>
      <c r="AC5">
        <v>5</v>
      </c>
      <c r="AD5">
        <v>5</v>
      </c>
      <c r="AE5">
        <v>120</v>
      </c>
      <c r="AF5">
        <v>140</v>
      </c>
      <c r="AG5">
        <v>85</v>
      </c>
      <c r="AH5">
        <v>135</v>
      </c>
      <c r="AI5">
        <v>60</v>
      </c>
      <c r="AJ5">
        <v>0</v>
      </c>
      <c r="AK5">
        <v>100</v>
      </c>
      <c r="AL5">
        <v>30</v>
      </c>
      <c r="AM5">
        <v>200</v>
      </c>
      <c r="AN5">
        <v>100</v>
      </c>
      <c r="AO5">
        <v>15</v>
      </c>
      <c r="AP5">
        <v>0</v>
      </c>
      <c r="AQ5">
        <v>2</v>
      </c>
      <c r="AR5">
        <v>15</v>
      </c>
      <c r="AS5">
        <v>500</v>
      </c>
      <c r="AT5">
        <v>7</v>
      </c>
      <c r="AU5" t="s">
        <v>4527</v>
      </c>
      <c r="AV5" t="s">
        <v>4491</v>
      </c>
      <c r="AW5" t="s">
        <v>4491</v>
      </c>
      <c r="AX5" t="s">
        <v>4491</v>
      </c>
      <c r="AY5">
        <v>126</v>
      </c>
      <c r="AZ5">
        <v>11002</v>
      </c>
      <c r="BA5">
        <v>1</v>
      </c>
      <c r="BB5" t="s">
        <v>4492</v>
      </c>
      <c r="BC5" t="s">
        <v>1806</v>
      </c>
      <c r="BD5">
        <v>930016</v>
      </c>
      <c r="BE5" t="s">
        <v>4493</v>
      </c>
      <c r="BF5" t="s">
        <v>4494</v>
      </c>
      <c r="BG5">
        <v>100</v>
      </c>
      <c r="BH5">
        <v>10603</v>
      </c>
    </row>
    <row r="6" spans="1:61" x14ac:dyDescent="0.3">
      <c r="A6">
        <v>1029</v>
      </c>
      <c r="B6" t="s">
        <v>9208</v>
      </c>
      <c r="C6" t="s">
        <v>9209</v>
      </c>
      <c r="D6" t="s">
        <v>9210</v>
      </c>
      <c r="E6" t="s">
        <v>9211</v>
      </c>
      <c r="F6" t="s">
        <v>6780</v>
      </c>
      <c r="G6" t="s">
        <v>4485</v>
      </c>
      <c r="H6" t="s">
        <v>9212</v>
      </c>
      <c r="I6">
        <v>1</v>
      </c>
      <c r="J6">
        <v>1</v>
      </c>
      <c r="K6" t="s">
        <v>972</v>
      </c>
      <c r="L6">
        <v>1</v>
      </c>
      <c r="M6">
        <v>129</v>
      </c>
      <c r="N6" t="s">
        <v>973</v>
      </c>
      <c r="O6">
        <v>10</v>
      </c>
      <c r="P6">
        <v>0</v>
      </c>
      <c r="Q6">
        <v>5</v>
      </c>
      <c r="R6">
        <v>760010</v>
      </c>
      <c r="S6">
        <v>2</v>
      </c>
      <c r="T6">
        <v>30015</v>
      </c>
      <c r="U6">
        <v>760013</v>
      </c>
      <c r="V6">
        <v>760014</v>
      </c>
      <c r="W6" t="s">
        <v>9213</v>
      </c>
      <c r="X6" t="s">
        <v>9214</v>
      </c>
      <c r="Y6" t="s">
        <v>9215</v>
      </c>
      <c r="Z6">
        <v>760008</v>
      </c>
      <c r="AA6">
        <v>10</v>
      </c>
      <c r="AB6">
        <v>10</v>
      </c>
      <c r="AC6">
        <v>5</v>
      </c>
      <c r="AD6">
        <v>5</v>
      </c>
      <c r="AE6">
        <v>110</v>
      </c>
      <c r="AF6">
        <v>145</v>
      </c>
      <c r="AG6">
        <v>100</v>
      </c>
      <c r="AH6">
        <v>165</v>
      </c>
      <c r="AI6">
        <v>100</v>
      </c>
      <c r="AJ6">
        <v>0</v>
      </c>
      <c r="AK6">
        <v>15</v>
      </c>
      <c r="AL6">
        <v>20</v>
      </c>
      <c r="AM6">
        <v>150</v>
      </c>
      <c r="AN6">
        <v>100</v>
      </c>
      <c r="AO6">
        <v>15</v>
      </c>
      <c r="AP6">
        <v>0</v>
      </c>
      <c r="AQ6">
        <v>2</v>
      </c>
      <c r="AR6">
        <v>15</v>
      </c>
      <c r="AS6">
        <v>500</v>
      </c>
      <c r="AT6">
        <v>7</v>
      </c>
      <c r="AU6" t="s">
        <v>9216</v>
      </c>
      <c r="AV6" t="s">
        <v>4491</v>
      </c>
      <c r="AW6" t="s">
        <v>4491</v>
      </c>
      <c r="AX6" t="s">
        <v>4491</v>
      </c>
      <c r="AY6">
        <v>44</v>
      </c>
      <c r="AZ6">
        <v>11002</v>
      </c>
      <c r="BA6">
        <v>1</v>
      </c>
      <c r="BB6" t="s">
        <v>4492</v>
      </c>
      <c r="BC6" t="s">
        <v>1806</v>
      </c>
      <c r="BD6">
        <v>930015</v>
      </c>
      <c r="BE6" t="s">
        <v>4493</v>
      </c>
      <c r="BF6" t="s">
        <v>4494</v>
      </c>
      <c r="BG6">
        <v>100</v>
      </c>
      <c r="BH6">
        <v>10602</v>
      </c>
      <c r="BI6">
        <v>0</v>
      </c>
    </row>
    <row r="7" spans="1:61" x14ac:dyDescent="0.3">
      <c r="A7">
        <v>1019</v>
      </c>
      <c r="B7" t="s">
        <v>6449</v>
      </c>
      <c r="C7" t="s">
        <v>6450</v>
      </c>
      <c r="D7" t="s">
        <v>6451</v>
      </c>
      <c r="E7" t="s">
        <v>6452</v>
      </c>
      <c r="G7" t="s">
        <v>4485</v>
      </c>
      <c r="H7" t="s">
        <v>6453</v>
      </c>
      <c r="I7">
        <v>1</v>
      </c>
      <c r="J7">
        <v>1</v>
      </c>
      <c r="K7" t="s">
        <v>993</v>
      </c>
      <c r="L7">
        <v>1</v>
      </c>
      <c r="M7">
        <v>119</v>
      </c>
      <c r="N7" t="s">
        <v>973</v>
      </c>
      <c r="O7">
        <v>10</v>
      </c>
      <c r="P7">
        <v>0</v>
      </c>
      <c r="Q7">
        <v>5</v>
      </c>
      <c r="R7">
        <v>750397</v>
      </c>
      <c r="S7">
        <v>1</v>
      </c>
      <c r="T7">
        <v>750399</v>
      </c>
      <c r="U7">
        <v>750400</v>
      </c>
      <c r="V7">
        <v>750401</v>
      </c>
      <c r="W7" t="s">
        <v>6454</v>
      </c>
      <c r="X7" t="s">
        <v>6455</v>
      </c>
      <c r="Y7" t="s">
        <v>328</v>
      </c>
      <c r="Z7">
        <v>750407</v>
      </c>
      <c r="AA7">
        <v>10</v>
      </c>
      <c r="AB7">
        <v>10</v>
      </c>
      <c r="AC7">
        <v>5</v>
      </c>
      <c r="AD7">
        <v>5</v>
      </c>
      <c r="AE7">
        <v>165</v>
      </c>
      <c r="AF7">
        <v>118</v>
      </c>
      <c r="AG7">
        <v>80</v>
      </c>
      <c r="AH7">
        <v>110</v>
      </c>
      <c r="AI7">
        <v>50</v>
      </c>
      <c r="AJ7">
        <v>75</v>
      </c>
      <c r="AK7">
        <v>180</v>
      </c>
      <c r="AL7">
        <v>20</v>
      </c>
      <c r="AM7">
        <v>150</v>
      </c>
      <c r="AN7">
        <v>100</v>
      </c>
      <c r="AO7">
        <v>10</v>
      </c>
      <c r="AP7">
        <v>0</v>
      </c>
      <c r="AQ7">
        <v>2</v>
      </c>
      <c r="AR7">
        <v>15</v>
      </c>
      <c r="AS7">
        <v>500</v>
      </c>
      <c r="AT7">
        <v>6</v>
      </c>
      <c r="AU7" t="s">
        <v>6456</v>
      </c>
      <c r="AV7" t="s">
        <v>4491</v>
      </c>
      <c r="AW7" t="s">
        <v>4491</v>
      </c>
      <c r="AX7" t="s">
        <v>4491</v>
      </c>
      <c r="AY7">
        <v>33</v>
      </c>
      <c r="AZ7">
        <v>11002</v>
      </c>
      <c r="BA7">
        <v>1</v>
      </c>
      <c r="BB7" t="s">
        <v>4492</v>
      </c>
      <c r="BC7" t="s">
        <v>1806</v>
      </c>
      <c r="BD7">
        <v>930020</v>
      </c>
      <c r="BE7" t="s">
        <v>4493</v>
      </c>
      <c r="BF7" t="s">
        <v>4494</v>
      </c>
      <c r="BG7">
        <v>100</v>
      </c>
      <c r="BH7">
        <v>10603</v>
      </c>
      <c r="BI7">
        <v>0</v>
      </c>
    </row>
    <row r="8" spans="1:61" x14ac:dyDescent="0.3">
      <c r="A8">
        <v>1005</v>
      </c>
      <c r="B8" t="s">
        <v>4528</v>
      </c>
      <c r="C8" t="s">
        <v>978</v>
      </c>
      <c r="D8" t="s">
        <v>978</v>
      </c>
      <c r="E8" t="s">
        <v>4529</v>
      </c>
      <c r="G8" t="s">
        <v>4485</v>
      </c>
      <c r="H8" t="s">
        <v>4530</v>
      </c>
      <c r="I8">
        <v>1</v>
      </c>
      <c r="J8">
        <v>1</v>
      </c>
      <c r="K8" t="s">
        <v>972</v>
      </c>
      <c r="L8">
        <v>1</v>
      </c>
      <c r="M8">
        <v>105</v>
      </c>
      <c r="N8" t="s">
        <v>973</v>
      </c>
      <c r="O8">
        <v>10</v>
      </c>
      <c r="P8">
        <v>0</v>
      </c>
      <c r="Q8">
        <v>5</v>
      </c>
      <c r="R8">
        <v>900737</v>
      </c>
      <c r="S8">
        <v>3</v>
      </c>
      <c r="T8">
        <v>1010</v>
      </c>
      <c r="U8">
        <v>900733</v>
      </c>
      <c r="V8">
        <v>900734</v>
      </c>
      <c r="W8" t="s">
        <v>4531</v>
      </c>
      <c r="X8" t="s">
        <v>4532</v>
      </c>
      <c r="Y8" t="s">
        <v>4533</v>
      </c>
      <c r="Z8">
        <v>900730</v>
      </c>
      <c r="AA8">
        <v>10</v>
      </c>
      <c r="AB8">
        <v>10</v>
      </c>
      <c r="AC8">
        <v>5</v>
      </c>
      <c r="AD8">
        <v>5</v>
      </c>
      <c r="AE8">
        <v>110</v>
      </c>
      <c r="AF8">
        <v>135</v>
      </c>
      <c r="AG8">
        <v>70</v>
      </c>
      <c r="AH8">
        <v>100</v>
      </c>
      <c r="AI8">
        <v>95</v>
      </c>
      <c r="AJ8">
        <v>0</v>
      </c>
      <c r="AK8">
        <v>15</v>
      </c>
      <c r="AL8">
        <v>20</v>
      </c>
      <c r="AM8">
        <v>150</v>
      </c>
      <c r="AN8">
        <v>100</v>
      </c>
      <c r="AO8">
        <v>15</v>
      </c>
      <c r="AP8">
        <v>0</v>
      </c>
      <c r="AQ8">
        <v>2</v>
      </c>
      <c r="AR8">
        <v>15</v>
      </c>
      <c r="AS8">
        <v>500</v>
      </c>
      <c r="AT8">
        <v>7</v>
      </c>
      <c r="AU8" t="s">
        <v>4534</v>
      </c>
      <c r="AV8" t="s">
        <v>4491</v>
      </c>
      <c r="AW8" t="s">
        <v>4491</v>
      </c>
      <c r="AX8" t="s">
        <v>4491</v>
      </c>
      <c r="AY8">
        <v>18</v>
      </c>
      <c r="AZ8">
        <v>11002</v>
      </c>
      <c r="BA8">
        <v>1</v>
      </c>
      <c r="BB8" t="s">
        <v>4492</v>
      </c>
      <c r="BC8" t="s">
        <v>1806</v>
      </c>
      <c r="BD8">
        <v>930005</v>
      </c>
      <c r="BE8" t="s">
        <v>4493</v>
      </c>
      <c r="BF8" t="s">
        <v>4494</v>
      </c>
      <c r="BG8">
        <v>100</v>
      </c>
      <c r="BH8">
        <v>10603</v>
      </c>
    </row>
    <row r="9" spans="1:61" x14ac:dyDescent="0.3">
      <c r="A9">
        <v>1017</v>
      </c>
      <c r="B9" t="s">
        <v>5651</v>
      </c>
      <c r="C9" t="s">
        <v>5652</v>
      </c>
      <c r="D9" t="s">
        <v>5652</v>
      </c>
      <c r="E9" t="s">
        <v>5653</v>
      </c>
      <c r="G9" t="s">
        <v>4485</v>
      </c>
      <c r="H9" t="s">
        <v>5654</v>
      </c>
      <c r="I9">
        <v>1</v>
      </c>
      <c r="J9">
        <v>1</v>
      </c>
      <c r="K9" t="s">
        <v>972</v>
      </c>
      <c r="L9">
        <v>1</v>
      </c>
      <c r="M9">
        <v>117</v>
      </c>
      <c r="N9" t="s">
        <v>973</v>
      </c>
      <c r="O9">
        <v>10</v>
      </c>
      <c r="P9">
        <v>0</v>
      </c>
      <c r="Q9">
        <v>5</v>
      </c>
      <c r="R9">
        <v>750276</v>
      </c>
      <c r="S9">
        <v>1</v>
      </c>
      <c r="T9">
        <v>750278</v>
      </c>
      <c r="U9">
        <v>750279</v>
      </c>
      <c r="V9">
        <v>750280</v>
      </c>
      <c r="W9" t="s">
        <v>5655</v>
      </c>
      <c r="X9" t="s">
        <v>5656</v>
      </c>
      <c r="Y9" t="s">
        <v>5657</v>
      </c>
      <c r="Z9">
        <v>750294</v>
      </c>
      <c r="AA9">
        <v>10</v>
      </c>
      <c r="AB9">
        <v>10</v>
      </c>
      <c r="AC9">
        <v>5</v>
      </c>
      <c r="AD9">
        <v>5</v>
      </c>
      <c r="AE9">
        <v>120</v>
      </c>
      <c r="AF9">
        <v>130</v>
      </c>
      <c r="AG9">
        <v>80</v>
      </c>
      <c r="AH9">
        <v>80</v>
      </c>
      <c r="AI9">
        <v>110</v>
      </c>
      <c r="AJ9">
        <v>0</v>
      </c>
      <c r="AK9">
        <v>15</v>
      </c>
      <c r="AL9">
        <v>20</v>
      </c>
      <c r="AM9">
        <v>150</v>
      </c>
      <c r="AN9">
        <v>100</v>
      </c>
      <c r="AO9">
        <v>15</v>
      </c>
      <c r="AP9">
        <v>0</v>
      </c>
      <c r="AQ9">
        <v>2</v>
      </c>
      <c r="AR9">
        <v>15</v>
      </c>
      <c r="AS9">
        <v>500</v>
      </c>
      <c r="AT9">
        <v>7</v>
      </c>
      <c r="AU9" t="s">
        <v>5658</v>
      </c>
      <c r="AV9" t="s">
        <v>4491</v>
      </c>
      <c r="AW9" t="s">
        <v>4491</v>
      </c>
      <c r="AX9" t="s">
        <v>4491</v>
      </c>
      <c r="AY9">
        <v>147</v>
      </c>
      <c r="AZ9">
        <v>11002</v>
      </c>
      <c r="BA9">
        <v>1</v>
      </c>
      <c r="BB9" t="s">
        <v>4492</v>
      </c>
      <c r="BC9" t="s">
        <v>328</v>
      </c>
      <c r="BD9">
        <v>930018</v>
      </c>
      <c r="BE9" t="s">
        <v>4493</v>
      </c>
      <c r="BF9" t="s">
        <v>4494</v>
      </c>
      <c r="BG9">
        <v>100</v>
      </c>
      <c r="BH9">
        <v>10603</v>
      </c>
    </row>
    <row r="10" spans="1:61" x14ac:dyDescent="0.3">
      <c r="A10">
        <v>1009</v>
      </c>
      <c r="B10" t="s">
        <v>4535</v>
      </c>
      <c r="C10" t="s">
        <v>981</v>
      </c>
      <c r="D10" t="s">
        <v>981</v>
      </c>
      <c r="E10" t="s">
        <v>4536</v>
      </c>
      <c r="G10" t="s">
        <v>4485</v>
      </c>
      <c r="H10" t="s">
        <v>4537</v>
      </c>
      <c r="I10">
        <v>1</v>
      </c>
      <c r="J10">
        <v>1</v>
      </c>
      <c r="K10" t="s">
        <v>972</v>
      </c>
      <c r="L10">
        <v>1</v>
      </c>
      <c r="M10">
        <v>109</v>
      </c>
      <c r="N10" t="s">
        <v>973</v>
      </c>
      <c r="O10">
        <v>10</v>
      </c>
      <c r="P10">
        <v>0</v>
      </c>
      <c r="Q10">
        <v>5</v>
      </c>
      <c r="R10">
        <v>900960</v>
      </c>
      <c r="S10">
        <v>3</v>
      </c>
      <c r="T10">
        <v>1012</v>
      </c>
      <c r="U10">
        <v>900962</v>
      </c>
      <c r="V10">
        <v>900963</v>
      </c>
      <c r="W10" t="s">
        <v>4538</v>
      </c>
      <c r="X10" t="s">
        <v>4539</v>
      </c>
      <c r="Y10" t="s">
        <v>328</v>
      </c>
      <c r="Z10">
        <v>900965</v>
      </c>
      <c r="AA10">
        <v>10</v>
      </c>
      <c r="AB10">
        <v>10</v>
      </c>
      <c r="AC10">
        <v>5</v>
      </c>
      <c r="AD10">
        <v>5</v>
      </c>
      <c r="AE10">
        <v>95</v>
      </c>
      <c r="AF10">
        <v>125</v>
      </c>
      <c r="AG10">
        <v>100</v>
      </c>
      <c r="AH10">
        <v>110</v>
      </c>
      <c r="AI10">
        <v>100</v>
      </c>
      <c r="AJ10">
        <v>0</v>
      </c>
      <c r="AK10">
        <v>15</v>
      </c>
      <c r="AL10">
        <v>20</v>
      </c>
      <c r="AM10">
        <v>150</v>
      </c>
      <c r="AN10">
        <v>100</v>
      </c>
      <c r="AO10">
        <v>15</v>
      </c>
      <c r="AP10">
        <v>0</v>
      </c>
      <c r="AQ10">
        <v>2</v>
      </c>
      <c r="AR10">
        <v>15</v>
      </c>
      <c r="AS10">
        <v>500</v>
      </c>
      <c r="AT10">
        <v>7</v>
      </c>
      <c r="AU10" t="s">
        <v>4540</v>
      </c>
      <c r="AV10" t="s">
        <v>4491</v>
      </c>
      <c r="AW10" t="s">
        <v>4491</v>
      </c>
      <c r="AX10" t="s">
        <v>4491</v>
      </c>
      <c r="AY10">
        <v>24</v>
      </c>
      <c r="AZ10">
        <v>11002</v>
      </c>
      <c r="BA10">
        <v>1</v>
      </c>
      <c r="BB10" t="s">
        <v>4541</v>
      </c>
      <c r="BC10" t="s">
        <v>1806</v>
      </c>
      <c r="BD10">
        <v>930009</v>
      </c>
      <c r="BE10" t="s">
        <v>4493</v>
      </c>
      <c r="BF10" t="s">
        <v>4494</v>
      </c>
      <c r="BG10">
        <v>100</v>
      </c>
      <c r="BH10">
        <v>10604</v>
      </c>
    </row>
    <row r="11" spans="1:61" x14ac:dyDescent="0.3">
      <c r="A11">
        <v>1026</v>
      </c>
      <c r="B11" t="s">
        <v>8327</v>
      </c>
      <c r="C11" t="s">
        <v>8328</v>
      </c>
      <c r="D11" t="s">
        <v>8328</v>
      </c>
      <c r="E11" t="s">
        <v>8329</v>
      </c>
      <c r="F11" t="s">
        <v>6780</v>
      </c>
      <c r="G11" t="s">
        <v>4485</v>
      </c>
      <c r="H11" t="s">
        <v>8330</v>
      </c>
      <c r="I11">
        <v>1</v>
      </c>
      <c r="J11">
        <v>1</v>
      </c>
      <c r="K11" t="s">
        <v>972</v>
      </c>
      <c r="L11">
        <v>1</v>
      </c>
      <c r="M11">
        <v>126</v>
      </c>
      <c r="N11" t="s">
        <v>973</v>
      </c>
      <c r="O11">
        <v>10</v>
      </c>
      <c r="P11">
        <v>0</v>
      </c>
      <c r="Q11">
        <v>5</v>
      </c>
      <c r="R11">
        <v>750885</v>
      </c>
      <c r="S11">
        <v>1</v>
      </c>
      <c r="T11">
        <v>750887</v>
      </c>
      <c r="U11">
        <v>750888</v>
      </c>
      <c r="V11">
        <v>750889</v>
      </c>
      <c r="W11" t="s">
        <v>8331</v>
      </c>
      <c r="X11" t="s">
        <v>8332</v>
      </c>
      <c r="Y11" t="s">
        <v>8333</v>
      </c>
      <c r="Z11">
        <v>750890</v>
      </c>
      <c r="AA11">
        <v>10</v>
      </c>
      <c r="AB11">
        <v>10</v>
      </c>
      <c r="AC11">
        <v>5</v>
      </c>
      <c r="AD11">
        <v>5</v>
      </c>
      <c r="AE11">
        <v>90</v>
      </c>
      <c r="AF11">
        <v>130</v>
      </c>
      <c r="AG11">
        <v>70</v>
      </c>
      <c r="AH11">
        <v>165</v>
      </c>
      <c r="AI11">
        <v>100</v>
      </c>
      <c r="AJ11">
        <v>0</v>
      </c>
      <c r="AK11">
        <v>200</v>
      </c>
      <c r="AL11">
        <v>30</v>
      </c>
      <c r="AM11">
        <v>200</v>
      </c>
      <c r="AN11">
        <v>100</v>
      </c>
      <c r="AO11">
        <v>18</v>
      </c>
      <c r="AP11">
        <v>0</v>
      </c>
      <c r="AQ11">
        <v>2</v>
      </c>
      <c r="AR11">
        <v>15</v>
      </c>
      <c r="AS11">
        <v>500</v>
      </c>
      <c r="AT11">
        <v>7</v>
      </c>
      <c r="AU11" t="s">
        <v>8334</v>
      </c>
      <c r="AV11" t="s">
        <v>4491</v>
      </c>
      <c r="AW11" t="s">
        <v>4491</v>
      </c>
      <c r="AX11" t="s">
        <v>4491</v>
      </c>
      <c r="AY11">
        <v>216</v>
      </c>
      <c r="AZ11">
        <v>11002</v>
      </c>
      <c r="BA11">
        <v>1</v>
      </c>
      <c r="BB11" t="s">
        <v>4492</v>
      </c>
      <c r="BC11" t="s">
        <v>1806</v>
      </c>
      <c r="BD11">
        <v>930027</v>
      </c>
      <c r="BE11" t="s">
        <v>4493</v>
      </c>
      <c r="BF11" t="s">
        <v>4494</v>
      </c>
      <c r="BG11">
        <v>100</v>
      </c>
      <c r="BH11">
        <v>10604</v>
      </c>
      <c r="BI11">
        <v>0</v>
      </c>
    </row>
    <row r="12" spans="1:61" x14ac:dyDescent="0.3">
      <c r="A12">
        <v>1002</v>
      </c>
      <c r="B12" t="s">
        <v>4542</v>
      </c>
      <c r="C12" t="s">
        <v>974</v>
      </c>
      <c r="D12" t="s">
        <v>974</v>
      </c>
      <c r="E12" t="s">
        <v>4543</v>
      </c>
      <c r="G12" t="s">
        <v>4485</v>
      </c>
      <c r="H12" t="s">
        <v>4544</v>
      </c>
      <c r="I12">
        <v>1</v>
      </c>
      <c r="J12">
        <v>1</v>
      </c>
      <c r="K12" t="s">
        <v>975</v>
      </c>
      <c r="L12">
        <v>1</v>
      </c>
      <c r="M12">
        <v>102</v>
      </c>
      <c r="N12" t="s">
        <v>973</v>
      </c>
      <c r="O12">
        <v>10</v>
      </c>
      <c r="P12">
        <v>0</v>
      </c>
      <c r="Q12">
        <v>5</v>
      </c>
      <c r="R12">
        <v>600301</v>
      </c>
      <c r="S12">
        <v>1</v>
      </c>
      <c r="T12">
        <v>600302</v>
      </c>
      <c r="U12">
        <v>600303</v>
      </c>
      <c r="V12">
        <v>600304</v>
      </c>
      <c r="W12" t="s">
        <v>4545</v>
      </c>
      <c r="X12" t="s">
        <v>4546</v>
      </c>
      <c r="Y12" t="s">
        <v>4547</v>
      </c>
      <c r="Z12">
        <v>600309</v>
      </c>
      <c r="AA12">
        <v>10</v>
      </c>
      <c r="AB12">
        <v>10</v>
      </c>
      <c r="AC12">
        <v>5</v>
      </c>
      <c r="AD12">
        <v>5</v>
      </c>
      <c r="AE12">
        <v>125</v>
      </c>
      <c r="AF12">
        <v>105</v>
      </c>
      <c r="AG12">
        <v>88</v>
      </c>
      <c r="AH12">
        <v>95</v>
      </c>
      <c r="AI12">
        <v>95</v>
      </c>
      <c r="AJ12">
        <v>0</v>
      </c>
      <c r="AK12">
        <v>15</v>
      </c>
      <c r="AL12">
        <v>40</v>
      </c>
      <c r="AM12">
        <v>150</v>
      </c>
      <c r="AN12">
        <v>100</v>
      </c>
      <c r="AO12">
        <v>15</v>
      </c>
      <c r="AP12">
        <v>0</v>
      </c>
      <c r="AQ12">
        <v>2</v>
      </c>
      <c r="AR12">
        <v>15</v>
      </c>
      <c r="AS12">
        <v>500</v>
      </c>
      <c r="AT12">
        <v>5</v>
      </c>
      <c r="AU12" t="s">
        <v>4512</v>
      </c>
      <c r="AV12" t="s">
        <v>4491</v>
      </c>
      <c r="AW12" t="s">
        <v>4491</v>
      </c>
      <c r="AX12" t="s">
        <v>4491</v>
      </c>
      <c r="AY12">
        <v>8</v>
      </c>
      <c r="AZ12">
        <v>11002</v>
      </c>
      <c r="BA12">
        <v>2</v>
      </c>
      <c r="BB12" t="s">
        <v>4492</v>
      </c>
      <c r="BC12" t="s">
        <v>1806</v>
      </c>
      <c r="BD12">
        <v>930002</v>
      </c>
      <c r="BE12" t="s">
        <v>4493</v>
      </c>
      <c r="BF12" t="s">
        <v>4494</v>
      </c>
      <c r="BG12">
        <v>100</v>
      </c>
      <c r="BH12">
        <v>10602</v>
      </c>
    </row>
    <row r="13" spans="1:61" x14ac:dyDescent="0.3">
      <c r="A13">
        <v>1021</v>
      </c>
      <c r="B13" t="s">
        <v>6781</v>
      </c>
      <c r="C13" t="s">
        <v>6782</v>
      </c>
      <c r="D13" t="s">
        <v>6782</v>
      </c>
      <c r="E13" t="s">
        <v>6783</v>
      </c>
      <c r="F13" t="s">
        <v>6780</v>
      </c>
      <c r="G13" t="s">
        <v>4485</v>
      </c>
      <c r="H13" t="s">
        <v>6784</v>
      </c>
      <c r="I13">
        <v>1</v>
      </c>
      <c r="J13">
        <v>1</v>
      </c>
      <c r="K13" t="s">
        <v>975</v>
      </c>
      <c r="L13">
        <v>1</v>
      </c>
      <c r="M13">
        <v>121</v>
      </c>
      <c r="N13" t="s">
        <v>973</v>
      </c>
      <c r="O13">
        <v>10</v>
      </c>
      <c r="P13">
        <v>0</v>
      </c>
      <c r="Q13">
        <v>5</v>
      </c>
      <c r="R13">
        <v>750579</v>
      </c>
      <c r="S13">
        <v>1</v>
      </c>
      <c r="T13">
        <v>750581</v>
      </c>
      <c r="U13">
        <v>750582</v>
      </c>
      <c r="V13">
        <v>750583</v>
      </c>
      <c r="W13" t="s">
        <v>6785</v>
      </c>
      <c r="X13" t="s">
        <v>6786</v>
      </c>
      <c r="Y13" t="s">
        <v>6787</v>
      </c>
      <c r="Z13">
        <v>750584</v>
      </c>
      <c r="AA13">
        <v>10</v>
      </c>
      <c r="AB13">
        <v>10</v>
      </c>
      <c r="AC13">
        <v>5</v>
      </c>
      <c r="AD13">
        <v>5</v>
      </c>
      <c r="AE13">
        <v>155</v>
      </c>
      <c r="AF13">
        <v>110</v>
      </c>
      <c r="AG13">
        <v>65</v>
      </c>
      <c r="AH13">
        <v>90</v>
      </c>
      <c r="AI13">
        <v>110</v>
      </c>
      <c r="AJ13">
        <v>0</v>
      </c>
      <c r="AK13">
        <v>15</v>
      </c>
      <c r="AL13">
        <v>40</v>
      </c>
      <c r="AM13">
        <v>150</v>
      </c>
      <c r="AN13">
        <v>100</v>
      </c>
      <c r="AO13">
        <v>20</v>
      </c>
      <c r="AP13">
        <v>0</v>
      </c>
      <c r="AQ13">
        <v>1</v>
      </c>
      <c r="AR13">
        <v>15</v>
      </c>
      <c r="AS13">
        <v>500</v>
      </c>
      <c r="AT13">
        <v>3</v>
      </c>
      <c r="AU13" t="s">
        <v>6788</v>
      </c>
      <c r="AV13" t="s">
        <v>4491</v>
      </c>
      <c r="AW13" t="s">
        <v>4491</v>
      </c>
      <c r="AX13" t="s">
        <v>4491</v>
      </c>
      <c r="AY13">
        <v>175</v>
      </c>
      <c r="AZ13">
        <v>11002</v>
      </c>
      <c r="BA13">
        <v>2</v>
      </c>
      <c r="BB13" t="s">
        <v>4492</v>
      </c>
      <c r="BC13" t="s">
        <v>1806</v>
      </c>
      <c r="BD13">
        <v>930022</v>
      </c>
      <c r="BE13" t="s">
        <v>4493</v>
      </c>
      <c r="BF13" t="s">
        <v>4494</v>
      </c>
      <c r="BG13">
        <v>100</v>
      </c>
      <c r="BH13">
        <v>10604</v>
      </c>
      <c r="BI13">
        <v>0</v>
      </c>
    </row>
    <row r="14" spans="1:61" x14ac:dyDescent="0.3">
      <c r="A14">
        <v>1010</v>
      </c>
      <c r="B14" t="s">
        <v>4548</v>
      </c>
      <c r="C14" t="s">
        <v>982</v>
      </c>
      <c r="D14" t="s">
        <v>4549</v>
      </c>
      <c r="E14" t="s">
        <v>4550</v>
      </c>
      <c r="G14" t="s">
        <v>4485</v>
      </c>
      <c r="H14" t="s">
        <v>4551</v>
      </c>
      <c r="I14">
        <v>1</v>
      </c>
      <c r="J14">
        <v>1</v>
      </c>
      <c r="K14" t="s">
        <v>972</v>
      </c>
      <c r="L14">
        <v>1</v>
      </c>
      <c r="M14">
        <v>110</v>
      </c>
      <c r="N14" t="s">
        <v>973</v>
      </c>
      <c r="O14">
        <v>10</v>
      </c>
      <c r="P14">
        <v>0</v>
      </c>
      <c r="Q14">
        <v>5</v>
      </c>
      <c r="R14">
        <v>901031</v>
      </c>
      <c r="S14">
        <v>1</v>
      </c>
      <c r="T14">
        <v>901032</v>
      </c>
      <c r="U14">
        <v>901033</v>
      </c>
      <c r="V14">
        <v>901034</v>
      </c>
      <c r="W14" t="s">
        <v>4552</v>
      </c>
      <c r="X14" t="s">
        <v>4553</v>
      </c>
      <c r="Y14" t="s">
        <v>4554</v>
      </c>
      <c r="Z14">
        <v>901035</v>
      </c>
      <c r="AA14">
        <v>10</v>
      </c>
      <c r="AB14">
        <v>10</v>
      </c>
      <c r="AC14">
        <v>5</v>
      </c>
      <c r="AD14">
        <v>5</v>
      </c>
      <c r="AE14">
        <v>105</v>
      </c>
      <c r="AF14">
        <v>100</v>
      </c>
      <c r="AG14">
        <v>120</v>
      </c>
      <c r="AH14">
        <v>125</v>
      </c>
      <c r="AI14">
        <v>95</v>
      </c>
      <c r="AJ14">
        <v>0</v>
      </c>
      <c r="AK14">
        <v>15</v>
      </c>
      <c r="AL14">
        <v>20</v>
      </c>
      <c r="AM14">
        <v>150</v>
      </c>
      <c r="AN14">
        <v>100</v>
      </c>
      <c r="AO14">
        <v>15</v>
      </c>
      <c r="AP14">
        <v>0</v>
      </c>
      <c r="AQ14">
        <v>2</v>
      </c>
      <c r="AR14">
        <v>15</v>
      </c>
      <c r="AS14">
        <v>500</v>
      </c>
      <c r="AT14">
        <v>7</v>
      </c>
      <c r="AU14" t="s">
        <v>4555</v>
      </c>
      <c r="AV14" t="s">
        <v>4491</v>
      </c>
      <c r="AW14" t="s">
        <v>4491</v>
      </c>
      <c r="AX14" t="s">
        <v>4491</v>
      </c>
      <c r="AY14">
        <v>26</v>
      </c>
      <c r="AZ14">
        <v>11002</v>
      </c>
      <c r="BA14">
        <v>1</v>
      </c>
      <c r="BB14" t="s">
        <v>4492</v>
      </c>
      <c r="BC14" t="s">
        <v>1806</v>
      </c>
      <c r="BD14">
        <v>930010</v>
      </c>
      <c r="BE14" t="s">
        <v>4493</v>
      </c>
      <c r="BF14" t="s">
        <v>4494</v>
      </c>
      <c r="BG14">
        <v>100</v>
      </c>
      <c r="BH14">
        <v>10602</v>
      </c>
    </row>
    <row r="15" spans="1:61" x14ac:dyDescent="0.3">
      <c r="A15">
        <v>1028</v>
      </c>
      <c r="B15" t="s">
        <v>9033</v>
      </c>
      <c r="C15" t="s">
        <v>9034</v>
      </c>
      <c r="D15" t="s">
        <v>9034</v>
      </c>
      <c r="E15" t="s">
        <v>9035</v>
      </c>
      <c r="F15" t="s">
        <v>6780</v>
      </c>
      <c r="G15" t="s">
        <v>4485</v>
      </c>
      <c r="H15" t="s">
        <v>9036</v>
      </c>
      <c r="I15">
        <v>1</v>
      </c>
      <c r="J15">
        <v>1</v>
      </c>
      <c r="K15" t="s">
        <v>972</v>
      </c>
      <c r="L15">
        <v>1</v>
      </c>
      <c r="M15">
        <v>128</v>
      </c>
      <c r="N15" t="s">
        <v>973</v>
      </c>
      <c r="O15">
        <v>10</v>
      </c>
      <c r="P15">
        <v>0</v>
      </c>
      <c r="Q15">
        <v>5</v>
      </c>
      <c r="R15">
        <v>760002</v>
      </c>
      <c r="S15">
        <v>1</v>
      </c>
      <c r="T15">
        <v>760004</v>
      </c>
      <c r="U15">
        <v>760005</v>
      </c>
      <c r="V15">
        <v>760007</v>
      </c>
      <c r="W15" t="s">
        <v>9037</v>
      </c>
      <c r="X15" t="s">
        <v>9038</v>
      </c>
      <c r="Y15" t="s">
        <v>328</v>
      </c>
      <c r="Z15">
        <v>760001</v>
      </c>
      <c r="AA15">
        <v>10</v>
      </c>
      <c r="AB15">
        <v>10</v>
      </c>
      <c r="AC15">
        <v>5</v>
      </c>
      <c r="AD15">
        <v>5</v>
      </c>
      <c r="AE15">
        <v>100</v>
      </c>
      <c r="AF15">
        <v>115</v>
      </c>
      <c r="AG15">
        <v>125</v>
      </c>
      <c r="AH15">
        <v>95</v>
      </c>
      <c r="AI15">
        <v>80</v>
      </c>
      <c r="AJ15">
        <v>0</v>
      </c>
      <c r="AK15">
        <v>15</v>
      </c>
      <c r="AL15">
        <v>40</v>
      </c>
      <c r="AM15">
        <v>150</v>
      </c>
      <c r="AN15">
        <v>100</v>
      </c>
      <c r="AO15">
        <v>15</v>
      </c>
      <c r="AP15">
        <v>0</v>
      </c>
      <c r="AQ15">
        <v>2</v>
      </c>
      <c r="AR15">
        <v>15</v>
      </c>
      <c r="AS15">
        <v>500</v>
      </c>
      <c r="AT15">
        <v>7</v>
      </c>
      <c r="AU15" t="s">
        <v>9039</v>
      </c>
      <c r="AV15" t="s">
        <v>4491</v>
      </c>
      <c r="AW15" t="s">
        <v>4491</v>
      </c>
      <c r="AX15" t="s">
        <v>4491</v>
      </c>
      <c r="AY15">
        <v>236</v>
      </c>
      <c r="AZ15">
        <v>11002</v>
      </c>
      <c r="BA15">
        <v>1</v>
      </c>
      <c r="BB15" t="s">
        <v>4492</v>
      </c>
      <c r="BC15" t="s">
        <v>1806</v>
      </c>
      <c r="BD15">
        <v>930029</v>
      </c>
      <c r="BE15" t="s">
        <v>4493</v>
      </c>
      <c r="BF15" t="s">
        <v>4494</v>
      </c>
      <c r="BG15">
        <v>100</v>
      </c>
      <c r="BH15">
        <v>10602</v>
      </c>
      <c r="BI15">
        <v>0</v>
      </c>
    </row>
    <row r="16" spans="1:61" x14ac:dyDescent="0.3">
      <c r="A16">
        <v>1003</v>
      </c>
      <c r="B16" t="s">
        <v>4556</v>
      </c>
      <c r="C16" t="s">
        <v>976</v>
      </c>
      <c r="D16" t="s">
        <v>976</v>
      </c>
      <c r="E16" t="s">
        <v>4557</v>
      </c>
      <c r="G16" t="s">
        <v>4485</v>
      </c>
      <c r="H16" t="s">
        <v>4558</v>
      </c>
      <c r="I16">
        <v>1</v>
      </c>
      <c r="J16">
        <v>1</v>
      </c>
      <c r="K16" t="s">
        <v>972</v>
      </c>
      <c r="L16">
        <v>1</v>
      </c>
      <c r="M16">
        <v>103</v>
      </c>
      <c r="N16" t="s">
        <v>973</v>
      </c>
      <c r="O16">
        <v>10</v>
      </c>
      <c r="P16">
        <v>0</v>
      </c>
      <c r="Q16">
        <v>5</v>
      </c>
      <c r="R16">
        <v>900592</v>
      </c>
      <c r="S16">
        <v>1</v>
      </c>
      <c r="T16">
        <v>900594</v>
      </c>
      <c r="U16">
        <v>900596</v>
      </c>
      <c r="V16">
        <v>900597</v>
      </c>
      <c r="W16" t="s">
        <v>4559</v>
      </c>
      <c r="X16" t="s">
        <v>328</v>
      </c>
      <c r="Y16" t="s">
        <v>4560</v>
      </c>
      <c r="Z16">
        <v>900591</v>
      </c>
      <c r="AA16">
        <v>10</v>
      </c>
      <c r="AB16">
        <v>10</v>
      </c>
      <c r="AC16">
        <v>5</v>
      </c>
      <c r="AD16">
        <v>5</v>
      </c>
      <c r="AE16">
        <v>100</v>
      </c>
      <c r="AF16">
        <v>100</v>
      </c>
      <c r="AG16">
        <v>110</v>
      </c>
      <c r="AH16">
        <v>105</v>
      </c>
      <c r="AI16">
        <v>105</v>
      </c>
      <c r="AJ16">
        <v>0</v>
      </c>
      <c r="AK16">
        <v>15</v>
      </c>
      <c r="AL16">
        <v>30</v>
      </c>
      <c r="AM16">
        <v>150</v>
      </c>
      <c r="AN16">
        <v>100</v>
      </c>
      <c r="AO16">
        <v>15</v>
      </c>
      <c r="AP16">
        <v>0</v>
      </c>
      <c r="AQ16">
        <v>2</v>
      </c>
      <c r="AR16">
        <v>15</v>
      </c>
      <c r="AS16">
        <v>500</v>
      </c>
      <c r="AT16">
        <v>7</v>
      </c>
      <c r="AU16" t="s">
        <v>4561</v>
      </c>
      <c r="AV16" t="s">
        <v>4491</v>
      </c>
      <c r="AW16" t="s">
        <v>4491</v>
      </c>
      <c r="AX16" t="s">
        <v>4491</v>
      </c>
      <c r="AY16">
        <v>11</v>
      </c>
      <c r="AZ16">
        <v>11002</v>
      </c>
      <c r="BA16">
        <v>1</v>
      </c>
      <c r="BB16" t="s">
        <v>4492</v>
      </c>
      <c r="BC16" t="s">
        <v>1806</v>
      </c>
      <c r="BD16">
        <v>930003</v>
      </c>
      <c r="BE16" t="s">
        <v>4493</v>
      </c>
      <c r="BF16" t="s">
        <v>4494</v>
      </c>
      <c r="BG16">
        <v>100</v>
      </c>
      <c r="BH16">
        <v>10602</v>
      </c>
    </row>
    <row r="17" spans="1:61" x14ac:dyDescent="0.3">
      <c r="A17">
        <v>1018</v>
      </c>
      <c r="B17" t="s">
        <v>6346</v>
      </c>
      <c r="C17" t="s">
        <v>6347</v>
      </c>
      <c r="D17" t="s">
        <v>6347</v>
      </c>
      <c r="E17" t="s">
        <v>6348</v>
      </c>
      <c r="G17" t="s">
        <v>4485</v>
      </c>
      <c r="H17" t="s">
        <v>6349</v>
      </c>
      <c r="I17">
        <v>1</v>
      </c>
      <c r="J17">
        <v>1</v>
      </c>
      <c r="K17" t="s">
        <v>972</v>
      </c>
      <c r="L17">
        <v>1</v>
      </c>
      <c r="M17">
        <v>118</v>
      </c>
      <c r="N17" t="s">
        <v>973</v>
      </c>
      <c r="O17">
        <v>10</v>
      </c>
      <c r="P17">
        <v>0</v>
      </c>
      <c r="Q17">
        <v>5</v>
      </c>
      <c r="R17">
        <v>750363</v>
      </c>
      <c r="S17">
        <v>1</v>
      </c>
      <c r="T17">
        <v>750365</v>
      </c>
      <c r="U17">
        <v>750366</v>
      </c>
      <c r="V17">
        <v>750367</v>
      </c>
      <c r="W17" t="s">
        <v>6350</v>
      </c>
      <c r="X17" t="s">
        <v>6351</v>
      </c>
      <c r="Y17" t="s">
        <v>6352</v>
      </c>
      <c r="Z17">
        <v>750370</v>
      </c>
      <c r="AA17">
        <v>10</v>
      </c>
      <c r="AB17">
        <v>10</v>
      </c>
      <c r="AC17">
        <v>5</v>
      </c>
      <c r="AD17">
        <v>5</v>
      </c>
      <c r="AE17">
        <v>80</v>
      </c>
      <c r="AF17">
        <v>100</v>
      </c>
      <c r="AG17">
        <v>95</v>
      </c>
      <c r="AH17">
        <v>150</v>
      </c>
      <c r="AI17">
        <v>125</v>
      </c>
      <c r="AJ17">
        <v>0</v>
      </c>
      <c r="AK17">
        <v>200</v>
      </c>
      <c r="AL17">
        <v>40</v>
      </c>
      <c r="AM17">
        <v>150</v>
      </c>
      <c r="AN17">
        <v>100</v>
      </c>
      <c r="AO17">
        <v>15</v>
      </c>
      <c r="AP17">
        <v>0</v>
      </c>
      <c r="AQ17">
        <v>2</v>
      </c>
      <c r="AR17">
        <v>15</v>
      </c>
      <c r="AS17">
        <v>500</v>
      </c>
      <c r="AT17">
        <v>7</v>
      </c>
      <c r="AU17" t="s">
        <v>6353</v>
      </c>
      <c r="AV17" t="s">
        <v>4491</v>
      </c>
      <c r="AW17" t="s">
        <v>4491</v>
      </c>
      <c r="AX17" t="s">
        <v>4491</v>
      </c>
      <c r="AY17">
        <v>157</v>
      </c>
      <c r="AZ17">
        <v>11002</v>
      </c>
      <c r="BA17">
        <v>1</v>
      </c>
      <c r="BB17" t="s">
        <v>4492</v>
      </c>
      <c r="BC17" t="s">
        <v>1806</v>
      </c>
      <c r="BD17">
        <v>930019</v>
      </c>
      <c r="BE17" t="s">
        <v>4493</v>
      </c>
      <c r="BF17" t="s">
        <v>4494</v>
      </c>
      <c r="BG17">
        <v>100</v>
      </c>
      <c r="BH17">
        <v>10602</v>
      </c>
      <c r="BI17">
        <v>0</v>
      </c>
    </row>
    <row r="18" spans="1:61" x14ac:dyDescent="0.3">
      <c r="A18">
        <v>1004</v>
      </c>
      <c r="B18" t="s">
        <v>4562</v>
      </c>
      <c r="C18" t="s">
        <v>977</v>
      </c>
      <c r="D18" t="s">
        <v>977</v>
      </c>
      <c r="E18" t="s">
        <v>4563</v>
      </c>
      <c r="G18" t="s">
        <v>4485</v>
      </c>
      <c r="H18" t="s">
        <v>4564</v>
      </c>
      <c r="I18">
        <v>1</v>
      </c>
      <c r="J18">
        <v>1</v>
      </c>
      <c r="K18" t="s">
        <v>972</v>
      </c>
      <c r="L18">
        <v>1</v>
      </c>
      <c r="M18">
        <v>104</v>
      </c>
      <c r="N18" t="s">
        <v>973</v>
      </c>
      <c r="O18">
        <v>10</v>
      </c>
      <c r="P18">
        <v>0</v>
      </c>
      <c r="Q18">
        <v>5</v>
      </c>
      <c r="R18">
        <v>900667</v>
      </c>
      <c r="S18">
        <v>2</v>
      </c>
      <c r="T18">
        <v>30007</v>
      </c>
      <c r="U18">
        <v>900644</v>
      </c>
      <c r="V18">
        <v>900645</v>
      </c>
      <c r="W18" t="s">
        <v>4565</v>
      </c>
      <c r="X18" t="s">
        <v>328</v>
      </c>
      <c r="Y18" t="s">
        <v>328</v>
      </c>
      <c r="Z18">
        <v>900536</v>
      </c>
      <c r="AA18">
        <v>10</v>
      </c>
      <c r="AB18">
        <v>10</v>
      </c>
      <c r="AC18">
        <v>5</v>
      </c>
      <c r="AD18">
        <v>5</v>
      </c>
      <c r="AE18">
        <v>120</v>
      </c>
      <c r="AF18">
        <v>105</v>
      </c>
      <c r="AG18">
        <v>95</v>
      </c>
      <c r="AH18">
        <v>95</v>
      </c>
      <c r="AI18">
        <v>95</v>
      </c>
      <c r="AJ18">
        <v>0</v>
      </c>
      <c r="AK18">
        <v>15</v>
      </c>
      <c r="AL18">
        <v>20</v>
      </c>
      <c r="AM18">
        <v>150</v>
      </c>
      <c r="AN18">
        <v>100</v>
      </c>
      <c r="AO18">
        <v>15</v>
      </c>
      <c r="AP18">
        <v>0</v>
      </c>
      <c r="AQ18">
        <v>2</v>
      </c>
      <c r="AR18">
        <v>15</v>
      </c>
      <c r="AS18">
        <v>500</v>
      </c>
      <c r="AT18">
        <v>7</v>
      </c>
      <c r="AU18" t="s">
        <v>4566</v>
      </c>
      <c r="AV18" t="s">
        <v>4491</v>
      </c>
      <c r="AW18" t="s">
        <v>4491</v>
      </c>
      <c r="AX18" t="s">
        <v>4491</v>
      </c>
      <c r="AY18">
        <v>17</v>
      </c>
      <c r="AZ18">
        <v>11002</v>
      </c>
      <c r="BA18">
        <v>1</v>
      </c>
      <c r="BB18" t="s">
        <v>4492</v>
      </c>
      <c r="BC18" t="s">
        <v>1806</v>
      </c>
      <c r="BD18">
        <v>930004</v>
      </c>
      <c r="BE18" t="s">
        <v>4493</v>
      </c>
      <c r="BF18" t="s">
        <v>4494</v>
      </c>
      <c r="BG18">
        <v>100</v>
      </c>
      <c r="BH18">
        <v>10602</v>
      </c>
    </row>
    <row r="19" spans="1:61" x14ac:dyDescent="0.3">
      <c r="A19">
        <v>1016</v>
      </c>
      <c r="B19" t="s">
        <v>4482</v>
      </c>
      <c r="C19" t="s">
        <v>4483</v>
      </c>
      <c r="D19" t="s">
        <v>4483</v>
      </c>
      <c r="E19" t="s">
        <v>4484</v>
      </c>
      <c r="G19" t="s">
        <v>4485</v>
      </c>
      <c r="H19" t="s">
        <v>4486</v>
      </c>
      <c r="I19">
        <v>1</v>
      </c>
      <c r="J19">
        <v>1</v>
      </c>
      <c r="K19" t="s">
        <v>972</v>
      </c>
      <c r="L19">
        <v>1</v>
      </c>
      <c r="M19">
        <v>116</v>
      </c>
      <c r="N19" t="s">
        <v>973</v>
      </c>
      <c r="O19">
        <v>10</v>
      </c>
      <c r="P19">
        <v>0</v>
      </c>
      <c r="Q19">
        <v>5</v>
      </c>
      <c r="R19">
        <v>750126</v>
      </c>
      <c r="S19">
        <v>1</v>
      </c>
      <c r="T19">
        <v>750081</v>
      </c>
      <c r="U19">
        <v>750082</v>
      </c>
      <c r="V19">
        <v>750086</v>
      </c>
      <c r="W19" t="s">
        <v>4487</v>
      </c>
      <c r="X19" t="s">
        <v>4488</v>
      </c>
      <c r="Y19" t="s">
        <v>4489</v>
      </c>
      <c r="Z19">
        <v>900536</v>
      </c>
      <c r="AA19">
        <v>10</v>
      </c>
      <c r="AB19">
        <v>10</v>
      </c>
      <c r="AC19">
        <v>5</v>
      </c>
      <c r="AD19">
        <v>5</v>
      </c>
      <c r="AE19">
        <v>125</v>
      </c>
      <c r="AF19">
        <v>98</v>
      </c>
      <c r="AG19">
        <v>108</v>
      </c>
      <c r="AH19">
        <v>85</v>
      </c>
      <c r="AI19">
        <v>105</v>
      </c>
      <c r="AJ19">
        <v>0</v>
      </c>
      <c r="AK19">
        <v>15</v>
      </c>
      <c r="AL19">
        <v>20</v>
      </c>
      <c r="AM19">
        <v>150</v>
      </c>
      <c r="AN19">
        <v>100</v>
      </c>
      <c r="AO19">
        <v>15</v>
      </c>
      <c r="AP19">
        <v>0</v>
      </c>
      <c r="AQ19">
        <v>2</v>
      </c>
      <c r="AR19">
        <v>15</v>
      </c>
      <c r="AS19">
        <v>500</v>
      </c>
      <c r="AT19">
        <v>7</v>
      </c>
      <c r="AU19" t="s">
        <v>4490</v>
      </c>
      <c r="AV19" t="s">
        <v>4491</v>
      </c>
      <c r="AW19" t="s">
        <v>4491</v>
      </c>
      <c r="AX19" t="s">
        <v>4491</v>
      </c>
      <c r="AY19">
        <v>140</v>
      </c>
      <c r="AZ19">
        <v>11002</v>
      </c>
      <c r="BA19">
        <v>1</v>
      </c>
      <c r="BB19" t="s">
        <v>4492</v>
      </c>
      <c r="BC19" t="s">
        <v>1806</v>
      </c>
      <c r="BD19">
        <v>930017</v>
      </c>
      <c r="BE19" t="s">
        <v>4493</v>
      </c>
      <c r="BF19" t="s">
        <v>4494</v>
      </c>
      <c r="BG19">
        <v>100</v>
      </c>
      <c r="BH19">
        <v>10602</v>
      </c>
    </row>
    <row r="20" spans="1:61" x14ac:dyDescent="0.3">
      <c r="A20">
        <v>1011</v>
      </c>
      <c r="B20" t="s">
        <v>4567</v>
      </c>
      <c r="C20" t="s">
        <v>983</v>
      </c>
      <c r="D20" t="s">
        <v>983</v>
      </c>
      <c r="E20" t="s">
        <v>4568</v>
      </c>
      <c r="G20" t="s">
        <v>4485</v>
      </c>
      <c r="H20" t="s">
        <v>4569</v>
      </c>
      <c r="I20">
        <v>1</v>
      </c>
      <c r="J20">
        <v>1</v>
      </c>
      <c r="K20" t="s">
        <v>984</v>
      </c>
      <c r="L20">
        <v>1</v>
      </c>
      <c r="M20">
        <v>111</v>
      </c>
      <c r="N20" t="s">
        <v>973</v>
      </c>
      <c r="O20">
        <v>10</v>
      </c>
      <c r="P20">
        <v>0</v>
      </c>
      <c r="Q20">
        <v>5</v>
      </c>
      <c r="R20">
        <v>901200</v>
      </c>
      <c r="S20">
        <v>2</v>
      </c>
      <c r="T20">
        <v>30009</v>
      </c>
      <c r="U20">
        <v>901225</v>
      </c>
      <c r="V20">
        <v>901226</v>
      </c>
      <c r="W20" t="s">
        <v>4570</v>
      </c>
      <c r="X20" t="s">
        <v>4571</v>
      </c>
      <c r="Y20" t="s">
        <v>4572</v>
      </c>
      <c r="Z20">
        <v>901223</v>
      </c>
      <c r="AA20">
        <v>10</v>
      </c>
      <c r="AB20">
        <v>10</v>
      </c>
      <c r="AC20">
        <v>5</v>
      </c>
      <c r="AD20">
        <v>5</v>
      </c>
      <c r="AE20">
        <v>130</v>
      </c>
      <c r="AF20">
        <v>95</v>
      </c>
      <c r="AG20">
        <v>110</v>
      </c>
      <c r="AH20">
        <v>110</v>
      </c>
      <c r="AI20">
        <v>80</v>
      </c>
      <c r="AJ20">
        <v>48</v>
      </c>
      <c r="AK20">
        <v>15</v>
      </c>
      <c r="AL20">
        <v>20</v>
      </c>
      <c r="AM20">
        <v>150</v>
      </c>
      <c r="AN20">
        <v>100</v>
      </c>
      <c r="AO20">
        <v>15</v>
      </c>
      <c r="AP20">
        <v>0</v>
      </c>
      <c r="AQ20">
        <v>2</v>
      </c>
      <c r="AR20">
        <v>15</v>
      </c>
      <c r="AS20">
        <v>500</v>
      </c>
      <c r="AT20">
        <v>7</v>
      </c>
      <c r="AU20" t="s">
        <v>4573</v>
      </c>
      <c r="AV20" t="s">
        <v>4491</v>
      </c>
      <c r="AW20" t="s">
        <v>4491</v>
      </c>
      <c r="AX20" t="s">
        <v>4491</v>
      </c>
      <c r="AY20">
        <v>35</v>
      </c>
      <c r="AZ20">
        <v>11002</v>
      </c>
      <c r="BA20">
        <v>1</v>
      </c>
      <c r="BB20" t="s">
        <v>4492</v>
      </c>
      <c r="BC20" t="s">
        <v>1806</v>
      </c>
      <c r="BD20">
        <v>930011</v>
      </c>
      <c r="BE20" t="s">
        <v>4493</v>
      </c>
      <c r="BF20" t="s">
        <v>4494</v>
      </c>
      <c r="BG20">
        <v>100</v>
      </c>
      <c r="BH20">
        <v>10604</v>
      </c>
    </row>
    <row r="21" spans="1:61" x14ac:dyDescent="0.3">
      <c r="A21">
        <v>1027</v>
      </c>
      <c r="B21" t="s">
        <v>9142</v>
      </c>
      <c r="C21" t="s">
        <v>9143</v>
      </c>
      <c r="D21" t="s">
        <v>9143</v>
      </c>
      <c r="E21" t="s">
        <v>9144</v>
      </c>
      <c r="F21" t="s">
        <v>6780</v>
      </c>
      <c r="G21" t="s">
        <v>4485</v>
      </c>
      <c r="H21" t="s">
        <v>9145</v>
      </c>
      <c r="I21">
        <v>3</v>
      </c>
      <c r="J21">
        <v>1</v>
      </c>
      <c r="K21" t="s">
        <v>972</v>
      </c>
      <c r="L21">
        <v>1</v>
      </c>
      <c r="M21">
        <v>127</v>
      </c>
      <c r="N21" t="s">
        <v>973</v>
      </c>
      <c r="O21">
        <v>10</v>
      </c>
      <c r="P21">
        <v>0</v>
      </c>
      <c r="Q21">
        <v>5</v>
      </c>
      <c r="R21">
        <v>750960</v>
      </c>
      <c r="S21">
        <v>2</v>
      </c>
      <c r="T21">
        <v>30012</v>
      </c>
      <c r="U21">
        <v>750963</v>
      </c>
      <c r="V21">
        <v>750964</v>
      </c>
      <c r="W21" t="s">
        <v>9146</v>
      </c>
      <c r="X21" t="s">
        <v>328</v>
      </c>
      <c r="Y21" t="s">
        <v>328</v>
      </c>
      <c r="Z21">
        <v>750965</v>
      </c>
      <c r="AA21">
        <v>10</v>
      </c>
      <c r="AB21">
        <v>10</v>
      </c>
      <c r="AC21">
        <v>5</v>
      </c>
      <c r="AD21">
        <v>5</v>
      </c>
      <c r="AE21">
        <v>120</v>
      </c>
      <c r="AF21">
        <v>100</v>
      </c>
      <c r="AG21">
        <v>100</v>
      </c>
      <c r="AH21">
        <v>120</v>
      </c>
      <c r="AI21">
        <v>135</v>
      </c>
      <c r="AJ21">
        <v>0</v>
      </c>
      <c r="AK21">
        <v>15</v>
      </c>
      <c r="AL21">
        <v>20</v>
      </c>
      <c r="AM21">
        <v>150</v>
      </c>
      <c r="AN21">
        <v>100</v>
      </c>
      <c r="AO21">
        <v>18</v>
      </c>
      <c r="AP21">
        <v>0</v>
      </c>
      <c r="AQ21">
        <v>2</v>
      </c>
      <c r="AR21">
        <v>15</v>
      </c>
      <c r="AS21">
        <v>500</v>
      </c>
      <c r="AT21">
        <v>7</v>
      </c>
      <c r="AU21" t="s">
        <v>9147</v>
      </c>
      <c r="AV21" t="s">
        <v>4491</v>
      </c>
      <c r="AW21" t="s">
        <v>4491</v>
      </c>
      <c r="AX21" t="s">
        <v>4491</v>
      </c>
      <c r="AY21">
        <v>110</v>
      </c>
      <c r="AZ21">
        <v>11002</v>
      </c>
      <c r="BA21">
        <v>1</v>
      </c>
      <c r="BB21" t="s">
        <v>4492</v>
      </c>
      <c r="BC21" t="s">
        <v>1806</v>
      </c>
      <c r="BD21">
        <v>930028</v>
      </c>
      <c r="BE21" t="s">
        <v>4493</v>
      </c>
      <c r="BF21" t="s">
        <v>4494</v>
      </c>
      <c r="BG21">
        <v>100</v>
      </c>
      <c r="BH21">
        <v>10604</v>
      </c>
      <c r="BI21">
        <v>0</v>
      </c>
    </row>
    <row r="22" spans="1:61" x14ac:dyDescent="0.3">
      <c r="A22">
        <v>1025</v>
      </c>
      <c r="B22" t="s">
        <v>8124</v>
      </c>
      <c r="C22" t="s">
        <v>8125</v>
      </c>
      <c r="D22" t="s">
        <v>8126</v>
      </c>
      <c r="E22" t="s">
        <v>8127</v>
      </c>
      <c r="F22" t="s">
        <v>6780</v>
      </c>
      <c r="G22" t="s">
        <v>4485</v>
      </c>
      <c r="H22" t="s">
        <v>8128</v>
      </c>
      <c r="I22">
        <v>3</v>
      </c>
      <c r="J22">
        <v>1</v>
      </c>
      <c r="K22" t="s">
        <v>972</v>
      </c>
      <c r="L22">
        <v>1</v>
      </c>
      <c r="M22">
        <v>125</v>
      </c>
      <c r="N22" t="s">
        <v>973</v>
      </c>
      <c r="O22">
        <v>10</v>
      </c>
      <c r="P22">
        <v>0</v>
      </c>
      <c r="Q22">
        <v>5</v>
      </c>
      <c r="R22">
        <v>750870</v>
      </c>
      <c r="S22">
        <v>1</v>
      </c>
      <c r="T22">
        <v>750872</v>
      </c>
      <c r="U22">
        <v>750873</v>
      </c>
      <c r="V22">
        <v>750874</v>
      </c>
      <c r="W22" t="s">
        <v>8129</v>
      </c>
      <c r="X22" t="s">
        <v>8130</v>
      </c>
      <c r="Y22" t="s">
        <v>8131</v>
      </c>
      <c r="Z22">
        <v>750875</v>
      </c>
      <c r="AA22">
        <v>10</v>
      </c>
      <c r="AB22">
        <v>10</v>
      </c>
      <c r="AC22">
        <v>5</v>
      </c>
      <c r="AD22">
        <v>5</v>
      </c>
      <c r="AE22">
        <v>105</v>
      </c>
      <c r="AF22">
        <v>170</v>
      </c>
      <c r="AG22">
        <v>60</v>
      </c>
      <c r="AH22">
        <v>150</v>
      </c>
      <c r="AI22">
        <v>130</v>
      </c>
      <c r="AJ22">
        <v>0</v>
      </c>
      <c r="AK22">
        <v>180</v>
      </c>
      <c r="AL22">
        <v>40</v>
      </c>
      <c r="AM22">
        <v>200</v>
      </c>
      <c r="AN22">
        <v>100</v>
      </c>
      <c r="AO22">
        <v>18</v>
      </c>
      <c r="AP22">
        <v>0</v>
      </c>
      <c r="AQ22">
        <v>2</v>
      </c>
      <c r="AR22">
        <v>15</v>
      </c>
      <c r="AS22">
        <v>500</v>
      </c>
      <c r="AT22">
        <v>8</v>
      </c>
      <c r="AU22" t="s">
        <v>8132</v>
      </c>
      <c r="AV22" t="s">
        <v>4491</v>
      </c>
      <c r="AW22" t="s">
        <v>4491</v>
      </c>
      <c r="AX22" t="s">
        <v>4491</v>
      </c>
      <c r="AY22">
        <v>215</v>
      </c>
      <c r="AZ22">
        <v>11002</v>
      </c>
      <c r="BA22">
        <v>1</v>
      </c>
      <c r="BB22" t="s">
        <v>4492</v>
      </c>
      <c r="BC22" t="s">
        <v>1806</v>
      </c>
      <c r="BD22">
        <v>930026</v>
      </c>
      <c r="BE22" t="s">
        <v>4493</v>
      </c>
      <c r="BF22" t="s">
        <v>4494</v>
      </c>
      <c r="BG22">
        <v>100</v>
      </c>
      <c r="BH22">
        <v>10603</v>
      </c>
      <c r="BI22">
        <v>0</v>
      </c>
    </row>
    <row r="23" spans="1:61" x14ac:dyDescent="0.3">
      <c r="A23">
        <v>1013</v>
      </c>
      <c r="B23" t="s">
        <v>4574</v>
      </c>
      <c r="C23" t="s">
        <v>986</v>
      </c>
      <c r="D23" t="s">
        <v>986</v>
      </c>
      <c r="E23" t="s">
        <v>4575</v>
      </c>
      <c r="G23" t="s">
        <v>4485</v>
      </c>
      <c r="H23" t="s">
        <v>4576</v>
      </c>
      <c r="I23">
        <v>3</v>
      </c>
      <c r="J23">
        <v>1</v>
      </c>
      <c r="K23" t="s">
        <v>972</v>
      </c>
      <c r="L23">
        <v>1</v>
      </c>
      <c r="M23">
        <v>113</v>
      </c>
      <c r="N23" t="s">
        <v>973</v>
      </c>
      <c r="O23">
        <v>8</v>
      </c>
      <c r="P23">
        <v>0</v>
      </c>
      <c r="Q23">
        <v>5</v>
      </c>
      <c r="R23">
        <v>902356</v>
      </c>
      <c r="S23">
        <v>3</v>
      </c>
      <c r="T23">
        <v>1013</v>
      </c>
      <c r="U23">
        <v>902358</v>
      </c>
      <c r="V23">
        <v>902359</v>
      </c>
      <c r="W23" t="s">
        <v>4577</v>
      </c>
      <c r="X23" t="s">
        <v>328</v>
      </c>
      <c r="Y23" t="s">
        <v>4578</v>
      </c>
      <c r="Z23">
        <v>902361</v>
      </c>
      <c r="AA23">
        <v>10</v>
      </c>
      <c r="AB23">
        <v>10</v>
      </c>
      <c r="AC23">
        <v>5</v>
      </c>
      <c r="AD23">
        <v>5</v>
      </c>
      <c r="AE23">
        <v>90</v>
      </c>
      <c r="AF23">
        <v>132</v>
      </c>
      <c r="AG23">
        <v>72</v>
      </c>
      <c r="AH23">
        <v>128</v>
      </c>
      <c r="AI23">
        <v>55</v>
      </c>
      <c r="AJ23">
        <v>0</v>
      </c>
      <c r="AK23">
        <v>180</v>
      </c>
      <c r="AL23">
        <v>40</v>
      </c>
      <c r="AM23">
        <v>150</v>
      </c>
      <c r="AN23">
        <v>100</v>
      </c>
      <c r="AO23">
        <v>15</v>
      </c>
      <c r="AP23">
        <v>0</v>
      </c>
      <c r="AQ23">
        <v>2</v>
      </c>
      <c r="AR23">
        <v>15</v>
      </c>
      <c r="AS23">
        <v>500</v>
      </c>
      <c r="AT23">
        <v>7</v>
      </c>
      <c r="AU23" t="s">
        <v>4579</v>
      </c>
      <c r="AV23" t="s">
        <v>4491</v>
      </c>
      <c r="AW23" t="s">
        <v>4491</v>
      </c>
      <c r="AX23" t="s">
        <v>4491</v>
      </c>
      <c r="AY23">
        <v>50</v>
      </c>
      <c r="AZ23">
        <v>11002</v>
      </c>
      <c r="BA23">
        <v>1</v>
      </c>
      <c r="BB23" t="s">
        <v>4492</v>
      </c>
      <c r="BC23" t="s">
        <v>1806</v>
      </c>
      <c r="BD23">
        <v>930013</v>
      </c>
      <c r="BE23" t="s">
        <v>4493</v>
      </c>
      <c r="BF23" t="s">
        <v>4494</v>
      </c>
      <c r="BG23">
        <v>100</v>
      </c>
      <c r="BH23">
        <v>10603</v>
      </c>
    </row>
    <row r="24" spans="1:61" x14ac:dyDescent="0.3">
      <c r="A24">
        <v>1022</v>
      </c>
      <c r="B24" t="s">
        <v>6917</v>
      </c>
      <c r="C24" t="s">
        <v>6918</v>
      </c>
      <c r="D24" t="s">
        <v>6918</v>
      </c>
      <c r="E24" t="s">
        <v>6919</v>
      </c>
      <c r="F24" t="s">
        <v>6780</v>
      </c>
      <c r="G24" t="s">
        <v>4485</v>
      </c>
      <c r="H24" t="s">
        <v>6920</v>
      </c>
      <c r="I24">
        <v>3</v>
      </c>
      <c r="J24">
        <v>1</v>
      </c>
      <c r="K24" t="s">
        <v>984</v>
      </c>
      <c r="L24">
        <v>1</v>
      </c>
      <c r="M24">
        <v>122</v>
      </c>
      <c r="N24" t="s">
        <v>973</v>
      </c>
      <c r="O24">
        <v>10</v>
      </c>
      <c r="P24">
        <v>0</v>
      </c>
      <c r="Q24">
        <v>5</v>
      </c>
      <c r="R24">
        <v>750622</v>
      </c>
      <c r="S24">
        <v>3</v>
      </c>
      <c r="T24">
        <v>1018</v>
      </c>
      <c r="U24">
        <v>750625</v>
      </c>
      <c r="V24">
        <v>750626</v>
      </c>
      <c r="W24" t="s">
        <v>6921</v>
      </c>
      <c r="X24" t="s">
        <v>6922</v>
      </c>
      <c r="Y24" t="s">
        <v>6923</v>
      </c>
      <c r="Z24">
        <v>750631</v>
      </c>
      <c r="AA24">
        <v>10</v>
      </c>
      <c r="AB24">
        <v>10</v>
      </c>
      <c r="AC24">
        <v>5</v>
      </c>
      <c r="AD24">
        <v>5</v>
      </c>
      <c r="AE24">
        <v>200</v>
      </c>
      <c r="AF24">
        <v>65</v>
      </c>
      <c r="AG24">
        <v>65</v>
      </c>
      <c r="AH24">
        <v>150</v>
      </c>
      <c r="AI24">
        <v>40</v>
      </c>
      <c r="AJ24">
        <v>120</v>
      </c>
      <c r="AK24">
        <v>180</v>
      </c>
      <c r="AL24">
        <v>20</v>
      </c>
      <c r="AM24">
        <v>150</v>
      </c>
      <c r="AN24">
        <v>100</v>
      </c>
      <c r="AO24">
        <v>10</v>
      </c>
      <c r="AP24">
        <v>0</v>
      </c>
      <c r="AQ24">
        <v>2</v>
      </c>
      <c r="AR24">
        <v>15</v>
      </c>
      <c r="AS24">
        <v>500</v>
      </c>
      <c r="AT24">
        <v>8</v>
      </c>
      <c r="AU24" t="s">
        <v>6924</v>
      </c>
      <c r="AV24" t="s">
        <v>4491</v>
      </c>
      <c r="AW24" t="s">
        <v>4491</v>
      </c>
      <c r="AX24" t="s">
        <v>4491</v>
      </c>
      <c r="AY24">
        <v>176</v>
      </c>
      <c r="AZ24">
        <v>11002</v>
      </c>
      <c r="BA24">
        <v>1</v>
      </c>
      <c r="BB24" t="s">
        <v>4492</v>
      </c>
      <c r="BC24" t="s">
        <v>1806</v>
      </c>
      <c r="BD24">
        <v>930023</v>
      </c>
      <c r="BE24" t="s">
        <v>4493</v>
      </c>
      <c r="BF24" t="s">
        <v>4494</v>
      </c>
      <c r="BG24">
        <v>100</v>
      </c>
      <c r="BH24">
        <v>10603</v>
      </c>
      <c r="BI24">
        <v>0</v>
      </c>
    </row>
    <row r="25" spans="1:61" x14ac:dyDescent="0.3">
      <c r="A25">
        <v>1014</v>
      </c>
      <c r="B25" t="s">
        <v>4580</v>
      </c>
      <c r="C25" t="s">
        <v>987</v>
      </c>
      <c r="D25" t="s">
        <v>987</v>
      </c>
      <c r="E25" t="s">
        <v>4581</v>
      </c>
      <c r="G25" t="s">
        <v>4485</v>
      </c>
      <c r="H25" t="s">
        <v>4582</v>
      </c>
      <c r="I25">
        <v>3</v>
      </c>
      <c r="J25">
        <v>1</v>
      </c>
      <c r="K25" t="s">
        <v>975</v>
      </c>
      <c r="L25">
        <v>1</v>
      </c>
      <c r="M25">
        <v>114</v>
      </c>
      <c r="N25" t="s">
        <v>973</v>
      </c>
      <c r="O25">
        <v>8</v>
      </c>
      <c r="P25">
        <v>0</v>
      </c>
      <c r="Q25">
        <v>5</v>
      </c>
      <c r="R25">
        <v>902431</v>
      </c>
      <c r="S25">
        <v>3</v>
      </c>
      <c r="T25">
        <v>1014</v>
      </c>
      <c r="U25">
        <v>902433</v>
      </c>
      <c r="V25">
        <v>902434</v>
      </c>
      <c r="W25" t="s">
        <v>4583</v>
      </c>
      <c r="X25" t="s">
        <v>4584</v>
      </c>
      <c r="Y25" t="s">
        <v>4585</v>
      </c>
      <c r="Z25">
        <v>902436</v>
      </c>
      <c r="AA25">
        <v>10</v>
      </c>
      <c r="AB25">
        <v>10</v>
      </c>
      <c r="AC25">
        <v>5</v>
      </c>
      <c r="AD25">
        <v>5</v>
      </c>
      <c r="AE25">
        <v>105</v>
      </c>
      <c r="AF25">
        <v>135</v>
      </c>
      <c r="AG25">
        <v>55</v>
      </c>
      <c r="AH25">
        <v>110</v>
      </c>
      <c r="AI25">
        <v>90</v>
      </c>
      <c r="AJ25">
        <v>0</v>
      </c>
      <c r="AK25">
        <v>180</v>
      </c>
      <c r="AL25">
        <v>40</v>
      </c>
      <c r="AM25">
        <v>150</v>
      </c>
      <c r="AN25">
        <v>100</v>
      </c>
      <c r="AO25">
        <v>15</v>
      </c>
      <c r="AP25">
        <v>0</v>
      </c>
      <c r="AQ25">
        <v>1</v>
      </c>
      <c r="AR25">
        <v>15</v>
      </c>
      <c r="AS25">
        <v>500</v>
      </c>
      <c r="AT25">
        <v>4</v>
      </c>
      <c r="AU25" t="s">
        <v>4586</v>
      </c>
      <c r="AV25" t="s">
        <v>4491</v>
      </c>
      <c r="AW25" t="s">
        <v>4491</v>
      </c>
      <c r="AX25" t="s">
        <v>4491</v>
      </c>
      <c r="AY25">
        <v>51</v>
      </c>
      <c r="AZ25">
        <v>11002</v>
      </c>
      <c r="BA25">
        <v>1</v>
      </c>
      <c r="BB25" t="s">
        <v>4492</v>
      </c>
      <c r="BC25" t="s">
        <v>1806</v>
      </c>
      <c r="BD25">
        <v>930014</v>
      </c>
      <c r="BE25" t="s">
        <v>4493</v>
      </c>
      <c r="BF25" t="s">
        <v>4494</v>
      </c>
      <c r="BG25">
        <v>100</v>
      </c>
      <c r="BH25">
        <v>10603</v>
      </c>
    </row>
    <row r="26" spans="1:61" x14ac:dyDescent="0.3">
      <c r="A26">
        <v>1020</v>
      </c>
      <c r="B26" t="s">
        <v>6521</v>
      </c>
      <c r="C26" t="s">
        <v>6522</v>
      </c>
      <c r="D26" t="s">
        <v>6522</v>
      </c>
      <c r="E26" t="s">
        <v>6523</v>
      </c>
      <c r="G26" t="s">
        <v>4485</v>
      </c>
      <c r="H26" t="s">
        <v>6524</v>
      </c>
      <c r="I26">
        <v>3</v>
      </c>
      <c r="J26">
        <v>1</v>
      </c>
      <c r="K26" t="s">
        <v>975</v>
      </c>
      <c r="L26">
        <v>1</v>
      </c>
      <c r="M26">
        <v>120</v>
      </c>
      <c r="N26" t="s">
        <v>973</v>
      </c>
      <c r="O26">
        <v>8</v>
      </c>
      <c r="P26">
        <v>0</v>
      </c>
      <c r="Q26">
        <v>5</v>
      </c>
      <c r="R26">
        <v>750409</v>
      </c>
      <c r="S26">
        <v>1</v>
      </c>
      <c r="T26">
        <v>750411</v>
      </c>
      <c r="U26">
        <v>750412</v>
      </c>
      <c r="V26">
        <v>750413</v>
      </c>
      <c r="W26" t="s">
        <v>6525</v>
      </c>
      <c r="X26" t="s">
        <v>6526</v>
      </c>
      <c r="Y26" t="s">
        <v>6527</v>
      </c>
      <c r="Z26">
        <v>750414</v>
      </c>
      <c r="AA26">
        <v>10</v>
      </c>
      <c r="AB26">
        <v>10</v>
      </c>
      <c r="AC26">
        <v>5</v>
      </c>
      <c r="AD26">
        <v>5</v>
      </c>
      <c r="AE26">
        <v>140</v>
      </c>
      <c r="AF26">
        <v>90</v>
      </c>
      <c r="AG26">
        <v>55</v>
      </c>
      <c r="AH26">
        <v>130</v>
      </c>
      <c r="AI26">
        <v>95</v>
      </c>
      <c r="AJ26">
        <v>0</v>
      </c>
      <c r="AK26">
        <v>180</v>
      </c>
      <c r="AL26">
        <v>40</v>
      </c>
      <c r="AM26">
        <v>150</v>
      </c>
      <c r="AN26">
        <v>100</v>
      </c>
      <c r="AO26">
        <v>18</v>
      </c>
      <c r="AP26">
        <v>0</v>
      </c>
      <c r="AQ26">
        <v>1</v>
      </c>
      <c r="AR26">
        <v>15</v>
      </c>
      <c r="AS26">
        <v>500</v>
      </c>
      <c r="AT26">
        <v>4</v>
      </c>
      <c r="AU26" t="s">
        <v>6528</v>
      </c>
      <c r="AV26" t="s">
        <v>4491</v>
      </c>
      <c r="AW26" t="s">
        <v>4491</v>
      </c>
      <c r="AX26" t="s">
        <v>4491</v>
      </c>
      <c r="AY26">
        <v>166</v>
      </c>
      <c r="AZ26">
        <v>11002</v>
      </c>
      <c r="BA26">
        <v>1</v>
      </c>
      <c r="BB26" t="s">
        <v>4492</v>
      </c>
      <c r="BC26" t="s">
        <v>1806</v>
      </c>
      <c r="BD26">
        <v>930021</v>
      </c>
      <c r="BE26" t="s">
        <v>4493</v>
      </c>
      <c r="BF26" t="s">
        <v>4494</v>
      </c>
      <c r="BG26">
        <v>100</v>
      </c>
      <c r="BH26">
        <v>10603</v>
      </c>
      <c r="BI26">
        <v>0</v>
      </c>
    </row>
    <row r="27" spans="1:61" x14ac:dyDescent="0.3">
      <c r="A27">
        <v>1024</v>
      </c>
      <c r="B27" t="s">
        <v>7986</v>
      </c>
      <c r="C27" t="s">
        <v>7987</v>
      </c>
      <c r="D27" t="s">
        <v>7988</v>
      </c>
      <c r="E27" t="s">
        <v>7989</v>
      </c>
      <c r="F27" t="s">
        <v>6780</v>
      </c>
      <c r="G27" t="s">
        <v>4485</v>
      </c>
      <c r="H27" t="s">
        <v>7990</v>
      </c>
      <c r="I27">
        <v>3</v>
      </c>
      <c r="J27">
        <v>1</v>
      </c>
      <c r="K27" t="s">
        <v>984</v>
      </c>
      <c r="L27">
        <v>1</v>
      </c>
      <c r="M27">
        <v>124</v>
      </c>
      <c r="N27" t="s">
        <v>973</v>
      </c>
      <c r="O27">
        <v>10</v>
      </c>
      <c r="P27">
        <v>0</v>
      </c>
      <c r="Q27">
        <v>5</v>
      </c>
      <c r="R27">
        <v>750783</v>
      </c>
      <c r="S27">
        <v>1</v>
      </c>
      <c r="T27">
        <v>750785</v>
      </c>
      <c r="U27">
        <v>750786</v>
      </c>
      <c r="V27">
        <v>750787</v>
      </c>
      <c r="W27" t="s">
        <v>7991</v>
      </c>
      <c r="X27" t="s">
        <v>7992</v>
      </c>
      <c r="Y27" t="s">
        <v>7993</v>
      </c>
      <c r="Z27">
        <v>750788</v>
      </c>
      <c r="AA27">
        <v>10</v>
      </c>
      <c r="AB27">
        <v>10</v>
      </c>
      <c r="AC27">
        <v>5</v>
      </c>
      <c r="AD27">
        <v>5</v>
      </c>
      <c r="AE27">
        <v>170</v>
      </c>
      <c r="AF27">
        <v>138</v>
      </c>
      <c r="AG27">
        <v>50</v>
      </c>
      <c r="AH27">
        <v>200</v>
      </c>
      <c r="AI27">
        <v>60</v>
      </c>
      <c r="AJ27">
        <v>75</v>
      </c>
      <c r="AK27">
        <v>180</v>
      </c>
      <c r="AL27">
        <v>20</v>
      </c>
      <c r="AM27">
        <v>150</v>
      </c>
      <c r="AN27">
        <v>100</v>
      </c>
      <c r="AO27">
        <v>10</v>
      </c>
      <c r="AP27">
        <v>0</v>
      </c>
      <c r="AQ27">
        <v>2</v>
      </c>
      <c r="AR27">
        <v>15</v>
      </c>
      <c r="AS27">
        <v>500</v>
      </c>
      <c r="AT27">
        <v>8</v>
      </c>
      <c r="AU27" t="s">
        <v>7994</v>
      </c>
      <c r="AV27" t="s">
        <v>4491</v>
      </c>
      <c r="AW27" t="s">
        <v>4491</v>
      </c>
      <c r="AX27" t="s">
        <v>4491</v>
      </c>
      <c r="AY27">
        <v>214</v>
      </c>
      <c r="AZ27">
        <v>11002</v>
      </c>
      <c r="BA27">
        <v>1</v>
      </c>
      <c r="BB27" t="s">
        <v>4492</v>
      </c>
      <c r="BC27" t="s">
        <v>1806</v>
      </c>
      <c r="BD27">
        <v>930025</v>
      </c>
      <c r="BE27" t="s">
        <v>4493</v>
      </c>
      <c r="BF27" t="s">
        <v>4494</v>
      </c>
      <c r="BG27">
        <v>100</v>
      </c>
      <c r="BH27">
        <v>10604</v>
      </c>
      <c r="BI27">
        <v>0</v>
      </c>
    </row>
    <row r="28" spans="1:61" x14ac:dyDescent="0.3">
      <c r="A28">
        <v>1001</v>
      </c>
      <c r="B28" t="s">
        <v>4587</v>
      </c>
      <c r="C28" t="s">
        <v>971</v>
      </c>
      <c r="D28" t="s">
        <v>971</v>
      </c>
      <c r="E28" t="s">
        <v>4588</v>
      </c>
      <c r="G28" t="s">
        <v>4485</v>
      </c>
      <c r="H28" t="s">
        <v>4589</v>
      </c>
      <c r="I28">
        <v>1</v>
      </c>
      <c r="J28">
        <v>1</v>
      </c>
      <c r="K28" t="s">
        <v>972</v>
      </c>
      <c r="L28">
        <v>1</v>
      </c>
      <c r="M28">
        <v>101</v>
      </c>
      <c r="N28" t="s">
        <v>973</v>
      </c>
      <c r="O28">
        <v>10</v>
      </c>
      <c r="P28">
        <v>0</v>
      </c>
      <c r="Q28">
        <v>5</v>
      </c>
      <c r="R28">
        <v>900515</v>
      </c>
      <c r="S28">
        <v>2</v>
      </c>
      <c r="T28">
        <v>30006</v>
      </c>
      <c r="U28">
        <v>900511</v>
      </c>
      <c r="V28">
        <v>900512</v>
      </c>
      <c r="W28" t="s">
        <v>4590</v>
      </c>
      <c r="X28" t="s">
        <v>328</v>
      </c>
      <c r="Y28" t="s">
        <v>4591</v>
      </c>
      <c r="Z28">
        <v>900510</v>
      </c>
      <c r="AA28">
        <v>10</v>
      </c>
      <c r="AB28">
        <v>10</v>
      </c>
      <c r="AC28">
        <v>5</v>
      </c>
      <c r="AD28">
        <v>5</v>
      </c>
      <c r="AE28">
        <v>95</v>
      </c>
      <c r="AF28">
        <v>95</v>
      </c>
      <c r="AG28">
        <v>116</v>
      </c>
      <c r="AH28">
        <v>90</v>
      </c>
      <c r="AI28">
        <v>120</v>
      </c>
      <c r="AJ28">
        <v>0</v>
      </c>
      <c r="AK28">
        <v>15</v>
      </c>
      <c r="AL28">
        <v>20</v>
      </c>
      <c r="AM28">
        <v>150</v>
      </c>
      <c r="AN28">
        <v>100</v>
      </c>
      <c r="AO28">
        <v>12</v>
      </c>
      <c r="AP28">
        <v>0</v>
      </c>
      <c r="AQ28">
        <v>2</v>
      </c>
      <c r="AR28">
        <v>15</v>
      </c>
      <c r="AS28">
        <v>500</v>
      </c>
      <c r="AT28">
        <v>7</v>
      </c>
      <c r="AU28" t="s">
        <v>4592</v>
      </c>
      <c r="AV28" t="s">
        <v>4491</v>
      </c>
      <c r="AW28" t="s">
        <v>4491</v>
      </c>
      <c r="AX28" t="s">
        <v>4491</v>
      </c>
      <c r="AY28">
        <v>5</v>
      </c>
      <c r="AZ28">
        <v>11001</v>
      </c>
      <c r="BA28">
        <v>1</v>
      </c>
      <c r="BB28" t="s">
        <v>4492</v>
      </c>
      <c r="BC28" t="s">
        <v>1806</v>
      </c>
      <c r="BD28">
        <v>930001</v>
      </c>
      <c r="BE28" t="s">
        <v>4493</v>
      </c>
      <c r="BF28" t="s">
        <v>4494</v>
      </c>
      <c r="BG28">
        <v>100</v>
      </c>
      <c r="BH28">
        <v>10604</v>
      </c>
    </row>
    <row r="29" spans="1:61" x14ac:dyDescent="0.3">
      <c r="A29">
        <v>1023</v>
      </c>
      <c r="B29" t="s">
        <v>6958</v>
      </c>
      <c r="C29" t="s">
        <v>6959</v>
      </c>
      <c r="D29" t="s">
        <v>6959</v>
      </c>
      <c r="E29" t="s">
        <v>6960</v>
      </c>
      <c r="F29" t="s">
        <v>6780</v>
      </c>
      <c r="G29" t="s">
        <v>4485</v>
      </c>
      <c r="H29" t="s">
        <v>6961</v>
      </c>
      <c r="I29">
        <v>1</v>
      </c>
      <c r="J29">
        <v>1</v>
      </c>
      <c r="K29" t="s">
        <v>972</v>
      </c>
      <c r="L29">
        <v>1</v>
      </c>
      <c r="M29">
        <v>123</v>
      </c>
      <c r="N29" t="s">
        <v>973</v>
      </c>
      <c r="O29">
        <v>10</v>
      </c>
      <c r="P29">
        <v>0</v>
      </c>
      <c r="Q29">
        <v>5</v>
      </c>
      <c r="R29">
        <v>750700</v>
      </c>
      <c r="S29">
        <v>1</v>
      </c>
      <c r="T29">
        <v>750702</v>
      </c>
      <c r="U29">
        <v>750703</v>
      </c>
      <c r="V29">
        <v>750704</v>
      </c>
      <c r="W29" t="s">
        <v>6962</v>
      </c>
      <c r="X29" t="s">
        <v>6963</v>
      </c>
      <c r="Y29" t="s">
        <v>328</v>
      </c>
      <c r="Z29">
        <v>750706</v>
      </c>
      <c r="AA29">
        <v>10</v>
      </c>
      <c r="AB29">
        <v>10</v>
      </c>
      <c r="AC29">
        <v>5</v>
      </c>
      <c r="AD29">
        <v>5</v>
      </c>
      <c r="AE29">
        <v>135</v>
      </c>
      <c r="AF29">
        <v>112</v>
      </c>
      <c r="AG29">
        <v>100</v>
      </c>
      <c r="AH29">
        <v>126</v>
      </c>
      <c r="AI29">
        <v>90</v>
      </c>
      <c r="AJ29">
        <v>0</v>
      </c>
      <c r="AK29">
        <v>15</v>
      </c>
      <c r="AL29">
        <v>20</v>
      </c>
      <c r="AM29">
        <v>150</v>
      </c>
      <c r="AN29">
        <v>100</v>
      </c>
      <c r="AO29">
        <v>18</v>
      </c>
      <c r="AP29">
        <v>0</v>
      </c>
      <c r="AQ29">
        <v>2</v>
      </c>
      <c r="AR29">
        <v>15</v>
      </c>
      <c r="AS29">
        <v>500</v>
      </c>
      <c r="AT29">
        <v>7</v>
      </c>
      <c r="AU29" t="s">
        <v>6964</v>
      </c>
      <c r="AV29" t="s">
        <v>4491</v>
      </c>
      <c r="AW29" t="s">
        <v>4491</v>
      </c>
      <c r="AX29" t="s">
        <v>4491</v>
      </c>
      <c r="AY29">
        <v>181</v>
      </c>
      <c r="AZ29">
        <v>11002</v>
      </c>
      <c r="BA29">
        <v>1</v>
      </c>
      <c r="BB29" t="s">
        <v>6965</v>
      </c>
      <c r="BC29" t="s">
        <v>1806</v>
      </c>
      <c r="BD29">
        <v>930024</v>
      </c>
      <c r="BE29" t="s">
        <v>4493</v>
      </c>
      <c r="BF29" t="s">
        <v>4494</v>
      </c>
      <c r="BG29">
        <v>100</v>
      </c>
      <c r="BH29">
        <v>10604</v>
      </c>
      <c r="BI29">
        <v>0</v>
      </c>
    </row>
    <row r="30" spans="1:61" x14ac:dyDescent="0.3">
      <c r="A30">
        <v>1007</v>
      </c>
      <c r="B30" t="s">
        <v>4593</v>
      </c>
      <c r="C30" t="s">
        <v>979</v>
      </c>
      <c r="D30" t="s">
        <v>979</v>
      </c>
      <c r="E30" t="s">
        <v>4594</v>
      </c>
      <c r="G30" t="s">
        <v>4485</v>
      </c>
      <c r="H30" t="s">
        <v>4595</v>
      </c>
      <c r="I30">
        <v>1</v>
      </c>
      <c r="J30">
        <v>1</v>
      </c>
      <c r="K30" t="s">
        <v>972</v>
      </c>
      <c r="L30">
        <v>1</v>
      </c>
      <c r="M30">
        <v>107</v>
      </c>
      <c r="N30" t="s">
        <v>973</v>
      </c>
      <c r="O30">
        <v>10</v>
      </c>
      <c r="P30">
        <v>0</v>
      </c>
      <c r="Q30">
        <v>5</v>
      </c>
      <c r="R30">
        <v>900833</v>
      </c>
      <c r="S30">
        <v>2</v>
      </c>
      <c r="T30">
        <v>30008</v>
      </c>
      <c r="U30">
        <v>900831</v>
      </c>
      <c r="V30">
        <v>900832</v>
      </c>
      <c r="W30" t="s">
        <v>4596</v>
      </c>
      <c r="X30" t="s">
        <v>328</v>
      </c>
      <c r="Y30" t="s">
        <v>4597</v>
      </c>
      <c r="Z30">
        <v>900830</v>
      </c>
      <c r="AA30">
        <v>10</v>
      </c>
      <c r="AB30">
        <v>10</v>
      </c>
      <c r="AC30">
        <v>5</v>
      </c>
      <c r="AD30">
        <v>5</v>
      </c>
      <c r="AE30">
        <v>105</v>
      </c>
      <c r="AF30">
        <v>105</v>
      </c>
      <c r="AG30">
        <v>105</v>
      </c>
      <c r="AH30">
        <v>105</v>
      </c>
      <c r="AI30">
        <v>105</v>
      </c>
      <c r="AJ30">
        <v>0</v>
      </c>
      <c r="AK30">
        <v>15</v>
      </c>
      <c r="AL30">
        <v>40</v>
      </c>
      <c r="AM30">
        <v>150</v>
      </c>
      <c r="AN30">
        <v>100</v>
      </c>
      <c r="AO30">
        <v>15</v>
      </c>
      <c r="AP30">
        <v>0</v>
      </c>
      <c r="AQ30">
        <v>2</v>
      </c>
      <c r="AR30">
        <v>15</v>
      </c>
      <c r="AS30">
        <v>500</v>
      </c>
      <c r="AT30">
        <v>7</v>
      </c>
      <c r="AU30" t="s">
        <v>4598</v>
      </c>
      <c r="AV30" t="s">
        <v>4491</v>
      </c>
      <c r="AW30" t="s">
        <v>4491</v>
      </c>
      <c r="AX30" t="s">
        <v>4491</v>
      </c>
      <c r="AY30">
        <v>21</v>
      </c>
      <c r="AZ30">
        <v>11002</v>
      </c>
      <c r="BA30">
        <v>1</v>
      </c>
      <c r="BB30" t="s">
        <v>4492</v>
      </c>
      <c r="BC30" t="s">
        <v>1806</v>
      </c>
      <c r="BD30">
        <v>930007</v>
      </c>
      <c r="BE30" t="s">
        <v>4493</v>
      </c>
      <c r="BF30" t="s">
        <v>4494</v>
      </c>
      <c r="BG30">
        <v>88</v>
      </c>
      <c r="BH30">
        <v>10603</v>
      </c>
    </row>
    <row r="31" spans="1:61" x14ac:dyDescent="0.3">
      <c r="A31">
        <v>2003</v>
      </c>
      <c r="B31" t="s">
        <v>4599</v>
      </c>
      <c r="C31" t="s">
        <v>990</v>
      </c>
      <c r="D31" t="s">
        <v>990</v>
      </c>
      <c r="E31" t="s">
        <v>4600</v>
      </c>
      <c r="G31" t="s">
        <v>4485</v>
      </c>
      <c r="H31" t="s">
        <v>4601</v>
      </c>
      <c r="I31">
        <v>1</v>
      </c>
      <c r="J31">
        <v>2</v>
      </c>
      <c r="K31" t="s">
        <v>991</v>
      </c>
      <c r="L31">
        <v>5</v>
      </c>
      <c r="M31">
        <v>203</v>
      </c>
      <c r="N31" t="s">
        <v>973</v>
      </c>
      <c r="O31">
        <v>6</v>
      </c>
      <c r="P31">
        <v>0</v>
      </c>
      <c r="Q31">
        <v>4</v>
      </c>
      <c r="R31">
        <v>0</v>
      </c>
      <c r="S31">
        <v>1</v>
      </c>
      <c r="T31">
        <v>0</v>
      </c>
      <c r="U31">
        <v>600701</v>
      </c>
      <c r="V31">
        <v>600703</v>
      </c>
      <c r="W31" t="s">
        <v>1806</v>
      </c>
      <c r="X31" t="s">
        <v>4499</v>
      </c>
      <c r="Y31" t="s">
        <v>4602</v>
      </c>
      <c r="Z31">
        <v>600704</v>
      </c>
      <c r="AA31">
        <v>10</v>
      </c>
      <c r="AB31">
        <v>10</v>
      </c>
      <c r="AC31">
        <v>5</v>
      </c>
      <c r="AD31">
        <v>5</v>
      </c>
      <c r="AE31">
        <v>140</v>
      </c>
      <c r="AF31">
        <v>90</v>
      </c>
      <c r="AG31">
        <v>75</v>
      </c>
      <c r="AH31">
        <v>110</v>
      </c>
      <c r="AI31">
        <v>40</v>
      </c>
      <c r="AJ31">
        <v>100</v>
      </c>
      <c r="AK31">
        <v>15</v>
      </c>
      <c r="AL31">
        <v>20</v>
      </c>
      <c r="AM31">
        <v>150</v>
      </c>
      <c r="AN31">
        <v>95</v>
      </c>
      <c r="AO31">
        <v>8</v>
      </c>
      <c r="AP31">
        <v>0</v>
      </c>
      <c r="AQ31">
        <v>1</v>
      </c>
      <c r="AR31">
        <v>15</v>
      </c>
      <c r="AS31">
        <v>500</v>
      </c>
      <c r="AT31">
        <v>3</v>
      </c>
      <c r="AU31" t="s">
        <v>328</v>
      </c>
      <c r="AV31" t="s">
        <v>328</v>
      </c>
      <c r="AW31" t="s">
        <v>328</v>
      </c>
      <c r="AX31" t="s">
        <v>328</v>
      </c>
      <c r="AY31">
        <v>15</v>
      </c>
      <c r="AZ31">
        <v>3045</v>
      </c>
      <c r="BA31">
        <v>9</v>
      </c>
      <c r="BB31" t="s">
        <v>4492</v>
      </c>
      <c r="BC31" t="s">
        <v>1806</v>
      </c>
      <c r="BD31">
        <v>910015</v>
      </c>
      <c r="BE31" t="s">
        <v>4493</v>
      </c>
      <c r="BF31" t="s">
        <v>4494</v>
      </c>
      <c r="BG31">
        <v>100</v>
      </c>
      <c r="BH31">
        <v>0</v>
      </c>
    </row>
    <row r="32" spans="1:61" x14ac:dyDescent="0.3">
      <c r="A32">
        <v>2014</v>
      </c>
      <c r="B32" t="s">
        <v>4603</v>
      </c>
      <c r="C32" t="s">
        <v>1004</v>
      </c>
      <c r="D32" t="s">
        <v>1004</v>
      </c>
      <c r="E32" t="s">
        <v>4604</v>
      </c>
      <c r="G32" t="s">
        <v>4485</v>
      </c>
      <c r="H32" t="s">
        <v>4605</v>
      </c>
      <c r="I32">
        <v>1</v>
      </c>
      <c r="J32">
        <v>2</v>
      </c>
      <c r="K32" t="s">
        <v>991</v>
      </c>
      <c r="L32">
        <v>5</v>
      </c>
      <c r="M32">
        <v>214</v>
      </c>
      <c r="N32" t="s">
        <v>973</v>
      </c>
      <c r="O32">
        <v>6</v>
      </c>
      <c r="P32">
        <v>0</v>
      </c>
      <c r="Q32">
        <v>4</v>
      </c>
      <c r="R32">
        <v>0</v>
      </c>
      <c r="S32">
        <v>1</v>
      </c>
      <c r="T32">
        <v>0</v>
      </c>
      <c r="U32">
        <v>902200</v>
      </c>
      <c r="V32">
        <v>902201</v>
      </c>
      <c r="W32" t="s">
        <v>1806</v>
      </c>
      <c r="X32" t="s">
        <v>4499</v>
      </c>
      <c r="Y32" t="s">
        <v>328</v>
      </c>
      <c r="Z32">
        <v>600704</v>
      </c>
      <c r="AA32">
        <v>10</v>
      </c>
      <c r="AB32">
        <v>10</v>
      </c>
      <c r="AC32">
        <v>5</v>
      </c>
      <c r="AD32">
        <v>5</v>
      </c>
      <c r="AE32">
        <v>180</v>
      </c>
      <c r="AF32">
        <v>75</v>
      </c>
      <c r="AG32">
        <v>50</v>
      </c>
      <c r="AH32">
        <v>110</v>
      </c>
      <c r="AI32">
        <v>50</v>
      </c>
      <c r="AJ32">
        <v>105</v>
      </c>
      <c r="AK32">
        <v>15</v>
      </c>
      <c r="AL32">
        <v>20</v>
      </c>
      <c r="AM32">
        <v>150</v>
      </c>
      <c r="AN32">
        <v>95</v>
      </c>
      <c r="AO32">
        <v>8</v>
      </c>
      <c r="AP32">
        <v>0</v>
      </c>
      <c r="AQ32">
        <v>1</v>
      </c>
      <c r="AR32">
        <v>15</v>
      </c>
      <c r="AS32">
        <v>500</v>
      </c>
      <c r="AT32">
        <v>3</v>
      </c>
      <c r="AU32" t="s">
        <v>328</v>
      </c>
      <c r="AV32" t="s">
        <v>328</v>
      </c>
      <c r="AW32" t="s">
        <v>328</v>
      </c>
      <c r="AX32" t="s">
        <v>328</v>
      </c>
      <c r="AY32">
        <v>60</v>
      </c>
      <c r="AZ32">
        <v>3045</v>
      </c>
      <c r="BA32">
        <v>9</v>
      </c>
      <c r="BB32" t="s">
        <v>4492</v>
      </c>
      <c r="BC32" t="s">
        <v>1806</v>
      </c>
      <c r="BD32">
        <v>911011</v>
      </c>
      <c r="BE32" t="s">
        <v>4493</v>
      </c>
      <c r="BF32" t="s">
        <v>4494</v>
      </c>
      <c r="BG32">
        <v>95</v>
      </c>
      <c r="BH32">
        <v>0</v>
      </c>
    </row>
    <row r="33" spans="1:61" x14ac:dyDescent="0.3">
      <c r="A33">
        <v>2001</v>
      </c>
      <c r="B33" t="s">
        <v>4606</v>
      </c>
      <c r="C33" t="s">
        <v>988</v>
      </c>
      <c r="D33" t="s">
        <v>988</v>
      </c>
      <c r="E33" t="s">
        <v>4607</v>
      </c>
      <c r="G33" t="s">
        <v>4485</v>
      </c>
      <c r="H33" t="s">
        <v>4608</v>
      </c>
      <c r="I33">
        <v>1</v>
      </c>
      <c r="J33">
        <v>2</v>
      </c>
      <c r="K33" t="s">
        <v>975</v>
      </c>
      <c r="L33">
        <v>5</v>
      </c>
      <c r="M33">
        <v>201</v>
      </c>
      <c r="N33" t="s">
        <v>973</v>
      </c>
      <c r="O33">
        <v>4</v>
      </c>
      <c r="P33">
        <v>0</v>
      </c>
      <c r="Q33">
        <v>4</v>
      </c>
      <c r="R33">
        <v>0</v>
      </c>
      <c r="S33">
        <v>1</v>
      </c>
      <c r="T33">
        <v>0</v>
      </c>
      <c r="U33">
        <v>900578</v>
      </c>
      <c r="V33">
        <v>900579</v>
      </c>
      <c r="W33" t="s">
        <v>1806</v>
      </c>
      <c r="X33" t="s">
        <v>4499</v>
      </c>
      <c r="Y33" t="s">
        <v>4609</v>
      </c>
      <c r="Z33">
        <v>900577</v>
      </c>
      <c r="AA33">
        <v>10</v>
      </c>
      <c r="AB33">
        <v>10</v>
      </c>
      <c r="AC33">
        <v>5</v>
      </c>
      <c r="AD33">
        <v>5</v>
      </c>
      <c r="AE33">
        <v>75</v>
      </c>
      <c r="AF33">
        <v>62</v>
      </c>
      <c r="AG33">
        <v>80</v>
      </c>
      <c r="AH33">
        <v>100</v>
      </c>
      <c r="AI33">
        <v>90</v>
      </c>
      <c r="AJ33">
        <v>0</v>
      </c>
      <c r="AK33">
        <v>180</v>
      </c>
      <c r="AL33">
        <v>10</v>
      </c>
      <c r="AM33">
        <v>150</v>
      </c>
      <c r="AN33">
        <v>95</v>
      </c>
      <c r="AO33">
        <v>20</v>
      </c>
      <c r="AP33">
        <v>0</v>
      </c>
      <c r="AQ33">
        <v>1</v>
      </c>
      <c r="AR33">
        <v>15</v>
      </c>
      <c r="AS33">
        <v>500</v>
      </c>
      <c r="AT33">
        <v>3</v>
      </c>
      <c r="AU33" t="s">
        <v>328</v>
      </c>
      <c r="AV33" t="s">
        <v>328</v>
      </c>
      <c r="AW33" t="s">
        <v>328</v>
      </c>
      <c r="AX33" t="s">
        <v>328</v>
      </c>
      <c r="AY33">
        <v>28</v>
      </c>
      <c r="AZ33">
        <v>3045</v>
      </c>
      <c r="BA33">
        <v>7</v>
      </c>
      <c r="BB33" t="s">
        <v>4492</v>
      </c>
      <c r="BC33" t="s">
        <v>1806</v>
      </c>
      <c r="BD33">
        <v>910017</v>
      </c>
      <c r="BE33" t="s">
        <v>4493</v>
      </c>
      <c r="BF33" t="s">
        <v>4494</v>
      </c>
      <c r="BG33">
        <v>75</v>
      </c>
      <c r="BH33">
        <v>0</v>
      </c>
    </row>
    <row r="34" spans="1:61" x14ac:dyDescent="0.3">
      <c r="A34">
        <v>2002</v>
      </c>
      <c r="B34" t="s">
        <v>4610</v>
      </c>
      <c r="C34" t="s">
        <v>989</v>
      </c>
      <c r="D34" t="s">
        <v>989</v>
      </c>
      <c r="E34" t="s">
        <v>4611</v>
      </c>
      <c r="G34" t="s">
        <v>4485</v>
      </c>
      <c r="H34" t="s">
        <v>4612</v>
      </c>
      <c r="I34">
        <v>1</v>
      </c>
      <c r="J34">
        <v>2</v>
      </c>
      <c r="K34" t="s">
        <v>975</v>
      </c>
      <c r="L34">
        <v>5</v>
      </c>
      <c r="M34">
        <v>202</v>
      </c>
      <c r="N34" t="s">
        <v>973</v>
      </c>
      <c r="O34">
        <v>6</v>
      </c>
      <c r="P34">
        <v>0</v>
      </c>
      <c r="Q34">
        <v>4</v>
      </c>
      <c r="R34">
        <v>0</v>
      </c>
      <c r="S34">
        <v>1</v>
      </c>
      <c r="T34">
        <v>0</v>
      </c>
      <c r="U34">
        <v>900520</v>
      </c>
      <c r="V34">
        <v>900527</v>
      </c>
      <c r="W34" t="s">
        <v>1806</v>
      </c>
      <c r="X34" t="s">
        <v>4613</v>
      </c>
      <c r="Y34" t="s">
        <v>328</v>
      </c>
      <c r="Z34">
        <v>900519</v>
      </c>
      <c r="AA34">
        <v>10</v>
      </c>
      <c r="AB34">
        <v>10</v>
      </c>
      <c r="AC34">
        <v>5</v>
      </c>
      <c r="AD34">
        <v>5</v>
      </c>
      <c r="AE34">
        <v>132</v>
      </c>
      <c r="AF34">
        <v>105</v>
      </c>
      <c r="AG34">
        <v>65</v>
      </c>
      <c r="AH34">
        <v>105</v>
      </c>
      <c r="AI34">
        <v>75</v>
      </c>
      <c r="AJ34">
        <v>0</v>
      </c>
      <c r="AK34">
        <v>50</v>
      </c>
      <c r="AL34">
        <v>20</v>
      </c>
      <c r="AM34">
        <v>150</v>
      </c>
      <c r="AN34">
        <v>95</v>
      </c>
      <c r="AO34">
        <v>16</v>
      </c>
      <c r="AP34">
        <v>0</v>
      </c>
      <c r="AQ34">
        <v>1</v>
      </c>
      <c r="AR34">
        <v>15</v>
      </c>
      <c r="AS34">
        <v>500</v>
      </c>
      <c r="AT34">
        <v>4</v>
      </c>
      <c r="AU34" t="s">
        <v>328</v>
      </c>
      <c r="AV34" t="s">
        <v>328</v>
      </c>
      <c r="AW34" t="s">
        <v>328</v>
      </c>
      <c r="AX34" t="s">
        <v>328</v>
      </c>
      <c r="AY34">
        <v>12</v>
      </c>
      <c r="AZ34">
        <v>3045</v>
      </c>
      <c r="BA34">
        <v>8</v>
      </c>
      <c r="BB34" t="s">
        <v>4492</v>
      </c>
      <c r="BC34" t="s">
        <v>1806</v>
      </c>
      <c r="BD34">
        <v>910008</v>
      </c>
      <c r="BE34" t="s">
        <v>4493</v>
      </c>
      <c r="BF34" t="s">
        <v>4494</v>
      </c>
      <c r="BG34">
        <v>90</v>
      </c>
      <c r="BH34">
        <v>0</v>
      </c>
    </row>
    <row r="35" spans="1:61" x14ac:dyDescent="0.3">
      <c r="A35">
        <v>2012</v>
      </c>
      <c r="B35" t="s">
        <v>4614</v>
      </c>
      <c r="C35" t="s">
        <v>1002</v>
      </c>
      <c r="D35" t="s">
        <v>1002</v>
      </c>
      <c r="E35" t="s">
        <v>4615</v>
      </c>
      <c r="G35" t="s">
        <v>4485</v>
      </c>
      <c r="H35" t="s">
        <v>4616</v>
      </c>
      <c r="I35">
        <v>1</v>
      </c>
      <c r="J35">
        <v>2</v>
      </c>
      <c r="K35" t="s">
        <v>975</v>
      </c>
      <c r="L35">
        <v>5</v>
      </c>
      <c r="M35">
        <v>212</v>
      </c>
      <c r="N35" t="s">
        <v>973</v>
      </c>
      <c r="O35">
        <v>6</v>
      </c>
      <c r="P35">
        <v>0</v>
      </c>
      <c r="Q35">
        <v>4</v>
      </c>
      <c r="R35">
        <v>0</v>
      </c>
      <c r="S35">
        <v>1</v>
      </c>
      <c r="T35">
        <v>0</v>
      </c>
      <c r="U35">
        <v>900982</v>
      </c>
      <c r="V35">
        <v>900981</v>
      </c>
      <c r="W35" t="s">
        <v>1806</v>
      </c>
      <c r="X35" t="s">
        <v>4499</v>
      </c>
      <c r="Y35" t="s">
        <v>4617</v>
      </c>
      <c r="Z35">
        <v>900980</v>
      </c>
      <c r="AA35">
        <v>10</v>
      </c>
      <c r="AB35">
        <v>10</v>
      </c>
      <c r="AC35">
        <v>5</v>
      </c>
      <c r="AD35">
        <v>5</v>
      </c>
      <c r="AE35">
        <v>135</v>
      </c>
      <c r="AF35">
        <v>122</v>
      </c>
      <c r="AG35">
        <v>65</v>
      </c>
      <c r="AH35">
        <v>115</v>
      </c>
      <c r="AI35">
        <v>80</v>
      </c>
      <c r="AJ35">
        <v>0</v>
      </c>
      <c r="AK35">
        <v>50</v>
      </c>
      <c r="AL35">
        <v>20</v>
      </c>
      <c r="AM35">
        <v>150</v>
      </c>
      <c r="AN35">
        <v>95</v>
      </c>
      <c r="AO35">
        <v>16</v>
      </c>
      <c r="AP35">
        <v>0</v>
      </c>
      <c r="AQ35">
        <v>1</v>
      </c>
      <c r="AR35">
        <v>15</v>
      </c>
      <c r="AS35">
        <v>500</v>
      </c>
      <c r="AT35">
        <v>4</v>
      </c>
      <c r="AU35" t="s">
        <v>328</v>
      </c>
      <c r="AV35" t="s">
        <v>328</v>
      </c>
      <c r="AW35" t="s">
        <v>328</v>
      </c>
      <c r="AX35" t="s">
        <v>328</v>
      </c>
      <c r="AY35">
        <v>58</v>
      </c>
      <c r="AZ35">
        <v>3045</v>
      </c>
      <c r="BA35">
        <v>8</v>
      </c>
      <c r="BB35" t="s">
        <v>4492</v>
      </c>
      <c r="BC35" t="s">
        <v>1806</v>
      </c>
      <c r="BD35">
        <v>911008</v>
      </c>
      <c r="BE35" t="s">
        <v>4493</v>
      </c>
      <c r="BF35" t="s">
        <v>4494</v>
      </c>
      <c r="BG35">
        <v>90</v>
      </c>
      <c r="BH35">
        <v>0</v>
      </c>
    </row>
    <row r="36" spans="1:61" x14ac:dyDescent="0.3">
      <c r="A36">
        <v>2016</v>
      </c>
      <c r="B36" t="s">
        <v>5659</v>
      </c>
      <c r="C36" t="s">
        <v>5663</v>
      </c>
      <c r="D36" t="s">
        <v>5660</v>
      </c>
      <c r="E36" t="s">
        <v>5661</v>
      </c>
      <c r="G36" t="s">
        <v>4485</v>
      </c>
      <c r="H36" t="s">
        <v>5662</v>
      </c>
      <c r="I36">
        <v>1</v>
      </c>
      <c r="J36">
        <v>2</v>
      </c>
      <c r="K36" t="s">
        <v>975</v>
      </c>
      <c r="L36">
        <v>5</v>
      </c>
      <c r="M36">
        <v>216</v>
      </c>
      <c r="N36" t="s">
        <v>973</v>
      </c>
      <c r="O36">
        <v>6</v>
      </c>
      <c r="P36">
        <v>0</v>
      </c>
      <c r="Q36">
        <v>4</v>
      </c>
      <c r="R36">
        <v>0</v>
      </c>
      <c r="S36">
        <v>1</v>
      </c>
      <c r="T36">
        <v>0</v>
      </c>
      <c r="U36">
        <v>900746</v>
      </c>
      <c r="V36">
        <v>750298</v>
      </c>
      <c r="W36" t="s">
        <v>1806</v>
      </c>
      <c r="X36" t="s">
        <v>4499</v>
      </c>
      <c r="Y36" t="s">
        <v>4621</v>
      </c>
      <c r="Z36">
        <v>900745</v>
      </c>
      <c r="AA36">
        <v>10</v>
      </c>
      <c r="AB36">
        <v>10</v>
      </c>
      <c r="AC36">
        <v>5</v>
      </c>
      <c r="AD36">
        <v>5</v>
      </c>
      <c r="AE36">
        <v>200</v>
      </c>
      <c r="AF36">
        <v>115</v>
      </c>
      <c r="AG36">
        <v>75</v>
      </c>
      <c r="AH36">
        <v>165</v>
      </c>
      <c r="AI36">
        <v>40</v>
      </c>
      <c r="AJ36">
        <v>0</v>
      </c>
      <c r="AK36">
        <v>15</v>
      </c>
      <c r="AL36">
        <v>20</v>
      </c>
      <c r="AM36">
        <v>150</v>
      </c>
      <c r="AN36">
        <v>95</v>
      </c>
      <c r="AO36">
        <v>16</v>
      </c>
      <c r="AP36">
        <v>0</v>
      </c>
      <c r="AQ36">
        <v>1</v>
      </c>
      <c r="AR36">
        <v>15</v>
      </c>
      <c r="AS36">
        <v>500</v>
      </c>
      <c r="AT36">
        <v>3</v>
      </c>
      <c r="AU36" t="s">
        <v>328</v>
      </c>
      <c r="AV36" t="s">
        <v>328</v>
      </c>
      <c r="AW36" t="s">
        <v>328</v>
      </c>
      <c r="AX36" t="s">
        <v>328</v>
      </c>
      <c r="AY36">
        <v>108</v>
      </c>
      <c r="AZ36">
        <v>3045</v>
      </c>
      <c r="BA36">
        <v>8</v>
      </c>
      <c r="BB36" t="s">
        <v>4492</v>
      </c>
      <c r="BC36" t="s">
        <v>1806</v>
      </c>
      <c r="BD36">
        <v>913124</v>
      </c>
      <c r="BE36" t="s">
        <v>4493</v>
      </c>
      <c r="BF36" t="s">
        <v>4494</v>
      </c>
      <c r="BG36">
        <v>95</v>
      </c>
      <c r="BH36">
        <v>0</v>
      </c>
    </row>
    <row r="37" spans="1:61" x14ac:dyDescent="0.3">
      <c r="A37">
        <v>2008</v>
      </c>
      <c r="B37" t="s">
        <v>4618</v>
      </c>
      <c r="C37" t="s">
        <v>997</v>
      </c>
      <c r="D37" t="s">
        <v>997</v>
      </c>
      <c r="E37" t="s">
        <v>4619</v>
      </c>
      <c r="G37" t="s">
        <v>4485</v>
      </c>
      <c r="H37" t="s">
        <v>4620</v>
      </c>
      <c r="I37">
        <v>1</v>
      </c>
      <c r="J37">
        <v>2</v>
      </c>
      <c r="K37" t="s">
        <v>975</v>
      </c>
      <c r="L37">
        <v>5</v>
      </c>
      <c r="M37">
        <v>208</v>
      </c>
      <c r="N37" t="s">
        <v>973</v>
      </c>
      <c r="O37">
        <v>6</v>
      </c>
      <c r="P37">
        <v>0</v>
      </c>
      <c r="Q37">
        <v>4</v>
      </c>
      <c r="R37">
        <v>0</v>
      </c>
      <c r="S37">
        <v>1</v>
      </c>
      <c r="T37">
        <v>0</v>
      </c>
      <c r="U37">
        <v>900746</v>
      </c>
      <c r="V37">
        <v>900744</v>
      </c>
      <c r="W37" t="s">
        <v>1806</v>
      </c>
      <c r="X37" t="s">
        <v>4499</v>
      </c>
      <c r="Y37" t="s">
        <v>4621</v>
      </c>
      <c r="Z37">
        <v>900745</v>
      </c>
      <c r="AA37">
        <v>10</v>
      </c>
      <c r="AB37">
        <v>10</v>
      </c>
      <c r="AC37">
        <v>5</v>
      </c>
      <c r="AD37">
        <v>5</v>
      </c>
      <c r="AE37">
        <v>140</v>
      </c>
      <c r="AF37">
        <v>100</v>
      </c>
      <c r="AG37">
        <v>75</v>
      </c>
      <c r="AH37">
        <v>130</v>
      </c>
      <c r="AI37">
        <v>80</v>
      </c>
      <c r="AJ37">
        <v>0</v>
      </c>
      <c r="AK37">
        <v>50</v>
      </c>
      <c r="AL37">
        <v>20</v>
      </c>
      <c r="AM37">
        <v>150</v>
      </c>
      <c r="AN37">
        <v>95</v>
      </c>
      <c r="AO37">
        <v>16</v>
      </c>
      <c r="AP37">
        <v>0</v>
      </c>
      <c r="AQ37">
        <v>1</v>
      </c>
      <c r="AR37">
        <v>15</v>
      </c>
      <c r="AS37">
        <v>500</v>
      </c>
      <c r="AT37">
        <v>3</v>
      </c>
      <c r="AU37" t="s">
        <v>328</v>
      </c>
      <c r="AV37" t="s">
        <v>328</v>
      </c>
      <c r="AW37" t="s">
        <v>328</v>
      </c>
      <c r="AX37" t="s">
        <v>328</v>
      </c>
      <c r="AY37">
        <v>57</v>
      </c>
      <c r="AZ37">
        <v>3045</v>
      </c>
      <c r="BA37">
        <v>8</v>
      </c>
      <c r="BB37" t="s">
        <v>4492</v>
      </c>
      <c r="BC37" t="s">
        <v>1806</v>
      </c>
      <c r="BD37">
        <v>911007</v>
      </c>
      <c r="BE37" t="s">
        <v>4493</v>
      </c>
      <c r="BF37" t="s">
        <v>4494</v>
      </c>
      <c r="BG37">
        <v>90</v>
      </c>
      <c r="BH37">
        <v>0</v>
      </c>
    </row>
    <row r="38" spans="1:61" x14ac:dyDescent="0.3">
      <c r="A38">
        <v>2015</v>
      </c>
      <c r="B38" t="s">
        <v>4495</v>
      </c>
      <c r="C38" t="s">
        <v>4496</v>
      </c>
      <c r="D38" t="s">
        <v>4496</v>
      </c>
      <c r="E38" t="s">
        <v>4497</v>
      </c>
      <c r="G38" t="s">
        <v>4485</v>
      </c>
      <c r="H38" t="s">
        <v>4498</v>
      </c>
      <c r="I38">
        <v>1</v>
      </c>
      <c r="J38">
        <v>2</v>
      </c>
      <c r="K38" t="s">
        <v>972</v>
      </c>
      <c r="L38">
        <v>5</v>
      </c>
      <c r="M38">
        <v>215</v>
      </c>
      <c r="N38" t="s">
        <v>973</v>
      </c>
      <c r="O38">
        <v>6</v>
      </c>
      <c r="P38">
        <v>0</v>
      </c>
      <c r="Q38">
        <v>4</v>
      </c>
      <c r="R38">
        <v>0</v>
      </c>
      <c r="S38">
        <v>1</v>
      </c>
      <c r="T38">
        <v>0</v>
      </c>
      <c r="U38">
        <v>750056</v>
      </c>
      <c r="V38">
        <v>750058</v>
      </c>
      <c r="W38" t="s">
        <v>1806</v>
      </c>
      <c r="X38" t="s">
        <v>4499</v>
      </c>
      <c r="Y38" t="s">
        <v>328</v>
      </c>
      <c r="Z38">
        <v>750057</v>
      </c>
      <c r="AA38">
        <v>10</v>
      </c>
      <c r="AB38">
        <v>10</v>
      </c>
      <c r="AC38">
        <v>5</v>
      </c>
      <c r="AD38">
        <v>5</v>
      </c>
      <c r="AE38">
        <v>80</v>
      </c>
      <c r="AF38">
        <v>140</v>
      </c>
      <c r="AG38">
        <v>70</v>
      </c>
      <c r="AH38">
        <v>130</v>
      </c>
      <c r="AI38">
        <v>55</v>
      </c>
      <c r="AJ38">
        <v>0</v>
      </c>
      <c r="AK38">
        <v>180</v>
      </c>
      <c r="AL38">
        <v>50</v>
      </c>
      <c r="AM38">
        <v>200</v>
      </c>
      <c r="AN38">
        <v>95</v>
      </c>
      <c r="AO38">
        <v>6</v>
      </c>
      <c r="AP38">
        <v>0</v>
      </c>
      <c r="AQ38">
        <v>2</v>
      </c>
      <c r="AR38">
        <v>15</v>
      </c>
      <c r="AS38">
        <v>500</v>
      </c>
      <c r="AT38">
        <v>9</v>
      </c>
      <c r="AU38" t="s">
        <v>328</v>
      </c>
      <c r="AV38" t="s">
        <v>328</v>
      </c>
      <c r="AW38" t="s">
        <v>328</v>
      </c>
      <c r="AX38" t="s">
        <v>328</v>
      </c>
      <c r="AY38">
        <v>56</v>
      </c>
      <c r="AZ38">
        <v>3045</v>
      </c>
      <c r="BA38">
        <v>17</v>
      </c>
      <c r="BB38" t="s">
        <v>4492</v>
      </c>
      <c r="BC38" t="s">
        <v>1806</v>
      </c>
      <c r="BD38">
        <v>911006</v>
      </c>
      <c r="BE38" t="s">
        <v>4493</v>
      </c>
      <c r="BF38" t="s">
        <v>4494</v>
      </c>
      <c r="BG38">
        <v>95</v>
      </c>
      <c r="BH38">
        <v>0</v>
      </c>
    </row>
    <row r="39" spans="1:61" x14ac:dyDescent="0.3">
      <c r="A39">
        <v>2006</v>
      </c>
      <c r="B39" t="s">
        <v>4622</v>
      </c>
      <c r="C39" t="s">
        <v>996</v>
      </c>
      <c r="D39" t="s">
        <v>996</v>
      </c>
      <c r="E39" t="s">
        <v>4623</v>
      </c>
      <c r="G39" t="s">
        <v>4485</v>
      </c>
      <c r="H39" t="s">
        <v>4624</v>
      </c>
      <c r="I39">
        <v>1</v>
      </c>
      <c r="J39">
        <v>2</v>
      </c>
      <c r="K39" t="s">
        <v>993</v>
      </c>
      <c r="L39">
        <v>1</v>
      </c>
      <c r="M39">
        <v>206</v>
      </c>
      <c r="N39" t="s">
        <v>973</v>
      </c>
      <c r="O39">
        <v>10</v>
      </c>
      <c r="P39">
        <v>0</v>
      </c>
      <c r="Q39">
        <v>4</v>
      </c>
      <c r="R39">
        <v>0</v>
      </c>
      <c r="S39">
        <v>1</v>
      </c>
      <c r="T39">
        <v>0</v>
      </c>
      <c r="U39">
        <v>900617</v>
      </c>
      <c r="V39">
        <v>900618</v>
      </c>
      <c r="W39" t="s">
        <v>1806</v>
      </c>
      <c r="X39" t="s">
        <v>4625</v>
      </c>
      <c r="Y39" t="s">
        <v>4626</v>
      </c>
      <c r="Z39">
        <v>900615</v>
      </c>
      <c r="AA39">
        <v>10</v>
      </c>
      <c r="AB39">
        <v>10</v>
      </c>
      <c r="AC39">
        <v>5</v>
      </c>
      <c r="AD39">
        <v>5</v>
      </c>
      <c r="AE39">
        <v>165</v>
      </c>
      <c r="AF39">
        <v>130</v>
      </c>
      <c r="AG39">
        <v>85</v>
      </c>
      <c r="AH39">
        <v>110</v>
      </c>
      <c r="AI39">
        <v>50</v>
      </c>
      <c r="AJ39">
        <v>120</v>
      </c>
      <c r="AK39">
        <v>180</v>
      </c>
      <c r="AL39">
        <v>20</v>
      </c>
      <c r="AM39">
        <v>150</v>
      </c>
      <c r="AN39">
        <v>75</v>
      </c>
      <c r="AO39">
        <v>8</v>
      </c>
      <c r="AP39">
        <v>0</v>
      </c>
      <c r="AQ39">
        <v>2</v>
      </c>
      <c r="AR39">
        <v>15</v>
      </c>
      <c r="AS39">
        <v>500</v>
      </c>
      <c r="AT39">
        <v>5</v>
      </c>
      <c r="AU39" t="s">
        <v>328</v>
      </c>
      <c r="AV39" t="s">
        <v>328</v>
      </c>
      <c r="AW39" t="s">
        <v>328</v>
      </c>
      <c r="AX39" t="s">
        <v>328</v>
      </c>
      <c r="AY39">
        <v>16</v>
      </c>
      <c r="AZ39">
        <v>3045</v>
      </c>
      <c r="BA39">
        <v>9</v>
      </c>
      <c r="BB39" t="s">
        <v>4492</v>
      </c>
      <c r="BC39" t="s">
        <v>1806</v>
      </c>
      <c r="BD39">
        <v>910010</v>
      </c>
      <c r="BE39" t="s">
        <v>4493</v>
      </c>
      <c r="BF39" t="s">
        <v>4494</v>
      </c>
      <c r="BG39">
        <v>100</v>
      </c>
      <c r="BH39">
        <v>0</v>
      </c>
    </row>
    <row r="40" spans="1:61" x14ac:dyDescent="0.3">
      <c r="A40">
        <v>2004</v>
      </c>
      <c r="B40" t="s">
        <v>4627</v>
      </c>
      <c r="C40" t="s">
        <v>992</v>
      </c>
      <c r="D40" t="s">
        <v>992</v>
      </c>
      <c r="E40" t="s">
        <v>4628</v>
      </c>
      <c r="G40" t="s">
        <v>4485</v>
      </c>
      <c r="H40" t="s">
        <v>4629</v>
      </c>
      <c r="I40">
        <v>1</v>
      </c>
      <c r="J40">
        <v>2</v>
      </c>
      <c r="K40" t="s">
        <v>993</v>
      </c>
      <c r="L40">
        <v>5</v>
      </c>
      <c r="M40">
        <v>204</v>
      </c>
      <c r="N40" t="s">
        <v>973</v>
      </c>
      <c r="O40">
        <v>6</v>
      </c>
      <c r="P40">
        <v>0</v>
      </c>
      <c r="Q40">
        <v>4</v>
      </c>
      <c r="R40">
        <v>0</v>
      </c>
      <c r="S40">
        <v>1</v>
      </c>
      <c r="T40">
        <v>0</v>
      </c>
      <c r="U40">
        <v>900612</v>
      </c>
      <c r="V40">
        <v>900613</v>
      </c>
      <c r="W40" t="s">
        <v>1806</v>
      </c>
      <c r="X40" t="s">
        <v>4499</v>
      </c>
      <c r="Y40" t="s">
        <v>328</v>
      </c>
      <c r="Z40">
        <v>900611</v>
      </c>
      <c r="AA40">
        <v>10</v>
      </c>
      <c r="AB40">
        <v>10</v>
      </c>
      <c r="AC40">
        <v>5</v>
      </c>
      <c r="AD40">
        <v>5</v>
      </c>
      <c r="AE40">
        <v>98</v>
      </c>
      <c r="AF40">
        <v>165</v>
      </c>
      <c r="AG40">
        <v>60</v>
      </c>
      <c r="AH40">
        <v>110</v>
      </c>
      <c r="AI40">
        <v>30</v>
      </c>
      <c r="AJ40">
        <v>50</v>
      </c>
      <c r="AK40">
        <v>100</v>
      </c>
      <c r="AL40">
        <v>20</v>
      </c>
      <c r="AM40">
        <v>150</v>
      </c>
      <c r="AN40">
        <v>95</v>
      </c>
      <c r="AO40">
        <v>8</v>
      </c>
      <c r="AP40">
        <v>0</v>
      </c>
      <c r="AQ40">
        <v>2</v>
      </c>
      <c r="AR40">
        <v>15</v>
      </c>
      <c r="AS40">
        <v>500</v>
      </c>
      <c r="AT40">
        <v>3</v>
      </c>
      <c r="AU40" t="s">
        <v>328</v>
      </c>
      <c r="AV40" t="s">
        <v>328</v>
      </c>
      <c r="AW40" t="s">
        <v>328</v>
      </c>
      <c r="AX40" t="s">
        <v>328</v>
      </c>
      <c r="AY40">
        <v>14</v>
      </c>
      <c r="AZ40">
        <v>3045</v>
      </c>
      <c r="BA40">
        <v>9</v>
      </c>
      <c r="BB40" t="s">
        <v>4492</v>
      </c>
      <c r="BC40" t="s">
        <v>1806</v>
      </c>
      <c r="BD40">
        <v>910016</v>
      </c>
      <c r="BE40" t="s">
        <v>4493</v>
      </c>
      <c r="BF40" t="s">
        <v>4494</v>
      </c>
      <c r="BG40">
        <v>100</v>
      </c>
      <c r="BH40">
        <v>0</v>
      </c>
    </row>
    <row r="41" spans="1:61" x14ac:dyDescent="0.3">
      <c r="A41">
        <v>2011</v>
      </c>
      <c r="B41" t="s">
        <v>4630</v>
      </c>
      <c r="C41" t="s">
        <v>1000</v>
      </c>
      <c r="D41" t="s">
        <v>1000</v>
      </c>
      <c r="E41" t="s">
        <v>4631</v>
      </c>
      <c r="G41" t="s">
        <v>4485</v>
      </c>
      <c r="H41" t="s">
        <v>4632</v>
      </c>
      <c r="I41">
        <v>1</v>
      </c>
      <c r="J41">
        <v>2</v>
      </c>
      <c r="K41" t="s">
        <v>1001</v>
      </c>
      <c r="L41">
        <v>5</v>
      </c>
      <c r="M41">
        <v>211</v>
      </c>
      <c r="N41" t="s">
        <v>973</v>
      </c>
      <c r="O41">
        <v>4</v>
      </c>
      <c r="P41">
        <v>0</v>
      </c>
      <c r="Q41">
        <v>4</v>
      </c>
      <c r="R41">
        <v>0</v>
      </c>
      <c r="S41">
        <v>1</v>
      </c>
      <c r="T41">
        <v>0</v>
      </c>
      <c r="U41">
        <v>900934</v>
      </c>
      <c r="V41">
        <v>900937</v>
      </c>
      <c r="W41" t="s">
        <v>1806</v>
      </c>
      <c r="X41" t="s">
        <v>4499</v>
      </c>
      <c r="Y41" t="s">
        <v>4633</v>
      </c>
      <c r="Z41">
        <v>900574</v>
      </c>
      <c r="AA41">
        <v>10</v>
      </c>
      <c r="AB41">
        <v>10</v>
      </c>
      <c r="AC41">
        <v>5</v>
      </c>
      <c r="AD41">
        <v>5</v>
      </c>
      <c r="AE41">
        <v>95</v>
      </c>
      <c r="AF41">
        <v>75</v>
      </c>
      <c r="AG41">
        <v>120</v>
      </c>
      <c r="AH41">
        <v>110</v>
      </c>
      <c r="AI41">
        <v>95</v>
      </c>
      <c r="AJ41">
        <v>0</v>
      </c>
      <c r="AK41">
        <v>15</v>
      </c>
      <c r="AL41">
        <v>20</v>
      </c>
      <c r="AM41">
        <v>150</v>
      </c>
      <c r="AN41">
        <v>95</v>
      </c>
      <c r="AO41">
        <v>12</v>
      </c>
      <c r="AP41">
        <v>0</v>
      </c>
      <c r="AQ41">
        <v>1</v>
      </c>
      <c r="AR41">
        <v>15</v>
      </c>
      <c r="AS41">
        <v>500</v>
      </c>
      <c r="AT41">
        <v>4</v>
      </c>
      <c r="AU41" t="s">
        <v>328</v>
      </c>
      <c r="AV41" t="s">
        <v>328</v>
      </c>
      <c r="AW41" t="s">
        <v>328</v>
      </c>
      <c r="AX41" t="s">
        <v>328</v>
      </c>
      <c r="AY41">
        <v>55</v>
      </c>
      <c r="AZ41">
        <v>3045</v>
      </c>
      <c r="BA41">
        <v>21</v>
      </c>
      <c r="BB41" t="s">
        <v>4492</v>
      </c>
      <c r="BC41" t="s">
        <v>1806</v>
      </c>
      <c r="BD41">
        <v>911001</v>
      </c>
      <c r="BE41" t="s">
        <v>4493</v>
      </c>
      <c r="BF41" t="s">
        <v>4494</v>
      </c>
      <c r="BG41">
        <v>80</v>
      </c>
      <c r="BH41">
        <v>0</v>
      </c>
    </row>
    <row r="42" spans="1:61" x14ac:dyDescent="0.3">
      <c r="A42">
        <v>2018</v>
      </c>
      <c r="B42" t="s">
        <v>6529</v>
      </c>
      <c r="C42" t="s">
        <v>6537</v>
      </c>
      <c r="D42" t="s">
        <v>6530</v>
      </c>
      <c r="E42" t="s">
        <v>6531</v>
      </c>
      <c r="G42" t="s">
        <v>4485</v>
      </c>
      <c r="H42" t="s">
        <v>6532</v>
      </c>
      <c r="I42">
        <v>1</v>
      </c>
      <c r="J42">
        <v>2</v>
      </c>
      <c r="K42" t="s">
        <v>993</v>
      </c>
      <c r="L42">
        <v>1</v>
      </c>
      <c r="M42">
        <v>218</v>
      </c>
      <c r="N42" t="s">
        <v>6533</v>
      </c>
      <c r="O42">
        <v>8</v>
      </c>
      <c r="P42">
        <v>0</v>
      </c>
      <c r="Q42">
        <v>4</v>
      </c>
      <c r="R42">
        <v>0</v>
      </c>
      <c r="S42">
        <v>1</v>
      </c>
      <c r="T42">
        <v>0</v>
      </c>
      <c r="U42">
        <v>750433</v>
      </c>
      <c r="V42">
        <v>750444</v>
      </c>
      <c r="W42" t="s">
        <v>1806</v>
      </c>
      <c r="X42" t="s">
        <v>6534</v>
      </c>
      <c r="Y42" t="s">
        <v>6535</v>
      </c>
      <c r="Z42">
        <v>900107</v>
      </c>
      <c r="AA42">
        <v>10</v>
      </c>
      <c r="AB42">
        <v>10</v>
      </c>
      <c r="AC42">
        <v>5</v>
      </c>
      <c r="AD42">
        <v>5</v>
      </c>
      <c r="AE42">
        <v>100</v>
      </c>
      <c r="AF42">
        <v>330</v>
      </c>
      <c r="AG42">
        <v>95</v>
      </c>
      <c r="AH42">
        <v>300</v>
      </c>
      <c r="AI42">
        <v>0</v>
      </c>
      <c r="AJ42">
        <v>85</v>
      </c>
      <c r="AK42">
        <v>100</v>
      </c>
      <c r="AL42">
        <v>5</v>
      </c>
      <c r="AM42">
        <v>150</v>
      </c>
      <c r="AN42">
        <v>75</v>
      </c>
      <c r="AO42">
        <v>3</v>
      </c>
      <c r="AP42">
        <v>0</v>
      </c>
      <c r="AQ42">
        <v>2</v>
      </c>
      <c r="AR42">
        <v>15</v>
      </c>
      <c r="AS42">
        <v>500</v>
      </c>
      <c r="AT42">
        <v>5</v>
      </c>
      <c r="AU42" t="s">
        <v>328</v>
      </c>
      <c r="AV42" t="s">
        <v>328</v>
      </c>
      <c r="AW42" t="s">
        <v>328</v>
      </c>
      <c r="AX42" t="s">
        <v>328</v>
      </c>
      <c r="AY42">
        <v>123</v>
      </c>
      <c r="AZ42">
        <v>3045</v>
      </c>
      <c r="BA42">
        <v>21</v>
      </c>
      <c r="BB42" t="s">
        <v>4492</v>
      </c>
      <c r="BC42" t="s">
        <v>1806</v>
      </c>
      <c r="BD42">
        <v>913217</v>
      </c>
      <c r="BE42" t="s">
        <v>4493</v>
      </c>
      <c r="BF42" t="s">
        <v>4494</v>
      </c>
      <c r="BG42">
        <v>100</v>
      </c>
      <c r="BH42">
        <v>0</v>
      </c>
      <c r="BI42">
        <v>0</v>
      </c>
    </row>
    <row r="43" spans="1:61" x14ac:dyDescent="0.3">
      <c r="A43">
        <v>2009</v>
      </c>
      <c r="B43" t="s">
        <v>4634</v>
      </c>
      <c r="C43" t="s">
        <v>998</v>
      </c>
      <c r="D43" t="s">
        <v>998</v>
      </c>
      <c r="E43" t="s">
        <v>4635</v>
      </c>
      <c r="G43" t="s">
        <v>4485</v>
      </c>
      <c r="H43" t="s">
        <v>4636</v>
      </c>
      <c r="I43">
        <v>1</v>
      </c>
      <c r="J43">
        <v>2</v>
      </c>
      <c r="K43" t="s">
        <v>972</v>
      </c>
      <c r="L43">
        <v>5</v>
      </c>
      <c r="M43">
        <v>209</v>
      </c>
      <c r="N43" t="s">
        <v>973</v>
      </c>
      <c r="O43">
        <v>6</v>
      </c>
      <c r="P43">
        <v>0</v>
      </c>
      <c r="Q43">
        <v>4</v>
      </c>
      <c r="R43">
        <v>0</v>
      </c>
      <c r="S43">
        <v>1</v>
      </c>
      <c r="T43">
        <v>0</v>
      </c>
      <c r="U43">
        <v>900770</v>
      </c>
      <c r="V43">
        <v>910774</v>
      </c>
      <c r="W43" t="s">
        <v>1806</v>
      </c>
      <c r="X43" t="s">
        <v>4637</v>
      </c>
      <c r="Y43" t="s">
        <v>4638</v>
      </c>
      <c r="Z43">
        <v>900772</v>
      </c>
      <c r="AA43">
        <v>10</v>
      </c>
      <c r="AB43">
        <v>10</v>
      </c>
      <c r="AC43">
        <v>5</v>
      </c>
      <c r="AD43">
        <v>5</v>
      </c>
      <c r="AE43">
        <v>115</v>
      </c>
      <c r="AF43">
        <v>72</v>
      </c>
      <c r="AG43">
        <v>100</v>
      </c>
      <c r="AH43">
        <v>85</v>
      </c>
      <c r="AI43">
        <v>140</v>
      </c>
      <c r="AJ43">
        <v>0</v>
      </c>
      <c r="AK43">
        <v>15</v>
      </c>
      <c r="AL43">
        <v>10</v>
      </c>
      <c r="AM43">
        <v>150</v>
      </c>
      <c r="AN43">
        <v>95</v>
      </c>
      <c r="AO43">
        <v>15</v>
      </c>
      <c r="AP43">
        <v>0</v>
      </c>
      <c r="AQ43">
        <v>2</v>
      </c>
      <c r="AR43">
        <v>15</v>
      </c>
      <c r="AS43">
        <v>500</v>
      </c>
      <c r="AT43">
        <v>7</v>
      </c>
      <c r="AU43" t="s">
        <v>328</v>
      </c>
      <c r="AV43" t="s">
        <v>328</v>
      </c>
      <c r="AW43" t="s">
        <v>328</v>
      </c>
      <c r="AX43" t="s">
        <v>328</v>
      </c>
      <c r="AY43">
        <v>86</v>
      </c>
      <c r="AZ43">
        <v>3045</v>
      </c>
      <c r="BA43">
        <v>8</v>
      </c>
      <c r="BB43" t="s">
        <v>4492</v>
      </c>
      <c r="BC43" t="s">
        <v>1806</v>
      </c>
      <c r="BD43">
        <v>911104</v>
      </c>
      <c r="BE43" t="s">
        <v>4493</v>
      </c>
      <c r="BF43" t="s">
        <v>4494</v>
      </c>
      <c r="BG43">
        <v>90</v>
      </c>
      <c r="BH43">
        <v>0</v>
      </c>
    </row>
    <row r="44" spans="1:61" x14ac:dyDescent="0.3">
      <c r="A44">
        <v>2013</v>
      </c>
      <c r="B44" t="s">
        <v>4639</v>
      </c>
      <c r="C44" t="s">
        <v>1003</v>
      </c>
      <c r="D44" t="s">
        <v>1003</v>
      </c>
      <c r="E44" t="s">
        <v>4640</v>
      </c>
      <c r="G44" t="s">
        <v>4485</v>
      </c>
      <c r="H44" t="s">
        <v>4641</v>
      </c>
      <c r="I44">
        <v>1</v>
      </c>
      <c r="J44">
        <v>2</v>
      </c>
      <c r="K44" t="s">
        <v>972</v>
      </c>
      <c r="L44">
        <v>5</v>
      </c>
      <c r="M44">
        <v>213</v>
      </c>
      <c r="N44" t="s">
        <v>973</v>
      </c>
      <c r="O44">
        <v>6</v>
      </c>
      <c r="P44">
        <v>0</v>
      </c>
      <c r="Q44">
        <v>4</v>
      </c>
      <c r="R44">
        <v>0</v>
      </c>
      <c r="S44">
        <v>1</v>
      </c>
      <c r="T44">
        <v>0</v>
      </c>
      <c r="U44">
        <v>901251</v>
      </c>
      <c r="V44">
        <v>901253</v>
      </c>
      <c r="W44" t="s">
        <v>1806</v>
      </c>
      <c r="X44" t="s">
        <v>4642</v>
      </c>
      <c r="Y44" t="s">
        <v>4643</v>
      </c>
      <c r="Z44">
        <v>901250</v>
      </c>
      <c r="AA44">
        <v>10</v>
      </c>
      <c r="AB44">
        <v>10</v>
      </c>
      <c r="AC44">
        <v>5</v>
      </c>
      <c r="AD44">
        <v>5</v>
      </c>
      <c r="AE44">
        <v>100</v>
      </c>
      <c r="AF44">
        <v>100</v>
      </c>
      <c r="AG44">
        <v>115</v>
      </c>
      <c r="AH44">
        <v>80</v>
      </c>
      <c r="AI44">
        <v>45</v>
      </c>
      <c r="AJ44">
        <v>0</v>
      </c>
      <c r="AK44">
        <v>180</v>
      </c>
      <c r="AL44">
        <v>5</v>
      </c>
      <c r="AM44">
        <v>150</v>
      </c>
      <c r="AN44">
        <v>95</v>
      </c>
      <c r="AO44">
        <v>5</v>
      </c>
      <c r="AP44">
        <v>0</v>
      </c>
      <c r="AQ44">
        <v>2</v>
      </c>
      <c r="AR44">
        <v>15</v>
      </c>
      <c r="AS44">
        <v>500</v>
      </c>
      <c r="AT44">
        <v>9</v>
      </c>
      <c r="AU44" t="s">
        <v>328</v>
      </c>
      <c r="AV44" t="s">
        <v>328</v>
      </c>
      <c r="AW44" t="s">
        <v>328</v>
      </c>
      <c r="AX44" t="s">
        <v>328</v>
      </c>
      <c r="AY44">
        <v>59</v>
      </c>
      <c r="AZ44">
        <v>3045</v>
      </c>
      <c r="BA44">
        <v>18</v>
      </c>
      <c r="BB44" t="s">
        <v>4492</v>
      </c>
      <c r="BC44" t="s">
        <v>1806</v>
      </c>
      <c r="BD44">
        <v>911012</v>
      </c>
      <c r="BE44" t="s">
        <v>4493</v>
      </c>
      <c r="BF44" t="s">
        <v>4494</v>
      </c>
      <c r="BG44">
        <v>95</v>
      </c>
      <c r="BH44">
        <v>0</v>
      </c>
    </row>
    <row r="45" spans="1:61" x14ac:dyDescent="0.3">
      <c r="A45">
        <v>2005</v>
      </c>
      <c r="B45" t="s">
        <v>4644</v>
      </c>
      <c r="C45" t="s">
        <v>994</v>
      </c>
      <c r="D45" t="s">
        <v>994</v>
      </c>
      <c r="E45" t="s">
        <v>4645</v>
      </c>
      <c r="G45" t="s">
        <v>4485</v>
      </c>
      <c r="H45" t="s">
        <v>4646</v>
      </c>
      <c r="I45">
        <v>1</v>
      </c>
      <c r="J45">
        <v>2</v>
      </c>
      <c r="K45" t="s">
        <v>995</v>
      </c>
      <c r="L45">
        <v>5</v>
      </c>
      <c r="M45">
        <v>205</v>
      </c>
      <c r="N45" t="s">
        <v>973</v>
      </c>
      <c r="O45">
        <v>3</v>
      </c>
      <c r="P45">
        <v>0</v>
      </c>
      <c r="Q45">
        <v>4</v>
      </c>
      <c r="R45">
        <v>0</v>
      </c>
      <c r="S45">
        <v>1</v>
      </c>
      <c r="T45">
        <v>0</v>
      </c>
      <c r="U45">
        <v>900653</v>
      </c>
      <c r="V45">
        <v>900661</v>
      </c>
      <c r="W45" t="s">
        <v>1806</v>
      </c>
      <c r="X45" t="s">
        <v>4647</v>
      </c>
      <c r="Y45" t="s">
        <v>4648</v>
      </c>
      <c r="Z45">
        <v>900655</v>
      </c>
      <c r="AA45">
        <v>10</v>
      </c>
      <c r="AB45">
        <v>10</v>
      </c>
      <c r="AC45">
        <v>5</v>
      </c>
      <c r="AD45">
        <v>5</v>
      </c>
      <c r="AE45">
        <v>36</v>
      </c>
      <c r="AF45">
        <v>100</v>
      </c>
      <c r="AG45">
        <v>105</v>
      </c>
      <c r="AH45">
        <v>105</v>
      </c>
      <c r="AI45">
        <v>50</v>
      </c>
      <c r="AJ45">
        <v>60</v>
      </c>
      <c r="AK45">
        <v>15</v>
      </c>
      <c r="AL45">
        <v>20</v>
      </c>
      <c r="AM45">
        <v>150</v>
      </c>
      <c r="AN45">
        <v>95</v>
      </c>
      <c r="AO45">
        <v>10</v>
      </c>
      <c r="AP45">
        <v>0</v>
      </c>
      <c r="AQ45">
        <v>1</v>
      </c>
      <c r="AR45">
        <v>15</v>
      </c>
      <c r="AS45">
        <v>500</v>
      </c>
      <c r="AT45">
        <v>3</v>
      </c>
      <c r="AU45" t="s">
        <v>328</v>
      </c>
      <c r="AV45" t="s">
        <v>328</v>
      </c>
      <c r="AW45" t="s">
        <v>328</v>
      </c>
      <c r="AX45" t="s">
        <v>328</v>
      </c>
      <c r="AY45">
        <v>30</v>
      </c>
      <c r="AZ45">
        <v>3045</v>
      </c>
      <c r="BA45">
        <v>9</v>
      </c>
      <c r="BB45" t="s">
        <v>4492</v>
      </c>
      <c r="BC45" t="s">
        <v>1806</v>
      </c>
      <c r="BD45">
        <v>910018</v>
      </c>
      <c r="BE45" t="s">
        <v>4493</v>
      </c>
      <c r="BF45" t="s">
        <v>4494</v>
      </c>
      <c r="BG45">
        <v>100</v>
      </c>
      <c r="BH45">
        <v>0</v>
      </c>
    </row>
    <row r="46" spans="1:61" x14ac:dyDescent="0.3">
      <c r="A46">
        <v>2017</v>
      </c>
      <c r="B46" t="s">
        <v>6354</v>
      </c>
      <c r="C46" t="s">
        <v>6360</v>
      </c>
      <c r="D46" t="s">
        <v>6355</v>
      </c>
      <c r="E46" t="s">
        <v>6356</v>
      </c>
      <c r="G46" t="s">
        <v>4485</v>
      </c>
      <c r="H46" t="s">
        <v>6357</v>
      </c>
      <c r="I46">
        <v>1</v>
      </c>
      <c r="J46">
        <v>2</v>
      </c>
      <c r="K46" t="s">
        <v>972</v>
      </c>
      <c r="L46">
        <v>5</v>
      </c>
      <c r="M46">
        <v>217</v>
      </c>
      <c r="N46" t="s">
        <v>973</v>
      </c>
      <c r="O46">
        <v>6</v>
      </c>
      <c r="P46">
        <v>0</v>
      </c>
      <c r="Q46">
        <v>4</v>
      </c>
      <c r="R46">
        <v>0</v>
      </c>
      <c r="S46">
        <v>1</v>
      </c>
      <c r="T46">
        <v>0</v>
      </c>
      <c r="U46">
        <v>900841</v>
      </c>
      <c r="V46">
        <v>750377</v>
      </c>
      <c r="W46" t="s">
        <v>1806</v>
      </c>
      <c r="X46" t="s">
        <v>4499</v>
      </c>
      <c r="Y46" t="s">
        <v>328</v>
      </c>
      <c r="Z46">
        <v>750378</v>
      </c>
      <c r="AA46">
        <v>10</v>
      </c>
      <c r="AB46">
        <v>10</v>
      </c>
      <c r="AC46">
        <v>5</v>
      </c>
      <c r="AD46">
        <v>5</v>
      </c>
      <c r="AE46">
        <v>110</v>
      </c>
      <c r="AF46">
        <v>80</v>
      </c>
      <c r="AG46">
        <v>110</v>
      </c>
      <c r="AH46">
        <v>125</v>
      </c>
      <c r="AI46">
        <v>100</v>
      </c>
      <c r="AJ46">
        <v>0</v>
      </c>
      <c r="AK46">
        <v>15</v>
      </c>
      <c r="AL46">
        <v>20</v>
      </c>
      <c r="AM46">
        <v>150</v>
      </c>
      <c r="AN46">
        <v>95</v>
      </c>
      <c r="AO46">
        <v>15</v>
      </c>
      <c r="AP46">
        <v>0</v>
      </c>
      <c r="AQ46">
        <v>2</v>
      </c>
      <c r="AR46">
        <v>15</v>
      </c>
      <c r="AS46">
        <v>500</v>
      </c>
      <c r="AT46">
        <v>7</v>
      </c>
      <c r="AU46" t="s">
        <v>328</v>
      </c>
      <c r="AV46" t="s">
        <v>328</v>
      </c>
      <c r="AW46" t="s">
        <v>328</v>
      </c>
      <c r="AX46" t="s">
        <v>328</v>
      </c>
      <c r="AY46">
        <v>121</v>
      </c>
      <c r="AZ46">
        <v>3045</v>
      </c>
      <c r="BA46">
        <v>8</v>
      </c>
      <c r="BB46" t="s">
        <v>4492</v>
      </c>
      <c r="BC46" t="s">
        <v>1806</v>
      </c>
      <c r="BD46">
        <v>913101</v>
      </c>
      <c r="BE46" t="s">
        <v>4493</v>
      </c>
      <c r="BF46" t="s">
        <v>4494</v>
      </c>
      <c r="BG46">
        <v>90</v>
      </c>
      <c r="BH46">
        <v>0</v>
      </c>
      <c r="BI46">
        <v>0</v>
      </c>
    </row>
    <row r="47" spans="1:61" x14ac:dyDescent="0.3">
      <c r="A47">
        <v>2010</v>
      </c>
      <c r="B47" t="s">
        <v>4649</v>
      </c>
      <c r="C47" t="s">
        <v>999</v>
      </c>
      <c r="D47" t="s">
        <v>999</v>
      </c>
      <c r="E47" t="s">
        <v>4650</v>
      </c>
      <c r="G47" t="s">
        <v>4485</v>
      </c>
      <c r="H47" t="s">
        <v>4651</v>
      </c>
      <c r="I47">
        <v>1</v>
      </c>
      <c r="J47">
        <v>2</v>
      </c>
      <c r="K47" t="s">
        <v>972</v>
      </c>
      <c r="L47">
        <v>5</v>
      </c>
      <c r="M47">
        <v>210</v>
      </c>
      <c r="N47" t="s">
        <v>973</v>
      </c>
      <c r="O47">
        <v>6</v>
      </c>
      <c r="P47">
        <v>0</v>
      </c>
      <c r="Q47">
        <v>4</v>
      </c>
      <c r="R47">
        <v>0</v>
      </c>
      <c r="S47">
        <v>1</v>
      </c>
      <c r="T47">
        <v>0</v>
      </c>
      <c r="U47">
        <v>900841</v>
      </c>
      <c r="V47">
        <v>900842</v>
      </c>
      <c r="W47" t="s">
        <v>1806</v>
      </c>
      <c r="X47" t="s">
        <v>4499</v>
      </c>
      <c r="Y47" t="s">
        <v>4652</v>
      </c>
      <c r="Z47">
        <v>900840</v>
      </c>
      <c r="AA47">
        <v>10</v>
      </c>
      <c r="AB47">
        <v>10</v>
      </c>
      <c r="AC47">
        <v>5</v>
      </c>
      <c r="AD47">
        <v>5</v>
      </c>
      <c r="AE47">
        <v>95</v>
      </c>
      <c r="AF47">
        <v>95</v>
      </c>
      <c r="AG47">
        <v>105</v>
      </c>
      <c r="AH47">
        <v>115</v>
      </c>
      <c r="AI47">
        <v>95</v>
      </c>
      <c r="AJ47">
        <v>0</v>
      </c>
      <c r="AK47">
        <v>15</v>
      </c>
      <c r="AL47">
        <v>20</v>
      </c>
      <c r="AM47">
        <v>150</v>
      </c>
      <c r="AN47">
        <v>95</v>
      </c>
      <c r="AO47">
        <v>15</v>
      </c>
      <c r="AP47">
        <v>0</v>
      </c>
      <c r="AQ47">
        <v>2</v>
      </c>
      <c r="AR47">
        <v>15</v>
      </c>
      <c r="AS47">
        <v>500</v>
      </c>
      <c r="AT47">
        <v>7</v>
      </c>
      <c r="AU47" t="s">
        <v>328</v>
      </c>
      <c r="AV47" t="s">
        <v>328</v>
      </c>
      <c r="AW47" t="s">
        <v>328</v>
      </c>
      <c r="AX47" t="s">
        <v>328</v>
      </c>
      <c r="AY47">
        <v>94</v>
      </c>
      <c r="AZ47">
        <v>3045</v>
      </c>
      <c r="BA47">
        <v>8</v>
      </c>
      <c r="BB47" t="s">
        <v>4492</v>
      </c>
      <c r="BC47" t="s">
        <v>1806</v>
      </c>
      <c r="BD47">
        <v>911105</v>
      </c>
      <c r="BE47" t="s">
        <v>4493</v>
      </c>
      <c r="BF47" t="s">
        <v>4494</v>
      </c>
      <c r="BG47">
        <v>90</v>
      </c>
      <c r="BH47">
        <v>0</v>
      </c>
    </row>
    <row r="48" spans="1:61" x14ac:dyDescent="0.3">
      <c r="A48">
        <v>3006</v>
      </c>
      <c r="B48" t="s">
        <v>4653</v>
      </c>
      <c r="C48" t="s">
        <v>1010</v>
      </c>
      <c r="D48" t="s">
        <v>1010</v>
      </c>
      <c r="E48" t="s">
        <v>4654</v>
      </c>
      <c r="G48" t="s">
        <v>4485</v>
      </c>
      <c r="H48" t="s">
        <v>4655</v>
      </c>
      <c r="I48">
        <v>1</v>
      </c>
      <c r="J48">
        <v>3</v>
      </c>
      <c r="K48" t="s">
        <v>1001</v>
      </c>
      <c r="L48">
        <v>5</v>
      </c>
      <c r="M48">
        <v>306</v>
      </c>
      <c r="N48" t="s">
        <v>973</v>
      </c>
      <c r="O48">
        <v>2</v>
      </c>
      <c r="P48">
        <v>0</v>
      </c>
      <c r="Q48">
        <v>3</v>
      </c>
      <c r="R48">
        <v>0</v>
      </c>
      <c r="S48">
        <v>1</v>
      </c>
      <c r="T48">
        <v>0</v>
      </c>
      <c r="U48">
        <v>0</v>
      </c>
      <c r="V48">
        <v>900676</v>
      </c>
      <c r="W48" t="s">
        <v>1806</v>
      </c>
      <c r="X48" t="s">
        <v>4647</v>
      </c>
      <c r="Y48" t="s">
        <v>4656</v>
      </c>
      <c r="Z48">
        <v>900654</v>
      </c>
      <c r="AA48">
        <v>10</v>
      </c>
      <c r="AB48">
        <v>10</v>
      </c>
      <c r="AC48">
        <v>5</v>
      </c>
      <c r="AD48">
        <v>5</v>
      </c>
      <c r="AE48">
        <v>36</v>
      </c>
      <c r="AF48">
        <v>90</v>
      </c>
      <c r="AG48">
        <v>100</v>
      </c>
      <c r="AH48">
        <v>100</v>
      </c>
      <c r="AI48">
        <v>100</v>
      </c>
      <c r="AJ48">
        <v>0</v>
      </c>
      <c r="AK48">
        <v>15</v>
      </c>
      <c r="AL48">
        <v>20</v>
      </c>
      <c r="AM48">
        <v>150</v>
      </c>
      <c r="AN48">
        <v>95</v>
      </c>
      <c r="AO48">
        <v>15</v>
      </c>
      <c r="AP48">
        <v>0</v>
      </c>
      <c r="AQ48">
        <v>1</v>
      </c>
      <c r="AR48">
        <v>15</v>
      </c>
      <c r="AS48">
        <v>500</v>
      </c>
      <c r="AT48">
        <v>3</v>
      </c>
      <c r="AU48" t="s">
        <v>328</v>
      </c>
      <c r="AV48" t="s">
        <v>328</v>
      </c>
      <c r="AW48" t="s">
        <v>328</v>
      </c>
      <c r="AX48" t="s">
        <v>328</v>
      </c>
      <c r="AY48">
        <v>6</v>
      </c>
      <c r="AZ48">
        <v>3045</v>
      </c>
      <c r="BA48">
        <v>18</v>
      </c>
      <c r="BB48" t="s">
        <v>4492</v>
      </c>
      <c r="BC48" t="s">
        <v>1806</v>
      </c>
      <c r="BD48">
        <v>910003</v>
      </c>
      <c r="BE48" t="s">
        <v>4493</v>
      </c>
      <c r="BF48" t="s">
        <v>4494</v>
      </c>
      <c r="BG48">
        <v>95</v>
      </c>
      <c r="BH48">
        <v>0</v>
      </c>
    </row>
    <row r="49" spans="1:60" x14ac:dyDescent="0.3">
      <c r="A49">
        <v>3010</v>
      </c>
      <c r="B49" t="s">
        <v>4657</v>
      </c>
      <c r="C49" t="s">
        <v>1015</v>
      </c>
      <c r="D49" t="s">
        <v>1015</v>
      </c>
      <c r="E49" t="s">
        <v>4658</v>
      </c>
      <c r="G49" t="s">
        <v>4485</v>
      </c>
      <c r="H49" t="s">
        <v>4659</v>
      </c>
      <c r="I49">
        <v>1</v>
      </c>
      <c r="J49">
        <v>3</v>
      </c>
      <c r="K49" t="s">
        <v>993</v>
      </c>
      <c r="L49">
        <v>1</v>
      </c>
      <c r="M49">
        <v>310</v>
      </c>
      <c r="N49" t="s">
        <v>973</v>
      </c>
      <c r="O49">
        <v>8</v>
      </c>
      <c r="P49">
        <v>0</v>
      </c>
      <c r="Q49">
        <v>3</v>
      </c>
      <c r="R49">
        <v>0</v>
      </c>
      <c r="S49">
        <v>1</v>
      </c>
      <c r="T49">
        <v>0</v>
      </c>
      <c r="U49">
        <v>0</v>
      </c>
      <c r="V49">
        <v>901041</v>
      </c>
      <c r="W49" t="s">
        <v>1806</v>
      </c>
      <c r="X49" t="s">
        <v>4660</v>
      </c>
      <c r="Y49" t="s">
        <v>328</v>
      </c>
      <c r="Z49">
        <v>900107</v>
      </c>
      <c r="AA49">
        <v>10</v>
      </c>
      <c r="AB49">
        <v>10</v>
      </c>
      <c r="AC49">
        <v>5</v>
      </c>
      <c r="AD49">
        <v>5</v>
      </c>
      <c r="AE49">
        <v>160</v>
      </c>
      <c r="AF49">
        <v>320</v>
      </c>
      <c r="AG49">
        <v>90</v>
      </c>
      <c r="AH49">
        <v>350</v>
      </c>
      <c r="AI49">
        <v>0</v>
      </c>
      <c r="AJ49">
        <v>90</v>
      </c>
      <c r="AK49">
        <v>100</v>
      </c>
      <c r="AL49">
        <v>5</v>
      </c>
      <c r="AM49">
        <v>150</v>
      </c>
      <c r="AN49">
        <v>75</v>
      </c>
      <c r="AO49">
        <v>3</v>
      </c>
      <c r="AP49">
        <v>0</v>
      </c>
      <c r="AQ49">
        <v>2</v>
      </c>
      <c r="AR49">
        <v>15</v>
      </c>
      <c r="AS49">
        <v>500</v>
      </c>
      <c r="AT49">
        <v>5</v>
      </c>
      <c r="AU49" t="s">
        <v>328</v>
      </c>
      <c r="AV49" t="s">
        <v>328</v>
      </c>
      <c r="AW49" t="s">
        <v>328</v>
      </c>
      <c r="AX49" t="s">
        <v>328</v>
      </c>
      <c r="AY49">
        <v>99</v>
      </c>
      <c r="AZ49">
        <v>3045</v>
      </c>
      <c r="BA49">
        <v>21</v>
      </c>
      <c r="BB49" t="s">
        <v>4492</v>
      </c>
      <c r="BC49" t="s">
        <v>1806</v>
      </c>
      <c r="BD49">
        <v>910021</v>
      </c>
      <c r="BE49" t="s">
        <v>4493</v>
      </c>
      <c r="BF49" t="s">
        <v>4494</v>
      </c>
      <c r="BG49">
        <v>100</v>
      </c>
      <c r="BH49">
        <v>0</v>
      </c>
    </row>
    <row r="50" spans="1:60" x14ac:dyDescent="0.3">
      <c r="A50">
        <v>3003</v>
      </c>
      <c r="B50" t="s">
        <v>4661</v>
      </c>
      <c r="C50" t="s">
        <v>1007</v>
      </c>
      <c r="D50" t="s">
        <v>1007</v>
      </c>
      <c r="E50" t="s">
        <v>4662</v>
      </c>
      <c r="G50" t="s">
        <v>4485</v>
      </c>
      <c r="H50" t="s">
        <v>4663</v>
      </c>
      <c r="I50">
        <v>1</v>
      </c>
      <c r="J50">
        <v>3</v>
      </c>
      <c r="K50" t="s">
        <v>975</v>
      </c>
      <c r="L50">
        <v>5</v>
      </c>
      <c r="M50">
        <v>303</v>
      </c>
      <c r="N50" t="s">
        <v>973</v>
      </c>
      <c r="O50">
        <v>4</v>
      </c>
      <c r="P50">
        <v>0</v>
      </c>
      <c r="Q50">
        <v>3</v>
      </c>
      <c r="R50">
        <v>0</v>
      </c>
      <c r="S50">
        <v>1</v>
      </c>
      <c r="T50">
        <v>0</v>
      </c>
      <c r="U50">
        <v>0</v>
      </c>
      <c r="V50">
        <v>900525</v>
      </c>
      <c r="W50" t="s">
        <v>1806</v>
      </c>
      <c r="X50" t="s">
        <v>4499</v>
      </c>
      <c r="Y50" t="s">
        <v>4664</v>
      </c>
      <c r="Z50">
        <v>900524</v>
      </c>
      <c r="AA50">
        <v>10</v>
      </c>
      <c r="AB50">
        <v>10</v>
      </c>
      <c r="AC50">
        <v>5</v>
      </c>
      <c r="AD50">
        <v>5</v>
      </c>
      <c r="AE50">
        <v>135</v>
      </c>
      <c r="AF50">
        <v>80</v>
      </c>
      <c r="AG50">
        <v>75</v>
      </c>
      <c r="AH50">
        <v>120</v>
      </c>
      <c r="AI50">
        <v>80</v>
      </c>
      <c r="AJ50">
        <v>0</v>
      </c>
      <c r="AK50">
        <v>15</v>
      </c>
      <c r="AL50">
        <v>20</v>
      </c>
      <c r="AM50">
        <v>150</v>
      </c>
      <c r="AN50">
        <v>95</v>
      </c>
      <c r="AO50">
        <v>12</v>
      </c>
      <c r="AP50">
        <v>0</v>
      </c>
      <c r="AQ50">
        <v>1</v>
      </c>
      <c r="AR50">
        <v>15</v>
      </c>
      <c r="AS50">
        <v>500</v>
      </c>
      <c r="AT50">
        <v>3</v>
      </c>
      <c r="AU50" t="s">
        <v>328</v>
      </c>
      <c r="AV50" t="s">
        <v>328</v>
      </c>
      <c r="AW50" t="s">
        <v>328</v>
      </c>
      <c r="AX50" t="s">
        <v>328</v>
      </c>
      <c r="AY50">
        <v>10</v>
      </c>
      <c r="AZ50">
        <v>3045</v>
      </c>
      <c r="BA50">
        <v>16</v>
      </c>
      <c r="BB50" t="s">
        <v>4492</v>
      </c>
      <c r="BC50" t="s">
        <v>1806</v>
      </c>
      <c r="BD50">
        <v>910007</v>
      </c>
      <c r="BE50" t="s">
        <v>4493</v>
      </c>
      <c r="BF50" t="s">
        <v>4494</v>
      </c>
      <c r="BG50">
        <v>92</v>
      </c>
      <c r="BH50">
        <v>0</v>
      </c>
    </row>
    <row r="51" spans="1:60" x14ac:dyDescent="0.3">
      <c r="A51">
        <v>3004</v>
      </c>
      <c r="B51" t="s">
        <v>4665</v>
      </c>
      <c r="C51" t="s">
        <v>1008</v>
      </c>
      <c r="D51" t="s">
        <v>1008</v>
      </c>
      <c r="E51" t="s">
        <v>4666</v>
      </c>
      <c r="G51" t="s">
        <v>4485</v>
      </c>
      <c r="H51" t="s">
        <v>4667</v>
      </c>
      <c r="I51">
        <v>1</v>
      </c>
      <c r="J51">
        <v>3</v>
      </c>
      <c r="K51" t="s">
        <v>972</v>
      </c>
      <c r="L51">
        <v>5</v>
      </c>
      <c r="M51">
        <v>304</v>
      </c>
      <c r="N51" t="s">
        <v>973</v>
      </c>
      <c r="O51">
        <v>4</v>
      </c>
      <c r="P51">
        <v>0</v>
      </c>
      <c r="Q51">
        <v>3</v>
      </c>
      <c r="R51">
        <v>0</v>
      </c>
      <c r="S51">
        <v>1</v>
      </c>
      <c r="T51">
        <v>0</v>
      </c>
      <c r="U51">
        <v>0</v>
      </c>
      <c r="V51">
        <v>900523</v>
      </c>
      <c r="W51" t="s">
        <v>1806</v>
      </c>
      <c r="X51" t="s">
        <v>4499</v>
      </c>
      <c r="Y51" t="s">
        <v>328</v>
      </c>
      <c r="Z51">
        <v>900522</v>
      </c>
      <c r="AA51">
        <v>10</v>
      </c>
      <c r="AB51">
        <v>10</v>
      </c>
      <c r="AC51">
        <v>5</v>
      </c>
      <c r="AD51">
        <v>5</v>
      </c>
      <c r="AE51">
        <v>65</v>
      </c>
      <c r="AF51">
        <v>105</v>
      </c>
      <c r="AG51">
        <v>65</v>
      </c>
      <c r="AH51">
        <v>125</v>
      </c>
      <c r="AI51">
        <v>55</v>
      </c>
      <c r="AJ51">
        <v>0</v>
      </c>
      <c r="AK51">
        <v>180</v>
      </c>
      <c r="AL51">
        <v>50</v>
      </c>
      <c r="AM51">
        <v>200</v>
      </c>
      <c r="AN51">
        <v>95</v>
      </c>
      <c r="AO51">
        <v>6</v>
      </c>
      <c r="AP51">
        <v>0</v>
      </c>
      <c r="AQ51">
        <v>2</v>
      </c>
      <c r="AR51">
        <v>15</v>
      </c>
      <c r="AS51">
        <v>500</v>
      </c>
      <c r="AT51">
        <v>9</v>
      </c>
      <c r="AU51" t="s">
        <v>328</v>
      </c>
      <c r="AV51" t="s">
        <v>328</v>
      </c>
      <c r="AW51" t="s">
        <v>328</v>
      </c>
      <c r="AX51" t="s">
        <v>328</v>
      </c>
      <c r="AY51">
        <v>9</v>
      </c>
      <c r="AZ51">
        <v>3045</v>
      </c>
      <c r="BA51">
        <v>17</v>
      </c>
      <c r="BB51" t="s">
        <v>4492</v>
      </c>
      <c r="BC51" t="s">
        <v>1806</v>
      </c>
      <c r="BD51">
        <v>910006</v>
      </c>
      <c r="BE51" t="s">
        <v>4493</v>
      </c>
      <c r="BF51" t="s">
        <v>4494</v>
      </c>
      <c r="BG51">
        <v>100</v>
      </c>
      <c r="BH51">
        <v>0</v>
      </c>
    </row>
    <row r="52" spans="1:60" x14ac:dyDescent="0.3">
      <c r="A52">
        <v>3009</v>
      </c>
      <c r="B52" t="s">
        <v>4668</v>
      </c>
      <c r="C52" t="s">
        <v>1013</v>
      </c>
      <c r="D52" t="s">
        <v>1013</v>
      </c>
      <c r="E52" t="s">
        <v>4669</v>
      </c>
      <c r="G52" t="s">
        <v>4485</v>
      </c>
      <c r="H52" t="s">
        <v>4670</v>
      </c>
      <c r="I52">
        <v>1</v>
      </c>
      <c r="J52">
        <v>3</v>
      </c>
      <c r="K52" t="s">
        <v>1014</v>
      </c>
      <c r="L52">
        <v>5</v>
      </c>
      <c r="M52">
        <v>309</v>
      </c>
      <c r="N52" t="s">
        <v>973</v>
      </c>
      <c r="O52">
        <v>4</v>
      </c>
      <c r="P52">
        <v>0</v>
      </c>
      <c r="Q52">
        <v>3</v>
      </c>
      <c r="R52">
        <v>0</v>
      </c>
      <c r="S52">
        <v>1</v>
      </c>
      <c r="T52">
        <v>0</v>
      </c>
      <c r="U52">
        <v>0</v>
      </c>
      <c r="V52">
        <v>900741</v>
      </c>
      <c r="W52" t="s">
        <v>1806</v>
      </c>
      <c r="X52" t="s">
        <v>4499</v>
      </c>
      <c r="Y52" t="s">
        <v>328</v>
      </c>
      <c r="Z52">
        <v>900740</v>
      </c>
      <c r="AA52">
        <v>10</v>
      </c>
      <c r="AB52">
        <v>10</v>
      </c>
      <c r="AC52">
        <v>5</v>
      </c>
      <c r="AD52">
        <v>5</v>
      </c>
      <c r="AE52">
        <v>55</v>
      </c>
      <c r="AF52">
        <v>72</v>
      </c>
      <c r="AG52">
        <v>50</v>
      </c>
      <c r="AH52">
        <v>130</v>
      </c>
      <c r="AI52">
        <v>90</v>
      </c>
      <c r="AJ52">
        <v>0</v>
      </c>
      <c r="AK52">
        <v>100</v>
      </c>
      <c r="AL52">
        <v>20</v>
      </c>
      <c r="AM52">
        <v>150</v>
      </c>
      <c r="AN52">
        <v>95</v>
      </c>
      <c r="AO52">
        <v>12</v>
      </c>
      <c r="AP52">
        <v>0</v>
      </c>
      <c r="AQ52">
        <v>2</v>
      </c>
      <c r="AR52">
        <v>15</v>
      </c>
      <c r="AS52">
        <v>500</v>
      </c>
      <c r="AT52">
        <v>9</v>
      </c>
      <c r="AU52" t="s">
        <v>328</v>
      </c>
      <c r="AV52" t="s">
        <v>328</v>
      </c>
      <c r="AW52" t="s">
        <v>328</v>
      </c>
      <c r="AX52" t="s">
        <v>328</v>
      </c>
      <c r="AY52">
        <v>13</v>
      </c>
      <c r="AZ52">
        <v>3045</v>
      </c>
      <c r="BA52">
        <v>21</v>
      </c>
      <c r="BB52" t="s">
        <v>4492</v>
      </c>
      <c r="BC52" t="s">
        <v>1806</v>
      </c>
      <c r="BD52">
        <v>910009</v>
      </c>
      <c r="BE52" t="s">
        <v>4493</v>
      </c>
      <c r="BF52" t="s">
        <v>4494</v>
      </c>
      <c r="BG52">
        <v>80</v>
      </c>
      <c r="BH52">
        <v>0</v>
      </c>
    </row>
    <row r="53" spans="1:60" x14ac:dyDescent="0.3">
      <c r="A53">
        <v>3008</v>
      </c>
      <c r="B53" t="s">
        <v>4671</v>
      </c>
      <c r="C53" t="s">
        <v>1012</v>
      </c>
      <c r="D53" t="s">
        <v>1012</v>
      </c>
      <c r="E53" t="s">
        <v>4672</v>
      </c>
      <c r="G53" t="s">
        <v>4485</v>
      </c>
      <c r="H53" t="s">
        <v>4673</v>
      </c>
      <c r="I53">
        <v>1</v>
      </c>
      <c r="J53">
        <v>3</v>
      </c>
      <c r="K53" t="s">
        <v>1001</v>
      </c>
      <c r="L53">
        <v>5</v>
      </c>
      <c r="M53">
        <v>308</v>
      </c>
      <c r="N53" t="s">
        <v>973</v>
      </c>
      <c r="O53">
        <v>4</v>
      </c>
      <c r="P53">
        <v>0</v>
      </c>
      <c r="Q53">
        <v>3</v>
      </c>
      <c r="R53">
        <v>0</v>
      </c>
      <c r="S53">
        <v>1</v>
      </c>
      <c r="T53">
        <v>0</v>
      </c>
      <c r="U53">
        <v>0</v>
      </c>
      <c r="V53">
        <v>900575</v>
      </c>
      <c r="W53" t="s">
        <v>1806</v>
      </c>
      <c r="X53" t="s">
        <v>4499</v>
      </c>
      <c r="Y53" t="s">
        <v>4674</v>
      </c>
      <c r="Z53">
        <v>900574</v>
      </c>
      <c r="AA53">
        <v>10</v>
      </c>
      <c r="AB53">
        <v>10</v>
      </c>
      <c r="AC53">
        <v>5</v>
      </c>
      <c r="AD53">
        <v>5</v>
      </c>
      <c r="AE53">
        <v>90</v>
      </c>
      <c r="AF53">
        <v>68</v>
      </c>
      <c r="AG53">
        <v>120</v>
      </c>
      <c r="AH53">
        <v>110</v>
      </c>
      <c r="AI53">
        <v>95</v>
      </c>
      <c r="AJ53">
        <v>0</v>
      </c>
      <c r="AK53">
        <v>15</v>
      </c>
      <c r="AL53">
        <v>20</v>
      </c>
      <c r="AM53">
        <v>150</v>
      </c>
      <c r="AN53">
        <v>95</v>
      </c>
      <c r="AO53">
        <v>12</v>
      </c>
      <c r="AP53">
        <v>0</v>
      </c>
      <c r="AQ53">
        <v>1</v>
      </c>
      <c r="AR53">
        <v>15</v>
      </c>
      <c r="AS53">
        <v>500</v>
      </c>
      <c r="AT53">
        <v>4</v>
      </c>
      <c r="AU53" t="s">
        <v>328</v>
      </c>
      <c r="AV53" t="s">
        <v>328</v>
      </c>
      <c r="AW53" t="s">
        <v>328</v>
      </c>
      <c r="AX53" t="s">
        <v>328</v>
      </c>
      <c r="AY53">
        <v>2</v>
      </c>
      <c r="AZ53">
        <v>3045</v>
      </c>
      <c r="BA53">
        <v>21</v>
      </c>
      <c r="BB53" t="s">
        <v>4492</v>
      </c>
      <c r="BC53" t="s">
        <v>1806</v>
      </c>
      <c r="BD53">
        <v>910001</v>
      </c>
      <c r="BE53" t="s">
        <v>4493</v>
      </c>
      <c r="BF53" t="s">
        <v>4494</v>
      </c>
      <c r="BG53">
        <v>80</v>
      </c>
      <c r="BH53">
        <v>0</v>
      </c>
    </row>
    <row r="54" spans="1:60" x14ac:dyDescent="0.3">
      <c r="A54">
        <v>3001</v>
      </c>
      <c r="B54" t="s">
        <v>4675</v>
      </c>
      <c r="C54" t="s">
        <v>1005</v>
      </c>
      <c r="D54" t="s">
        <v>1005</v>
      </c>
      <c r="E54" t="s">
        <v>4676</v>
      </c>
      <c r="G54" t="s">
        <v>4485</v>
      </c>
      <c r="H54" t="s">
        <v>4677</v>
      </c>
      <c r="I54">
        <v>1</v>
      </c>
      <c r="J54">
        <v>3</v>
      </c>
      <c r="K54" t="s">
        <v>972</v>
      </c>
      <c r="L54">
        <v>5</v>
      </c>
      <c r="M54">
        <v>301</v>
      </c>
      <c r="N54" t="s">
        <v>973</v>
      </c>
      <c r="O54">
        <v>4</v>
      </c>
      <c r="P54">
        <v>0</v>
      </c>
      <c r="Q54">
        <v>3</v>
      </c>
      <c r="R54">
        <v>0</v>
      </c>
      <c r="S54">
        <v>1</v>
      </c>
      <c r="T54">
        <v>0</v>
      </c>
      <c r="U54">
        <v>0</v>
      </c>
      <c r="V54">
        <v>600501</v>
      </c>
      <c r="W54" t="s">
        <v>1806</v>
      </c>
      <c r="X54" t="s">
        <v>4499</v>
      </c>
      <c r="Y54" t="s">
        <v>4678</v>
      </c>
      <c r="Z54">
        <v>600503</v>
      </c>
      <c r="AA54">
        <v>10</v>
      </c>
      <c r="AB54">
        <v>10</v>
      </c>
      <c r="AC54">
        <v>5</v>
      </c>
      <c r="AD54">
        <v>5</v>
      </c>
      <c r="AE54">
        <v>100</v>
      </c>
      <c r="AF54">
        <v>62</v>
      </c>
      <c r="AG54">
        <v>100</v>
      </c>
      <c r="AH54">
        <v>65</v>
      </c>
      <c r="AI54">
        <v>130</v>
      </c>
      <c r="AJ54">
        <v>0</v>
      </c>
      <c r="AK54">
        <v>15</v>
      </c>
      <c r="AL54">
        <v>10</v>
      </c>
      <c r="AM54">
        <v>150</v>
      </c>
      <c r="AN54">
        <v>95</v>
      </c>
      <c r="AO54">
        <v>15</v>
      </c>
      <c r="AP54">
        <v>0</v>
      </c>
      <c r="AQ54">
        <v>2</v>
      </c>
      <c r="AR54">
        <v>15</v>
      </c>
      <c r="AS54">
        <v>500</v>
      </c>
      <c r="AT54">
        <v>7</v>
      </c>
      <c r="AU54" t="s">
        <v>328</v>
      </c>
      <c r="AV54" t="s">
        <v>328</v>
      </c>
      <c r="AW54" t="s">
        <v>328</v>
      </c>
      <c r="AX54" t="s">
        <v>328</v>
      </c>
      <c r="AY54">
        <v>4</v>
      </c>
      <c r="AZ54">
        <v>3045</v>
      </c>
      <c r="BA54">
        <v>14</v>
      </c>
      <c r="BB54" t="s">
        <v>4492</v>
      </c>
      <c r="BC54" t="s">
        <v>1806</v>
      </c>
      <c r="BD54">
        <v>910004</v>
      </c>
      <c r="BE54" t="s">
        <v>4493</v>
      </c>
      <c r="BF54" t="s">
        <v>4494</v>
      </c>
      <c r="BG54">
        <v>95</v>
      </c>
      <c r="BH54">
        <v>0</v>
      </c>
    </row>
    <row r="55" spans="1:60" x14ac:dyDescent="0.3">
      <c r="A55">
        <v>3007</v>
      </c>
      <c r="B55" t="s">
        <v>4679</v>
      </c>
      <c r="C55" t="s">
        <v>1011</v>
      </c>
      <c r="D55" t="s">
        <v>1011</v>
      </c>
      <c r="E55" t="s">
        <v>4680</v>
      </c>
      <c r="G55" t="s">
        <v>4485</v>
      </c>
      <c r="H55" t="s">
        <v>4681</v>
      </c>
      <c r="I55">
        <v>1</v>
      </c>
      <c r="J55">
        <v>3</v>
      </c>
      <c r="K55" t="s">
        <v>1001</v>
      </c>
      <c r="L55">
        <v>5</v>
      </c>
      <c r="M55">
        <v>307</v>
      </c>
      <c r="N55" t="s">
        <v>973</v>
      </c>
      <c r="O55">
        <v>4</v>
      </c>
      <c r="P55">
        <v>0</v>
      </c>
      <c r="Q55">
        <v>3</v>
      </c>
      <c r="R55">
        <v>0</v>
      </c>
      <c r="S55">
        <v>1</v>
      </c>
      <c r="T55">
        <v>0</v>
      </c>
      <c r="U55">
        <v>0</v>
      </c>
      <c r="V55">
        <v>900573</v>
      </c>
      <c r="W55" t="s">
        <v>1806</v>
      </c>
      <c r="X55" t="s">
        <v>4499</v>
      </c>
      <c r="Y55" t="s">
        <v>328</v>
      </c>
      <c r="Z55">
        <v>900572</v>
      </c>
      <c r="AA55">
        <v>10</v>
      </c>
      <c r="AB55">
        <v>10</v>
      </c>
      <c r="AC55">
        <v>5</v>
      </c>
      <c r="AD55">
        <v>5</v>
      </c>
      <c r="AE55">
        <v>75</v>
      </c>
      <c r="AF55">
        <v>72</v>
      </c>
      <c r="AG55">
        <v>100</v>
      </c>
      <c r="AH55">
        <v>100</v>
      </c>
      <c r="AI55">
        <v>140</v>
      </c>
      <c r="AJ55">
        <v>0</v>
      </c>
      <c r="AK55">
        <v>15</v>
      </c>
      <c r="AL55">
        <v>20</v>
      </c>
      <c r="AM55">
        <v>150</v>
      </c>
      <c r="AN55">
        <v>95</v>
      </c>
      <c r="AO55">
        <v>12</v>
      </c>
      <c r="AP55">
        <v>0</v>
      </c>
      <c r="AQ55">
        <v>2</v>
      </c>
      <c r="AR55">
        <v>15</v>
      </c>
      <c r="AS55">
        <v>500</v>
      </c>
      <c r="AT55">
        <v>5</v>
      </c>
      <c r="AU55" t="s">
        <v>328</v>
      </c>
      <c r="AV55" t="s">
        <v>328</v>
      </c>
      <c r="AW55" t="s">
        <v>328</v>
      </c>
      <c r="AX55" t="s">
        <v>328</v>
      </c>
      <c r="AY55">
        <v>3</v>
      </c>
      <c r="AZ55">
        <v>3045</v>
      </c>
      <c r="BA55">
        <v>20</v>
      </c>
      <c r="BB55" t="s">
        <v>4492</v>
      </c>
      <c r="BC55" t="s">
        <v>1806</v>
      </c>
      <c r="BD55">
        <v>910002</v>
      </c>
      <c r="BE55" t="s">
        <v>4493</v>
      </c>
      <c r="BF55" t="s">
        <v>4494</v>
      </c>
      <c r="BG55">
        <v>80</v>
      </c>
      <c r="BH55">
        <v>0</v>
      </c>
    </row>
    <row r="56" spans="1:60" x14ac:dyDescent="0.3">
      <c r="A56">
        <v>3005</v>
      </c>
      <c r="B56" t="s">
        <v>4682</v>
      </c>
      <c r="C56" t="s">
        <v>1009</v>
      </c>
      <c r="D56" t="s">
        <v>1009</v>
      </c>
      <c r="E56" t="s">
        <v>4683</v>
      </c>
      <c r="G56" t="s">
        <v>4485</v>
      </c>
      <c r="H56" t="s">
        <v>4684</v>
      </c>
      <c r="I56">
        <v>1</v>
      </c>
      <c r="J56">
        <v>3</v>
      </c>
      <c r="K56" t="s">
        <v>972</v>
      </c>
      <c r="L56">
        <v>5</v>
      </c>
      <c r="M56">
        <v>305</v>
      </c>
      <c r="N56" t="s">
        <v>973</v>
      </c>
      <c r="O56">
        <v>4</v>
      </c>
      <c r="P56">
        <v>0</v>
      </c>
      <c r="Q56">
        <v>3</v>
      </c>
      <c r="R56">
        <v>0</v>
      </c>
      <c r="S56">
        <v>1</v>
      </c>
      <c r="T56">
        <v>0</v>
      </c>
      <c r="U56">
        <v>0</v>
      </c>
      <c r="V56">
        <v>900571</v>
      </c>
      <c r="W56" t="s">
        <v>1806</v>
      </c>
      <c r="X56" t="s">
        <v>4499</v>
      </c>
      <c r="Y56" t="s">
        <v>4685</v>
      </c>
      <c r="Z56">
        <v>900570</v>
      </c>
      <c r="AA56">
        <v>10</v>
      </c>
      <c r="AB56">
        <v>10</v>
      </c>
      <c r="AC56">
        <v>5</v>
      </c>
      <c r="AD56">
        <v>5</v>
      </c>
      <c r="AE56">
        <v>80</v>
      </c>
      <c r="AF56">
        <v>80</v>
      </c>
      <c r="AG56">
        <v>115</v>
      </c>
      <c r="AH56">
        <v>50</v>
      </c>
      <c r="AI56">
        <v>45</v>
      </c>
      <c r="AJ56">
        <v>0</v>
      </c>
      <c r="AK56">
        <v>180</v>
      </c>
      <c r="AL56">
        <v>5</v>
      </c>
      <c r="AM56">
        <v>150</v>
      </c>
      <c r="AN56">
        <v>95</v>
      </c>
      <c r="AO56">
        <v>5</v>
      </c>
      <c r="AP56">
        <v>0</v>
      </c>
      <c r="AQ56">
        <v>2</v>
      </c>
      <c r="AR56">
        <v>15</v>
      </c>
      <c r="AS56">
        <v>500</v>
      </c>
      <c r="AT56">
        <v>9</v>
      </c>
      <c r="AU56" t="s">
        <v>328</v>
      </c>
      <c r="AV56" t="s">
        <v>328</v>
      </c>
      <c r="AW56" t="s">
        <v>328</v>
      </c>
      <c r="AX56" t="s">
        <v>328</v>
      </c>
      <c r="AY56">
        <v>29</v>
      </c>
      <c r="AZ56">
        <v>3045</v>
      </c>
      <c r="BA56">
        <v>18</v>
      </c>
      <c r="BB56" t="s">
        <v>4492</v>
      </c>
      <c r="BC56" t="s">
        <v>1806</v>
      </c>
      <c r="BD56">
        <v>910012</v>
      </c>
      <c r="BE56" t="s">
        <v>4493</v>
      </c>
      <c r="BF56" t="s">
        <v>4494</v>
      </c>
      <c r="BG56">
        <v>95</v>
      </c>
      <c r="BH56">
        <v>0</v>
      </c>
    </row>
    <row r="57" spans="1:60" x14ac:dyDescent="0.3">
      <c r="A57">
        <v>3002</v>
      </c>
      <c r="B57" t="s">
        <v>4686</v>
      </c>
      <c r="C57" t="s">
        <v>1006</v>
      </c>
      <c r="D57" t="s">
        <v>1006</v>
      </c>
      <c r="E57" t="s">
        <v>4687</v>
      </c>
      <c r="G57" t="s">
        <v>4485</v>
      </c>
      <c r="H57" t="s">
        <v>4688</v>
      </c>
      <c r="I57">
        <v>1</v>
      </c>
      <c r="J57">
        <v>3</v>
      </c>
      <c r="K57" t="s">
        <v>972</v>
      </c>
      <c r="L57">
        <v>5</v>
      </c>
      <c r="M57">
        <v>302</v>
      </c>
      <c r="N57" t="s">
        <v>973</v>
      </c>
      <c r="O57">
        <v>4</v>
      </c>
      <c r="P57">
        <v>0</v>
      </c>
      <c r="Q57">
        <v>3</v>
      </c>
      <c r="R57">
        <v>0</v>
      </c>
      <c r="S57">
        <v>1</v>
      </c>
      <c r="T57">
        <v>0</v>
      </c>
      <c r="U57">
        <v>0</v>
      </c>
      <c r="V57">
        <v>600601</v>
      </c>
      <c r="W57" t="s">
        <v>1806</v>
      </c>
      <c r="X57" t="s">
        <v>4499</v>
      </c>
      <c r="Y57" t="s">
        <v>328</v>
      </c>
      <c r="Z57">
        <v>600602</v>
      </c>
      <c r="AA57">
        <v>10</v>
      </c>
      <c r="AB57">
        <v>10</v>
      </c>
      <c r="AC57">
        <v>5</v>
      </c>
      <c r="AD57">
        <v>5</v>
      </c>
      <c r="AE57">
        <v>92</v>
      </c>
      <c r="AF57">
        <v>85</v>
      </c>
      <c r="AG57">
        <v>100</v>
      </c>
      <c r="AH57">
        <v>110</v>
      </c>
      <c r="AI57">
        <v>90</v>
      </c>
      <c r="AJ57">
        <v>0</v>
      </c>
      <c r="AK57">
        <v>15</v>
      </c>
      <c r="AL57">
        <v>20</v>
      </c>
      <c r="AM57">
        <v>150</v>
      </c>
      <c r="AN57">
        <v>95</v>
      </c>
      <c r="AO57">
        <v>12</v>
      </c>
      <c r="AP57">
        <v>0</v>
      </c>
      <c r="AQ57">
        <v>2</v>
      </c>
      <c r="AR57">
        <v>15</v>
      </c>
      <c r="AS57">
        <v>500</v>
      </c>
      <c r="AT57">
        <v>7</v>
      </c>
      <c r="AU57" t="s">
        <v>328</v>
      </c>
      <c r="AV57" t="s">
        <v>328</v>
      </c>
      <c r="AW57" t="s">
        <v>328</v>
      </c>
      <c r="AX57" t="s">
        <v>328</v>
      </c>
      <c r="AY57">
        <v>7</v>
      </c>
      <c r="AZ57">
        <v>3045</v>
      </c>
      <c r="BA57">
        <v>15</v>
      </c>
      <c r="BB57" t="s">
        <v>4492</v>
      </c>
      <c r="BC57" t="s">
        <v>1806</v>
      </c>
      <c r="BD57">
        <v>910005</v>
      </c>
      <c r="BE57" t="s">
        <v>4493</v>
      </c>
      <c r="BF57" t="s">
        <v>4494</v>
      </c>
      <c r="BG57">
        <v>100</v>
      </c>
      <c r="BH57">
        <v>0</v>
      </c>
    </row>
  </sheetData>
  <autoFilter ref="A1:BH42" xr:uid="{B73B56D9-BCE9-49D8-8E2C-1557546D251C}">
    <sortState xmlns:xlrd2="http://schemas.microsoft.com/office/spreadsheetml/2017/richdata2" ref="A2:BH42">
      <sortCondition ref="J2:J42"/>
      <sortCondition ref="C2:C42"/>
    </sortState>
  </autoFilter>
  <sortState xmlns:xlrd2="http://schemas.microsoft.com/office/spreadsheetml/2017/richdata2" ref="A2:BI57">
    <sortCondition ref="J2:J57"/>
    <sortCondition ref="C2:C57"/>
  </sortSt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43FB-670E-4AA7-8796-94C86D6221D5}">
  <sheetPr codeName="Sheet21">
    <tabColor theme="8" tint="0.79998168889431442"/>
  </sheetPr>
  <dimension ref="A1:C14"/>
  <sheetViews>
    <sheetView workbookViewId="0">
      <pane ySplit="1" topLeftCell="A2" activePane="bottomLeft" state="frozen"/>
      <selection pane="bottomLeft"/>
    </sheetView>
  </sheetViews>
  <sheetFormatPr defaultRowHeight="14.4" x14ac:dyDescent="0.3"/>
  <cols>
    <col min="2" max="2" width="17.44140625" customWidth="1"/>
  </cols>
  <sheetData>
    <row r="1" spans="1:3" x14ac:dyDescent="0.3">
      <c r="A1" s="38" t="s">
        <v>25</v>
      </c>
      <c r="B1" s="38" t="s">
        <v>321</v>
      </c>
      <c r="C1" s="38" t="s">
        <v>1076</v>
      </c>
    </row>
    <row r="2" spans="1:3" x14ac:dyDescent="0.3">
      <c r="A2" s="1">
        <v>1001</v>
      </c>
      <c r="B2" t="s">
        <v>1079</v>
      </c>
      <c r="C2" t="s">
        <v>1077</v>
      </c>
    </row>
    <row r="3" spans="1:3" x14ac:dyDescent="0.3">
      <c r="A3" s="1">
        <v>1002</v>
      </c>
      <c r="B3" t="s">
        <v>1075</v>
      </c>
      <c r="C3" t="s">
        <v>1078</v>
      </c>
    </row>
    <row r="4" spans="1:3" x14ac:dyDescent="0.3">
      <c r="A4" s="1">
        <v>1003</v>
      </c>
      <c r="B4" t="s">
        <v>6847</v>
      </c>
      <c r="C4" t="s">
        <v>1082</v>
      </c>
    </row>
    <row r="5" spans="1:3" x14ac:dyDescent="0.3">
      <c r="A5" s="1">
        <v>1004</v>
      </c>
      <c r="B5" t="s">
        <v>6848</v>
      </c>
      <c r="C5" t="s">
        <v>1083</v>
      </c>
    </row>
    <row r="6" spans="1:3" x14ac:dyDescent="0.3">
      <c r="A6" s="1">
        <v>1005</v>
      </c>
      <c r="B6" t="s">
        <v>6849</v>
      </c>
      <c r="C6" t="s">
        <v>1084</v>
      </c>
    </row>
    <row r="7" spans="1:3" x14ac:dyDescent="0.3">
      <c r="A7" s="1">
        <v>2003</v>
      </c>
      <c r="B7" t="s">
        <v>6850</v>
      </c>
      <c r="C7" t="s">
        <v>1085</v>
      </c>
    </row>
    <row r="8" spans="1:3" x14ac:dyDescent="0.3">
      <c r="A8" s="1">
        <v>2004</v>
      </c>
      <c r="B8" t="s">
        <v>6851</v>
      </c>
      <c r="C8" t="s">
        <v>1086</v>
      </c>
    </row>
    <row r="9" spans="1:3" x14ac:dyDescent="0.3">
      <c r="A9" s="1">
        <v>3001</v>
      </c>
      <c r="B9" t="s">
        <v>1080</v>
      </c>
      <c r="C9" t="s">
        <v>1087</v>
      </c>
    </row>
    <row r="10" spans="1:3" x14ac:dyDescent="0.3">
      <c r="A10" s="1">
        <v>3002</v>
      </c>
      <c r="B10" t="s">
        <v>6852</v>
      </c>
      <c r="C10" t="s">
        <v>1088</v>
      </c>
    </row>
    <row r="11" spans="1:3" x14ac:dyDescent="0.3">
      <c r="A11" s="1">
        <v>3003</v>
      </c>
      <c r="B11" t="s">
        <v>6853</v>
      </c>
      <c r="C11" t="s">
        <v>1089</v>
      </c>
    </row>
    <row r="12" spans="1:3" x14ac:dyDescent="0.3">
      <c r="A12" s="1">
        <v>3004</v>
      </c>
      <c r="B12" t="s">
        <v>1081</v>
      </c>
      <c r="C12" t="s">
        <v>1090</v>
      </c>
    </row>
    <row r="13" spans="1:3" x14ac:dyDescent="0.3">
      <c r="A13" s="1">
        <v>3005</v>
      </c>
      <c r="B13" t="s">
        <v>6854</v>
      </c>
      <c r="C13" t="s">
        <v>1091</v>
      </c>
    </row>
    <row r="14" spans="1:3" x14ac:dyDescent="0.3">
      <c r="A14" s="1">
        <v>3006</v>
      </c>
      <c r="B14" t="s">
        <v>6855</v>
      </c>
      <c r="C14" t="s">
        <v>1092</v>
      </c>
    </row>
  </sheetData>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26205-9FA6-48FD-8F28-C09C71351CDD}">
  <sheetPr codeName="Sheet33">
    <tabColor theme="8" tint="0.79998168889431442"/>
  </sheetPr>
  <dimension ref="A1:U137"/>
  <sheetViews>
    <sheetView workbookViewId="0">
      <pane ySplit="1" topLeftCell="A2" activePane="bottomLeft" state="frozen"/>
      <selection activeCell="C2" sqref="C2"/>
      <selection pane="bottomLeft" activeCell="C2" sqref="C2"/>
    </sheetView>
  </sheetViews>
  <sheetFormatPr defaultRowHeight="14.4" x14ac:dyDescent="0.3"/>
  <cols>
    <col min="1" max="1" width="10.88671875" style="208" customWidth="1"/>
    <col min="2" max="2" width="28.5546875" bestFit="1" customWidth="1"/>
  </cols>
  <sheetData>
    <row r="1" spans="1:21" x14ac:dyDescent="0.3">
      <c r="A1" s="10" t="s">
        <v>8717</v>
      </c>
      <c r="B1" s="10" t="s">
        <v>8</v>
      </c>
      <c r="C1" s="10">
        <v>3</v>
      </c>
      <c r="D1" s="10">
        <v>4</v>
      </c>
      <c r="E1" s="10">
        <v>5</v>
      </c>
      <c r="G1" s="10" t="s">
        <v>8720</v>
      </c>
      <c r="H1" t="s">
        <v>8246</v>
      </c>
      <c r="I1" t="s">
        <v>8719</v>
      </c>
      <c r="J1" t="s">
        <v>8718</v>
      </c>
      <c r="K1" t="s">
        <v>8247</v>
      </c>
      <c r="L1" t="s">
        <v>8248</v>
      </c>
      <c r="N1" s="10" t="s">
        <v>8721</v>
      </c>
      <c r="O1" t="s">
        <v>8718</v>
      </c>
      <c r="P1" t="s">
        <v>8247</v>
      </c>
      <c r="Q1" t="s">
        <v>8247</v>
      </c>
      <c r="R1" t="s">
        <v>8719</v>
      </c>
      <c r="S1" t="s">
        <v>8248</v>
      </c>
      <c r="U1" t="s">
        <v>8249</v>
      </c>
    </row>
    <row r="2" spans="1:21" x14ac:dyDescent="0.3">
      <c r="A2" t="s">
        <v>8249</v>
      </c>
      <c r="B2" t="s">
        <v>8288</v>
      </c>
      <c r="C2">
        <v>3004</v>
      </c>
      <c r="D2">
        <v>2004</v>
      </c>
      <c r="E2">
        <v>1004</v>
      </c>
      <c r="H2" t="str">
        <f>IF($A2="Heavy",$B2,"")</f>
        <v/>
      </c>
      <c r="I2" t="str">
        <f>IF(OR($A2="Defense",$A2="Utility"),$B2,"")</f>
        <v/>
      </c>
      <c r="J2" t="str">
        <f>IF(OR($A2="Heavy",$A2="Light"),$B2,"")</f>
        <v/>
      </c>
      <c r="K2" t="str">
        <f>IF($A2="Light",$B2,"")</f>
        <v/>
      </c>
      <c r="L2" t="str">
        <f>IF($A2="Utility",$B2,"")</f>
        <v/>
      </c>
      <c r="O2" t="str">
        <f>IF(OR($A2="Heavy",$A2="Light"),$B2,"")</f>
        <v/>
      </c>
      <c r="P2" t="str">
        <f>IF($A2="Light",$B2,"")</f>
        <v/>
      </c>
      <c r="Q2" t="str">
        <f>IF($A2="Light",$B2,"")</f>
        <v/>
      </c>
      <c r="R2" t="str">
        <f>IF(OR($A2="Defense",$A2="Utility"),$B2,"")</f>
        <v/>
      </c>
      <c r="S2" t="str">
        <f>IF($A2="Utility",$B2,"")</f>
        <v/>
      </c>
      <c r="U2" t="str">
        <f>IF($A2="Common",$B2,"")</f>
        <v>Accuracy</v>
      </c>
    </row>
    <row r="3" spans="1:21" x14ac:dyDescent="0.3">
      <c r="A3" t="s">
        <v>8249</v>
      </c>
      <c r="B3" t="s">
        <v>637</v>
      </c>
      <c r="C3">
        <v>3005</v>
      </c>
      <c r="D3">
        <v>2005</v>
      </c>
      <c r="E3">
        <v>1005</v>
      </c>
      <c r="H3" t="str">
        <f t="shared" ref="H3:H59" si="0">IF($A3="Heavy",$B3,"")</f>
        <v/>
      </c>
      <c r="I3" t="str">
        <f t="shared" ref="I3:I59" si="1">IF(OR($A3="Defense",$A3="Utility"),$B3,"")</f>
        <v/>
      </c>
      <c r="J3" t="str">
        <f t="shared" ref="J3:J59" si="2">IF(OR($A3="Heavy",$A3="Light"),$B3,"")</f>
        <v/>
      </c>
      <c r="K3" t="str">
        <f t="shared" ref="K3:K59" si="3">IF($A3="Light",$B3,"")</f>
        <v/>
      </c>
      <c r="L3" t="str">
        <f t="shared" ref="L3:L59" si="4">IF($A3="Utility",$B3,"")</f>
        <v/>
      </c>
      <c r="O3" t="str">
        <f t="shared" ref="O3:O59" si="5">IF(OR($A3="Heavy",$A3="Light"),$B3,"")</f>
        <v/>
      </c>
      <c r="P3" t="str">
        <f t="shared" ref="P3:Q49" si="6">IF($A3="Light",$B3,"")</f>
        <v/>
      </c>
      <c r="Q3" t="str">
        <f t="shared" si="6"/>
        <v/>
      </c>
      <c r="R3" t="str">
        <f t="shared" ref="R3:R59" si="7">IF(OR($A3="Defense",$A3="Utility"),$B3,"")</f>
        <v/>
      </c>
      <c r="S3" t="str">
        <f t="shared" ref="S3:S59" si="8">IF($A3="Utility",$B3,"")</f>
        <v/>
      </c>
      <c r="U3" t="str">
        <f t="shared" ref="U3:U59" si="9">IF($A3="Common",$B3,"")</f>
        <v>Armor</v>
      </c>
    </row>
    <row r="4" spans="1:21" x14ac:dyDescent="0.3">
      <c r="A4" t="s">
        <v>8249</v>
      </c>
      <c r="B4" t="s">
        <v>8852</v>
      </c>
      <c r="C4">
        <v>3010</v>
      </c>
      <c r="D4">
        <v>2010</v>
      </c>
      <c r="E4">
        <v>1010</v>
      </c>
      <c r="H4" t="str">
        <f t="shared" si="0"/>
        <v/>
      </c>
      <c r="I4" t="str">
        <f t="shared" si="1"/>
        <v/>
      </c>
      <c r="J4" t="str">
        <f t="shared" si="2"/>
        <v/>
      </c>
      <c r="K4" t="str">
        <f t="shared" si="3"/>
        <v/>
      </c>
      <c r="L4" t="str">
        <f t="shared" si="4"/>
        <v/>
      </c>
      <c r="O4" t="str">
        <f t="shared" si="5"/>
        <v/>
      </c>
      <c r="P4" t="str">
        <f t="shared" si="6"/>
        <v/>
      </c>
      <c r="Q4" t="str">
        <f t="shared" si="6"/>
        <v/>
      </c>
      <c r="R4" t="str">
        <f t="shared" si="7"/>
        <v/>
      </c>
      <c r="S4" t="str">
        <f t="shared" si="8"/>
        <v/>
      </c>
      <c r="U4" t="str">
        <f t="shared" si="9"/>
        <v>Crit</v>
      </c>
    </row>
    <row r="5" spans="1:21" x14ac:dyDescent="0.3">
      <c r="A5" t="s">
        <v>8249</v>
      </c>
      <c r="B5" t="s">
        <v>639</v>
      </c>
      <c r="C5">
        <v>3011</v>
      </c>
      <c r="D5">
        <v>2011</v>
      </c>
      <c r="E5">
        <v>1011</v>
      </c>
      <c r="H5" t="str">
        <f t="shared" si="0"/>
        <v/>
      </c>
      <c r="I5" t="str">
        <f t="shared" si="1"/>
        <v/>
      </c>
      <c r="J5" t="str">
        <f t="shared" si="2"/>
        <v/>
      </c>
      <c r="K5" t="str">
        <f t="shared" si="3"/>
        <v/>
      </c>
      <c r="L5" t="str">
        <f t="shared" si="4"/>
        <v/>
      </c>
      <c r="O5" t="str">
        <f t="shared" si="5"/>
        <v/>
      </c>
      <c r="P5" t="str">
        <f t="shared" si="6"/>
        <v/>
      </c>
      <c r="Q5" t="str">
        <f t="shared" si="6"/>
        <v/>
      </c>
      <c r="R5" t="str">
        <f t="shared" si="7"/>
        <v/>
      </c>
      <c r="S5" t="str">
        <f t="shared" si="8"/>
        <v/>
      </c>
      <c r="U5" t="str">
        <f t="shared" si="9"/>
        <v>Defense</v>
      </c>
    </row>
    <row r="6" spans="1:21" x14ac:dyDescent="0.3">
      <c r="A6" t="s">
        <v>8249</v>
      </c>
      <c r="B6" t="s">
        <v>8853</v>
      </c>
      <c r="C6">
        <v>3009</v>
      </c>
      <c r="D6">
        <v>2009</v>
      </c>
      <c r="E6">
        <v>1009</v>
      </c>
      <c r="H6" t="str">
        <f t="shared" si="0"/>
        <v/>
      </c>
      <c r="I6" t="str">
        <f t="shared" si="1"/>
        <v/>
      </c>
      <c r="J6" t="str">
        <f t="shared" si="2"/>
        <v/>
      </c>
      <c r="K6" t="str">
        <f t="shared" si="3"/>
        <v/>
      </c>
      <c r="L6" t="str">
        <f t="shared" si="4"/>
        <v/>
      </c>
      <c r="O6" t="str">
        <f t="shared" si="5"/>
        <v/>
      </c>
      <c r="P6" t="str">
        <f t="shared" si="6"/>
        <v/>
      </c>
      <c r="Q6" t="str">
        <f t="shared" si="6"/>
        <v/>
      </c>
      <c r="R6" t="str">
        <f t="shared" si="7"/>
        <v/>
      </c>
      <c r="S6" t="str">
        <f t="shared" si="8"/>
        <v/>
      </c>
      <c r="U6" t="str">
        <f t="shared" si="9"/>
        <v>Eagle-Eyes</v>
      </c>
    </row>
    <row r="7" spans="1:21" x14ac:dyDescent="0.3">
      <c r="A7" t="s">
        <v>8249</v>
      </c>
      <c r="B7" t="s">
        <v>8289</v>
      </c>
      <c r="C7">
        <v>3006</v>
      </c>
      <c r="D7">
        <v>2006</v>
      </c>
      <c r="E7">
        <v>1006</v>
      </c>
      <c r="H7" t="str">
        <f t="shared" si="0"/>
        <v/>
      </c>
      <c r="I7" t="str">
        <f t="shared" si="1"/>
        <v/>
      </c>
      <c r="J7" t="str">
        <f t="shared" si="2"/>
        <v/>
      </c>
      <c r="K7" t="str">
        <f t="shared" si="3"/>
        <v/>
      </c>
      <c r="L7" t="str">
        <f t="shared" si="4"/>
        <v/>
      </c>
      <c r="O7" t="str">
        <f t="shared" si="5"/>
        <v/>
      </c>
      <c r="P7" t="str">
        <f t="shared" si="6"/>
        <v/>
      </c>
      <c r="Q7" t="str">
        <f t="shared" si="6"/>
        <v/>
      </c>
      <c r="R7" t="str">
        <f t="shared" si="7"/>
        <v/>
      </c>
      <c r="S7" t="str">
        <f t="shared" si="8"/>
        <v/>
      </c>
      <c r="U7" t="str">
        <f t="shared" si="9"/>
        <v>Evasion</v>
      </c>
    </row>
    <row r="8" spans="1:21" x14ac:dyDescent="0.3">
      <c r="A8" t="s">
        <v>8249</v>
      </c>
      <c r="B8" t="s">
        <v>8290</v>
      </c>
      <c r="C8">
        <v>3007</v>
      </c>
      <c r="D8">
        <v>2007</v>
      </c>
      <c r="E8">
        <v>1007</v>
      </c>
      <c r="H8" t="str">
        <f t="shared" si="0"/>
        <v/>
      </c>
      <c r="I8" t="str">
        <f t="shared" si="1"/>
        <v/>
      </c>
      <c r="J8" t="str">
        <f t="shared" si="2"/>
        <v/>
      </c>
      <c r="K8" t="str">
        <f t="shared" si="3"/>
        <v/>
      </c>
      <c r="L8" t="str">
        <f t="shared" si="4"/>
        <v/>
      </c>
      <c r="O8" t="str">
        <f t="shared" si="5"/>
        <v/>
      </c>
      <c r="P8" t="str">
        <f t="shared" si="6"/>
        <v/>
      </c>
      <c r="Q8" t="str">
        <f t="shared" si="6"/>
        <v/>
      </c>
      <c r="R8" t="str">
        <f t="shared" si="7"/>
        <v/>
      </c>
      <c r="S8" t="str">
        <f t="shared" si="8"/>
        <v/>
      </c>
      <c r="U8" t="str">
        <f t="shared" si="9"/>
        <v>Firepower</v>
      </c>
    </row>
    <row r="9" spans="1:21" x14ac:dyDescent="0.3">
      <c r="A9" t="s">
        <v>8249</v>
      </c>
      <c r="B9" t="s">
        <v>8291</v>
      </c>
      <c r="C9">
        <v>3008</v>
      </c>
      <c r="D9">
        <v>2008</v>
      </c>
      <c r="E9">
        <v>1008</v>
      </c>
      <c r="H9" t="str">
        <f t="shared" si="0"/>
        <v/>
      </c>
      <c r="I9" t="str">
        <f t="shared" si="1"/>
        <v/>
      </c>
      <c r="J9" t="str">
        <f t="shared" si="2"/>
        <v/>
      </c>
      <c r="K9" t="str">
        <f t="shared" si="3"/>
        <v/>
      </c>
      <c r="L9" t="str">
        <f t="shared" si="4"/>
        <v/>
      </c>
      <c r="O9" t="str">
        <f t="shared" si="5"/>
        <v/>
      </c>
      <c r="P9" t="str">
        <f t="shared" si="6"/>
        <v/>
      </c>
      <c r="Q9" t="str">
        <f t="shared" si="6"/>
        <v/>
      </c>
      <c r="R9" t="str">
        <f t="shared" si="7"/>
        <v/>
      </c>
      <c r="S9" t="str">
        <f t="shared" si="8"/>
        <v/>
      </c>
      <c r="U9" t="str">
        <f t="shared" si="9"/>
        <v>Full-Speed</v>
      </c>
    </row>
    <row r="10" spans="1:21" x14ac:dyDescent="0.3">
      <c r="A10" t="s">
        <v>8249</v>
      </c>
      <c r="B10" t="s">
        <v>8854</v>
      </c>
      <c r="C10">
        <v>3012</v>
      </c>
      <c r="D10">
        <v>2012</v>
      </c>
      <c r="E10">
        <v>1012</v>
      </c>
      <c r="H10" t="str">
        <f t="shared" si="0"/>
        <v/>
      </c>
      <c r="I10" t="str">
        <f t="shared" si="1"/>
        <v/>
      </c>
      <c r="J10" t="str">
        <f t="shared" si="2"/>
        <v/>
      </c>
      <c r="K10" t="str">
        <f t="shared" si="3"/>
        <v/>
      </c>
      <c r="L10" t="str">
        <f t="shared" si="4"/>
        <v/>
      </c>
      <c r="O10" t="str">
        <f t="shared" si="5"/>
        <v/>
      </c>
      <c r="P10" t="str">
        <f t="shared" si="6"/>
        <v/>
      </c>
      <c r="Q10" t="str">
        <f t="shared" si="6"/>
        <v/>
      </c>
      <c r="R10" t="str">
        <f t="shared" si="7"/>
        <v/>
      </c>
      <c r="S10" t="str">
        <f t="shared" si="8"/>
        <v/>
      </c>
      <c r="U10" t="str">
        <f t="shared" si="9"/>
        <v>Heavy Weaponry</v>
      </c>
    </row>
    <row r="11" spans="1:21" x14ac:dyDescent="0.3">
      <c r="A11" t="s">
        <v>8249</v>
      </c>
      <c r="B11" t="s">
        <v>8855</v>
      </c>
      <c r="C11">
        <v>3013</v>
      </c>
      <c r="D11">
        <v>2013</v>
      </c>
      <c r="E11">
        <v>1013</v>
      </c>
      <c r="H11" t="str">
        <f t="shared" si="0"/>
        <v/>
      </c>
      <c r="I11" t="str">
        <f t="shared" si="1"/>
        <v/>
      </c>
      <c r="J11" t="str">
        <f t="shared" si="2"/>
        <v/>
      </c>
      <c r="K11" t="str">
        <f t="shared" si="3"/>
        <v/>
      </c>
      <c r="L11" t="str">
        <f t="shared" si="4"/>
        <v/>
      </c>
      <c r="O11" t="str">
        <f t="shared" si="5"/>
        <v/>
      </c>
      <c r="P11" t="str">
        <f t="shared" si="6"/>
        <v/>
      </c>
      <c r="Q11" t="str">
        <f t="shared" si="6"/>
        <v/>
      </c>
      <c r="R11" t="str">
        <f t="shared" si="7"/>
        <v/>
      </c>
      <c r="S11" t="str">
        <f t="shared" si="8"/>
        <v/>
      </c>
      <c r="U11" t="str">
        <f t="shared" si="9"/>
        <v>Light Weaponry</v>
      </c>
    </row>
    <row r="12" spans="1:21" x14ac:dyDescent="0.3">
      <c r="A12" t="s">
        <v>8249</v>
      </c>
      <c r="B12" t="s">
        <v>866</v>
      </c>
      <c r="C12">
        <v>3003</v>
      </c>
      <c r="D12">
        <v>2003</v>
      </c>
      <c r="E12">
        <v>1003</v>
      </c>
      <c r="H12" t="str">
        <f t="shared" si="0"/>
        <v/>
      </c>
      <c r="I12" t="str">
        <f t="shared" si="1"/>
        <v/>
      </c>
      <c r="J12" t="str">
        <f t="shared" si="2"/>
        <v/>
      </c>
      <c r="K12" t="str">
        <f t="shared" si="3"/>
        <v/>
      </c>
      <c r="L12" t="str">
        <f t="shared" si="4"/>
        <v/>
      </c>
      <c r="O12" t="str">
        <f t="shared" si="5"/>
        <v/>
      </c>
      <c r="P12" t="str">
        <f t="shared" si="6"/>
        <v/>
      </c>
      <c r="Q12" t="str">
        <f t="shared" si="6"/>
        <v/>
      </c>
      <c r="R12" t="str">
        <f t="shared" si="7"/>
        <v/>
      </c>
      <c r="S12" t="str">
        <f t="shared" si="8"/>
        <v/>
      </c>
      <c r="U12" t="str">
        <f t="shared" si="9"/>
        <v>Precision</v>
      </c>
    </row>
    <row r="13" spans="1:21" x14ac:dyDescent="0.3">
      <c r="A13" t="s">
        <v>8249</v>
      </c>
      <c r="B13" t="s">
        <v>867</v>
      </c>
      <c r="C13">
        <v>3001</v>
      </c>
      <c r="D13">
        <v>2001</v>
      </c>
      <c r="E13">
        <v>1001</v>
      </c>
      <c r="H13" t="str">
        <f t="shared" si="0"/>
        <v/>
      </c>
      <c r="I13" t="str">
        <f t="shared" si="1"/>
        <v/>
      </c>
      <c r="J13" t="str">
        <f t="shared" si="2"/>
        <v/>
      </c>
      <c r="K13" t="str">
        <f t="shared" si="3"/>
        <v/>
      </c>
      <c r="L13" t="str">
        <f t="shared" si="4"/>
        <v/>
      </c>
      <c r="O13" t="str">
        <f t="shared" si="5"/>
        <v/>
      </c>
      <c r="P13" t="str">
        <f t="shared" si="6"/>
        <v/>
      </c>
      <c r="Q13" t="str">
        <f t="shared" si="6"/>
        <v/>
      </c>
      <c r="R13" t="str">
        <f t="shared" si="7"/>
        <v/>
      </c>
      <c r="S13" t="str">
        <f t="shared" si="8"/>
        <v/>
      </c>
      <c r="U13" t="str">
        <f t="shared" si="9"/>
        <v>Reload</v>
      </c>
    </row>
    <row r="14" spans="1:21" x14ac:dyDescent="0.3">
      <c r="A14" t="s">
        <v>8249</v>
      </c>
      <c r="B14" t="s">
        <v>8856</v>
      </c>
      <c r="C14">
        <v>3002</v>
      </c>
      <c r="D14">
        <v>2002</v>
      </c>
      <c r="E14">
        <v>1002</v>
      </c>
      <c r="H14" t="str">
        <f t="shared" si="0"/>
        <v/>
      </c>
      <c r="I14" t="str">
        <f t="shared" si="1"/>
        <v/>
      </c>
      <c r="J14" t="str">
        <f t="shared" si="2"/>
        <v/>
      </c>
      <c r="K14" t="str">
        <f t="shared" si="3"/>
        <v/>
      </c>
      <c r="L14" t="str">
        <f t="shared" si="4"/>
        <v/>
      </c>
      <c r="O14" t="str">
        <f t="shared" si="5"/>
        <v/>
      </c>
      <c r="P14" t="str">
        <f t="shared" si="6"/>
        <v/>
      </c>
      <c r="Q14" t="str">
        <f t="shared" si="6"/>
        <v/>
      </c>
      <c r="R14" t="str">
        <f t="shared" si="7"/>
        <v/>
      </c>
      <c r="S14" t="str">
        <f t="shared" si="8"/>
        <v/>
      </c>
      <c r="U14" t="str">
        <f t="shared" si="9"/>
        <v>RoF</v>
      </c>
    </row>
    <row r="15" spans="1:21" x14ac:dyDescent="0.3">
      <c r="A15" t="s">
        <v>8246</v>
      </c>
      <c r="B15" t="s">
        <v>8287</v>
      </c>
      <c r="C15">
        <v>3113</v>
      </c>
      <c r="D15">
        <v>2113</v>
      </c>
      <c r="E15">
        <v>1113</v>
      </c>
      <c r="H15" t="str">
        <f t="shared" si="0"/>
        <v>Anti-Armor Cannon</v>
      </c>
      <c r="I15" t="str">
        <f t="shared" si="1"/>
        <v/>
      </c>
      <c r="J15" t="str">
        <f t="shared" si="2"/>
        <v>Anti-Armor Cannon</v>
      </c>
      <c r="K15" t="str">
        <f t="shared" si="3"/>
        <v/>
      </c>
      <c r="L15" t="str">
        <f t="shared" si="4"/>
        <v/>
      </c>
      <c r="O15" t="str">
        <f t="shared" si="5"/>
        <v>Anti-Armor Cannon</v>
      </c>
      <c r="P15" t="str">
        <f t="shared" si="6"/>
        <v/>
      </c>
      <c r="Q15" t="str">
        <f t="shared" si="6"/>
        <v/>
      </c>
      <c r="R15" t="str">
        <f t="shared" si="7"/>
        <v/>
      </c>
      <c r="S15" t="str">
        <f t="shared" si="8"/>
        <v/>
      </c>
      <c r="U15" t="str">
        <f t="shared" si="9"/>
        <v/>
      </c>
    </row>
    <row r="16" spans="1:21" x14ac:dyDescent="0.3">
      <c r="A16" t="s">
        <v>8246</v>
      </c>
      <c r="B16" t="s">
        <v>8294</v>
      </c>
      <c r="C16">
        <v>3110</v>
      </c>
      <c r="D16">
        <v>2110</v>
      </c>
      <c r="E16">
        <v>1110</v>
      </c>
      <c r="H16" t="str">
        <f t="shared" si="0"/>
        <v>Cannon</v>
      </c>
      <c r="I16" t="str">
        <f t="shared" si="1"/>
        <v/>
      </c>
      <c r="J16" t="str">
        <f t="shared" si="2"/>
        <v>Cannon</v>
      </c>
      <c r="K16" t="str">
        <f t="shared" si="3"/>
        <v/>
      </c>
      <c r="L16" t="str">
        <f t="shared" si="4"/>
        <v/>
      </c>
      <c r="O16" t="str">
        <f t="shared" si="5"/>
        <v>Cannon</v>
      </c>
      <c r="P16" t="str">
        <f t="shared" si="6"/>
        <v/>
      </c>
      <c r="Q16" t="str">
        <f t="shared" si="6"/>
        <v/>
      </c>
      <c r="R16" t="str">
        <f t="shared" si="7"/>
        <v/>
      </c>
      <c r="S16" t="str">
        <f t="shared" si="8"/>
        <v/>
      </c>
      <c r="U16" t="str">
        <f t="shared" si="9"/>
        <v/>
      </c>
    </row>
    <row r="17" spans="1:21" x14ac:dyDescent="0.3">
      <c r="A17" t="s">
        <v>8246</v>
      </c>
      <c r="B17" t="s">
        <v>8838</v>
      </c>
      <c r="C17">
        <v>3111</v>
      </c>
      <c r="D17">
        <v>2111</v>
      </c>
      <c r="E17">
        <v>1111</v>
      </c>
      <c r="H17" t="str">
        <f t="shared" si="0"/>
        <v>Anti-Aircraft Cannon</v>
      </c>
      <c r="I17" t="str">
        <f t="shared" si="1"/>
        <v/>
      </c>
      <c r="J17" t="str">
        <f t="shared" si="2"/>
        <v>Anti-Aircraft Cannon</v>
      </c>
      <c r="K17" t="str">
        <f t="shared" si="3"/>
        <v/>
      </c>
      <c r="L17" t="str">
        <f t="shared" si="4"/>
        <v/>
      </c>
      <c r="O17" t="str">
        <f t="shared" si="5"/>
        <v>Anti-Aircraft Cannon</v>
      </c>
      <c r="P17" t="str">
        <f t="shared" si="6"/>
        <v/>
      </c>
      <c r="Q17" t="str">
        <f t="shared" si="6"/>
        <v/>
      </c>
      <c r="R17" t="str">
        <f t="shared" si="7"/>
        <v/>
      </c>
      <c r="S17" t="str">
        <f t="shared" si="8"/>
        <v/>
      </c>
      <c r="U17" t="str">
        <f t="shared" si="9"/>
        <v/>
      </c>
    </row>
    <row r="18" spans="1:21" x14ac:dyDescent="0.3">
      <c r="A18" t="s">
        <v>8246</v>
      </c>
      <c r="B18" t="s">
        <v>8295</v>
      </c>
      <c r="C18">
        <v>3108</v>
      </c>
      <c r="D18">
        <v>2108</v>
      </c>
      <c r="E18">
        <v>1108</v>
      </c>
      <c r="H18" t="str">
        <f t="shared" si="0"/>
        <v>Grenade Launcher</v>
      </c>
      <c r="I18" t="str">
        <f t="shared" si="1"/>
        <v/>
      </c>
      <c r="J18" t="str">
        <f t="shared" si="2"/>
        <v>Grenade Launcher</v>
      </c>
      <c r="K18" t="str">
        <f t="shared" si="3"/>
        <v/>
      </c>
      <c r="L18" t="str">
        <f t="shared" si="4"/>
        <v/>
      </c>
      <c r="O18" t="str">
        <f t="shared" si="5"/>
        <v>Grenade Launcher</v>
      </c>
      <c r="P18" t="str">
        <f t="shared" si="6"/>
        <v/>
      </c>
      <c r="Q18" t="str">
        <f t="shared" si="6"/>
        <v/>
      </c>
      <c r="R18" t="str">
        <f t="shared" si="7"/>
        <v/>
      </c>
      <c r="S18" t="str">
        <f t="shared" si="8"/>
        <v/>
      </c>
      <c r="U18" t="str">
        <f t="shared" si="9"/>
        <v/>
      </c>
    </row>
    <row r="19" spans="1:21" x14ac:dyDescent="0.3">
      <c r="A19" t="s">
        <v>8246</v>
      </c>
      <c r="B19" t="s">
        <v>8840</v>
      </c>
      <c r="C19">
        <v>3118</v>
      </c>
      <c r="D19">
        <v>2118</v>
      </c>
      <c r="E19">
        <v>1118</v>
      </c>
      <c r="H19" t="str">
        <f t="shared" si="0"/>
        <v>Missile Launcher MK1</v>
      </c>
      <c r="I19" t="str">
        <f t="shared" si="1"/>
        <v/>
      </c>
      <c r="J19" t="str">
        <f t="shared" si="2"/>
        <v>Missile Launcher MK1</v>
      </c>
      <c r="K19" t="str">
        <f t="shared" si="3"/>
        <v/>
      </c>
      <c r="L19" t="str">
        <f t="shared" si="4"/>
        <v/>
      </c>
      <c r="O19" t="str">
        <f t="shared" si="5"/>
        <v>Missile Launcher MK1</v>
      </c>
      <c r="P19" t="str">
        <f t="shared" si="6"/>
        <v/>
      </c>
      <c r="Q19" t="str">
        <f t="shared" si="6"/>
        <v/>
      </c>
      <c r="R19" t="str">
        <f t="shared" si="7"/>
        <v/>
      </c>
      <c r="S19" t="str">
        <f t="shared" si="8"/>
        <v/>
      </c>
      <c r="U19" t="str">
        <f t="shared" si="9"/>
        <v/>
      </c>
    </row>
    <row r="20" spans="1:21" x14ac:dyDescent="0.3">
      <c r="A20" t="s">
        <v>8246</v>
      </c>
      <c r="B20" t="s">
        <v>8841</v>
      </c>
      <c r="C20">
        <v>3119</v>
      </c>
      <c r="D20">
        <v>2119</v>
      </c>
      <c r="E20">
        <v>1119</v>
      </c>
      <c r="H20" t="str">
        <f t="shared" si="0"/>
        <v>Missile Launcher MK2</v>
      </c>
      <c r="I20" t="str">
        <f t="shared" si="1"/>
        <v/>
      </c>
      <c r="J20" t="str">
        <f t="shared" si="2"/>
        <v>Missile Launcher MK2</v>
      </c>
      <c r="K20" t="str">
        <f t="shared" si="3"/>
        <v/>
      </c>
      <c r="L20" t="str">
        <f t="shared" si="4"/>
        <v/>
      </c>
      <c r="O20" t="str">
        <f t="shared" si="5"/>
        <v>Missile Launcher MK2</v>
      </c>
      <c r="P20" t="str">
        <f t="shared" si="6"/>
        <v/>
      </c>
      <c r="Q20" t="str">
        <f t="shared" si="6"/>
        <v/>
      </c>
      <c r="R20" t="str">
        <f t="shared" si="7"/>
        <v/>
      </c>
      <c r="S20" t="str">
        <f t="shared" si="8"/>
        <v/>
      </c>
      <c r="U20" t="str">
        <f t="shared" si="9"/>
        <v/>
      </c>
    </row>
    <row r="21" spans="1:21" x14ac:dyDescent="0.3">
      <c r="A21" t="s">
        <v>8246</v>
      </c>
      <c r="B21" t="s">
        <v>8837</v>
      </c>
      <c r="C21">
        <v>3109</v>
      </c>
      <c r="D21">
        <v>2109</v>
      </c>
      <c r="E21">
        <v>1109</v>
      </c>
      <c r="H21" t="str">
        <f t="shared" si="0"/>
        <v>Laser Weapon</v>
      </c>
      <c r="I21" t="str">
        <f t="shared" si="1"/>
        <v/>
      </c>
      <c r="J21" t="str">
        <f t="shared" si="2"/>
        <v>Laser Weapon</v>
      </c>
      <c r="K21" t="str">
        <f t="shared" si="3"/>
        <v/>
      </c>
      <c r="L21" t="str">
        <f t="shared" si="4"/>
        <v/>
      </c>
      <c r="O21" t="str">
        <f t="shared" si="5"/>
        <v>Laser Weapon</v>
      </c>
      <c r="P21" t="str">
        <f t="shared" si="6"/>
        <v/>
      </c>
      <c r="Q21" t="str">
        <f t="shared" si="6"/>
        <v/>
      </c>
      <c r="R21" t="str">
        <f t="shared" si="7"/>
        <v/>
      </c>
      <c r="S21" t="str">
        <f t="shared" si="8"/>
        <v/>
      </c>
      <c r="U21" t="str">
        <f t="shared" si="9"/>
        <v/>
      </c>
    </row>
    <row r="22" spans="1:21" x14ac:dyDescent="0.3">
      <c r="A22" t="s">
        <v>8246</v>
      </c>
      <c r="B22" t="s">
        <v>8842</v>
      </c>
      <c r="C22">
        <v>3131</v>
      </c>
      <c r="D22">
        <v>2131</v>
      </c>
      <c r="E22">
        <v>1131</v>
      </c>
      <c r="H22" t="str">
        <f t="shared" si="0"/>
        <v>Small Mortar</v>
      </c>
      <c r="I22" t="str">
        <f t="shared" si="1"/>
        <v/>
      </c>
      <c r="J22" t="str">
        <f t="shared" si="2"/>
        <v>Small Mortar</v>
      </c>
      <c r="K22" t="str">
        <f t="shared" si="3"/>
        <v/>
      </c>
      <c r="L22" t="str">
        <f t="shared" si="4"/>
        <v/>
      </c>
      <c r="O22" t="str">
        <f t="shared" si="5"/>
        <v>Small Mortar</v>
      </c>
      <c r="P22" t="str">
        <f t="shared" si="6"/>
        <v/>
      </c>
      <c r="Q22" t="str">
        <f t="shared" si="6"/>
        <v/>
      </c>
      <c r="R22" t="str">
        <f t="shared" si="7"/>
        <v/>
      </c>
      <c r="S22" t="str">
        <f t="shared" si="8"/>
        <v/>
      </c>
      <c r="U22" t="str">
        <f t="shared" si="9"/>
        <v/>
      </c>
    </row>
    <row r="23" spans="1:21" x14ac:dyDescent="0.3">
      <c r="A23" t="s">
        <v>8246</v>
      </c>
      <c r="B23" t="s">
        <v>8839</v>
      </c>
      <c r="C23">
        <v>3112</v>
      </c>
      <c r="D23">
        <v>2112</v>
      </c>
      <c r="E23">
        <v>1112</v>
      </c>
      <c r="H23" t="str">
        <f t="shared" si="0"/>
        <v>Impulse Cannon</v>
      </c>
      <c r="I23" t="str">
        <f t="shared" si="1"/>
        <v/>
      </c>
      <c r="J23" t="str">
        <f t="shared" si="2"/>
        <v>Impulse Cannon</v>
      </c>
      <c r="K23" t="str">
        <f t="shared" si="3"/>
        <v/>
      </c>
      <c r="L23" t="str">
        <f t="shared" si="4"/>
        <v/>
      </c>
      <c r="O23" t="str">
        <f t="shared" si="5"/>
        <v>Impulse Cannon</v>
      </c>
      <c r="P23" t="str">
        <f t="shared" si="6"/>
        <v/>
      </c>
      <c r="Q23" t="str">
        <f t="shared" si="6"/>
        <v/>
      </c>
      <c r="R23" t="str">
        <f t="shared" si="7"/>
        <v/>
      </c>
      <c r="S23" t="str">
        <f t="shared" si="8"/>
        <v/>
      </c>
      <c r="U23" t="str">
        <f t="shared" si="9"/>
        <v/>
      </c>
    </row>
    <row r="24" spans="1:21" x14ac:dyDescent="0.3">
      <c r="A24" t="s">
        <v>8246</v>
      </c>
      <c r="B24" t="s">
        <v>8296</v>
      </c>
      <c r="C24">
        <v>3120</v>
      </c>
      <c r="D24">
        <v>2120</v>
      </c>
      <c r="E24">
        <v>1120</v>
      </c>
      <c r="H24" t="str">
        <f t="shared" si="0"/>
        <v>Railgun</v>
      </c>
      <c r="I24" t="str">
        <f t="shared" si="1"/>
        <v/>
      </c>
      <c r="J24" t="str">
        <f t="shared" si="2"/>
        <v>Railgun</v>
      </c>
      <c r="K24" t="str">
        <f t="shared" si="3"/>
        <v/>
      </c>
      <c r="L24" t="str">
        <f t="shared" si="4"/>
        <v/>
      </c>
      <c r="O24" t="str">
        <f t="shared" si="5"/>
        <v>Railgun</v>
      </c>
      <c r="P24" t="str">
        <f t="shared" si="6"/>
        <v/>
      </c>
      <c r="Q24" t="str">
        <f t="shared" si="6"/>
        <v/>
      </c>
      <c r="R24" t="str">
        <f t="shared" si="7"/>
        <v/>
      </c>
      <c r="S24" t="str">
        <f t="shared" si="8"/>
        <v/>
      </c>
      <c r="U24" t="str">
        <f t="shared" si="9"/>
        <v/>
      </c>
    </row>
    <row r="25" spans="1:21" x14ac:dyDescent="0.3">
      <c r="A25" t="s">
        <v>8247</v>
      </c>
      <c r="B25" t="s">
        <v>8844</v>
      </c>
      <c r="C25">
        <v>3102</v>
      </c>
      <c r="D25">
        <v>2102</v>
      </c>
      <c r="E25">
        <v>1102</v>
      </c>
      <c r="H25" t="str">
        <f t="shared" si="0"/>
        <v/>
      </c>
      <c r="I25" t="str">
        <f t="shared" si="1"/>
        <v/>
      </c>
      <c r="J25" t="str">
        <f t="shared" si="2"/>
        <v>Anti-Armor Sniper Rifle</v>
      </c>
      <c r="K25" t="str">
        <f t="shared" si="3"/>
        <v>Anti-Armor Sniper Rifle</v>
      </c>
      <c r="L25" t="str">
        <f t="shared" si="4"/>
        <v/>
      </c>
      <c r="O25" t="str">
        <f t="shared" si="5"/>
        <v>Anti-Armor Sniper Rifle</v>
      </c>
      <c r="P25" t="str">
        <f t="shared" si="6"/>
        <v>Anti-Armor Sniper Rifle</v>
      </c>
      <c r="Q25" t="str">
        <f t="shared" si="6"/>
        <v>Anti-Armor Sniper Rifle</v>
      </c>
      <c r="R25" t="str">
        <f t="shared" si="7"/>
        <v/>
      </c>
      <c r="S25" t="str">
        <f t="shared" si="8"/>
        <v/>
      </c>
      <c r="U25" t="str">
        <f t="shared" si="9"/>
        <v/>
      </c>
    </row>
    <row r="26" spans="1:21" x14ac:dyDescent="0.3">
      <c r="A26" t="s">
        <v>8247</v>
      </c>
      <c r="B26" t="s">
        <v>8847</v>
      </c>
      <c r="C26">
        <v>3107</v>
      </c>
      <c r="D26">
        <v>2107</v>
      </c>
      <c r="E26">
        <v>1107</v>
      </c>
      <c r="H26" t="str">
        <f t="shared" si="0"/>
        <v/>
      </c>
      <c r="I26" t="str">
        <f t="shared" si="1"/>
        <v/>
      </c>
      <c r="J26" t="str">
        <f t="shared" si="2"/>
        <v>Gatling Gun</v>
      </c>
      <c r="K26" t="str">
        <f t="shared" si="3"/>
        <v>Gatling Gun</v>
      </c>
      <c r="L26" t="str">
        <f t="shared" si="4"/>
        <v/>
      </c>
      <c r="O26" t="str">
        <f t="shared" si="5"/>
        <v>Gatling Gun</v>
      </c>
      <c r="P26" t="str">
        <f t="shared" si="6"/>
        <v>Gatling Gun</v>
      </c>
      <c r="Q26" t="str">
        <f t="shared" si="6"/>
        <v>Gatling Gun</v>
      </c>
      <c r="R26" t="str">
        <f t="shared" si="7"/>
        <v/>
      </c>
      <c r="S26" t="str">
        <f t="shared" si="8"/>
        <v/>
      </c>
      <c r="U26" t="str">
        <f t="shared" si="9"/>
        <v/>
      </c>
    </row>
    <row r="27" spans="1:21" x14ac:dyDescent="0.3">
      <c r="A27" t="s">
        <v>8247</v>
      </c>
      <c r="B27" t="s">
        <v>8843</v>
      </c>
      <c r="C27">
        <v>3101</v>
      </c>
      <c r="D27">
        <v>2101</v>
      </c>
      <c r="E27">
        <v>1101</v>
      </c>
      <c r="H27" t="str">
        <f t="shared" si="0"/>
        <v/>
      </c>
      <c r="I27" t="str">
        <f t="shared" si="1"/>
        <v/>
      </c>
      <c r="J27" t="str">
        <f t="shared" si="2"/>
        <v>Universal Machine Gun MK-I</v>
      </c>
      <c r="K27" t="str">
        <f t="shared" si="3"/>
        <v>Universal Machine Gun MK-I</v>
      </c>
      <c r="L27" t="str">
        <f t="shared" si="4"/>
        <v/>
      </c>
      <c r="O27" t="str">
        <f t="shared" si="5"/>
        <v>Universal Machine Gun MK-I</v>
      </c>
      <c r="P27" t="str">
        <f t="shared" si="6"/>
        <v>Universal Machine Gun MK-I</v>
      </c>
      <c r="Q27" t="str">
        <f t="shared" si="6"/>
        <v>Universal Machine Gun MK-I</v>
      </c>
      <c r="R27" t="str">
        <f t="shared" si="7"/>
        <v/>
      </c>
      <c r="S27" t="str">
        <f t="shared" si="8"/>
        <v/>
      </c>
      <c r="U27" t="str">
        <f t="shared" si="9"/>
        <v/>
      </c>
    </row>
    <row r="28" spans="1:21" x14ac:dyDescent="0.3">
      <c r="A28" t="s">
        <v>8247</v>
      </c>
      <c r="B28" t="s">
        <v>8297</v>
      </c>
      <c r="C28">
        <v>3106</v>
      </c>
      <c r="D28">
        <v>2106</v>
      </c>
      <c r="E28">
        <v>1106</v>
      </c>
      <c r="H28" t="str">
        <f t="shared" si="0"/>
        <v/>
      </c>
      <c r="I28" t="str">
        <f t="shared" si="1"/>
        <v/>
      </c>
      <c r="J28" t="str">
        <f t="shared" si="2"/>
        <v>Flamethrower</v>
      </c>
      <c r="K28" t="str">
        <f t="shared" si="3"/>
        <v>Flamethrower</v>
      </c>
      <c r="L28" t="str">
        <f t="shared" si="4"/>
        <v/>
      </c>
      <c r="O28" t="str">
        <f t="shared" si="5"/>
        <v>Flamethrower</v>
      </c>
      <c r="P28" t="str">
        <f t="shared" si="6"/>
        <v>Flamethrower</v>
      </c>
      <c r="Q28" t="str">
        <f t="shared" si="6"/>
        <v>Flamethrower</v>
      </c>
      <c r="R28" t="str">
        <f t="shared" si="7"/>
        <v/>
      </c>
      <c r="S28" t="str">
        <f t="shared" si="8"/>
        <v/>
      </c>
      <c r="U28" t="str">
        <f t="shared" si="9"/>
        <v/>
      </c>
    </row>
    <row r="29" spans="1:21" x14ac:dyDescent="0.3">
      <c r="A29" t="s">
        <v>8247</v>
      </c>
      <c r="B29" t="s">
        <v>8846</v>
      </c>
      <c r="C29">
        <v>3104</v>
      </c>
      <c r="D29">
        <v>2104</v>
      </c>
      <c r="E29">
        <v>1104</v>
      </c>
      <c r="H29" t="str">
        <f t="shared" si="0"/>
        <v/>
      </c>
      <c r="I29" t="str">
        <f t="shared" si="1"/>
        <v/>
      </c>
      <c r="J29" t="str">
        <f t="shared" si="2"/>
        <v>Heavy Machine Gun</v>
      </c>
      <c r="K29" t="str">
        <f t="shared" si="3"/>
        <v>Heavy Machine Gun</v>
      </c>
      <c r="L29" t="str">
        <f t="shared" si="4"/>
        <v/>
      </c>
      <c r="O29" t="str">
        <f t="shared" si="5"/>
        <v>Heavy Machine Gun</v>
      </c>
      <c r="P29" t="str">
        <f t="shared" si="6"/>
        <v>Heavy Machine Gun</v>
      </c>
      <c r="Q29" t="str">
        <f t="shared" si="6"/>
        <v>Heavy Machine Gun</v>
      </c>
      <c r="R29" t="str">
        <f t="shared" si="7"/>
        <v/>
      </c>
      <c r="S29" t="str">
        <f t="shared" si="8"/>
        <v/>
      </c>
      <c r="U29" t="str">
        <f t="shared" si="9"/>
        <v/>
      </c>
    </row>
    <row r="30" spans="1:21" x14ac:dyDescent="0.3">
      <c r="A30" t="s">
        <v>8247</v>
      </c>
      <c r="B30" t="s">
        <v>8850</v>
      </c>
      <c r="C30">
        <v>3128</v>
      </c>
      <c r="D30">
        <v>2128</v>
      </c>
      <c r="E30">
        <v>1128</v>
      </c>
      <c r="H30" t="str">
        <f t="shared" si="0"/>
        <v/>
      </c>
      <c r="I30" t="str">
        <f t="shared" si="1"/>
        <v/>
      </c>
      <c r="J30" t="str">
        <f t="shared" si="2"/>
        <v>Lightweight Rapid-Fire Railgun</v>
      </c>
      <c r="K30" t="str">
        <f t="shared" si="3"/>
        <v>Lightweight Rapid-Fire Railgun</v>
      </c>
      <c r="L30" t="str">
        <f t="shared" si="4"/>
        <v/>
      </c>
      <c r="O30" t="str">
        <f t="shared" si="5"/>
        <v>Lightweight Rapid-Fire Railgun</v>
      </c>
      <c r="P30" t="str">
        <f t="shared" si="6"/>
        <v>Lightweight Rapid-Fire Railgun</v>
      </c>
      <c r="Q30" t="str">
        <f t="shared" si="6"/>
        <v>Lightweight Rapid-Fire Railgun</v>
      </c>
      <c r="R30" t="str">
        <f t="shared" si="7"/>
        <v/>
      </c>
      <c r="S30" t="str">
        <f t="shared" si="8"/>
        <v/>
      </c>
      <c r="U30" t="str">
        <f t="shared" si="9"/>
        <v/>
      </c>
    </row>
    <row r="31" spans="1:21" x14ac:dyDescent="0.3">
      <c r="A31" t="s">
        <v>8247</v>
      </c>
      <c r="B31" t="s">
        <v>8849</v>
      </c>
      <c r="C31">
        <v>3126</v>
      </c>
      <c r="D31">
        <v>2126</v>
      </c>
      <c r="E31">
        <v>1126</v>
      </c>
      <c r="H31" t="str">
        <f t="shared" si="0"/>
        <v/>
      </c>
      <c r="I31" t="str">
        <f t="shared" si="1"/>
        <v/>
      </c>
      <c r="J31" t="str">
        <f t="shared" si="2"/>
        <v>Light Machine Gun</v>
      </c>
      <c r="K31" t="str">
        <f t="shared" si="3"/>
        <v>Light Machine Gun</v>
      </c>
      <c r="L31" t="str">
        <f t="shared" si="4"/>
        <v/>
      </c>
      <c r="O31" t="str">
        <f t="shared" si="5"/>
        <v>Light Machine Gun</v>
      </c>
      <c r="P31" t="str">
        <f t="shared" si="6"/>
        <v>Light Machine Gun</v>
      </c>
      <c r="Q31" t="str">
        <f t="shared" si="6"/>
        <v>Light Machine Gun</v>
      </c>
      <c r="R31" t="str">
        <f t="shared" si="7"/>
        <v/>
      </c>
      <c r="S31" t="str">
        <f t="shared" si="8"/>
        <v/>
      </c>
      <c r="U31" t="str">
        <f t="shared" si="9"/>
        <v/>
      </c>
    </row>
    <row r="32" spans="1:21" x14ac:dyDescent="0.3">
      <c r="A32" t="s">
        <v>8247</v>
      </c>
      <c r="B32" t="s">
        <v>8845</v>
      </c>
      <c r="C32">
        <v>3103</v>
      </c>
      <c r="D32">
        <v>2103</v>
      </c>
      <c r="E32">
        <v>1103</v>
      </c>
      <c r="H32" t="str">
        <f t="shared" si="0"/>
        <v/>
      </c>
      <c r="I32" t="str">
        <f t="shared" si="1"/>
        <v/>
      </c>
      <c r="J32" t="str">
        <f t="shared" si="2"/>
        <v>Machine Gun Team</v>
      </c>
      <c r="K32" t="str">
        <f t="shared" si="3"/>
        <v>Machine Gun Team</v>
      </c>
      <c r="L32" t="str">
        <f t="shared" si="4"/>
        <v/>
      </c>
      <c r="O32" t="str">
        <f t="shared" si="5"/>
        <v>Machine Gun Team</v>
      </c>
      <c r="P32" t="str">
        <f t="shared" si="6"/>
        <v>Machine Gun Team</v>
      </c>
      <c r="Q32" t="str">
        <f t="shared" si="6"/>
        <v>Machine Gun Team</v>
      </c>
      <c r="R32" t="str">
        <f t="shared" si="7"/>
        <v/>
      </c>
      <c r="S32" t="str">
        <f t="shared" si="8"/>
        <v/>
      </c>
      <c r="U32" t="str">
        <f t="shared" si="9"/>
        <v/>
      </c>
    </row>
    <row r="33" spans="1:21" x14ac:dyDescent="0.3">
      <c r="A33" t="s">
        <v>8247</v>
      </c>
      <c r="B33" t="s">
        <v>8851</v>
      </c>
      <c r="C33">
        <v>3130</v>
      </c>
      <c r="D33">
        <v>2130</v>
      </c>
      <c r="E33">
        <v>1130</v>
      </c>
      <c r="H33" t="str">
        <f t="shared" si="0"/>
        <v/>
      </c>
      <c r="I33" t="str">
        <f t="shared" si="1"/>
        <v/>
      </c>
      <c r="J33" t="str">
        <f t="shared" si="2"/>
        <v>Vehicle-Mounted Shotgun</v>
      </c>
      <c r="K33" t="str">
        <f t="shared" si="3"/>
        <v>Vehicle-Mounted Shotgun</v>
      </c>
      <c r="L33" t="str">
        <f t="shared" si="4"/>
        <v/>
      </c>
      <c r="O33" t="str">
        <f t="shared" si="5"/>
        <v>Vehicle-Mounted Shotgun</v>
      </c>
      <c r="P33" t="str">
        <f t="shared" si="6"/>
        <v>Vehicle-Mounted Shotgun</v>
      </c>
      <c r="Q33" t="str">
        <f t="shared" si="6"/>
        <v>Vehicle-Mounted Shotgun</v>
      </c>
      <c r="R33" t="str">
        <f t="shared" si="7"/>
        <v/>
      </c>
      <c r="S33" t="str">
        <f t="shared" si="8"/>
        <v/>
      </c>
      <c r="U33" t="str">
        <f t="shared" si="9"/>
        <v/>
      </c>
    </row>
    <row r="34" spans="1:21" x14ac:dyDescent="0.3">
      <c r="A34" t="s">
        <v>8247</v>
      </c>
      <c r="B34" t="s">
        <v>8848</v>
      </c>
      <c r="C34">
        <v>3122</v>
      </c>
      <c r="D34">
        <v>2122</v>
      </c>
      <c r="E34">
        <v>1122</v>
      </c>
      <c r="H34" t="str">
        <f t="shared" si="0"/>
        <v/>
      </c>
      <c r="I34" t="str">
        <f t="shared" si="1"/>
        <v/>
      </c>
      <c r="J34" t="str">
        <f t="shared" si="2"/>
        <v>Rotating Turret</v>
      </c>
      <c r="K34" t="str">
        <f t="shared" si="3"/>
        <v>Rotating Turret</v>
      </c>
      <c r="L34" t="str">
        <f t="shared" si="4"/>
        <v/>
      </c>
      <c r="O34" t="str">
        <f t="shared" si="5"/>
        <v>Rotating Turret</v>
      </c>
      <c r="P34" t="str">
        <f t="shared" si="6"/>
        <v>Rotating Turret</v>
      </c>
      <c r="Q34" t="str">
        <f t="shared" si="6"/>
        <v>Rotating Turret</v>
      </c>
      <c r="R34" t="str">
        <f t="shared" si="7"/>
        <v/>
      </c>
      <c r="S34" t="str">
        <f t="shared" si="8"/>
        <v/>
      </c>
      <c r="U34" t="str">
        <f t="shared" si="9"/>
        <v/>
      </c>
    </row>
    <row r="35" spans="1:21" x14ac:dyDescent="0.3">
      <c r="A35" t="s">
        <v>639</v>
      </c>
      <c r="B35" t="s">
        <v>8827</v>
      </c>
      <c r="C35">
        <v>3127</v>
      </c>
      <c r="D35">
        <v>2127</v>
      </c>
      <c r="E35">
        <v>1127</v>
      </c>
      <c r="H35" t="str">
        <f t="shared" si="0"/>
        <v/>
      </c>
      <c r="I35" t="str">
        <f t="shared" si="1"/>
        <v>Automated Defense System</v>
      </c>
      <c r="J35" t="str">
        <f t="shared" si="2"/>
        <v/>
      </c>
      <c r="K35" t="str">
        <f t="shared" si="3"/>
        <v/>
      </c>
      <c r="L35" t="str">
        <f t="shared" si="4"/>
        <v/>
      </c>
      <c r="O35" t="str">
        <f t="shared" si="5"/>
        <v/>
      </c>
      <c r="P35" t="str">
        <f t="shared" si="6"/>
        <v/>
      </c>
      <c r="Q35" t="str">
        <f t="shared" si="6"/>
        <v/>
      </c>
      <c r="R35" t="str">
        <f t="shared" si="7"/>
        <v>Automated Defense System</v>
      </c>
      <c r="S35" t="str">
        <f t="shared" si="8"/>
        <v/>
      </c>
      <c r="U35" t="str">
        <f t="shared" si="9"/>
        <v/>
      </c>
    </row>
    <row r="36" spans="1:21" x14ac:dyDescent="0.3">
      <c r="A36" t="s">
        <v>639</v>
      </c>
      <c r="B36" t="s">
        <v>8828</v>
      </c>
      <c r="C36">
        <v>3133</v>
      </c>
      <c r="D36">
        <v>2133</v>
      </c>
      <c r="E36">
        <v>1133</v>
      </c>
      <c r="H36" t="str">
        <f t="shared" si="0"/>
        <v/>
      </c>
      <c r="I36" t="str">
        <f t="shared" si="1"/>
        <v>Camouflage Netting</v>
      </c>
      <c r="J36" t="str">
        <f t="shared" si="2"/>
        <v/>
      </c>
      <c r="K36" t="str">
        <f t="shared" si="3"/>
        <v/>
      </c>
      <c r="L36" t="str">
        <f t="shared" si="4"/>
        <v/>
      </c>
      <c r="O36" t="str">
        <f t="shared" si="5"/>
        <v/>
      </c>
      <c r="P36" t="str">
        <f t="shared" si="6"/>
        <v/>
      </c>
      <c r="Q36" t="str">
        <f t="shared" si="6"/>
        <v/>
      </c>
      <c r="R36" t="str">
        <f t="shared" si="7"/>
        <v>Camouflage Netting</v>
      </c>
      <c r="S36" t="str">
        <f t="shared" si="8"/>
        <v/>
      </c>
      <c r="U36" t="str">
        <f t="shared" si="9"/>
        <v/>
      </c>
    </row>
    <row r="37" spans="1:21" x14ac:dyDescent="0.3">
      <c r="A37" t="s">
        <v>639</v>
      </c>
      <c r="B37" t="s">
        <v>8829</v>
      </c>
      <c r="C37">
        <v>3134</v>
      </c>
      <c r="D37">
        <v>2134</v>
      </c>
      <c r="E37">
        <v>1134</v>
      </c>
      <c r="H37" t="str">
        <f t="shared" si="0"/>
        <v/>
      </c>
      <c r="I37" t="str">
        <f t="shared" si="1"/>
        <v>Slat Armor</v>
      </c>
      <c r="J37" t="str">
        <f t="shared" si="2"/>
        <v/>
      </c>
      <c r="K37" t="str">
        <f t="shared" si="3"/>
        <v/>
      </c>
      <c r="L37" t="str">
        <f t="shared" si="4"/>
        <v/>
      </c>
      <c r="O37" t="str">
        <f t="shared" si="5"/>
        <v/>
      </c>
      <c r="P37" t="str">
        <f t="shared" si="6"/>
        <v/>
      </c>
      <c r="Q37" t="str">
        <f t="shared" si="6"/>
        <v/>
      </c>
      <c r="R37" t="str">
        <f t="shared" si="7"/>
        <v>Slat Armor</v>
      </c>
      <c r="S37" t="str">
        <f t="shared" si="8"/>
        <v/>
      </c>
      <c r="U37" t="str">
        <f t="shared" si="9"/>
        <v/>
      </c>
    </row>
    <row r="38" spans="1:21" x14ac:dyDescent="0.3">
      <c r="A38" t="s">
        <v>639</v>
      </c>
      <c r="B38" t="s">
        <v>8826</v>
      </c>
      <c r="C38">
        <v>3124</v>
      </c>
      <c r="D38">
        <v>2124</v>
      </c>
      <c r="E38">
        <v>1124</v>
      </c>
      <c r="H38" t="str">
        <f t="shared" si="0"/>
        <v/>
      </c>
      <c r="I38" t="str">
        <f t="shared" si="1"/>
        <v>Shield Generator</v>
      </c>
      <c r="J38" t="str">
        <f t="shared" si="2"/>
        <v/>
      </c>
      <c r="K38" t="str">
        <f t="shared" si="3"/>
        <v/>
      </c>
      <c r="L38" t="str">
        <f t="shared" si="4"/>
        <v/>
      </c>
      <c r="O38" t="str">
        <f t="shared" si="5"/>
        <v/>
      </c>
      <c r="P38" t="str">
        <f t="shared" si="6"/>
        <v/>
      </c>
      <c r="Q38" t="str">
        <f t="shared" si="6"/>
        <v/>
      </c>
      <c r="R38" t="str">
        <f t="shared" si="7"/>
        <v>Shield Generator</v>
      </c>
      <c r="S38" t="str">
        <f t="shared" si="8"/>
        <v/>
      </c>
      <c r="U38" t="str">
        <f t="shared" si="9"/>
        <v/>
      </c>
    </row>
    <row r="39" spans="1:21" x14ac:dyDescent="0.3">
      <c r="A39" t="s">
        <v>639</v>
      </c>
      <c r="B39" t="s">
        <v>8825</v>
      </c>
      <c r="C39">
        <v>3121</v>
      </c>
      <c r="D39">
        <v>2121</v>
      </c>
      <c r="E39">
        <v>1121</v>
      </c>
      <c r="H39" t="str">
        <f t="shared" si="0"/>
        <v/>
      </c>
      <c r="I39" t="str">
        <f t="shared" si="1"/>
        <v>Explosive Reactive Armor</v>
      </c>
      <c r="J39" t="str">
        <f t="shared" si="2"/>
        <v/>
      </c>
      <c r="K39" t="str">
        <f t="shared" si="3"/>
        <v/>
      </c>
      <c r="L39" t="str">
        <f t="shared" si="4"/>
        <v/>
      </c>
      <c r="O39" t="str">
        <f t="shared" si="5"/>
        <v/>
      </c>
      <c r="P39" t="str">
        <f t="shared" si="6"/>
        <v/>
      </c>
      <c r="Q39" t="str">
        <f t="shared" si="6"/>
        <v/>
      </c>
      <c r="R39" t="str">
        <f t="shared" si="7"/>
        <v>Explosive Reactive Armor</v>
      </c>
      <c r="S39" t="str">
        <f t="shared" si="8"/>
        <v/>
      </c>
      <c r="U39" t="str">
        <f t="shared" si="9"/>
        <v/>
      </c>
    </row>
    <row r="40" spans="1:21" x14ac:dyDescent="0.3">
      <c r="A40" t="s">
        <v>8248</v>
      </c>
      <c r="B40" t="s">
        <v>8298</v>
      </c>
      <c r="C40">
        <v>3115</v>
      </c>
      <c r="D40">
        <v>2115</v>
      </c>
      <c r="E40">
        <v>1115</v>
      </c>
      <c r="H40" t="str">
        <f t="shared" si="0"/>
        <v/>
      </c>
      <c r="I40" t="str">
        <f t="shared" si="1"/>
        <v>Jammer</v>
      </c>
      <c r="J40" t="str">
        <f t="shared" si="2"/>
        <v/>
      </c>
      <c r="K40" t="str">
        <f t="shared" si="3"/>
        <v/>
      </c>
      <c r="L40" t="str">
        <f t="shared" si="4"/>
        <v>Jammer</v>
      </c>
      <c r="O40" t="str">
        <f t="shared" si="5"/>
        <v/>
      </c>
      <c r="P40" t="str">
        <f t="shared" si="6"/>
        <v/>
      </c>
      <c r="Q40" t="str">
        <f t="shared" si="6"/>
        <v/>
      </c>
      <c r="R40" t="str">
        <f t="shared" si="7"/>
        <v>Jammer</v>
      </c>
      <c r="S40" t="str">
        <f t="shared" si="8"/>
        <v>Jammer</v>
      </c>
      <c r="U40" t="str">
        <f t="shared" si="9"/>
        <v/>
      </c>
    </row>
    <row r="41" spans="1:21" x14ac:dyDescent="0.3">
      <c r="A41" t="s">
        <v>8248</v>
      </c>
      <c r="B41" t="s">
        <v>8299</v>
      </c>
      <c r="C41">
        <v>3114</v>
      </c>
      <c r="D41">
        <v>2114</v>
      </c>
      <c r="E41">
        <v>1114</v>
      </c>
      <c r="H41" t="str">
        <f t="shared" si="0"/>
        <v/>
      </c>
      <c r="I41" t="str">
        <f t="shared" si="1"/>
        <v>Jammer Gun</v>
      </c>
      <c r="J41" t="str">
        <f t="shared" si="2"/>
        <v/>
      </c>
      <c r="K41" t="str">
        <f t="shared" si="3"/>
        <v/>
      </c>
      <c r="L41" t="str">
        <f t="shared" si="4"/>
        <v>Jammer Gun</v>
      </c>
      <c r="O41" t="str">
        <f t="shared" si="5"/>
        <v/>
      </c>
      <c r="P41" t="str">
        <f t="shared" si="6"/>
        <v/>
      </c>
      <c r="Q41" t="str">
        <f t="shared" si="6"/>
        <v/>
      </c>
      <c r="R41" t="str">
        <f t="shared" si="7"/>
        <v>Jammer Gun</v>
      </c>
      <c r="S41" t="str">
        <f t="shared" si="8"/>
        <v>Jammer Gun</v>
      </c>
      <c r="U41" t="str">
        <f t="shared" si="9"/>
        <v/>
      </c>
    </row>
    <row r="42" spans="1:21" x14ac:dyDescent="0.3">
      <c r="A42" t="s">
        <v>8248</v>
      </c>
      <c r="B42" t="s">
        <v>8835</v>
      </c>
      <c r="C42">
        <v>3129</v>
      </c>
      <c r="D42">
        <v>2129</v>
      </c>
      <c r="E42">
        <v>1129</v>
      </c>
      <c r="H42" t="str">
        <f t="shared" si="0"/>
        <v/>
      </c>
      <c r="I42" t="str">
        <f t="shared" si="1"/>
        <v>Laser Suppression System</v>
      </c>
      <c r="J42" t="str">
        <f t="shared" si="2"/>
        <v/>
      </c>
      <c r="K42" t="str">
        <f t="shared" si="3"/>
        <v/>
      </c>
      <c r="L42" t="str">
        <f t="shared" si="4"/>
        <v>Laser Suppression System</v>
      </c>
      <c r="O42" t="str">
        <f t="shared" si="5"/>
        <v/>
      </c>
      <c r="P42" t="str">
        <f t="shared" si="6"/>
        <v/>
      </c>
      <c r="Q42" t="str">
        <f t="shared" si="6"/>
        <v/>
      </c>
      <c r="R42" t="str">
        <f t="shared" si="7"/>
        <v>Laser Suppression System</v>
      </c>
      <c r="S42" t="str">
        <f t="shared" si="8"/>
        <v>Laser Suppression System</v>
      </c>
      <c r="U42" t="str">
        <f t="shared" si="9"/>
        <v/>
      </c>
    </row>
    <row r="43" spans="1:21" x14ac:dyDescent="0.3">
      <c r="A43" t="s">
        <v>8248</v>
      </c>
      <c r="B43" t="s">
        <v>8836</v>
      </c>
      <c r="C43">
        <v>3132</v>
      </c>
      <c r="D43">
        <v>2132</v>
      </c>
      <c r="E43">
        <v>1132</v>
      </c>
      <c r="H43" t="str">
        <f t="shared" si="0"/>
        <v/>
      </c>
      <c r="I43" t="str">
        <f t="shared" si="1"/>
        <v>Laser rangefinder</v>
      </c>
      <c r="J43" t="str">
        <f t="shared" si="2"/>
        <v/>
      </c>
      <c r="K43" t="str">
        <f t="shared" si="3"/>
        <v/>
      </c>
      <c r="L43" t="str">
        <f t="shared" si="4"/>
        <v>Laser rangefinder</v>
      </c>
      <c r="O43" t="str">
        <f t="shared" si="5"/>
        <v/>
      </c>
      <c r="P43" t="str">
        <f t="shared" si="6"/>
        <v/>
      </c>
      <c r="Q43" t="str">
        <f t="shared" si="6"/>
        <v/>
      </c>
      <c r="R43" t="str">
        <f t="shared" si="7"/>
        <v>Laser rangefinder</v>
      </c>
      <c r="S43" t="str">
        <f t="shared" si="8"/>
        <v>Laser rangefinder</v>
      </c>
      <c r="U43" t="str">
        <f t="shared" si="9"/>
        <v/>
      </c>
    </row>
    <row r="44" spans="1:21" x14ac:dyDescent="0.3">
      <c r="A44" t="s">
        <v>8248</v>
      </c>
      <c r="B44" t="s">
        <v>8834</v>
      </c>
      <c r="C44">
        <v>3125</v>
      </c>
      <c r="D44">
        <v>2125</v>
      </c>
      <c r="E44">
        <v>1125</v>
      </c>
      <c r="H44" t="str">
        <f t="shared" si="0"/>
        <v/>
      </c>
      <c r="I44" t="str">
        <f t="shared" si="1"/>
        <v>Phased-Array Radar</v>
      </c>
      <c r="J44" t="str">
        <f t="shared" si="2"/>
        <v/>
      </c>
      <c r="K44" t="str">
        <f t="shared" si="3"/>
        <v/>
      </c>
      <c r="L44" t="str">
        <f t="shared" si="4"/>
        <v>Phased-Array Radar</v>
      </c>
      <c r="O44" t="str">
        <f t="shared" si="5"/>
        <v/>
      </c>
      <c r="P44" t="str">
        <f t="shared" si="6"/>
        <v/>
      </c>
      <c r="Q44" t="str">
        <f t="shared" si="6"/>
        <v/>
      </c>
      <c r="R44" t="str">
        <f t="shared" si="7"/>
        <v>Phased-Array Radar</v>
      </c>
      <c r="S44" t="str">
        <f t="shared" si="8"/>
        <v>Phased-Array Radar</v>
      </c>
      <c r="U44" t="str">
        <f t="shared" si="9"/>
        <v/>
      </c>
    </row>
    <row r="45" spans="1:21" x14ac:dyDescent="0.3">
      <c r="A45" t="s">
        <v>8248</v>
      </c>
      <c r="B45" t="s">
        <v>8831</v>
      </c>
      <c r="C45">
        <v>3116</v>
      </c>
      <c r="D45">
        <v>2116</v>
      </c>
      <c r="E45">
        <v>1116</v>
      </c>
      <c r="H45" t="str">
        <f t="shared" si="0"/>
        <v/>
      </c>
      <c r="I45" t="str">
        <f t="shared" si="1"/>
        <v>Signal Receiver</v>
      </c>
      <c r="J45" t="str">
        <f t="shared" si="2"/>
        <v/>
      </c>
      <c r="K45" t="str">
        <f t="shared" si="3"/>
        <v/>
      </c>
      <c r="L45" t="str">
        <f t="shared" si="4"/>
        <v>Signal Receiver</v>
      </c>
      <c r="O45" t="str">
        <f t="shared" si="5"/>
        <v/>
      </c>
      <c r="P45" t="str">
        <f t="shared" si="6"/>
        <v/>
      </c>
      <c r="Q45" t="str">
        <f t="shared" si="6"/>
        <v/>
      </c>
      <c r="R45" t="str">
        <f t="shared" si="7"/>
        <v>Signal Receiver</v>
      </c>
      <c r="S45" t="str">
        <f t="shared" si="8"/>
        <v>Signal Receiver</v>
      </c>
      <c r="U45" t="str">
        <f t="shared" si="9"/>
        <v/>
      </c>
    </row>
    <row r="46" spans="1:21" x14ac:dyDescent="0.3">
      <c r="A46" t="s">
        <v>8248</v>
      </c>
      <c r="B46" t="s">
        <v>8832</v>
      </c>
      <c r="C46">
        <v>3117</v>
      </c>
      <c r="D46">
        <v>2117</v>
      </c>
      <c r="E46">
        <v>1117</v>
      </c>
      <c r="H46" t="str">
        <f t="shared" si="0"/>
        <v/>
      </c>
      <c r="I46" t="str">
        <f t="shared" si="1"/>
        <v>Smoke Grenade Launcher</v>
      </c>
      <c r="J46" t="str">
        <f t="shared" si="2"/>
        <v/>
      </c>
      <c r="K46" t="str">
        <f t="shared" si="3"/>
        <v/>
      </c>
      <c r="L46" t="str">
        <f t="shared" si="4"/>
        <v>Smoke Grenade Launcher</v>
      </c>
      <c r="O46" t="str">
        <f t="shared" si="5"/>
        <v/>
      </c>
      <c r="P46" t="str">
        <f t="shared" si="6"/>
        <v/>
      </c>
      <c r="Q46" t="str">
        <f t="shared" si="6"/>
        <v/>
      </c>
      <c r="R46" t="str">
        <f t="shared" si="7"/>
        <v>Smoke Grenade Launcher</v>
      </c>
      <c r="S46" t="str">
        <f t="shared" si="8"/>
        <v>Smoke Grenade Launcher</v>
      </c>
      <c r="U46" t="str">
        <f t="shared" si="9"/>
        <v/>
      </c>
    </row>
    <row r="47" spans="1:21" x14ac:dyDescent="0.3">
      <c r="A47" t="s">
        <v>8248</v>
      </c>
      <c r="B47" t="s">
        <v>8833</v>
      </c>
      <c r="C47">
        <v>3123</v>
      </c>
      <c r="D47">
        <v>2123</v>
      </c>
      <c r="E47">
        <v>1123</v>
      </c>
      <c r="H47" t="str">
        <f t="shared" si="0"/>
        <v/>
      </c>
      <c r="I47" t="str">
        <f t="shared" si="1"/>
        <v>Drone Compartment</v>
      </c>
      <c r="J47" t="str">
        <f t="shared" si="2"/>
        <v/>
      </c>
      <c r="K47" t="str">
        <f t="shared" si="3"/>
        <v/>
      </c>
      <c r="L47" t="str">
        <f t="shared" si="4"/>
        <v>Drone Compartment</v>
      </c>
      <c r="O47" t="str">
        <f t="shared" si="5"/>
        <v/>
      </c>
      <c r="P47" t="str">
        <f t="shared" si="6"/>
        <v/>
      </c>
      <c r="Q47" t="str">
        <f t="shared" si="6"/>
        <v/>
      </c>
      <c r="R47" t="str">
        <f t="shared" si="7"/>
        <v>Drone Compartment</v>
      </c>
      <c r="S47" t="str">
        <f t="shared" si="8"/>
        <v>Drone Compartment</v>
      </c>
      <c r="U47" t="str">
        <f t="shared" si="9"/>
        <v/>
      </c>
    </row>
    <row r="48" spans="1:21" x14ac:dyDescent="0.3">
      <c r="A48" t="s">
        <v>8248</v>
      </c>
      <c r="B48" t="s">
        <v>8830</v>
      </c>
      <c r="C48">
        <v>3105</v>
      </c>
      <c r="D48">
        <v>2105</v>
      </c>
      <c r="E48">
        <v>1105</v>
      </c>
      <c r="H48" t="str">
        <f t="shared" si="0"/>
        <v/>
      </c>
      <c r="I48" t="str">
        <f t="shared" si="1"/>
        <v>Automotive Night Vision</v>
      </c>
      <c r="J48" t="str">
        <f t="shared" si="2"/>
        <v/>
      </c>
      <c r="K48" t="str">
        <f t="shared" si="3"/>
        <v/>
      </c>
      <c r="L48" t="str">
        <f t="shared" si="4"/>
        <v>Automotive Night Vision</v>
      </c>
      <c r="O48" t="str">
        <f t="shared" si="5"/>
        <v/>
      </c>
      <c r="P48" t="str">
        <f t="shared" si="6"/>
        <v/>
      </c>
      <c r="Q48" t="str">
        <f t="shared" si="6"/>
        <v/>
      </c>
      <c r="R48" t="str">
        <f t="shared" si="7"/>
        <v>Automotive Night Vision</v>
      </c>
      <c r="S48" t="str">
        <f t="shared" si="8"/>
        <v>Automotive Night Vision</v>
      </c>
      <c r="U48" t="str">
        <f t="shared" si="9"/>
        <v/>
      </c>
    </row>
    <row r="49" spans="1:21" x14ac:dyDescent="0.3">
      <c r="A49"/>
      <c r="H49" t="str">
        <f t="shared" si="0"/>
        <v/>
      </c>
      <c r="I49" t="str">
        <f t="shared" si="1"/>
        <v/>
      </c>
      <c r="J49" t="str">
        <f t="shared" si="2"/>
        <v/>
      </c>
      <c r="K49" t="str">
        <f t="shared" si="3"/>
        <v/>
      </c>
      <c r="L49" t="str">
        <f t="shared" si="4"/>
        <v/>
      </c>
      <c r="O49" t="str">
        <f t="shared" si="5"/>
        <v/>
      </c>
      <c r="P49" t="str">
        <f t="shared" si="6"/>
        <v/>
      </c>
      <c r="Q49" t="str">
        <f t="shared" si="6"/>
        <v/>
      </c>
      <c r="R49" t="str">
        <f t="shared" si="7"/>
        <v/>
      </c>
      <c r="S49" t="str">
        <f t="shared" si="8"/>
        <v/>
      </c>
      <c r="U49" t="str">
        <f t="shared" si="9"/>
        <v/>
      </c>
    </row>
    <row r="50" spans="1:21" x14ac:dyDescent="0.3">
      <c r="A50"/>
      <c r="H50" t="str">
        <f t="shared" si="0"/>
        <v/>
      </c>
      <c r="I50" t="str">
        <f t="shared" si="1"/>
        <v/>
      </c>
      <c r="J50" t="str">
        <f t="shared" si="2"/>
        <v/>
      </c>
      <c r="K50" t="str">
        <f t="shared" si="3"/>
        <v/>
      </c>
      <c r="L50" t="str">
        <f t="shared" si="4"/>
        <v/>
      </c>
      <c r="O50" t="str">
        <f t="shared" si="5"/>
        <v/>
      </c>
      <c r="P50" t="str">
        <f t="shared" ref="P50:Q59" si="10">IF($A50="Light",$B50,"")</f>
        <v/>
      </c>
      <c r="Q50" t="str">
        <f t="shared" si="10"/>
        <v/>
      </c>
      <c r="R50" t="str">
        <f t="shared" si="7"/>
        <v/>
      </c>
      <c r="S50" t="str">
        <f t="shared" si="8"/>
        <v/>
      </c>
      <c r="U50" t="str">
        <f t="shared" si="9"/>
        <v/>
      </c>
    </row>
    <row r="51" spans="1:21" x14ac:dyDescent="0.3">
      <c r="A51"/>
      <c r="H51" t="str">
        <f t="shared" si="0"/>
        <v/>
      </c>
      <c r="I51" t="str">
        <f t="shared" si="1"/>
        <v/>
      </c>
      <c r="J51" t="str">
        <f t="shared" si="2"/>
        <v/>
      </c>
      <c r="K51" t="str">
        <f t="shared" si="3"/>
        <v/>
      </c>
      <c r="L51" t="str">
        <f t="shared" si="4"/>
        <v/>
      </c>
      <c r="O51" t="str">
        <f t="shared" si="5"/>
        <v/>
      </c>
      <c r="P51" t="str">
        <f t="shared" si="10"/>
        <v/>
      </c>
      <c r="Q51" t="str">
        <f t="shared" si="10"/>
        <v/>
      </c>
      <c r="R51" t="str">
        <f t="shared" si="7"/>
        <v/>
      </c>
      <c r="S51" t="str">
        <f t="shared" si="8"/>
        <v/>
      </c>
      <c r="U51" t="str">
        <f t="shared" si="9"/>
        <v/>
      </c>
    </row>
    <row r="52" spans="1:21" x14ac:dyDescent="0.3">
      <c r="A52"/>
      <c r="H52" t="str">
        <f t="shared" si="0"/>
        <v/>
      </c>
      <c r="I52" t="str">
        <f t="shared" si="1"/>
        <v/>
      </c>
      <c r="J52" t="str">
        <f t="shared" si="2"/>
        <v/>
      </c>
      <c r="K52" t="str">
        <f t="shared" si="3"/>
        <v/>
      </c>
      <c r="L52" t="str">
        <f t="shared" si="4"/>
        <v/>
      </c>
      <c r="O52" t="str">
        <f t="shared" si="5"/>
        <v/>
      </c>
      <c r="P52" t="str">
        <f t="shared" si="10"/>
        <v/>
      </c>
      <c r="Q52" t="str">
        <f t="shared" si="10"/>
        <v/>
      </c>
      <c r="R52" t="str">
        <f t="shared" si="7"/>
        <v/>
      </c>
      <c r="S52" t="str">
        <f t="shared" si="8"/>
        <v/>
      </c>
      <c r="U52" t="str">
        <f t="shared" si="9"/>
        <v/>
      </c>
    </row>
    <row r="53" spans="1:21" x14ac:dyDescent="0.3">
      <c r="A53"/>
      <c r="H53" t="str">
        <f t="shared" si="0"/>
        <v/>
      </c>
      <c r="I53" t="str">
        <f t="shared" si="1"/>
        <v/>
      </c>
      <c r="J53" t="str">
        <f t="shared" si="2"/>
        <v/>
      </c>
      <c r="K53" t="str">
        <f t="shared" si="3"/>
        <v/>
      </c>
      <c r="L53" t="str">
        <f t="shared" si="4"/>
        <v/>
      </c>
      <c r="O53" t="str">
        <f t="shared" si="5"/>
        <v/>
      </c>
      <c r="P53" t="str">
        <f t="shared" si="10"/>
        <v/>
      </c>
      <c r="Q53" t="str">
        <f t="shared" si="10"/>
        <v/>
      </c>
      <c r="R53" t="str">
        <f t="shared" si="7"/>
        <v/>
      </c>
      <c r="S53" t="str">
        <f t="shared" si="8"/>
        <v/>
      </c>
      <c r="U53" t="str">
        <f t="shared" si="9"/>
        <v/>
      </c>
    </row>
    <row r="54" spans="1:21" x14ac:dyDescent="0.3">
      <c r="A54"/>
      <c r="H54" t="str">
        <f t="shared" si="0"/>
        <v/>
      </c>
      <c r="I54" t="str">
        <f t="shared" si="1"/>
        <v/>
      </c>
      <c r="J54" t="str">
        <f t="shared" si="2"/>
        <v/>
      </c>
      <c r="K54" t="str">
        <f t="shared" si="3"/>
        <v/>
      </c>
      <c r="L54" t="str">
        <f t="shared" si="4"/>
        <v/>
      </c>
      <c r="O54" t="str">
        <f t="shared" si="5"/>
        <v/>
      </c>
      <c r="P54" t="str">
        <f t="shared" si="10"/>
        <v/>
      </c>
      <c r="Q54" t="str">
        <f t="shared" si="10"/>
        <v/>
      </c>
      <c r="R54" t="str">
        <f t="shared" si="7"/>
        <v/>
      </c>
      <c r="S54" t="str">
        <f t="shared" si="8"/>
        <v/>
      </c>
      <c r="U54" t="str">
        <f t="shared" si="9"/>
        <v/>
      </c>
    </row>
    <row r="55" spans="1:21" x14ac:dyDescent="0.3">
      <c r="A55"/>
      <c r="H55" t="str">
        <f t="shared" si="0"/>
        <v/>
      </c>
      <c r="I55" t="str">
        <f t="shared" si="1"/>
        <v/>
      </c>
      <c r="J55" t="str">
        <f t="shared" si="2"/>
        <v/>
      </c>
      <c r="K55" t="str">
        <f t="shared" si="3"/>
        <v/>
      </c>
      <c r="L55" t="str">
        <f t="shared" si="4"/>
        <v/>
      </c>
      <c r="O55" t="str">
        <f t="shared" si="5"/>
        <v/>
      </c>
      <c r="P55" t="str">
        <f t="shared" si="10"/>
        <v/>
      </c>
      <c r="Q55" t="str">
        <f t="shared" si="10"/>
        <v/>
      </c>
      <c r="R55" t="str">
        <f t="shared" si="7"/>
        <v/>
      </c>
      <c r="S55" t="str">
        <f t="shared" si="8"/>
        <v/>
      </c>
      <c r="U55" t="str">
        <f t="shared" si="9"/>
        <v/>
      </c>
    </row>
    <row r="56" spans="1:21" x14ac:dyDescent="0.3">
      <c r="A56"/>
      <c r="H56" t="str">
        <f t="shared" si="0"/>
        <v/>
      </c>
      <c r="I56" t="str">
        <f t="shared" si="1"/>
        <v/>
      </c>
      <c r="J56" t="str">
        <f t="shared" si="2"/>
        <v/>
      </c>
      <c r="K56" t="str">
        <f t="shared" si="3"/>
        <v/>
      </c>
      <c r="L56" t="str">
        <f t="shared" si="4"/>
        <v/>
      </c>
      <c r="O56" t="str">
        <f t="shared" si="5"/>
        <v/>
      </c>
      <c r="P56" t="str">
        <f t="shared" si="10"/>
        <v/>
      </c>
      <c r="Q56" t="str">
        <f t="shared" si="10"/>
        <v/>
      </c>
      <c r="R56" t="str">
        <f t="shared" si="7"/>
        <v/>
      </c>
      <c r="S56" t="str">
        <f t="shared" si="8"/>
        <v/>
      </c>
      <c r="U56" t="str">
        <f t="shared" si="9"/>
        <v/>
      </c>
    </row>
    <row r="57" spans="1:21" x14ac:dyDescent="0.3">
      <c r="A57"/>
      <c r="H57" t="str">
        <f t="shared" si="0"/>
        <v/>
      </c>
      <c r="I57" t="str">
        <f t="shared" si="1"/>
        <v/>
      </c>
      <c r="J57" t="str">
        <f t="shared" si="2"/>
        <v/>
      </c>
      <c r="K57" t="str">
        <f t="shared" si="3"/>
        <v/>
      </c>
      <c r="L57" t="str">
        <f t="shared" si="4"/>
        <v/>
      </c>
      <c r="O57" t="str">
        <f t="shared" si="5"/>
        <v/>
      </c>
      <c r="P57" t="str">
        <f t="shared" si="10"/>
        <v/>
      </c>
      <c r="Q57" t="str">
        <f t="shared" si="10"/>
        <v/>
      </c>
      <c r="R57" t="str">
        <f t="shared" si="7"/>
        <v/>
      </c>
      <c r="S57" t="str">
        <f t="shared" si="8"/>
        <v/>
      </c>
      <c r="U57" t="str">
        <f t="shared" si="9"/>
        <v/>
      </c>
    </row>
    <row r="58" spans="1:21" x14ac:dyDescent="0.3">
      <c r="A58"/>
      <c r="H58" t="str">
        <f t="shared" si="0"/>
        <v/>
      </c>
      <c r="I58" t="str">
        <f t="shared" si="1"/>
        <v/>
      </c>
      <c r="J58" t="str">
        <f t="shared" si="2"/>
        <v/>
      </c>
      <c r="K58" t="str">
        <f t="shared" si="3"/>
        <v/>
      </c>
      <c r="L58" t="str">
        <f t="shared" si="4"/>
        <v/>
      </c>
      <c r="O58" t="str">
        <f t="shared" si="5"/>
        <v/>
      </c>
      <c r="P58" t="str">
        <f t="shared" si="10"/>
        <v/>
      </c>
      <c r="Q58" t="str">
        <f t="shared" si="10"/>
        <v/>
      </c>
      <c r="R58" t="str">
        <f t="shared" si="7"/>
        <v/>
      </c>
      <c r="S58" t="str">
        <f t="shared" si="8"/>
        <v/>
      </c>
      <c r="U58" t="str">
        <f t="shared" si="9"/>
        <v/>
      </c>
    </row>
    <row r="59" spans="1:21" x14ac:dyDescent="0.3">
      <c r="A59"/>
      <c r="H59" t="str">
        <f t="shared" si="0"/>
        <v/>
      </c>
      <c r="I59" t="str">
        <f t="shared" si="1"/>
        <v/>
      </c>
      <c r="J59" t="str">
        <f t="shared" si="2"/>
        <v/>
      </c>
      <c r="K59" t="str">
        <f t="shared" si="3"/>
        <v/>
      </c>
      <c r="L59" t="str">
        <f t="shared" si="4"/>
        <v/>
      </c>
      <c r="O59" t="str">
        <f t="shared" si="5"/>
        <v/>
      </c>
      <c r="P59" t="str">
        <f t="shared" si="10"/>
        <v/>
      </c>
      <c r="Q59" t="str">
        <f t="shared" si="10"/>
        <v/>
      </c>
      <c r="R59" t="str">
        <f t="shared" si="7"/>
        <v/>
      </c>
      <c r="S59" t="str">
        <f t="shared" si="8"/>
        <v/>
      </c>
      <c r="U59" t="str">
        <f t="shared" si="9"/>
        <v/>
      </c>
    </row>
    <row r="60" spans="1:21" x14ac:dyDescent="0.3">
      <c r="A60"/>
    </row>
    <row r="61" spans="1:21" x14ac:dyDescent="0.3">
      <c r="A61"/>
    </row>
    <row r="62" spans="1:21" x14ac:dyDescent="0.3">
      <c r="A62"/>
    </row>
    <row r="63" spans="1:21" x14ac:dyDescent="0.3">
      <c r="A63"/>
    </row>
    <row r="64" spans="1:21" x14ac:dyDescent="0.3">
      <c r="A64"/>
    </row>
    <row r="65" spans="1:1" x14ac:dyDescent="0.3">
      <c r="A65"/>
    </row>
    <row r="66" spans="1:1" x14ac:dyDescent="0.3">
      <c r="A66"/>
    </row>
    <row r="67" spans="1:1" x14ac:dyDescent="0.3">
      <c r="A67"/>
    </row>
    <row r="68" spans="1:1" x14ac:dyDescent="0.3">
      <c r="A68"/>
    </row>
    <row r="69" spans="1:1" x14ac:dyDescent="0.3">
      <c r="A69"/>
    </row>
    <row r="70" spans="1:1" x14ac:dyDescent="0.3">
      <c r="A70"/>
    </row>
    <row r="71" spans="1:1" x14ac:dyDescent="0.3">
      <c r="A71"/>
    </row>
    <row r="72" spans="1:1" x14ac:dyDescent="0.3">
      <c r="A72"/>
    </row>
    <row r="73" spans="1:1" x14ac:dyDescent="0.3">
      <c r="A73"/>
    </row>
    <row r="74" spans="1:1" x14ac:dyDescent="0.3">
      <c r="A74"/>
    </row>
    <row r="75" spans="1:1" x14ac:dyDescent="0.3">
      <c r="A75"/>
    </row>
    <row r="76" spans="1:1" x14ac:dyDescent="0.3">
      <c r="A76"/>
    </row>
    <row r="77" spans="1:1" x14ac:dyDescent="0.3">
      <c r="A77"/>
    </row>
    <row r="78" spans="1:1" x14ac:dyDescent="0.3">
      <c r="A78"/>
    </row>
    <row r="79" spans="1:1" x14ac:dyDescent="0.3">
      <c r="A79"/>
    </row>
    <row r="80" spans="1:1" x14ac:dyDescent="0.3">
      <c r="A80"/>
    </row>
    <row r="81" spans="1:1" x14ac:dyDescent="0.3">
      <c r="A81"/>
    </row>
    <row r="82" spans="1:1" x14ac:dyDescent="0.3">
      <c r="A82"/>
    </row>
    <row r="83" spans="1:1" x14ac:dyDescent="0.3">
      <c r="A83"/>
    </row>
    <row r="84" spans="1:1" x14ac:dyDescent="0.3">
      <c r="A84"/>
    </row>
    <row r="85" spans="1:1" x14ac:dyDescent="0.3">
      <c r="A85"/>
    </row>
    <row r="86" spans="1:1" x14ac:dyDescent="0.3">
      <c r="A86"/>
    </row>
    <row r="87" spans="1:1" x14ac:dyDescent="0.3">
      <c r="A87"/>
    </row>
    <row r="88" spans="1:1" x14ac:dyDescent="0.3">
      <c r="A88"/>
    </row>
    <row r="89" spans="1:1" x14ac:dyDescent="0.3">
      <c r="A89"/>
    </row>
    <row r="90" spans="1:1" x14ac:dyDescent="0.3">
      <c r="A90"/>
    </row>
    <row r="91" spans="1:1" x14ac:dyDescent="0.3">
      <c r="A91"/>
    </row>
    <row r="92" spans="1:1" x14ac:dyDescent="0.3">
      <c r="A92"/>
    </row>
    <row r="93" spans="1:1" x14ac:dyDescent="0.3">
      <c r="A93"/>
    </row>
    <row r="94" spans="1:1" x14ac:dyDescent="0.3">
      <c r="A94"/>
    </row>
    <row r="95" spans="1:1" x14ac:dyDescent="0.3">
      <c r="A95"/>
    </row>
    <row r="96" spans="1:1" x14ac:dyDescent="0.3">
      <c r="A96"/>
    </row>
    <row r="97" spans="1:1" x14ac:dyDescent="0.3">
      <c r="A97"/>
    </row>
    <row r="98" spans="1:1" x14ac:dyDescent="0.3">
      <c r="A98"/>
    </row>
    <row r="99" spans="1:1" x14ac:dyDescent="0.3">
      <c r="A99"/>
    </row>
    <row r="100" spans="1:1" x14ac:dyDescent="0.3">
      <c r="A100"/>
    </row>
    <row r="101" spans="1:1" x14ac:dyDescent="0.3">
      <c r="A101"/>
    </row>
    <row r="102" spans="1:1" x14ac:dyDescent="0.3">
      <c r="A102"/>
    </row>
    <row r="103" spans="1:1" x14ac:dyDescent="0.3">
      <c r="A103"/>
    </row>
    <row r="104" spans="1:1" x14ac:dyDescent="0.3">
      <c r="A104"/>
    </row>
    <row r="105" spans="1:1" x14ac:dyDescent="0.3">
      <c r="A105"/>
    </row>
    <row r="106" spans="1:1" x14ac:dyDescent="0.3">
      <c r="A106"/>
    </row>
    <row r="107" spans="1:1" x14ac:dyDescent="0.3">
      <c r="A107"/>
    </row>
    <row r="108" spans="1:1" x14ac:dyDescent="0.3">
      <c r="A108"/>
    </row>
    <row r="109" spans="1:1" x14ac:dyDescent="0.3">
      <c r="A109"/>
    </row>
    <row r="110" spans="1:1" x14ac:dyDescent="0.3">
      <c r="A110"/>
    </row>
    <row r="111" spans="1:1" x14ac:dyDescent="0.3">
      <c r="A111"/>
    </row>
    <row r="112" spans="1:1" x14ac:dyDescent="0.3">
      <c r="A112"/>
    </row>
    <row r="113" spans="1:1" x14ac:dyDescent="0.3">
      <c r="A113"/>
    </row>
    <row r="114" spans="1:1" x14ac:dyDescent="0.3">
      <c r="A114"/>
    </row>
    <row r="115" spans="1:1" x14ac:dyDescent="0.3">
      <c r="A115"/>
    </row>
    <row r="116" spans="1:1" x14ac:dyDescent="0.3">
      <c r="A116"/>
    </row>
    <row r="117" spans="1:1" x14ac:dyDescent="0.3">
      <c r="A117"/>
    </row>
    <row r="118" spans="1:1" x14ac:dyDescent="0.3">
      <c r="A118"/>
    </row>
    <row r="119" spans="1:1" x14ac:dyDescent="0.3">
      <c r="A119"/>
    </row>
    <row r="120" spans="1:1" x14ac:dyDescent="0.3">
      <c r="A120"/>
    </row>
    <row r="121" spans="1:1" x14ac:dyDescent="0.3">
      <c r="A121"/>
    </row>
    <row r="122" spans="1:1" x14ac:dyDescent="0.3">
      <c r="A122"/>
    </row>
    <row r="123" spans="1:1" x14ac:dyDescent="0.3">
      <c r="A123"/>
    </row>
    <row r="124" spans="1:1" x14ac:dyDescent="0.3">
      <c r="A124"/>
    </row>
    <row r="125" spans="1:1" x14ac:dyDescent="0.3">
      <c r="A125"/>
    </row>
    <row r="126" spans="1:1" x14ac:dyDescent="0.3">
      <c r="A126"/>
    </row>
    <row r="127" spans="1:1" x14ac:dyDescent="0.3">
      <c r="A127"/>
    </row>
    <row r="128" spans="1:1" x14ac:dyDescent="0.3">
      <c r="A128"/>
    </row>
    <row r="129" spans="1:1" x14ac:dyDescent="0.3">
      <c r="A129"/>
    </row>
    <row r="130" spans="1:1" x14ac:dyDescent="0.3">
      <c r="A130"/>
    </row>
    <row r="131" spans="1:1" x14ac:dyDescent="0.3">
      <c r="A131"/>
    </row>
    <row r="132" spans="1:1" x14ac:dyDescent="0.3">
      <c r="A132"/>
    </row>
    <row r="133" spans="1:1" x14ac:dyDescent="0.3">
      <c r="A133"/>
    </row>
    <row r="134" spans="1:1" x14ac:dyDescent="0.3">
      <c r="A134"/>
    </row>
    <row r="135" spans="1:1" x14ac:dyDescent="0.3">
      <c r="A135"/>
    </row>
    <row r="136" spans="1:1" x14ac:dyDescent="0.3">
      <c r="A136"/>
    </row>
    <row r="137" spans="1:1" x14ac:dyDescent="0.3">
      <c r="A137"/>
    </row>
  </sheetData>
  <sortState xmlns:xlrd2="http://schemas.microsoft.com/office/spreadsheetml/2017/richdata2" ref="A2:E48">
    <sortCondition ref="A2:A48" customList="Common,Heavy,Light,Defense,Utility"/>
    <sortCondition ref="B2:B48"/>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AE37B-4402-47AA-81C2-C8EB4990298B}">
  <sheetPr codeName="Sheet37">
    <tabColor theme="8" tint="0.79998168889431442"/>
  </sheetPr>
  <dimension ref="A1:Q111"/>
  <sheetViews>
    <sheetView workbookViewId="0">
      <pane ySplit="1" topLeftCell="A2" activePane="bottomLeft" state="frozen"/>
      <selection activeCell="DY1" sqref="DY1:EC12"/>
      <selection pane="bottomLeft" activeCell="DY1" sqref="DY1:EC12"/>
    </sheetView>
  </sheetViews>
  <sheetFormatPr defaultRowHeight="14.4" x14ac:dyDescent="0.3"/>
  <cols>
    <col min="1" max="1" width="6" bestFit="1" customWidth="1"/>
    <col min="2" max="2" width="20" bestFit="1" customWidth="1"/>
    <col min="3" max="3" width="9" bestFit="1" customWidth="1"/>
    <col min="4" max="4" width="4.88671875" bestFit="1" customWidth="1"/>
    <col min="5" max="5" width="10.33203125" bestFit="1" customWidth="1"/>
    <col min="6" max="6" width="14" bestFit="1" customWidth="1"/>
    <col min="7" max="7" width="16" bestFit="1" customWidth="1"/>
    <col min="8" max="8" width="9.33203125" bestFit="1" customWidth="1"/>
    <col min="9" max="9" width="12.5546875" bestFit="1" customWidth="1"/>
    <col min="10" max="10" width="8" bestFit="1" customWidth="1"/>
    <col min="11" max="11" width="10.109375" bestFit="1" customWidth="1"/>
    <col min="12" max="12" width="3.44140625" bestFit="1" customWidth="1"/>
    <col min="13" max="13" width="4" bestFit="1" customWidth="1"/>
    <col min="14" max="14" width="14.109375" bestFit="1" customWidth="1"/>
    <col min="15" max="15" width="12.44140625" bestFit="1" customWidth="1"/>
    <col min="16" max="16" width="17.5546875" bestFit="1" customWidth="1"/>
    <col min="17" max="17" width="5.44140625" bestFit="1" customWidth="1"/>
  </cols>
  <sheetData>
    <row r="1" spans="1:17" x14ac:dyDescent="0.3">
      <c r="A1" s="1" t="s">
        <v>25</v>
      </c>
      <c r="B1" s="1" t="s">
        <v>1777</v>
      </c>
      <c r="C1" s="1" t="s">
        <v>868</v>
      </c>
      <c r="D1" s="1" t="s">
        <v>220</v>
      </c>
      <c r="E1" s="1" t="s">
        <v>8473</v>
      </c>
      <c r="F1" s="1" t="s">
        <v>872</v>
      </c>
      <c r="G1" s="1" t="s">
        <v>875</v>
      </c>
      <c r="H1" s="1" t="s">
        <v>874</v>
      </c>
      <c r="I1" s="1" t="s">
        <v>873</v>
      </c>
      <c r="J1" s="1" t="s">
        <v>876</v>
      </c>
      <c r="K1" s="1" t="s">
        <v>877</v>
      </c>
      <c r="L1" s="1" t="s">
        <v>38</v>
      </c>
      <c r="M1" s="1" t="s">
        <v>878</v>
      </c>
      <c r="N1" s="1" t="s">
        <v>8472</v>
      </c>
      <c r="O1" s="1" t="s">
        <v>8471</v>
      </c>
      <c r="P1" s="1" t="s">
        <v>8470</v>
      </c>
      <c r="Q1" s="1" t="s">
        <v>8469</v>
      </c>
    </row>
    <row r="2" spans="1:17" x14ac:dyDescent="0.3">
      <c r="A2" s="1">
        <v>1001</v>
      </c>
      <c r="B2" s="1" t="s">
        <v>8468</v>
      </c>
      <c r="C2" s="1">
        <v>1</v>
      </c>
      <c r="D2" s="1">
        <v>1</v>
      </c>
      <c r="E2" s="1">
        <v>1</v>
      </c>
      <c r="F2" s="1">
        <v>36</v>
      </c>
      <c r="G2" s="1">
        <v>0</v>
      </c>
      <c r="H2" s="1">
        <v>0</v>
      </c>
      <c r="I2" s="1">
        <v>9</v>
      </c>
      <c r="J2" s="1">
        <v>0</v>
      </c>
      <c r="K2" s="1">
        <v>0</v>
      </c>
      <c r="L2" s="1">
        <v>0</v>
      </c>
      <c r="M2" s="1">
        <v>0</v>
      </c>
      <c r="N2" s="1">
        <v>0</v>
      </c>
      <c r="O2" s="1">
        <v>4</v>
      </c>
      <c r="P2" s="1">
        <v>90</v>
      </c>
      <c r="Q2" s="1">
        <v>2</v>
      </c>
    </row>
    <row r="3" spans="1:17" x14ac:dyDescent="0.3">
      <c r="A3" s="1">
        <v>1002</v>
      </c>
      <c r="B3" s="1" t="s">
        <v>8467</v>
      </c>
      <c r="C3" s="1">
        <v>1</v>
      </c>
      <c r="D3" s="1">
        <v>1</v>
      </c>
      <c r="E3" s="1">
        <v>1</v>
      </c>
      <c r="F3" s="1">
        <v>0</v>
      </c>
      <c r="G3" s="1">
        <v>55</v>
      </c>
      <c r="H3" s="1">
        <v>13</v>
      </c>
      <c r="I3" s="1">
        <v>0</v>
      </c>
      <c r="J3" s="1">
        <v>0</v>
      </c>
      <c r="K3" s="1">
        <v>0</v>
      </c>
      <c r="L3" s="1">
        <v>0</v>
      </c>
      <c r="M3" s="1">
        <v>0</v>
      </c>
      <c r="N3" s="1">
        <v>0</v>
      </c>
      <c r="O3" s="1">
        <v>6</v>
      </c>
      <c r="P3" s="1">
        <v>140</v>
      </c>
      <c r="Q3" s="1">
        <v>2</v>
      </c>
    </row>
    <row r="4" spans="1:17" x14ac:dyDescent="0.3">
      <c r="A4" s="1">
        <v>1003</v>
      </c>
      <c r="B4" s="1" t="s">
        <v>8466</v>
      </c>
      <c r="C4" s="1">
        <v>1</v>
      </c>
      <c r="D4" s="1">
        <v>1</v>
      </c>
      <c r="E4" s="1">
        <v>1</v>
      </c>
      <c r="F4" s="1">
        <v>0</v>
      </c>
      <c r="G4" s="1">
        <v>5</v>
      </c>
      <c r="H4" s="1">
        <v>40</v>
      </c>
      <c r="I4" s="1">
        <v>0</v>
      </c>
      <c r="J4" s="1">
        <v>0</v>
      </c>
      <c r="K4" s="1">
        <v>0</v>
      </c>
      <c r="L4" s="1">
        <v>0</v>
      </c>
      <c r="M4" s="1">
        <v>0</v>
      </c>
      <c r="N4" s="1">
        <v>0</v>
      </c>
      <c r="O4" s="1">
        <v>4</v>
      </c>
      <c r="P4" s="1">
        <v>90</v>
      </c>
      <c r="Q4" s="1">
        <v>2</v>
      </c>
    </row>
    <row r="5" spans="1:17" x14ac:dyDescent="0.3">
      <c r="A5" s="1">
        <v>1004</v>
      </c>
      <c r="B5" s="1" t="s">
        <v>8465</v>
      </c>
      <c r="C5" s="1">
        <v>1</v>
      </c>
      <c r="D5" s="1">
        <v>1</v>
      </c>
      <c r="E5" s="1">
        <v>1</v>
      </c>
      <c r="F5" s="1">
        <v>23</v>
      </c>
      <c r="G5" s="1">
        <v>0</v>
      </c>
      <c r="H5" s="1">
        <v>0</v>
      </c>
      <c r="I5" s="1">
        <v>0</v>
      </c>
      <c r="J5" s="1">
        <v>0</v>
      </c>
      <c r="K5" s="1">
        <v>0</v>
      </c>
      <c r="L5" s="1">
        <v>0</v>
      </c>
      <c r="M5" s="1">
        <v>0</v>
      </c>
      <c r="N5" s="1">
        <v>0</v>
      </c>
      <c r="O5" s="1">
        <v>2</v>
      </c>
      <c r="P5" s="1">
        <v>50</v>
      </c>
      <c r="Q5" s="1">
        <v>2</v>
      </c>
    </row>
    <row r="6" spans="1:17" x14ac:dyDescent="0.3">
      <c r="A6" s="1">
        <v>1005</v>
      </c>
      <c r="B6" s="1" t="s">
        <v>8464</v>
      </c>
      <c r="C6" s="1">
        <v>1</v>
      </c>
      <c r="D6" s="1">
        <v>1</v>
      </c>
      <c r="E6" s="1">
        <v>1</v>
      </c>
      <c r="F6" s="1">
        <v>23</v>
      </c>
      <c r="G6" s="1">
        <v>0</v>
      </c>
      <c r="H6" s="1">
        <v>0</v>
      </c>
      <c r="I6" s="1">
        <v>0</v>
      </c>
      <c r="J6" s="1">
        <v>0</v>
      </c>
      <c r="K6" s="1">
        <v>0</v>
      </c>
      <c r="L6" s="1">
        <v>0</v>
      </c>
      <c r="M6" s="1">
        <v>0</v>
      </c>
      <c r="N6" s="1">
        <v>0</v>
      </c>
      <c r="O6" s="1">
        <v>2</v>
      </c>
      <c r="P6" s="1">
        <v>50</v>
      </c>
      <c r="Q6" s="1">
        <v>2</v>
      </c>
    </row>
    <row r="7" spans="1:17" x14ac:dyDescent="0.3">
      <c r="A7" s="1">
        <v>1006</v>
      </c>
      <c r="B7" s="1" t="s">
        <v>8463</v>
      </c>
      <c r="C7" s="1">
        <v>1</v>
      </c>
      <c r="D7" s="1">
        <v>1</v>
      </c>
      <c r="E7" s="1">
        <v>1</v>
      </c>
      <c r="F7" s="1">
        <v>0</v>
      </c>
      <c r="G7" s="1">
        <v>42</v>
      </c>
      <c r="H7" s="1">
        <v>0</v>
      </c>
      <c r="I7" s="1">
        <v>5</v>
      </c>
      <c r="J7" s="1">
        <v>0</v>
      </c>
      <c r="K7" s="1">
        <v>0</v>
      </c>
      <c r="L7" s="1">
        <v>0</v>
      </c>
      <c r="M7" s="1">
        <v>0</v>
      </c>
      <c r="N7" s="1">
        <v>0</v>
      </c>
      <c r="O7" s="1">
        <v>4</v>
      </c>
      <c r="P7" s="1">
        <v>90</v>
      </c>
      <c r="Q7" s="1">
        <v>2</v>
      </c>
    </row>
    <row r="8" spans="1:17" x14ac:dyDescent="0.3">
      <c r="A8" s="1">
        <v>1007</v>
      </c>
      <c r="B8" s="1" t="s">
        <v>8462</v>
      </c>
      <c r="C8" s="1">
        <v>1</v>
      </c>
      <c r="D8" s="1">
        <v>1</v>
      </c>
      <c r="E8" s="1">
        <v>1</v>
      </c>
      <c r="F8" s="1">
        <v>36</v>
      </c>
      <c r="G8" s="1">
        <v>0</v>
      </c>
      <c r="H8" s="1">
        <v>0</v>
      </c>
      <c r="I8" s="1">
        <v>8</v>
      </c>
      <c r="J8" s="1">
        <v>0</v>
      </c>
      <c r="K8" s="1">
        <v>0</v>
      </c>
      <c r="L8" s="1">
        <v>0</v>
      </c>
      <c r="M8" s="1">
        <v>0</v>
      </c>
      <c r="N8" s="1">
        <v>0</v>
      </c>
      <c r="O8" s="1">
        <v>4</v>
      </c>
      <c r="P8" s="1">
        <v>90</v>
      </c>
      <c r="Q8" s="1">
        <v>2</v>
      </c>
    </row>
    <row r="9" spans="1:17" x14ac:dyDescent="0.3">
      <c r="A9" s="1">
        <v>1008</v>
      </c>
      <c r="B9" s="1" t="s">
        <v>8461</v>
      </c>
      <c r="C9" s="1">
        <v>1</v>
      </c>
      <c r="D9" s="1">
        <v>1</v>
      </c>
      <c r="E9" s="1">
        <v>1</v>
      </c>
      <c r="F9" s="1">
        <v>0</v>
      </c>
      <c r="G9" s="1">
        <v>15</v>
      </c>
      <c r="H9" s="1">
        <v>30</v>
      </c>
      <c r="I9" s="1">
        <v>0</v>
      </c>
      <c r="J9" s="1">
        <v>0</v>
      </c>
      <c r="K9" s="1">
        <v>0</v>
      </c>
      <c r="L9" s="1">
        <v>0</v>
      </c>
      <c r="M9" s="1">
        <v>0</v>
      </c>
      <c r="N9" s="1">
        <v>0</v>
      </c>
      <c r="O9" s="1">
        <v>4</v>
      </c>
      <c r="P9" s="1">
        <v>90</v>
      </c>
      <c r="Q9" s="1">
        <v>2</v>
      </c>
    </row>
    <row r="10" spans="1:17" x14ac:dyDescent="0.3">
      <c r="A10" s="1">
        <v>1009</v>
      </c>
      <c r="B10" s="1" t="s">
        <v>8460</v>
      </c>
      <c r="C10" s="1">
        <v>1</v>
      </c>
      <c r="D10" s="1">
        <v>1</v>
      </c>
      <c r="E10" s="1">
        <v>1</v>
      </c>
      <c r="F10" s="1">
        <v>0</v>
      </c>
      <c r="G10" s="1">
        <v>41</v>
      </c>
      <c r="H10" s="1">
        <v>5</v>
      </c>
      <c r="I10" s="1">
        <v>0</v>
      </c>
      <c r="J10" s="1">
        <v>0</v>
      </c>
      <c r="K10" s="1">
        <v>0</v>
      </c>
      <c r="L10" s="1">
        <v>0</v>
      </c>
      <c r="M10" s="1">
        <v>0</v>
      </c>
      <c r="N10" s="1">
        <v>0</v>
      </c>
      <c r="O10" s="1">
        <v>4</v>
      </c>
      <c r="P10" s="1">
        <v>90</v>
      </c>
      <c r="Q10" s="1">
        <v>2</v>
      </c>
    </row>
    <row r="11" spans="1:17" x14ac:dyDescent="0.3">
      <c r="A11" s="1">
        <v>1010</v>
      </c>
      <c r="B11" s="1" t="s">
        <v>8459</v>
      </c>
      <c r="C11" s="1">
        <v>1</v>
      </c>
      <c r="D11" s="1">
        <v>1</v>
      </c>
      <c r="E11" s="1">
        <v>1</v>
      </c>
      <c r="F11" s="1">
        <v>21</v>
      </c>
      <c r="G11" s="1">
        <v>0</v>
      </c>
      <c r="H11" s="1">
        <v>4</v>
      </c>
      <c r="I11" s="1">
        <v>0</v>
      </c>
      <c r="J11" s="1">
        <v>0</v>
      </c>
      <c r="K11" s="1">
        <v>0</v>
      </c>
      <c r="L11" s="1">
        <v>0</v>
      </c>
      <c r="M11" s="1">
        <v>0</v>
      </c>
      <c r="N11" s="1">
        <v>0</v>
      </c>
      <c r="O11" s="1">
        <v>2</v>
      </c>
      <c r="P11" s="1">
        <v>50</v>
      </c>
      <c r="Q11" s="1">
        <v>2</v>
      </c>
    </row>
    <row r="12" spans="1:17" x14ac:dyDescent="0.3">
      <c r="A12" s="1">
        <v>2001</v>
      </c>
      <c r="B12" s="1" t="s">
        <v>8458</v>
      </c>
      <c r="C12" s="1">
        <v>2</v>
      </c>
      <c r="D12" s="1">
        <v>1</v>
      </c>
      <c r="E12" s="1">
        <v>1</v>
      </c>
      <c r="F12" s="1">
        <v>28</v>
      </c>
      <c r="G12" s="1">
        <v>4</v>
      </c>
      <c r="H12" s="1">
        <v>0</v>
      </c>
      <c r="I12" s="1">
        <v>0</v>
      </c>
      <c r="J12" s="1">
        <v>0</v>
      </c>
      <c r="K12" s="1">
        <v>0</v>
      </c>
      <c r="L12" s="1">
        <v>0</v>
      </c>
      <c r="M12" s="1">
        <v>0</v>
      </c>
      <c r="N12" s="1">
        <v>0</v>
      </c>
      <c r="O12" s="1">
        <v>4</v>
      </c>
      <c r="P12" s="1">
        <v>90</v>
      </c>
      <c r="Q12" s="1">
        <v>1</v>
      </c>
    </row>
    <row r="13" spans="1:17" x14ac:dyDescent="0.3">
      <c r="A13" s="1">
        <v>2002</v>
      </c>
      <c r="B13" s="1" t="s">
        <v>8457</v>
      </c>
      <c r="C13" s="1">
        <v>2</v>
      </c>
      <c r="D13" s="1">
        <v>1</v>
      </c>
      <c r="E13" s="1">
        <v>1</v>
      </c>
      <c r="F13" s="1">
        <v>0</v>
      </c>
      <c r="G13" s="1">
        <v>0</v>
      </c>
      <c r="H13" s="1">
        <v>9</v>
      </c>
      <c r="I13" s="1">
        <v>24</v>
      </c>
      <c r="J13" s="1">
        <v>0</v>
      </c>
      <c r="K13" s="1">
        <v>0</v>
      </c>
      <c r="L13" s="1">
        <v>0</v>
      </c>
      <c r="M13" s="1">
        <v>0</v>
      </c>
      <c r="N13" s="1">
        <v>0</v>
      </c>
      <c r="O13" s="1">
        <v>4</v>
      </c>
      <c r="P13" s="1">
        <v>90</v>
      </c>
      <c r="Q13" s="1">
        <v>1</v>
      </c>
    </row>
    <row r="14" spans="1:17" x14ac:dyDescent="0.3">
      <c r="A14" s="1">
        <v>2003</v>
      </c>
      <c r="B14" s="1" t="s">
        <v>8456</v>
      </c>
      <c r="C14" s="1">
        <v>2</v>
      </c>
      <c r="D14" s="1">
        <v>1</v>
      </c>
      <c r="E14" s="1">
        <v>1</v>
      </c>
      <c r="F14" s="1">
        <v>0</v>
      </c>
      <c r="G14" s="1">
        <v>0</v>
      </c>
      <c r="H14" s="1">
        <v>8</v>
      </c>
      <c r="I14" s="1">
        <v>32</v>
      </c>
      <c r="J14" s="1">
        <v>0</v>
      </c>
      <c r="K14" s="1">
        <v>0</v>
      </c>
      <c r="L14" s="1">
        <v>0</v>
      </c>
      <c r="M14" s="1">
        <v>0</v>
      </c>
      <c r="N14" s="1">
        <v>0</v>
      </c>
      <c r="O14" s="1">
        <v>5</v>
      </c>
      <c r="P14" s="1">
        <v>110</v>
      </c>
      <c r="Q14" s="1">
        <v>1</v>
      </c>
    </row>
    <row r="15" spans="1:17" x14ac:dyDescent="0.3">
      <c r="A15" s="1">
        <v>2004</v>
      </c>
      <c r="B15" s="1" t="s">
        <v>8455</v>
      </c>
      <c r="C15" s="1">
        <v>2</v>
      </c>
      <c r="D15" s="1">
        <v>1</v>
      </c>
      <c r="E15" s="1">
        <v>1</v>
      </c>
      <c r="F15" s="1">
        <v>0</v>
      </c>
      <c r="G15" s="1">
        <v>24</v>
      </c>
      <c r="H15" s="1">
        <v>0</v>
      </c>
      <c r="I15" s="1">
        <v>0</v>
      </c>
      <c r="J15" s="1">
        <v>0</v>
      </c>
      <c r="K15" s="1">
        <v>0</v>
      </c>
      <c r="L15" s="1">
        <v>0</v>
      </c>
      <c r="M15" s="1">
        <v>0</v>
      </c>
      <c r="N15" s="1">
        <v>0</v>
      </c>
      <c r="O15" s="1">
        <v>3</v>
      </c>
      <c r="P15" s="1">
        <v>70</v>
      </c>
      <c r="Q15" s="1">
        <v>1</v>
      </c>
    </row>
    <row r="16" spans="1:17" x14ac:dyDescent="0.3">
      <c r="A16" s="1">
        <v>2005</v>
      </c>
      <c r="B16" s="1" t="s">
        <v>8454</v>
      </c>
      <c r="C16" s="1">
        <v>2</v>
      </c>
      <c r="D16" s="1">
        <v>1</v>
      </c>
      <c r="E16" s="1">
        <v>1</v>
      </c>
      <c r="F16" s="1">
        <v>24</v>
      </c>
      <c r="G16" s="1">
        <v>0</v>
      </c>
      <c r="H16" s="1">
        <v>24</v>
      </c>
      <c r="I16" s="1">
        <v>0</v>
      </c>
      <c r="J16" s="1">
        <v>0</v>
      </c>
      <c r="K16" s="1">
        <v>0</v>
      </c>
      <c r="L16" s="1">
        <v>0</v>
      </c>
      <c r="M16" s="1">
        <v>0</v>
      </c>
      <c r="N16" s="1">
        <v>0</v>
      </c>
      <c r="O16" s="1">
        <v>6</v>
      </c>
      <c r="P16" s="1">
        <v>130</v>
      </c>
      <c r="Q16" s="1">
        <v>1</v>
      </c>
    </row>
    <row r="17" spans="1:17" x14ac:dyDescent="0.3">
      <c r="A17" s="1">
        <v>2006</v>
      </c>
      <c r="B17" s="1" t="s">
        <v>8453</v>
      </c>
      <c r="C17" s="1">
        <v>2</v>
      </c>
      <c r="D17" s="1">
        <v>1</v>
      </c>
      <c r="E17" s="1">
        <v>1</v>
      </c>
      <c r="F17" s="1">
        <v>0</v>
      </c>
      <c r="G17" s="1">
        <v>8</v>
      </c>
      <c r="H17" s="1">
        <v>0</v>
      </c>
      <c r="I17" s="1">
        <v>40</v>
      </c>
      <c r="J17" s="1">
        <v>0</v>
      </c>
      <c r="K17" s="1">
        <v>0</v>
      </c>
      <c r="L17" s="1">
        <v>0</v>
      </c>
      <c r="M17" s="1">
        <v>0</v>
      </c>
      <c r="N17" s="1">
        <v>0</v>
      </c>
      <c r="O17" s="1">
        <v>6</v>
      </c>
      <c r="P17" s="1">
        <v>130</v>
      </c>
      <c r="Q17" s="1">
        <v>1</v>
      </c>
    </row>
    <row r="18" spans="1:17" x14ac:dyDescent="0.3">
      <c r="A18" s="1">
        <v>2007</v>
      </c>
      <c r="B18" s="1" t="s">
        <v>8452</v>
      </c>
      <c r="C18" s="1">
        <v>2</v>
      </c>
      <c r="D18" s="1">
        <v>1</v>
      </c>
      <c r="E18" s="1">
        <v>1</v>
      </c>
      <c r="F18" s="1">
        <v>0</v>
      </c>
      <c r="G18" s="1">
        <v>0</v>
      </c>
      <c r="H18" s="1">
        <v>0</v>
      </c>
      <c r="I18" s="1">
        <v>16</v>
      </c>
      <c r="J18" s="1">
        <v>0</v>
      </c>
      <c r="K18" s="1">
        <v>0</v>
      </c>
      <c r="L18" s="1">
        <v>0</v>
      </c>
      <c r="M18" s="1">
        <v>0</v>
      </c>
      <c r="N18" s="1">
        <v>0</v>
      </c>
      <c r="O18" s="1">
        <v>2</v>
      </c>
      <c r="P18" s="1">
        <v>40</v>
      </c>
      <c r="Q18" s="1">
        <v>1</v>
      </c>
    </row>
    <row r="19" spans="1:17" x14ac:dyDescent="0.3">
      <c r="A19" s="1">
        <v>2008</v>
      </c>
      <c r="B19" s="1" t="s">
        <v>8451</v>
      </c>
      <c r="C19" s="1">
        <v>2</v>
      </c>
      <c r="D19" s="1">
        <v>1</v>
      </c>
      <c r="E19" s="1">
        <v>1</v>
      </c>
      <c r="F19" s="1">
        <v>0</v>
      </c>
      <c r="G19" s="1">
        <v>0</v>
      </c>
      <c r="H19" s="1">
        <v>16</v>
      </c>
      <c r="I19" s="1">
        <v>0</v>
      </c>
      <c r="J19" s="1">
        <v>0</v>
      </c>
      <c r="K19" s="1">
        <v>0</v>
      </c>
      <c r="L19" s="1">
        <v>0</v>
      </c>
      <c r="M19" s="1">
        <v>0</v>
      </c>
      <c r="N19" s="1">
        <v>0</v>
      </c>
      <c r="O19" s="1">
        <v>2</v>
      </c>
      <c r="P19" s="1">
        <v>40</v>
      </c>
      <c r="Q19" s="1">
        <v>1</v>
      </c>
    </row>
    <row r="20" spans="1:17" x14ac:dyDescent="0.3">
      <c r="A20" s="1">
        <v>2009</v>
      </c>
      <c r="B20" s="1" t="s">
        <v>8450</v>
      </c>
      <c r="C20" s="1">
        <v>2</v>
      </c>
      <c r="D20" s="1">
        <v>1</v>
      </c>
      <c r="E20" s="1">
        <v>1</v>
      </c>
      <c r="F20" s="1">
        <v>24</v>
      </c>
      <c r="G20" s="1">
        <v>8</v>
      </c>
      <c r="H20" s="1">
        <v>0</v>
      </c>
      <c r="I20" s="1">
        <v>0</v>
      </c>
      <c r="J20" s="1">
        <v>0</v>
      </c>
      <c r="K20" s="1">
        <v>0</v>
      </c>
      <c r="L20" s="1">
        <v>0</v>
      </c>
      <c r="M20" s="1">
        <v>0</v>
      </c>
      <c r="N20" s="1">
        <v>0</v>
      </c>
      <c r="O20" s="1">
        <v>4</v>
      </c>
      <c r="P20" s="1">
        <v>90</v>
      </c>
      <c r="Q20" s="1">
        <v>1</v>
      </c>
    </row>
    <row r="21" spans="1:17" x14ac:dyDescent="0.3">
      <c r="A21" s="1">
        <v>2010</v>
      </c>
      <c r="B21" s="1" t="s">
        <v>8449</v>
      </c>
      <c r="C21" s="1">
        <v>2</v>
      </c>
      <c r="D21" s="1">
        <v>1</v>
      </c>
      <c r="E21" s="1">
        <v>1</v>
      </c>
      <c r="F21" s="1">
        <v>0</v>
      </c>
      <c r="G21" s="1">
        <v>18</v>
      </c>
      <c r="H21" s="1">
        <v>0</v>
      </c>
      <c r="I21" s="1">
        <v>0</v>
      </c>
      <c r="J21" s="1">
        <v>0</v>
      </c>
      <c r="K21" s="1">
        <v>0</v>
      </c>
      <c r="L21" s="1">
        <v>0</v>
      </c>
      <c r="M21" s="1">
        <v>0</v>
      </c>
      <c r="N21" s="1">
        <v>0</v>
      </c>
      <c r="O21" s="1">
        <v>2</v>
      </c>
      <c r="P21" s="1">
        <v>40</v>
      </c>
      <c r="Q21" s="1">
        <v>1</v>
      </c>
    </row>
    <row r="22" spans="1:17" x14ac:dyDescent="0.3">
      <c r="A22" s="1">
        <v>3001</v>
      </c>
      <c r="B22" s="1" t="s">
        <v>8448</v>
      </c>
      <c r="C22" s="1">
        <v>3</v>
      </c>
      <c r="D22" s="1">
        <v>1</v>
      </c>
      <c r="E22" s="1">
        <v>1</v>
      </c>
      <c r="F22" s="1">
        <v>28</v>
      </c>
      <c r="G22" s="1">
        <v>8</v>
      </c>
      <c r="H22" s="1">
        <v>0</v>
      </c>
      <c r="I22" s="1">
        <v>0</v>
      </c>
      <c r="J22" s="1">
        <v>0</v>
      </c>
      <c r="K22" s="1">
        <v>0</v>
      </c>
      <c r="L22" s="1">
        <v>0</v>
      </c>
      <c r="M22" s="1">
        <v>0</v>
      </c>
      <c r="N22" s="1">
        <v>0</v>
      </c>
      <c r="O22" s="1">
        <v>4</v>
      </c>
      <c r="P22" s="1">
        <v>100</v>
      </c>
      <c r="Q22" s="1">
        <v>1</v>
      </c>
    </row>
    <row r="23" spans="1:17" x14ac:dyDescent="0.3">
      <c r="A23" s="1">
        <v>3002</v>
      </c>
      <c r="B23" s="1" t="s">
        <v>8447</v>
      </c>
      <c r="C23" s="1">
        <v>3</v>
      </c>
      <c r="D23" s="1">
        <v>1</v>
      </c>
      <c r="E23" s="1">
        <v>1</v>
      </c>
      <c r="F23" s="1">
        <v>24</v>
      </c>
      <c r="G23" s="1">
        <v>4</v>
      </c>
      <c r="H23" s="1">
        <v>0</v>
      </c>
      <c r="I23" s="1">
        <v>0</v>
      </c>
      <c r="J23" s="1">
        <v>0</v>
      </c>
      <c r="K23" s="1">
        <v>0</v>
      </c>
      <c r="L23" s="1">
        <v>0</v>
      </c>
      <c r="M23" s="1">
        <v>0</v>
      </c>
      <c r="N23" s="1">
        <v>0</v>
      </c>
      <c r="O23" s="1">
        <v>3</v>
      </c>
      <c r="P23" s="1">
        <v>90</v>
      </c>
      <c r="Q23" s="1">
        <v>1</v>
      </c>
    </row>
    <row r="24" spans="1:17" x14ac:dyDescent="0.3">
      <c r="A24" s="1">
        <v>3003</v>
      </c>
      <c r="B24" s="1" t="s">
        <v>8446</v>
      </c>
      <c r="C24" s="1">
        <v>3</v>
      </c>
      <c r="D24" s="1">
        <v>1</v>
      </c>
      <c r="E24" s="1">
        <v>1</v>
      </c>
      <c r="F24" s="1">
        <v>0</v>
      </c>
      <c r="G24" s="1">
        <v>0</v>
      </c>
      <c r="H24" s="1">
        <v>4</v>
      </c>
      <c r="I24" s="1">
        <v>24</v>
      </c>
      <c r="J24" s="1">
        <v>0</v>
      </c>
      <c r="K24" s="1">
        <v>0</v>
      </c>
      <c r="L24" s="1">
        <v>0</v>
      </c>
      <c r="M24" s="1">
        <v>0</v>
      </c>
      <c r="N24" s="1">
        <v>0</v>
      </c>
      <c r="O24" s="1">
        <v>3</v>
      </c>
      <c r="P24" s="1">
        <v>90</v>
      </c>
      <c r="Q24" s="1">
        <v>1</v>
      </c>
    </row>
    <row r="25" spans="1:17" x14ac:dyDescent="0.3">
      <c r="A25" s="1">
        <v>3004</v>
      </c>
      <c r="B25" s="1" t="s">
        <v>8445</v>
      </c>
      <c r="C25" s="1">
        <v>3</v>
      </c>
      <c r="D25" s="1">
        <v>1</v>
      </c>
      <c r="E25" s="1">
        <v>1</v>
      </c>
      <c r="F25" s="1">
        <v>32</v>
      </c>
      <c r="G25" s="1">
        <v>0</v>
      </c>
      <c r="H25" s="1">
        <v>4</v>
      </c>
      <c r="I25" s="1">
        <v>0</v>
      </c>
      <c r="J25" s="1">
        <v>0</v>
      </c>
      <c r="K25" s="1">
        <v>0</v>
      </c>
      <c r="L25" s="1">
        <v>0</v>
      </c>
      <c r="M25" s="1">
        <v>0</v>
      </c>
      <c r="N25" s="1">
        <v>0</v>
      </c>
      <c r="O25" s="1">
        <v>4</v>
      </c>
      <c r="P25" s="1">
        <v>100</v>
      </c>
      <c r="Q25" s="1">
        <v>1</v>
      </c>
    </row>
    <row r="26" spans="1:17" x14ac:dyDescent="0.3">
      <c r="A26" s="1">
        <v>3005</v>
      </c>
      <c r="B26" s="1" t="s">
        <v>8444</v>
      </c>
      <c r="C26" s="1">
        <v>3</v>
      </c>
      <c r="D26" s="1">
        <v>1</v>
      </c>
      <c r="E26" s="1">
        <v>1</v>
      </c>
      <c r="F26" s="1">
        <v>32</v>
      </c>
      <c r="G26" s="1">
        <v>0</v>
      </c>
      <c r="H26" s="1">
        <v>4</v>
      </c>
      <c r="I26" s="1">
        <v>0</v>
      </c>
      <c r="J26" s="1">
        <v>0</v>
      </c>
      <c r="K26" s="1">
        <v>0</v>
      </c>
      <c r="L26" s="1">
        <v>0</v>
      </c>
      <c r="M26" s="1">
        <v>0</v>
      </c>
      <c r="N26" s="1">
        <v>0</v>
      </c>
      <c r="O26" s="1">
        <v>4</v>
      </c>
      <c r="P26" s="1">
        <v>100</v>
      </c>
      <c r="Q26" s="1">
        <v>1</v>
      </c>
    </row>
    <row r="27" spans="1:17" x14ac:dyDescent="0.3">
      <c r="A27" s="1">
        <v>3006</v>
      </c>
      <c r="B27" s="1" t="s">
        <v>8443</v>
      </c>
      <c r="C27" s="1">
        <v>3</v>
      </c>
      <c r="D27" s="1">
        <v>1</v>
      </c>
      <c r="E27" s="1">
        <v>1</v>
      </c>
      <c r="F27" s="1">
        <v>0</v>
      </c>
      <c r="G27" s="1">
        <v>17</v>
      </c>
      <c r="H27" s="1">
        <v>0</v>
      </c>
      <c r="I27" s="1">
        <v>0</v>
      </c>
      <c r="J27" s="1">
        <v>0</v>
      </c>
      <c r="K27" s="1">
        <v>0</v>
      </c>
      <c r="L27" s="1">
        <v>0</v>
      </c>
      <c r="M27" s="1">
        <v>0</v>
      </c>
      <c r="N27" s="1">
        <v>0</v>
      </c>
      <c r="O27" s="1">
        <v>2</v>
      </c>
      <c r="P27" s="1">
        <v>50</v>
      </c>
      <c r="Q27" s="1">
        <v>1</v>
      </c>
    </row>
    <row r="28" spans="1:17" x14ac:dyDescent="0.3">
      <c r="A28" s="1">
        <v>3007</v>
      </c>
      <c r="B28" s="1" t="s">
        <v>8442</v>
      </c>
      <c r="C28" s="1">
        <v>3</v>
      </c>
      <c r="D28" s="1">
        <v>1</v>
      </c>
      <c r="E28" s="1">
        <v>1</v>
      </c>
      <c r="F28" s="1">
        <v>31</v>
      </c>
      <c r="G28" s="1">
        <v>0</v>
      </c>
      <c r="H28" s="1">
        <v>5</v>
      </c>
      <c r="I28" s="1">
        <v>0</v>
      </c>
      <c r="J28" s="1">
        <v>0</v>
      </c>
      <c r="K28" s="1">
        <v>0</v>
      </c>
      <c r="L28" s="1">
        <v>0</v>
      </c>
      <c r="M28" s="1">
        <v>0</v>
      </c>
      <c r="N28" s="1">
        <v>0</v>
      </c>
      <c r="O28" s="1">
        <v>4</v>
      </c>
      <c r="P28" s="1">
        <v>100</v>
      </c>
      <c r="Q28" s="1">
        <v>1</v>
      </c>
    </row>
    <row r="29" spans="1:17" x14ac:dyDescent="0.3">
      <c r="A29" s="1">
        <v>3008</v>
      </c>
      <c r="B29" s="1" t="s">
        <v>8441</v>
      </c>
      <c r="C29" s="1">
        <v>3</v>
      </c>
      <c r="D29" s="1">
        <v>1</v>
      </c>
      <c r="E29" s="1">
        <v>1</v>
      </c>
      <c r="F29" s="1">
        <v>0</v>
      </c>
      <c r="G29" s="1">
        <v>0</v>
      </c>
      <c r="H29" s="1">
        <v>28</v>
      </c>
      <c r="I29" s="1">
        <v>7</v>
      </c>
      <c r="J29" s="1">
        <v>0</v>
      </c>
      <c r="K29" s="1">
        <v>0</v>
      </c>
      <c r="L29" s="1">
        <v>0</v>
      </c>
      <c r="M29" s="1">
        <v>0</v>
      </c>
      <c r="N29" s="1">
        <v>0</v>
      </c>
      <c r="O29" s="1">
        <v>4</v>
      </c>
      <c r="P29" s="1">
        <v>100</v>
      </c>
      <c r="Q29" s="1">
        <v>1</v>
      </c>
    </row>
    <row r="30" spans="1:17" x14ac:dyDescent="0.3">
      <c r="A30" s="1">
        <v>3009</v>
      </c>
      <c r="B30" s="1" t="s">
        <v>8440</v>
      </c>
      <c r="C30" s="1">
        <v>3</v>
      </c>
      <c r="D30" s="1">
        <v>1</v>
      </c>
      <c r="E30" s="1">
        <v>1</v>
      </c>
      <c r="F30" s="1">
        <v>21</v>
      </c>
      <c r="G30" s="1">
        <v>0</v>
      </c>
      <c r="H30" s="1">
        <v>0</v>
      </c>
      <c r="I30" s="1">
        <v>0</v>
      </c>
      <c r="J30" s="1">
        <v>0</v>
      </c>
      <c r="K30" s="1">
        <v>0</v>
      </c>
      <c r="L30" s="1">
        <v>0</v>
      </c>
      <c r="M30" s="1">
        <v>0</v>
      </c>
      <c r="N30" s="1">
        <v>0</v>
      </c>
      <c r="O30" s="1">
        <v>2</v>
      </c>
      <c r="P30" s="1">
        <v>50</v>
      </c>
      <c r="Q30" s="1">
        <v>1</v>
      </c>
    </row>
    <row r="31" spans="1:17" x14ac:dyDescent="0.3">
      <c r="A31" s="1">
        <v>3010</v>
      </c>
      <c r="B31" s="1" t="s">
        <v>8439</v>
      </c>
      <c r="C31" s="1">
        <v>3</v>
      </c>
      <c r="D31" s="1">
        <v>1</v>
      </c>
      <c r="E31" s="1">
        <v>1</v>
      </c>
      <c r="F31" s="1">
        <v>0</v>
      </c>
      <c r="G31" s="1">
        <v>0</v>
      </c>
      <c r="H31" s="1">
        <v>0</v>
      </c>
      <c r="I31" s="1">
        <v>21</v>
      </c>
      <c r="J31" s="1">
        <v>0</v>
      </c>
      <c r="K31" s="1">
        <v>0</v>
      </c>
      <c r="L31" s="1">
        <v>0</v>
      </c>
      <c r="M31" s="1">
        <v>0</v>
      </c>
      <c r="N31" s="1">
        <v>0</v>
      </c>
      <c r="O31" s="1">
        <v>2</v>
      </c>
      <c r="P31" s="1">
        <v>50</v>
      </c>
      <c r="Q31" s="1">
        <v>1</v>
      </c>
    </row>
    <row r="32" spans="1:17" x14ac:dyDescent="0.3">
      <c r="A32" s="1">
        <v>4001</v>
      </c>
      <c r="B32" s="1" t="s">
        <v>8438</v>
      </c>
      <c r="C32" s="1">
        <v>4</v>
      </c>
      <c r="D32" s="1">
        <v>1</v>
      </c>
      <c r="E32" s="1">
        <v>1</v>
      </c>
      <c r="F32" s="1">
        <v>23</v>
      </c>
      <c r="G32" s="1">
        <v>0</v>
      </c>
      <c r="H32" s="1">
        <v>0</v>
      </c>
      <c r="I32" s="1">
        <v>0</v>
      </c>
      <c r="J32" s="1">
        <v>0</v>
      </c>
      <c r="K32" s="1">
        <v>0</v>
      </c>
      <c r="L32" s="1">
        <v>0</v>
      </c>
      <c r="M32" s="1">
        <v>0</v>
      </c>
      <c r="N32" s="1">
        <v>0</v>
      </c>
      <c r="O32" s="1">
        <v>3</v>
      </c>
      <c r="P32" s="1">
        <v>70</v>
      </c>
      <c r="Q32" s="1">
        <v>2</v>
      </c>
    </row>
    <row r="33" spans="1:17" x14ac:dyDescent="0.3">
      <c r="A33" s="1">
        <v>4002</v>
      </c>
      <c r="B33" s="1" t="s">
        <v>8437</v>
      </c>
      <c r="C33" s="1">
        <v>4</v>
      </c>
      <c r="D33" s="1">
        <v>1</v>
      </c>
      <c r="E33" s="1">
        <v>1</v>
      </c>
      <c r="F33" s="1">
        <v>25</v>
      </c>
      <c r="G33" s="1">
        <v>6</v>
      </c>
      <c r="H33" s="1">
        <v>0</v>
      </c>
      <c r="I33" s="1">
        <v>0</v>
      </c>
      <c r="J33" s="1">
        <v>0</v>
      </c>
      <c r="K33" s="1">
        <v>0</v>
      </c>
      <c r="L33" s="1">
        <v>0</v>
      </c>
      <c r="M33" s="1">
        <v>0</v>
      </c>
      <c r="N33" s="1">
        <v>0</v>
      </c>
      <c r="O33" s="1">
        <v>4</v>
      </c>
      <c r="P33" s="1">
        <v>90</v>
      </c>
      <c r="Q33" s="1">
        <v>2</v>
      </c>
    </row>
    <row r="34" spans="1:17" x14ac:dyDescent="0.3">
      <c r="A34" s="1">
        <v>4003</v>
      </c>
      <c r="B34" s="1" t="s">
        <v>8436</v>
      </c>
      <c r="C34" s="1">
        <v>4</v>
      </c>
      <c r="D34" s="1">
        <v>1</v>
      </c>
      <c r="E34" s="1">
        <v>1</v>
      </c>
      <c r="F34" s="1">
        <v>0</v>
      </c>
      <c r="G34" s="1">
        <v>0</v>
      </c>
      <c r="H34" s="1">
        <v>25</v>
      </c>
      <c r="I34" s="1">
        <v>6</v>
      </c>
      <c r="J34" s="1">
        <v>0</v>
      </c>
      <c r="K34" s="1">
        <v>0</v>
      </c>
      <c r="L34" s="1">
        <v>0</v>
      </c>
      <c r="M34" s="1">
        <v>0</v>
      </c>
      <c r="N34" s="1">
        <v>0</v>
      </c>
      <c r="O34" s="1">
        <v>4</v>
      </c>
      <c r="P34" s="1">
        <v>90</v>
      </c>
      <c r="Q34" s="1">
        <v>2</v>
      </c>
    </row>
    <row r="35" spans="1:17" x14ac:dyDescent="0.3">
      <c r="A35" s="1">
        <v>4004</v>
      </c>
      <c r="B35" s="1" t="s">
        <v>8435</v>
      </c>
      <c r="C35" s="1">
        <v>4</v>
      </c>
      <c r="D35" s="1">
        <v>1</v>
      </c>
      <c r="E35" s="1">
        <v>1</v>
      </c>
      <c r="F35" s="1">
        <v>31</v>
      </c>
      <c r="G35" s="1">
        <v>0</v>
      </c>
      <c r="H35" s="1">
        <v>0</v>
      </c>
      <c r="I35" s="1">
        <v>0</v>
      </c>
      <c r="J35" s="1">
        <v>0</v>
      </c>
      <c r="K35" s="1">
        <v>0</v>
      </c>
      <c r="L35" s="1">
        <v>0</v>
      </c>
      <c r="M35" s="1">
        <v>0</v>
      </c>
      <c r="N35" s="1">
        <v>0</v>
      </c>
      <c r="O35" s="1">
        <v>4</v>
      </c>
      <c r="P35" s="1">
        <v>90</v>
      </c>
      <c r="Q35" s="1">
        <v>2</v>
      </c>
    </row>
    <row r="36" spans="1:17" x14ac:dyDescent="0.3">
      <c r="A36" s="1">
        <v>4005</v>
      </c>
      <c r="B36" s="1" t="s">
        <v>8434</v>
      </c>
      <c r="C36" s="1">
        <v>4</v>
      </c>
      <c r="D36" s="1">
        <v>1</v>
      </c>
      <c r="E36" s="1">
        <v>1</v>
      </c>
      <c r="F36" s="1">
        <v>5</v>
      </c>
      <c r="G36" s="1">
        <v>0</v>
      </c>
      <c r="H36" s="1">
        <v>0</v>
      </c>
      <c r="I36" s="1">
        <v>26</v>
      </c>
      <c r="J36" s="1">
        <v>0</v>
      </c>
      <c r="K36" s="1">
        <v>0</v>
      </c>
      <c r="L36" s="1">
        <v>0</v>
      </c>
      <c r="M36" s="1">
        <v>0</v>
      </c>
      <c r="N36" s="1">
        <v>0</v>
      </c>
      <c r="O36" s="1">
        <v>4</v>
      </c>
      <c r="P36" s="1">
        <v>90</v>
      </c>
      <c r="Q36" s="1">
        <v>2</v>
      </c>
    </row>
    <row r="37" spans="1:17" x14ac:dyDescent="0.3">
      <c r="A37" s="1">
        <v>4006</v>
      </c>
      <c r="B37" s="1" t="s">
        <v>8433</v>
      </c>
      <c r="C37" s="1">
        <v>4</v>
      </c>
      <c r="D37" s="1">
        <v>1</v>
      </c>
      <c r="E37" s="1">
        <v>1</v>
      </c>
      <c r="F37" s="1">
        <v>0</v>
      </c>
      <c r="G37" s="1">
        <v>24</v>
      </c>
      <c r="H37" s="1">
        <v>7</v>
      </c>
      <c r="I37" s="1">
        <v>0</v>
      </c>
      <c r="J37" s="1">
        <v>0</v>
      </c>
      <c r="K37" s="1">
        <v>0</v>
      </c>
      <c r="L37" s="1">
        <v>0</v>
      </c>
      <c r="M37" s="1">
        <v>0</v>
      </c>
      <c r="N37" s="1">
        <v>0</v>
      </c>
      <c r="O37" s="1">
        <v>4</v>
      </c>
      <c r="P37" s="1">
        <v>90</v>
      </c>
      <c r="Q37" s="1">
        <v>2</v>
      </c>
    </row>
    <row r="38" spans="1:17" x14ac:dyDescent="0.3">
      <c r="A38" s="1">
        <v>4007</v>
      </c>
      <c r="B38" s="1" t="s">
        <v>8432</v>
      </c>
      <c r="C38" s="1">
        <v>4</v>
      </c>
      <c r="D38" s="1">
        <v>1</v>
      </c>
      <c r="E38" s="1">
        <v>1</v>
      </c>
      <c r="F38" s="1">
        <v>40</v>
      </c>
      <c r="G38" s="1">
        <v>0</v>
      </c>
      <c r="H38" s="1">
        <v>0</v>
      </c>
      <c r="I38" s="1">
        <v>6</v>
      </c>
      <c r="J38" s="1">
        <v>0</v>
      </c>
      <c r="K38" s="1">
        <v>0</v>
      </c>
      <c r="L38" s="1">
        <v>0</v>
      </c>
      <c r="M38" s="1">
        <v>0</v>
      </c>
      <c r="N38" s="1">
        <v>0</v>
      </c>
      <c r="O38" s="1">
        <v>6</v>
      </c>
      <c r="P38" s="1">
        <v>110</v>
      </c>
      <c r="Q38" s="1">
        <v>2</v>
      </c>
    </row>
    <row r="39" spans="1:17" x14ac:dyDescent="0.3">
      <c r="A39" s="1">
        <v>4008</v>
      </c>
      <c r="B39" s="1" t="s">
        <v>8431</v>
      </c>
      <c r="C39" s="1">
        <v>4</v>
      </c>
      <c r="D39" s="1">
        <v>1</v>
      </c>
      <c r="E39" s="1">
        <v>1</v>
      </c>
      <c r="F39" s="1">
        <v>0</v>
      </c>
      <c r="G39" s="1">
        <v>0</v>
      </c>
      <c r="H39" s="1">
        <v>0</v>
      </c>
      <c r="I39" s="1">
        <v>32</v>
      </c>
      <c r="J39" s="1">
        <v>0</v>
      </c>
      <c r="K39" s="1">
        <v>0</v>
      </c>
      <c r="L39" s="1">
        <v>0</v>
      </c>
      <c r="M39" s="1">
        <v>0</v>
      </c>
      <c r="N39" s="1">
        <v>0</v>
      </c>
      <c r="O39" s="1">
        <v>4</v>
      </c>
      <c r="P39" s="1">
        <v>90</v>
      </c>
      <c r="Q39" s="1">
        <v>2</v>
      </c>
    </row>
    <row r="40" spans="1:17" x14ac:dyDescent="0.3">
      <c r="A40" s="1">
        <v>4009</v>
      </c>
      <c r="B40" s="1" t="s">
        <v>8430</v>
      </c>
      <c r="C40" s="1">
        <v>4</v>
      </c>
      <c r="D40" s="1">
        <v>1</v>
      </c>
      <c r="E40" s="1">
        <v>1</v>
      </c>
      <c r="F40" s="1">
        <v>0</v>
      </c>
      <c r="G40" s="1">
        <v>0</v>
      </c>
      <c r="H40" s="1">
        <v>16</v>
      </c>
      <c r="I40" s="1">
        <v>0</v>
      </c>
      <c r="J40" s="1">
        <v>0</v>
      </c>
      <c r="K40" s="1">
        <v>0</v>
      </c>
      <c r="L40" s="1">
        <v>0</v>
      </c>
      <c r="M40" s="1">
        <v>0</v>
      </c>
      <c r="N40" s="1">
        <v>0</v>
      </c>
      <c r="O40" s="1">
        <v>2</v>
      </c>
      <c r="P40" s="1">
        <v>40</v>
      </c>
      <c r="Q40" s="1">
        <v>2</v>
      </c>
    </row>
    <row r="41" spans="1:17" x14ac:dyDescent="0.3">
      <c r="A41" s="1">
        <v>4010</v>
      </c>
      <c r="B41" s="1" t="s">
        <v>8429</v>
      </c>
      <c r="C41" s="1">
        <v>4</v>
      </c>
      <c r="D41" s="1">
        <v>1</v>
      </c>
      <c r="E41" s="1">
        <v>1</v>
      </c>
      <c r="F41" s="1">
        <v>22</v>
      </c>
      <c r="G41" s="1">
        <v>0</v>
      </c>
      <c r="H41" s="1">
        <v>0</v>
      </c>
      <c r="I41" s="1">
        <v>0</v>
      </c>
      <c r="J41" s="1">
        <v>0</v>
      </c>
      <c r="K41" s="1">
        <v>0</v>
      </c>
      <c r="L41" s="1">
        <v>0</v>
      </c>
      <c r="M41" s="1">
        <v>0</v>
      </c>
      <c r="N41" s="1">
        <v>0</v>
      </c>
      <c r="O41" s="1">
        <v>3</v>
      </c>
      <c r="P41" s="1">
        <v>70</v>
      </c>
      <c r="Q41" s="1">
        <v>2</v>
      </c>
    </row>
    <row r="42" spans="1:17" x14ac:dyDescent="0.3">
      <c r="A42" s="1">
        <v>5001</v>
      </c>
      <c r="B42" s="1" t="s">
        <v>8428</v>
      </c>
      <c r="C42" s="1">
        <v>5</v>
      </c>
      <c r="D42" s="1">
        <v>1</v>
      </c>
      <c r="E42" s="1">
        <v>1</v>
      </c>
      <c r="F42" s="1">
        <v>26</v>
      </c>
      <c r="G42" s="1">
        <v>0</v>
      </c>
      <c r="H42" s="1">
        <v>15</v>
      </c>
      <c r="I42" s="1">
        <v>0</v>
      </c>
      <c r="J42" s="1">
        <v>0</v>
      </c>
      <c r="K42" s="1">
        <v>0</v>
      </c>
      <c r="L42" s="1">
        <v>0</v>
      </c>
      <c r="M42" s="1">
        <v>0</v>
      </c>
      <c r="N42" s="1">
        <v>0</v>
      </c>
      <c r="O42" s="1">
        <v>4</v>
      </c>
      <c r="P42" s="1">
        <v>90</v>
      </c>
      <c r="Q42" s="1">
        <v>2</v>
      </c>
    </row>
    <row r="43" spans="1:17" x14ac:dyDescent="0.3">
      <c r="A43" s="1">
        <v>5002</v>
      </c>
      <c r="B43" s="1" t="s">
        <v>8427</v>
      </c>
      <c r="C43" s="1">
        <v>5</v>
      </c>
      <c r="D43" s="1">
        <v>1</v>
      </c>
      <c r="E43" s="1">
        <v>1</v>
      </c>
      <c r="F43" s="1">
        <v>0</v>
      </c>
      <c r="G43" s="1">
        <v>32</v>
      </c>
      <c r="H43" s="1">
        <v>0</v>
      </c>
      <c r="I43" s="1">
        <v>0</v>
      </c>
      <c r="J43" s="1">
        <v>0</v>
      </c>
      <c r="K43" s="1">
        <v>0</v>
      </c>
      <c r="L43" s="1">
        <v>0</v>
      </c>
      <c r="M43" s="1">
        <v>0</v>
      </c>
      <c r="N43" s="1">
        <v>0</v>
      </c>
      <c r="O43" s="1">
        <v>3</v>
      </c>
      <c r="P43" s="1">
        <v>70</v>
      </c>
      <c r="Q43" s="1">
        <v>2</v>
      </c>
    </row>
    <row r="44" spans="1:17" x14ac:dyDescent="0.3">
      <c r="A44" s="1">
        <v>5003</v>
      </c>
      <c r="B44" s="1" t="s">
        <v>8426</v>
      </c>
      <c r="C44" s="1">
        <v>5</v>
      </c>
      <c r="D44" s="1">
        <v>1</v>
      </c>
      <c r="E44" s="1">
        <v>1</v>
      </c>
      <c r="F44" s="1">
        <v>21</v>
      </c>
      <c r="G44" s="1">
        <v>0</v>
      </c>
      <c r="H44" s="1">
        <v>0</v>
      </c>
      <c r="I44" s="1">
        <v>21</v>
      </c>
      <c r="J44" s="1">
        <v>0</v>
      </c>
      <c r="K44" s="1">
        <v>0</v>
      </c>
      <c r="L44" s="1">
        <v>0</v>
      </c>
      <c r="M44" s="1">
        <v>0</v>
      </c>
      <c r="N44" s="1">
        <v>0</v>
      </c>
      <c r="O44" s="1">
        <v>4</v>
      </c>
      <c r="P44" s="1">
        <v>90</v>
      </c>
      <c r="Q44" s="1">
        <v>2</v>
      </c>
    </row>
    <row r="45" spans="1:17" x14ac:dyDescent="0.3">
      <c r="A45" s="1">
        <v>5004</v>
      </c>
      <c r="B45" s="1" t="s">
        <v>8425</v>
      </c>
      <c r="C45" s="1">
        <v>5</v>
      </c>
      <c r="D45" s="1">
        <v>1</v>
      </c>
      <c r="E45" s="1">
        <v>1</v>
      </c>
      <c r="F45" s="1">
        <v>0</v>
      </c>
      <c r="G45" s="1">
        <v>8</v>
      </c>
      <c r="H45" s="1">
        <v>33</v>
      </c>
      <c r="I45" s="1">
        <v>0</v>
      </c>
      <c r="J45" s="1">
        <v>0</v>
      </c>
      <c r="K45" s="1">
        <v>0</v>
      </c>
      <c r="L45" s="1">
        <v>0</v>
      </c>
      <c r="M45" s="1">
        <v>0</v>
      </c>
      <c r="N45" s="1">
        <v>0</v>
      </c>
      <c r="O45" s="1">
        <v>4</v>
      </c>
      <c r="P45" s="1">
        <v>90</v>
      </c>
      <c r="Q45" s="1">
        <v>2</v>
      </c>
    </row>
    <row r="46" spans="1:17" x14ac:dyDescent="0.3">
      <c r="A46" s="1">
        <v>5005</v>
      </c>
      <c r="B46" s="1" t="s">
        <v>8424</v>
      </c>
      <c r="C46" s="1">
        <v>5</v>
      </c>
      <c r="D46" s="1">
        <v>1</v>
      </c>
      <c r="E46" s="1">
        <v>1</v>
      </c>
      <c r="F46" s="1">
        <v>0</v>
      </c>
      <c r="G46" s="1">
        <v>41</v>
      </c>
      <c r="H46" s="1">
        <v>0</v>
      </c>
      <c r="I46" s="1">
        <v>0</v>
      </c>
      <c r="J46" s="1">
        <v>0</v>
      </c>
      <c r="K46" s="1">
        <v>0</v>
      </c>
      <c r="L46" s="1">
        <v>0</v>
      </c>
      <c r="M46" s="1">
        <v>0</v>
      </c>
      <c r="N46" s="1">
        <v>0</v>
      </c>
      <c r="O46" s="1">
        <v>4</v>
      </c>
      <c r="P46" s="1">
        <v>90</v>
      </c>
      <c r="Q46" s="1">
        <v>2</v>
      </c>
    </row>
    <row r="47" spans="1:17" x14ac:dyDescent="0.3">
      <c r="A47" s="1">
        <v>5006</v>
      </c>
      <c r="B47" s="1" t="s">
        <v>8423</v>
      </c>
      <c r="C47" s="1">
        <v>5</v>
      </c>
      <c r="D47" s="1">
        <v>1</v>
      </c>
      <c r="E47" s="1">
        <v>1</v>
      </c>
      <c r="F47" s="1">
        <v>21</v>
      </c>
      <c r="G47" s="1">
        <v>0</v>
      </c>
      <c r="H47" s="1">
        <v>0</v>
      </c>
      <c r="I47" s="1">
        <v>0</v>
      </c>
      <c r="J47" s="1">
        <v>0</v>
      </c>
      <c r="K47" s="1">
        <v>0</v>
      </c>
      <c r="L47" s="1">
        <v>0</v>
      </c>
      <c r="M47" s="1">
        <v>0</v>
      </c>
      <c r="N47" s="1">
        <v>0</v>
      </c>
      <c r="O47" s="1">
        <v>2</v>
      </c>
      <c r="P47" s="1">
        <v>50</v>
      </c>
      <c r="Q47" s="1">
        <v>2</v>
      </c>
    </row>
    <row r="48" spans="1:17" x14ac:dyDescent="0.3">
      <c r="A48" s="1">
        <v>5007</v>
      </c>
      <c r="B48" s="1" t="s">
        <v>8422</v>
      </c>
      <c r="C48" s="1">
        <v>5</v>
      </c>
      <c r="D48" s="1">
        <v>1</v>
      </c>
      <c r="E48" s="1">
        <v>1</v>
      </c>
      <c r="F48" s="1">
        <v>0</v>
      </c>
      <c r="G48" s="1">
        <v>6</v>
      </c>
      <c r="H48" s="1">
        <v>0</v>
      </c>
      <c r="I48" s="1">
        <v>21</v>
      </c>
      <c r="J48" s="1">
        <v>0</v>
      </c>
      <c r="K48" s="1">
        <v>0</v>
      </c>
      <c r="L48" s="1">
        <v>0</v>
      </c>
      <c r="M48" s="1">
        <v>0</v>
      </c>
      <c r="N48" s="1">
        <v>0</v>
      </c>
      <c r="O48" s="1">
        <v>3</v>
      </c>
      <c r="P48" s="1">
        <v>70</v>
      </c>
      <c r="Q48" s="1">
        <v>2</v>
      </c>
    </row>
    <row r="49" spans="1:17" x14ac:dyDescent="0.3">
      <c r="A49" s="1">
        <v>5008</v>
      </c>
      <c r="B49" s="1" t="s">
        <v>8421</v>
      </c>
      <c r="C49" s="1">
        <v>5</v>
      </c>
      <c r="D49" s="1">
        <v>1</v>
      </c>
      <c r="E49" s="1">
        <v>1</v>
      </c>
      <c r="F49" s="1">
        <v>0</v>
      </c>
      <c r="G49" s="1">
        <v>30</v>
      </c>
      <c r="H49" s="1">
        <v>0</v>
      </c>
      <c r="I49" s="1">
        <v>0</v>
      </c>
      <c r="J49" s="1">
        <v>0</v>
      </c>
      <c r="K49" s="1">
        <v>0</v>
      </c>
      <c r="L49" s="1">
        <v>0</v>
      </c>
      <c r="M49" s="1">
        <v>0</v>
      </c>
      <c r="N49" s="1">
        <v>0</v>
      </c>
      <c r="O49" s="1">
        <v>3</v>
      </c>
      <c r="P49" s="1">
        <v>70</v>
      </c>
      <c r="Q49" s="1">
        <v>2</v>
      </c>
    </row>
    <row r="50" spans="1:17" x14ac:dyDescent="0.3">
      <c r="A50" s="1">
        <v>5009</v>
      </c>
      <c r="B50" s="1" t="s">
        <v>8420</v>
      </c>
      <c r="C50" s="1">
        <v>5</v>
      </c>
      <c r="D50" s="1">
        <v>1</v>
      </c>
      <c r="E50" s="1">
        <v>1</v>
      </c>
      <c r="F50" s="1">
        <v>48</v>
      </c>
      <c r="G50" s="1">
        <v>0</v>
      </c>
      <c r="H50" s="1">
        <v>15</v>
      </c>
      <c r="I50" s="1">
        <v>0</v>
      </c>
      <c r="J50" s="1">
        <v>0</v>
      </c>
      <c r="K50" s="1">
        <v>0</v>
      </c>
      <c r="L50" s="1">
        <v>0</v>
      </c>
      <c r="M50" s="1">
        <v>0</v>
      </c>
      <c r="N50" s="1">
        <v>0</v>
      </c>
      <c r="O50" s="1">
        <v>6</v>
      </c>
      <c r="P50" s="1">
        <v>140</v>
      </c>
      <c r="Q50" s="1">
        <v>2</v>
      </c>
    </row>
    <row r="51" spans="1:17" x14ac:dyDescent="0.3">
      <c r="A51" s="1">
        <v>5010</v>
      </c>
      <c r="B51" s="1" t="s">
        <v>8419</v>
      </c>
      <c r="C51" s="1">
        <v>5</v>
      </c>
      <c r="D51" s="1">
        <v>1</v>
      </c>
      <c r="E51" s="1">
        <v>1</v>
      </c>
      <c r="F51" s="1">
        <v>0</v>
      </c>
      <c r="G51" s="1">
        <v>5</v>
      </c>
      <c r="H51" s="1">
        <v>26</v>
      </c>
      <c r="I51" s="1">
        <v>0</v>
      </c>
      <c r="J51" s="1">
        <v>0</v>
      </c>
      <c r="K51" s="1">
        <v>0</v>
      </c>
      <c r="L51" s="1">
        <v>0</v>
      </c>
      <c r="M51" s="1">
        <v>0</v>
      </c>
      <c r="N51" s="1">
        <v>0</v>
      </c>
      <c r="O51" s="1">
        <v>3</v>
      </c>
      <c r="P51" s="1">
        <v>70</v>
      </c>
      <c r="Q51" s="1">
        <v>2</v>
      </c>
    </row>
    <row r="52" spans="1:17" x14ac:dyDescent="0.3">
      <c r="A52" s="1">
        <v>6001</v>
      </c>
      <c r="B52" s="1" t="s">
        <v>8418</v>
      </c>
      <c r="C52" s="1">
        <v>6</v>
      </c>
      <c r="D52" s="1">
        <v>1</v>
      </c>
      <c r="E52" s="1">
        <v>1</v>
      </c>
      <c r="F52" s="1">
        <v>30</v>
      </c>
      <c r="G52" s="1">
        <v>4</v>
      </c>
      <c r="H52" s="1">
        <v>0</v>
      </c>
      <c r="I52" s="1">
        <v>0</v>
      </c>
      <c r="J52" s="1">
        <v>0</v>
      </c>
      <c r="K52" s="1">
        <v>0</v>
      </c>
      <c r="L52" s="1">
        <v>0</v>
      </c>
      <c r="M52" s="1">
        <v>0</v>
      </c>
      <c r="N52" s="1">
        <v>0</v>
      </c>
      <c r="O52" s="1">
        <v>4</v>
      </c>
      <c r="P52" s="1">
        <v>90</v>
      </c>
      <c r="Q52" s="1">
        <v>1</v>
      </c>
    </row>
    <row r="53" spans="1:17" x14ac:dyDescent="0.3">
      <c r="A53" s="1">
        <v>6002</v>
      </c>
      <c r="B53" s="1" t="s">
        <v>8417</v>
      </c>
      <c r="C53" s="1">
        <v>6</v>
      </c>
      <c r="D53" s="1">
        <v>1</v>
      </c>
      <c r="E53" s="1">
        <v>1</v>
      </c>
      <c r="F53" s="1">
        <v>0</v>
      </c>
      <c r="G53" s="1">
        <v>17</v>
      </c>
      <c r="H53" s="1">
        <v>0</v>
      </c>
      <c r="I53" s="1">
        <v>0</v>
      </c>
      <c r="J53" s="1">
        <v>0</v>
      </c>
      <c r="K53" s="1">
        <v>0</v>
      </c>
      <c r="L53" s="1">
        <v>0</v>
      </c>
      <c r="M53" s="1">
        <v>0</v>
      </c>
      <c r="N53" s="1">
        <v>0</v>
      </c>
      <c r="O53" s="1">
        <v>2</v>
      </c>
      <c r="P53" s="1">
        <v>40</v>
      </c>
      <c r="Q53" s="1">
        <v>1</v>
      </c>
    </row>
    <row r="54" spans="1:17" x14ac:dyDescent="0.3">
      <c r="A54" s="1">
        <v>6003</v>
      </c>
      <c r="B54" s="1" t="s">
        <v>8416</v>
      </c>
      <c r="C54" s="1">
        <v>6</v>
      </c>
      <c r="D54" s="1">
        <v>1</v>
      </c>
      <c r="E54" s="1">
        <v>1</v>
      </c>
      <c r="F54" s="1">
        <v>0</v>
      </c>
      <c r="G54" s="1">
        <v>0</v>
      </c>
      <c r="H54" s="1">
        <v>13</v>
      </c>
      <c r="I54" s="1">
        <v>30</v>
      </c>
      <c r="J54" s="1">
        <v>0</v>
      </c>
      <c r="K54" s="1">
        <v>0</v>
      </c>
      <c r="L54" s="1">
        <v>0</v>
      </c>
      <c r="M54" s="1">
        <v>0</v>
      </c>
      <c r="N54" s="1">
        <v>0</v>
      </c>
      <c r="O54" s="1">
        <v>5</v>
      </c>
      <c r="P54" s="1">
        <v>100</v>
      </c>
      <c r="Q54" s="1">
        <v>1</v>
      </c>
    </row>
    <row r="55" spans="1:17" x14ac:dyDescent="0.3">
      <c r="A55" s="1">
        <v>6004</v>
      </c>
      <c r="B55" s="1" t="s">
        <v>8415</v>
      </c>
      <c r="C55" s="1">
        <v>6</v>
      </c>
      <c r="D55" s="1">
        <v>1</v>
      </c>
      <c r="E55" s="1">
        <v>1</v>
      </c>
      <c r="F55" s="1">
        <v>25</v>
      </c>
      <c r="G55" s="1">
        <v>0</v>
      </c>
      <c r="H55" s="1">
        <v>11</v>
      </c>
      <c r="I55" s="1">
        <v>0</v>
      </c>
      <c r="J55" s="1">
        <v>0</v>
      </c>
      <c r="K55" s="1">
        <v>0</v>
      </c>
      <c r="L55" s="1">
        <v>0</v>
      </c>
      <c r="M55" s="1">
        <v>0</v>
      </c>
      <c r="N55" s="1">
        <v>0</v>
      </c>
      <c r="O55" s="1">
        <v>4</v>
      </c>
      <c r="P55" s="1">
        <v>90</v>
      </c>
      <c r="Q55" s="1">
        <v>1</v>
      </c>
    </row>
    <row r="56" spans="1:17" x14ac:dyDescent="0.3">
      <c r="A56" s="1">
        <v>6005</v>
      </c>
      <c r="B56" s="1" t="s">
        <v>8414</v>
      </c>
      <c r="C56" s="1">
        <v>6</v>
      </c>
      <c r="D56" s="1">
        <v>1</v>
      </c>
      <c r="E56" s="1">
        <v>1</v>
      </c>
      <c r="F56" s="1">
        <v>7</v>
      </c>
      <c r="G56" s="1">
        <v>0</v>
      </c>
      <c r="H56" s="1">
        <v>0</v>
      </c>
      <c r="I56" s="1">
        <v>27</v>
      </c>
      <c r="J56" s="1">
        <v>0</v>
      </c>
      <c r="K56" s="1">
        <v>0</v>
      </c>
      <c r="L56" s="1">
        <v>0</v>
      </c>
      <c r="M56" s="1">
        <v>0</v>
      </c>
      <c r="N56" s="1">
        <v>0</v>
      </c>
      <c r="O56" s="1">
        <v>4</v>
      </c>
      <c r="P56" s="1">
        <v>90</v>
      </c>
      <c r="Q56" s="1">
        <v>1</v>
      </c>
    </row>
    <row r="57" spans="1:17" x14ac:dyDescent="0.3">
      <c r="A57" s="1">
        <v>6006</v>
      </c>
      <c r="B57" s="1" t="s">
        <v>8413</v>
      </c>
      <c r="C57" s="1">
        <v>6</v>
      </c>
      <c r="D57" s="1">
        <v>1</v>
      </c>
      <c r="E57" s="1">
        <v>1</v>
      </c>
      <c r="F57" s="1">
        <v>0</v>
      </c>
      <c r="G57" s="1">
        <v>30</v>
      </c>
      <c r="H57" s="1">
        <v>4</v>
      </c>
      <c r="I57" s="1">
        <v>0</v>
      </c>
      <c r="J57" s="1">
        <v>0</v>
      </c>
      <c r="K57" s="1">
        <v>0</v>
      </c>
      <c r="L57" s="1">
        <v>0</v>
      </c>
      <c r="M57" s="1">
        <v>0</v>
      </c>
      <c r="N57" s="1">
        <v>0</v>
      </c>
      <c r="O57" s="1">
        <v>4</v>
      </c>
      <c r="P57" s="1">
        <v>90</v>
      </c>
      <c r="Q57" s="1">
        <v>1</v>
      </c>
    </row>
    <row r="58" spans="1:17" x14ac:dyDescent="0.3">
      <c r="A58" s="1">
        <v>6007</v>
      </c>
      <c r="B58" s="1" t="s">
        <v>8412</v>
      </c>
      <c r="C58" s="1">
        <v>6</v>
      </c>
      <c r="D58" s="1">
        <v>1</v>
      </c>
      <c r="E58" s="1">
        <v>1</v>
      </c>
      <c r="F58" s="1">
        <v>16</v>
      </c>
      <c r="G58" s="1">
        <v>18</v>
      </c>
      <c r="H58" s="1">
        <v>0</v>
      </c>
      <c r="I58" s="1">
        <v>0</v>
      </c>
      <c r="J58" s="1">
        <v>0</v>
      </c>
      <c r="K58" s="1">
        <v>0</v>
      </c>
      <c r="L58" s="1">
        <v>0</v>
      </c>
      <c r="M58" s="1">
        <v>0</v>
      </c>
      <c r="N58" s="1">
        <v>0</v>
      </c>
      <c r="O58" s="1">
        <v>4</v>
      </c>
      <c r="P58" s="1">
        <v>90</v>
      </c>
      <c r="Q58" s="1">
        <v>1</v>
      </c>
    </row>
    <row r="59" spans="1:17" x14ac:dyDescent="0.3">
      <c r="A59" s="1">
        <v>6008</v>
      </c>
      <c r="B59" s="1" t="s">
        <v>8411</v>
      </c>
      <c r="C59" s="1">
        <v>6</v>
      </c>
      <c r="D59" s="1">
        <v>1</v>
      </c>
      <c r="E59" s="1">
        <v>1</v>
      </c>
      <c r="F59" s="1">
        <v>0</v>
      </c>
      <c r="G59" s="1">
        <v>0</v>
      </c>
      <c r="H59" s="1">
        <v>0</v>
      </c>
      <c r="I59" s="1">
        <v>25</v>
      </c>
      <c r="J59" s="1">
        <v>0</v>
      </c>
      <c r="K59" s="1">
        <v>0</v>
      </c>
      <c r="L59" s="1">
        <v>0</v>
      </c>
      <c r="M59" s="1">
        <v>0</v>
      </c>
      <c r="N59" s="1">
        <v>0</v>
      </c>
      <c r="O59" s="1">
        <v>3</v>
      </c>
      <c r="P59" s="1">
        <v>60</v>
      </c>
      <c r="Q59" s="1">
        <v>1</v>
      </c>
    </row>
    <row r="60" spans="1:17" x14ac:dyDescent="0.3">
      <c r="A60" s="1">
        <v>6009</v>
      </c>
      <c r="B60" s="1" t="s">
        <v>8410</v>
      </c>
      <c r="C60" s="1">
        <v>6</v>
      </c>
      <c r="D60" s="1">
        <v>1</v>
      </c>
      <c r="E60" s="1">
        <v>1</v>
      </c>
      <c r="F60" s="1">
        <v>0</v>
      </c>
      <c r="G60" s="1">
        <v>0</v>
      </c>
      <c r="H60" s="1">
        <v>34</v>
      </c>
      <c r="I60" s="1">
        <v>0</v>
      </c>
      <c r="J60" s="1">
        <v>0</v>
      </c>
      <c r="K60" s="1">
        <v>0</v>
      </c>
      <c r="L60" s="1">
        <v>0</v>
      </c>
      <c r="M60" s="1">
        <v>0</v>
      </c>
      <c r="N60" s="1">
        <v>0</v>
      </c>
      <c r="O60" s="1">
        <v>4</v>
      </c>
      <c r="P60" s="1">
        <v>90</v>
      </c>
      <c r="Q60" s="1">
        <v>1</v>
      </c>
    </row>
    <row r="61" spans="1:17" x14ac:dyDescent="0.3">
      <c r="A61" s="1">
        <v>6010</v>
      </c>
      <c r="B61" s="1" t="s">
        <v>8409</v>
      </c>
      <c r="C61" s="1">
        <v>6</v>
      </c>
      <c r="D61" s="1">
        <v>1</v>
      </c>
      <c r="E61" s="1">
        <v>1</v>
      </c>
      <c r="F61" s="1">
        <v>7</v>
      </c>
      <c r="G61" s="1">
        <v>0</v>
      </c>
      <c r="H61" s="1">
        <v>0</v>
      </c>
      <c r="I61" s="1">
        <v>27</v>
      </c>
      <c r="J61" s="1">
        <v>0</v>
      </c>
      <c r="K61" s="1">
        <v>0</v>
      </c>
      <c r="L61" s="1">
        <v>0</v>
      </c>
      <c r="M61" s="1">
        <v>0</v>
      </c>
      <c r="N61" s="1">
        <v>0</v>
      </c>
      <c r="O61" s="1">
        <v>4</v>
      </c>
      <c r="P61" s="1">
        <v>90</v>
      </c>
      <c r="Q61" s="1">
        <v>1</v>
      </c>
    </row>
    <row r="62" spans="1:17" x14ac:dyDescent="0.3">
      <c r="A62" s="1">
        <v>7001</v>
      </c>
      <c r="B62" s="1" t="s">
        <v>8408</v>
      </c>
      <c r="C62" s="1">
        <v>7</v>
      </c>
      <c r="D62" s="1">
        <v>1</v>
      </c>
      <c r="E62" s="1">
        <v>1</v>
      </c>
      <c r="F62" s="1">
        <v>20</v>
      </c>
      <c r="G62" s="1">
        <v>0</v>
      </c>
      <c r="H62" s="1">
        <v>0</v>
      </c>
      <c r="I62" s="1">
        <v>0</v>
      </c>
      <c r="J62" s="1">
        <v>0</v>
      </c>
      <c r="K62" s="1">
        <v>0</v>
      </c>
      <c r="L62" s="1">
        <v>0</v>
      </c>
      <c r="M62" s="1">
        <v>0</v>
      </c>
      <c r="N62" s="1">
        <v>0</v>
      </c>
      <c r="O62" s="1">
        <v>2</v>
      </c>
      <c r="P62" s="1">
        <v>40</v>
      </c>
      <c r="Q62" s="1">
        <v>2</v>
      </c>
    </row>
    <row r="63" spans="1:17" x14ac:dyDescent="0.3">
      <c r="A63" s="1">
        <v>7002</v>
      </c>
      <c r="B63" s="1" t="s">
        <v>8407</v>
      </c>
      <c r="C63" s="1">
        <v>7</v>
      </c>
      <c r="D63" s="1">
        <v>1</v>
      </c>
      <c r="E63" s="1">
        <v>1</v>
      </c>
      <c r="F63" s="1">
        <v>0</v>
      </c>
      <c r="G63" s="1">
        <v>25</v>
      </c>
      <c r="H63" s="1">
        <v>0</v>
      </c>
      <c r="I63" s="1">
        <v>5</v>
      </c>
      <c r="J63" s="1">
        <v>0</v>
      </c>
      <c r="K63" s="1">
        <v>0</v>
      </c>
      <c r="L63" s="1">
        <v>0</v>
      </c>
      <c r="M63" s="1">
        <v>0</v>
      </c>
      <c r="N63" s="1">
        <v>0</v>
      </c>
      <c r="O63" s="1">
        <v>3</v>
      </c>
      <c r="P63" s="1">
        <v>70</v>
      </c>
      <c r="Q63" s="1">
        <v>2</v>
      </c>
    </row>
    <row r="64" spans="1:17" x14ac:dyDescent="0.3">
      <c r="A64" s="1">
        <v>7003</v>
      </c>
      <c r="B64" s="1" t="s">
        <v>8406</v>
      </c>
      <c r="C64" s="1">
        <v>7</v>
      </c>
      <c r="D64" s="1">
        <v>1</v>
      </c>
      <c r="E64" s="1">
        <v>1</v>
      </c>
      <c r="F64" s="1">
        <v>45</v>
      </c>
      <c r="G64" s="1">
        <v>0</v>
      </c>
      <c r="H64" s="1">
        <v>15</v>
      </c>
      <c r="I64" s="1">
        <v>0</v>
      </c>
      <c r="J64" s="1">
        <v>0</v>
      </c>
      <c r="K64" s="1">
        <v>0</v>
      </c>
      <c r="L64" s="1">
        <v>0</v>
      </c>
      <c r="M64" s="1">
        <v>0</v>
      </c>
      <c r="N64" s="1">
        <v>0</v>
      </c>
      <c r="O64" s="1">
        <v>6</v>
      </c>
      <c r="P64" s="1">
        <v>130</v>
      </c>
      <c r="Q64" s="1">
        <v>2</v>
      </c>
    </row>
    <row r="65" spans="1:17" x14ac:dyDescent="0.3">
      <c r="A65" s="1">
        <v>7004</v>
      </c>
      <c r="B65" s="1" t="s">
        <v>8405</v>
      </c>
      <c r="C65" s="1">
        <v>7</v>
      </c>
      <c r="D65" s="1">
        <v>1</v>
      </c>
      <c r="E65" s="1">
        <v>1</v>
      </c>
      <c r="F65" s="1">
        <v>0</v>
      </c>
      <c r="G65" s="1">
        <v>35</v>
      </c>
      <c r="H65" s="1">
        <v>0</v>
      </c>
      <c r="I65" s="1">
        <v>6</v>
      </c>
      <c r="J65" s="1">
        <v>0</v>
      </c>
      <c r="K65" s="1">
        <v>0</v>
      </c>
      <c r="L65" s="1">
        <v>0</v>
      </c>
      <c r="M65" s="1">
        <v>0</v>
      </c>
      <c r="N65" s="1">
        <v>0</v>
      </c>
      <c r="O65" s="1">
        <v>4</v>
      </c>
      <c r="P65" s="1">
        <v>90</v>
      </c>
      <c r="Q65" s="1">
        <v>2</v>
      </c>
    </row>
    <row r="66" spans="1:17" x14ac:dyDescent="0.3">
      <c r="A66" s="1">
        <v>7005</v>
      </c>
      <c r="B66" s="1" t="s">
        <v>8404</v>
      </c>
      <c r="C66" s="1">
        <v>7</v>
      </c>
      <c r="D66" s="1">
        <v>1</v>
      </c>
      <c r="E66" s="1">
        <v>1</v>
      </c>
      <c r="F66" s="1">
        <v>0</v>
      </c>
      <c r="G66" s="1">
        <v>0</v>
      </c>
      <c r="H66" s="1">
        <v>35</v>
      </c>
      <c r="I66" s="1">
        <v>5</v>
      </c>
      <c r="J66" s="1">
        <v>0</v>
      </c>
      <c r="K66" s="1">
        <v>0</v>
      </c>
      <c r="L66" s="1">
        <v>0</v>
      </c>
      <c r="M66" s="1">
        <v>0</v>
      </c>
      <c r="N66" s="1">
        <v>0</v>
      </c>
      <c r="O66" s="1">
        <v>4</v>
      </c>
      <c r="P66" s="1">
        <v>90</v>
      </c>
      <c r="Q66" s="1">
        <v>2</v>
      </c>
    </row>
    <row r="67" spans="1:17" x14ac:dyDescent="0.3">
      <c r="A67" s="1">
        <v>7006</v>
      </c>
      <c r="B67" s="1" t="s">
        <v>8403</v>
      </c>
      <c r="C67" s="1">
        <v>7</v>
      </c>
      <c r="D67" s="1">
        <v>1</v>
      </c>
      <c r="E67" s="1">
        <v>1</v>
      </c>
      <c r="F67" s="1">
        <v>20</v>
      </c>
      <c r="G67" s="1">
        <v>0</v>
      </c>
      <c r="H67" s="1">
        <v>0</v>
      </c>
      <c r="I67" s="1">
        <v>0</v>
      </c>
      <c r="J67" s="1">
        <v>0</v>
      </c>
      <c r="K67" s="1">
        <v>0</v>
      </c>
      <c r="L67" s="1">
        <v>0</v>
      </c>
      <c r="M67" s="1">
        <v>0</v>
      </c>
      <c r="N67" s="1">
        <v>0</v>
      </c>
      <c r="O67" s="1">
        <v>2</v>
      </c>
      <c r="P67" s="1">
        <v>40</v>
      </c>
      <c r="Q67" s="1">
        <v>2</v>
      </c>
    </row>
    <row r="68" spans="1:17" x14ac:dyDescent="0.3">
      <c r="A68" s="1">
        <v>7007</v>
      </c>
      <c r="B68" s="1" t="s">
        <v>8402</v>
      </c>
      <c r="C68" s="1">
        <v>7</v>
      </c>
      <c r="D68" s="1">
        <v>1</v>
      </c>
      <c r="E68" s="1">
        <v>1</v>
      </c>
      <c r="F68" s="1">
        <v>0</v>
      </c>
      <c r="G68" s="1">
        <v>20</v>
      </c>
      <c r="H68" s="1">
        <v>0</v>
      </c>
      <c r="I68" s="1">
        <v>0</v>
      </c>
      <c r="J68" s="1">
        <v>0</v>
      </c>
      <c r="K68" s="1">
        <v>0</v>
      </c>
      <c r="L68" s="1">
        <v>0</v>
      </c>
      <c r="M68" s="1">
        <v>0</v>
      </c>
      <c r="N68" s="1">
        <v>0</v>
      </c>
      <c r="O68" s="1">
        <v>2</v>
      </c>
      <c r="P68" s="1">
        <v>40</v>
      </c>
      <c r="Q68" s="1">
        <v>2</v>
      </c>
    </row>
    <row r="69" spans="1:17" x14ac:dyDescent="0.3">
      <c r="A69" s="1">
        <v>7008</v>
      </c>
      <c r="B69" s="1" t="s">
        <v>8401</v>
      </c>
      <c r="C69" s="1">
        <v>7</v>
      </c>
      <c r="D69" s="1">
        <v>1</v>
      </c>
      <c r="E69" s="1">
        <v>1</v>
      </c>
      <c r="F69" s="1">
        <v>38</v>
      </c>
      <c r="G69" s="1">
        <v>5</v>
      </c>
      <c r="H69" s="1">
        <v>0</v>
      </c>
      <c r="I69" s="1">
        <v>0</v>
      </c>
      <c r="J69" s="1">
        <v>0</v>
      </c>
      <c r="K69" s="1">
        <v>0</v>
      </c>
      <c r="L69" s="1">
        <v>0</v>
      </c>
      <c r="M69" s="1">
        <v>0</v>
      </c>
      <c r="N69" s="1">
        <v>0</v>
      </c>
      <c r="O69" s="1">
        <v>4</v>
      </c>
      <c r="P69" s="1">
        <v>90</v>
      </c>
      <c r="Q69" s="1">
        <v>2</v>
      </c>
    </row>
    <row r="70" spans="1:17" x14ac:dyDescent="0.3">
      <c r="A70" s="1">
        <v>7009</v>
      </c>
      <c r="B70" s="1" t="s">
        <v>8400</v>
      </c>
      <c r="C70" s="1">
        <v>7</v>
      </c>
      <c r="D70" s="1">
        <v>1</v>
      </c>
      <c r="E70" s="1">
        <v>1</v>
      </c>
      <c r="F70" s="1">
        <v>0</v>
      </c>
      <c r="G70" s="1">
        <v>45</v>
      </c>
      <c r="H70" s="1">
        <v>40</v>
      </c>
      <c r="I70" s="1">
        <v>0</v>
      </c>
      <c r="J70" s="1">
        <v>0</v>
      </c>
      <c r="K70" s="1">
        <v>0</v>
      </c>
      <c r="L70" s="1">
        <v>0</v>
      </c>
      <c r="M70" s="1">
        <v>0</v>
      </c>
      <c r="N70" s="1">
        <v>0</v>
      </c>
      <c r="O70" s="1">
        <v>8</v>
      </c>
      <c r="P70" s="1">
        <v>170</v>
      </c>
      <c r="Q70" s="1">
        <v>2</v>
      </c>
    </row>
    <row r="71" spans="1:17" x14ac:dyDescent="0.3">
      <c r="A71" s="1">
        <v>7010</v>
      </c>
      <c r="B71" s="1" t="s">
        <v>8399</v>
      </c>
      <c r="C71" s="1">
        <v>7</v>
      </c>
      <c r="D71" s="1">
        <v>1</v>
      </c>
      <c r="E71" s="1">
        <v>1</v>
      </c>
      <c r="F71" s="1">
        <v>0</v>
      </c>
      <c r="G71" s="1">
        <v>3</v>
      </c>
      <c r="H71" s="1">
        <v>0</v>
      </c>
      <c r="I71" s="1">
        <v>27</v>
      </c>
      <c r="J71" s="1">
        <v>0</v>
      </c>
      <c r="K71" s="1">
        <v>0</v>
      </c>
      <c r="L71" s="1">
        <v>0</v>
      </c>
      <c r="M71" s="1">
        <v>0</v>
      </c>
      <c r="N71" s="1">
        <v>0</v>
      </c>
      <c r="O71" s="1">
        <v>3</v>
      </c>
      <c r="P71" s="1">
        <v>70</v>
      </c>
      <c r="Q71" s="1">
        <v>2</v>
      </c>
    </row>
    <row r="72" spans="1:17" x14ac:dyDescent="0.3">
      <c r="A72" s="1">
        <v>8001</v>
      </c>
      <c r="B72" s="1" t="s">
        <v>8398</v>
      </c>
      <c r="C72" s="1">
        <v>8</v>
      </c>
      <c r="D72" s="1">
        <v>1</v>
      </c>
      <c r="E72" s="1">
        <v>1</v>
      </c>
      <c r="F72" s="1">
        <v>28</v>
      </c>
      <c r="G72" s="1">
        <v>0</v>
      </c>
      <c r="H72" s="1">
        <v>0</v>
      </c>
      <c r="I72" s="1">
        <v>5</v>
      </c>
      <c r="J72" s="1">
        <v>0</v>
      </c>
      <c r="K72" s="1">
        <v>0</v>
      </c>
      <c r="L72" s="1">
        <v>0</v>
      </c>
      <c r="M72" s="1">
        <v>0</v>
      </c>
      <c r="N72" s="1">
        <v>0</v>
      </c>
      <c r="O72" s="1">
        <v>4</v>
      </c>
      <c r="P72" s="1">
        <v>100</v>
      </c>
      <c r="Q72" s="1">
        <v>1</v>
      </c>
    </row>
    <row r="73" spans="1:17" x14ac:dyDescent="0.3">
      <c r="A73" s="1">
        <v>8002</v>
      </c>
      <c r="B73" s="1" t="s">
        <v>8397</v>
      </c>
      <c r="C73" s="1">
        <v>8</v>
      </c>
      <c r="D73" s="1">
        <v>1</v>
      </c>
      <c r="E73" s="1">
        <v>1</v>
      </c>
      <c r="F73" s="1">
        <v>0</v>
      </c>
      <c r="G73" s="1">
        <v>0</v>
      </c>
      <c r="H73" s="1">
        <v>25</v>
      </c>
      <c r="I73" s="1">
        <v>0</v>
      </c>
      <c r="J73" s="1">
        <v>0</v>
      </c>
      <c r="K73" s="1">
        <v>0</v>
      </c>
      <c r="L73" s="1">
        <v>0</v>
      </c>
      <c r="M73" s="1">
        <v>0</v>
      </c>
      <c r="N73" s="1">
        <v>0</v>
      </c>
      <c r="O73" s="1">
        <v>3</v>
      </c>
      <c r="P73" s="1">
        <v>90</v>
      </c>
      <c r="Q73" s="1">
        <v>1</v>
      </c>
    </row>
    <row r="74" spans="1:17" x14ac:dyDescent="0.3">
      <c r="A74" s="1">
        <v>8003</v>
      </c>
      <c r="B74" s="1" t="s">
        <v>8396</v>
      </c>
      <c r="C74" s="1">
        <v>8</v>
      </c>
      <c r="D74" s="1">
        <v>1</v>
      </c>
      <c r="E74" s="1">
        <v>1</v>
      </c>
      <c r="F74" s="1">
        <v>0</v>
      </c>
      <c r="G74" s="1">
        <v>27</v>
      </c>
      <c r="H74" s="1">
        <v>0</v>
      </c>
      <c r="I74" s="1">
        <v>6</v>
      </c>
      <c r="J74" s="1">
        <v>0</v>
      </c>
      <c r="K74" s="1">
        <v>0</v>
      </c>
      <c r="L74" s="1">
        <v>0</v>
      </c>
      <c r="M74" s="1">
        <v>0</v>
      </c>
      <c r="N74" s="1">
        <v>0</v>
      </c>
      <c r="O74" s="1">
        <v>4</v>
      </c>
      <c r="P74" s="1">
        <v>100</v>
      </c>
      <c r="Q74" s="1">
        <v>1</v>
      </c>
    </row>
    <row r="75" spans="1:17" x14ac:dyDescent="0.3">
      <c r="A75" s="1">
        <v>8004</v>
      </c>
      <c r="B75" s="1" t="s">
        <v>8395</v>
      </c>
      <c r="C75" s="1">
        <v>8</v>
      </c>
      <c r="D75" s="1">
        <v>1</v>
      </c>
      <c r="E75" s="1">
        <v>1</v>
      </c>
      <c r="F75" s="1">
        <v>28</v>
      </c>
      <c r="G75" s="1">
        <v>0</v>
      </c>
      <c r="H75" s="1">
        <v>5</v>
      </c>
      <c r="I75" s="1">
        <v>0</v>
      </c>
      <c r="J75" s="1">
        <v>0</v>
      </c>
      <c r="K75" s="1">
        <v>0</v>
      </c>
      <c r="L75" s="1">
        <v>0</v>
      </c>
      <c r="M75" s="1">
        <v>0</v>
      </c>
      <c r="N75" s="1">
        <v>0</v>
      </c>
      <c r="O75" s="1">
        <v>4</v>
      </c>
      <c r="P75" s="1">
        <v>100</v>
      </c>
      <c r="Q75" s="1">
        <v>1</v>
      </c>
    </row>
    <row r="76" spans="1:17" x14ac:dyDescent="0.3">
      <c r="A76" s="1">
        <v>8005</v>
      </c>
      <c r="B76" s="1" t="s">
        <v>8394</v>
      </c>
      <c r="C76" s="1">
        <v>8</v>
      </c>
      <c r="D76" s="1">
        <v>1</v>
      </c>
      <c r="E76" s="1">
        <v>1</v>
      </c>
      <c r="F76" s="1">
        <v>0</v>
      </c>
      <c r="G76" s="1">
        <v>0</v>
      </c>
      <c r="H76" s="1">
        <v>0</v>
      </c>
      <c r="I76" s="1">
        <v>25</v>
      </c>
      <c r="J76" s="1">
        <v>0</v>
      </c>
      <c r="K76" s="1">
        <v>0</v>
      </c>
      <c r="L76" s="1">
        <v>0</v>
      </c>
      <c r="M76" s="1">
        <v>0</v>
      </c>
      <c r="N76" s="1">
        <v>0</v>
      </c>
      <c r="O76" s="1">
        <v>3</v>
      </c>
      <c r="P76" s="1">
        <v>90</v>
      </c>
      <c r="Q76" s="1">
        <v>1</v>
      </c>
    </row>
    <row r="77" spans="1:17" x14ac:dyDescent="0.3">
      <c r="A77" s="1">
        <v>8006</v>
      </c>
      <c r="B77" s="1" t="s">
        <v>8393</v>
      </c>
      <c r="C77" s="1">
        <v>8</v>
      </c>
      <c r="D77" s="1">
        <v>1</v>
      </c>
      <c r="E77" s="1">
        <v>1</v>
      </c>
      <c r="F77" s="1">
        <v>16</v>
      </c>
      <c r="G77" s="1">
        <v>0</v>
      </c>
      <c r="H77" s="1">
        <v>0</v>
      </c>
      <c r="I77" s="1">
        <v>0</v>
      </c>
      <c r="J77" s="1">
        <v>0</v>
      </c>
      <c r="K77" s="1">
        <v>0</v>
      </c>
      <c r="L77" s="1">
        <v>0</v>
      </c>
      <c r="M77" s="1">
        <v>0</v>
      </c>
      <c r="N77" s="1">
        <v>0</v>
      </c>
      <c r="O77" s="1">
        <v>2</v>
      </c>
      <c r="P77" s="1">
        <v>50</v>
      </c>
      <c r="Q77" s="1">
        <v>1</v>
      </c>
    </row>
    <row r="78" spans="1:17" x14ac:dyDescent="0.3">
      <c r="A78" s="1">
        <v>8007</v>
      </c>
      <c r="B78" s="1" t="s">
        <v>8392</v>
      </c>
      <c r="C78" s="1">
        <v>8</v>
      </c>
      <c r="D78" s="1">
        <v>1</v>
      </c>
      <c r="E78" s="1">
        <v>1</v>
      </c>
      <c r="F78" s="1">
        <v>25</v>
      </c>
      <c r="G78" s="1">
        <v>0</v>
      </c>
      <c r="H78" s="1">
        <v>0</v>
      </c>
      <c r="I78" s="1">
        <v>8</v>
      </c>
      <c r="J78" s="1">
        <v>0</v>
      </c>
      <c r="K78" s="1">
        <v>0</v>
      </c>
      <c r="L78" s="1">
        <v>0</v>
      </c>
      <c r="M78" s="1">
        <v>0</v>
      </c>
      <c r="N78" s="1">
        <v>0</v>
      </c>
      <c r="O78" s="1">
        <v>4</v>
      </c>
      <c r="P78" s="1">
        <v>100</v>
      </c>
      <c r="Q78" s="1">
        <v>1</v>
      </c>
    </row>
    <row r="79" spans="1:17" x14ac:dyDescent="0.3">
      <c r="A79" s="1">
        <v>8008</v>
      </c>
      <c r="B79" s="1" t="s">
        <v>8391</v>
      </c>
      <c r="C79" s="1">
        <v>8</v>
      </c>
      <c r="D79" s="1">
        <v>1</v>
      </c>
      <c r="E79" s="1">
        <v>1</v>
      </c>
      <c r="F79" s="1">
        <v>0</v>
      </c>
      <c r="G79" s="1">
        <v>16</v>
      </c>
      <c r="H79" s="1">
        <v>0</v>
      </c>
      <c r="I79" s="1">
        <v>0</v>
      </c>
      <c r="J79" s="1">
        <v>0</v>
      </c>
      <c r="K79" s="1">
        <v>0</v>
      </c>
      <c r="L79" s="1">
        <v>0</v>
      </c>
      <c r="M79" s="1">
        <v>0</v>
      </c>
      <c r="N79" s="1">
        <v>0</v>
      </c>
      <c r="O79" s="1">
        <v>2</v>
      </c>
      <c r="P79" s="1">
        <v>50</v>
      </c>
      <c r="Q79" s="1">
        <v>1</v>
      </c>
    </row>
    <row r="80" spans="1:17" x14ac:dyDescent="0.3">
      <c r="A80" s="1">
        <v>8009</v>
      </c>
      <c r="B80" s="1" t="s">
        <v>8390</v>
      </c>
      <c r="C80" s="1">
        <v>8</v>
      </c>
      <c r="D80" s="1">
        <v>1</v>
      </c>
      <c r="E80" s="1">
        <v>1</v>
      </c>
      <c r="F80" s="1">
        <v>0</v>
      </c>
      <c r="G80" s="1">
        <v>6</v>
      </c>
      <c r="H80" s="1">
        <v>28</v>
      </c>
      <c r="I80" s="1">
        <v>0</v>
      </c>
      <c r="J80" s="1">
        <v>0</v>
      </c>
      <c r="K80" s="1">
        <v>0</v>
      </c>
      <c r="L80" s="1">
        <v>0</v>
      </c>
      <c r="M80" s="1">
        <v>0</v>
      </c>
      <c r="N80" s="1">
        <v>0</v>
      </c>
      <c r="O80" s="1">
        <v>4</v>
      </c>
      <c r="P80" s="1">
        <v>100</v>
      </c>
      <c r="Q80" s="1">
        <v>1</v>
      </c>
    </row>
    <row r="81" spans="1:17" x14ac:dyDescent="0.3">
      <c r="A81" s="1">
        <v>8010</v>
      </c>
      <c r="B81" s="1" t="s">
        <v>8389</v>
      </c>
      <c r="C81" s="1">
        <v>8</v>
      </c>
      <c r="D81" s="1">
        <v>1</v>
      </c>
      <c r="E81" s="1">
        <v>1</v>
      </c>
      <c r="F81" s="1">
        <v>15</v>
      </c>
      <c r="G81" s="1">
        <v>0</v>
      </c>
      <c r="H81" s="1">
        <v>0</v>
      </c>
      <c r="I81" s="1">
        <v>0</v>
      </c>
      <c r="J81" s="1">
        <v>0</v>
      </c>
      <c r="K81" s="1">
        <v>0</v>
      </c>
      <c r="L81" s="1">
        <v>0</v>
      </c>
      <c r="M81" s="1">
        <v>0</v>
      </c>
      <c r="N81" s="1">
        <v>0</v>
      </c>
      <c r="O81" s="1">
        <v>2</v>
      </c>
      <c r="P81" s="1">
        <v>50</v>
      </c>
      <c r="Q81" s="1">
        <v>1</v>
      </c>
    </row>
    <row r="82" spans="1:17" x14ac:dyDescent="0.3">
      <c r="A82" s="1">
        <v>9001</v>
      </c>
      <c r="B82" s="1" t="s">
        <v>8388</v>
      </c>
      <c r="C82" s="1">
        <v>9</v>
      </c>
      <c r="D82" s="1">
        <v>1</v>
      </c>
      <c r="E82" s="1">
        <v>1</v>
      </c>
      <c r="F82" s="1">
        <v>4</v>
      </c>
      <c r="G82" s="1">
        <v>0</v>
      </c>
      <c r="H82" s="1">
        <v>0</v>
      </c>
      <c r="I82" s="1">
        <v>22</v>
      </c>
      <c r="J82" s="1">
        <v>0</v>
      </c>
      <c r="K82" s="1">
        <v>0</v>
      </c>
      <c r="L82" s="1">
        <v>0</v>
      </c>
      <c r="M82" s="1">
        <v>0</v>
      </c>
      <c r="N82" s="1">
        <v>0</v>
      </c>
      <c r="O82" s="1">
        <v>3</v>
      </c>
      <c r="P82" s="1">
        <v>75</v>
      </c>
      <c r="Q82" s="1">
        <v>2</v>
      </c>
    </row>
    <row r="83" spans="1:17" x14ac:dyDescent="0.3">
      <c r="A83" s="1">
        <v>9002</v>
      </c>
      <c r="B83" s="1" t="s">
        <v>8387</v>
      </c>
      <c r="C83" s="1">
        <v>9</v>
      </c>
      <c r="D83" s="1">
        <v>1</v>
      </c>
      <c r="E83" s="1">
        <v>1</v>
      </c>
      <c r="F83" s="1">
        <v>27</v>
      </c>
      <c r="G83" s="1">
        <v>6</v>
      </c>
      <c r="H83" s="1">
        <v>0</v>
      </c>
      <c r="I83" s="1">
        <v>0</v>
      </c>
      <c r="J83" s="1">
        <v>0</v>
      </c>
      <c r="K83" s="1">
        <v>0</v>
      </c>
      <c r="L83" s="1">
        <v>0</v>
      </c>
      <c r="M83" s="1">
        <v>0</v>
      </c>
      <c r="N83" s="1">
        <v>0</v>
      </c>
      <c r="O83" s="1">
        <v>4</v>
      </c>
      <c r="P83" s="1">
        <v>85</v>
      </c>
      <c r="Q83" s="1">
        <v>2</v>
      </c>
    </row>
    <row r="84" spans="1:17" x14ac:dyDescent="0.3">
      <c r="A84" s="1">
        <v>9003</v>
      </c>
      <c r="B84" s="1" t="s">
        <v>8386</v>
      </c>
      <c r="C84" s="1">
        <v>9</v>
      </c>
      <c r="D84" s="1">
        <v>1</v>
      </c>
      <c r="E84" s="1">
        <v>1</v>
      </c>
      <c r="F84" s="1">
        <v>0</v>
      </c>
      <c r="G84" s="1">
        <v>0</v>
      </c>
      <c r="H84" s="1">
        <v>32</v>
      </c>
      <c r="I84" s="1">
        <v>0</v>
      </c>
      <c r="J84" s="1">
        <v>0</v>
      </c>
      <c r="K84" s="1">
        <v>0</v>
      </c>
      <c r="L84" s="1">
        <v>0</v>
      </c>
      <c r="M84" s="1">
        <v>0</v>
      </c>
      <c r="N84" s="1">
        <v>0</v>
      </c>
      <c r="O84" s="1">
        <v>4</v>
      </c>
      <c r="P84" s="1">
        <v>85</v>
      </c>
      <c r="Q84" s="1">
        <v>2</v>
      </c>
    </row>
    <row r="85" spans="1:17" x14ac:dyDescent="0.3">
      <c r="A85" s="1">
        <v>9004</v>
      </c>
      <c r="B85" s="1" t="s">
        <v>8385</v>
      </c>
      <c r="C85" s="1">
        <v>9</v>
      </c>
      <c r="D85" s="1">
        <v>1</v>
      </c>
      <c r="E85" s="1">
        <v>1</v>
      </c>
      <c r="F85" s="1">
        <v>6</v>
      </c>
      <c r="G85" s="1">
        <v>26</v>
      </c>
      <c r="H85" s="1">
        <v>0</v>
      </c>
      <c r="I85" s="1">
        <v>0</v>
      </c>
      <c r="J85" s="1">
        <v>0</v>
      </c>
      <c r="K85" s="1">
        <v>0</v>
      </c>
      <c r="L85" s="1">
        <v>0</v>
      </c>
      <c r="M85" s="1">
        <v>0</v>
      </c>
      <c r="N85" s="1">
        <v>0</v>
      </c>
      <c r="O85" s="1">
        <v>4</v>
      </c>
      <c r="P85" s="1">
        <v>85</v>
      </c>
      <c r="Q85" s="1">
        <v>2</v>
      </c>
    </row>
    <row r="86" spans="1:17" x14ac:dyDescent="0.3">
      <c r="A86" s="1">
        <v>9005</v>
      </c>
      <c r="B86" s="1" t="s">
        <v>8384</v>
      </c>
      <c r="C86" s="1">
        <v>9</v>
      </c>
      <c r="D86" s="1">
        <v>1</v>
      </c>
      <c r="E86" s="1">
        <v>1</v>
      </c>
      <c r="F86" s="1">
        <v>24</v>
      </c>
      <c r="G86" s="1">
        <v>0</v>
      </c>
      <c r="H86" s="1">
        <v>0</v>
      </c>
      <c r="I86" s="1">
        <v>8</v>
      </c>
      <c r="J86" s="1">
        <v>0</v>
      </c>
      <c r="K86" s="1">
        <v>0</v>
      </c>
      <c r="L86" s="1">
        <v>0</v>
      </c>
      <c r="M86" s="1">
        <v>0</v>
      </c>
      <c r="N86" s="1">
        <v>0</v>
      </c>
      <c r="O86" s="1">
        <v>4</v>
      </c>
      <c r="P86" s="1">
        <v>85</v>
      </c>
      <c r="Q86" s="1">
        <v>2</v>
      </c>
    </row>
    <row r="87" spans="1:17" x14ac:dyDescent="0.3">
      <c r="A87" s="1">
        <v>9006</v>
      </c>
      <c r="B87" s="1" t="s">
        <v>8383</v>
      </c>
      <c r="C87" s="1">
        <v>9</v>
      </c>
      <c r="D87" s="1">
        <v>1</v>
      </c>
      <c r="E87" s="1">
        <v>1</v>
      </c>
      <c r="F87" s="1">
        <v>0</v>
      </c>
      <c r="G87" s="1">
        <v>0</v>
      </c>
      <c r="H87" s="1">
        <v>0</v>
      </c>
      <c r="I87" s="1">
        <v>36</v>
      </c>
      <c r="J87" s="1">
        <v>0</v>
      </c>
      <c r="K87" s="1">
        <v>0</v>
      </c>
      <c r="L87" s="1">
        <v>0</v>
      </c>
      <c r="M87" s="1">
        <v>0</v>
      </c>
      <c r="N87" s="1">
        <v>0</v>
      </c>
      <c r="O87" s="1">
        <v>4</v>
      </c>
      <c r="P87" s="1">
        <v>85</v>
      </c>
      <c r="Q87" s="1">
        <v>2</v>
      </c>
    </row>
    <row r="88" spans="1:17" x14ac:dyDescent="0.3">
      <c r="A88" s="1">
        <v>9007</v>
      </c>
      <c r="B88" s="1" t="s">
        <v>8382</v>
      </c>
      <c r="C88" s="1">
        <v>9</v>
      </c>
      <c r="D88" s="1">
        <v>1</v>
      </c>
      <c r="E88" s="1">
        <v>1</v>
      </c>
      <c r="F88" s="1">
        <v>0</v>
      </c>
      <c r="G88" s="1">
        <v>25</v>
      </c>
      <c r="H88" s="1">
        <v>0</v>
      </c>
      <c r="I88" s="1">
        <v>8</v>
      </c>
      <c r="J88" s="1">
        <v>0</v>
      </c>
      <c r="K88" s="1">
        <v>0</v>
      </c>
      <c r="L88" s="1">
        <v>0</v>
      </c>
      <c r="M88" s="1">
        <v>0</v>
      </c>
      <c r="N88" s="1">
        <v>0</v>
      </c>
      <c r="O88" s="1">
        <v>4</v>
      </c>
      <c r="P88" s="1">
        <v>85</v>
      </c>
      <c r="Q88" s="1">
        <v>2</v>
      </c>
    </row>
    <row r="89" spans="1:17" x14ac:dyDescent="0.3">
      <c r="A89" s="1">
        <v>9008</v>
      </c>
      <c r="B89" s="1" t="s">
        <v>8381</v>
      </c>
      <c r="C89" s="1">
        <v>9</v>
      </c>
      <c r="D89" s="1">
        <v>1</v>
      </c>
      <c r="E89" s="1">
        <v>1</v>
      </c>
      <c r="F89" s="1">
        <v>0</v>
      </c>
      <c r="G89" s="1">
        <v>5</v>
      </c>
      <c r="H89" s="1">
        <v>0</v>
      </c>
      <c r="I89" s="1">
        <v>24</v>
      </c>
      <c r="J89" s="1">
        <v>0</v>
      </c>
      <c r="K89" s="1">
        <v>0</v>
      </c>
      <c r="L89" s="1">
        <v>0</v>
      </c>
      <c r="M89" s="1">
        <v>0</v>
      </c>
      <c r="N89" s="1">
        <v>0</v>
      </c>
      <c r="O89" s="1">
        <v>3</v>
      </c>
      <c r="P89" s="1">
        <v>75</v>
      </c>
      <c r="Q89" s="1">
        <v>2</v>
      </c>
    </row>
    <row r="90" spans="1:17" x14ac:dyDescent="0.3">
      <c r="A90" s="1">
        <v>9009</v>
      </c>
      <c r="B90" s="1" t="s">
        <v>8380</v>
      </c>
      <c r="C90" s="1">
        <v>9</v>
      </c>
      <c r="D90" s="1">
        <v>1</v>
      </c>
      <c r="E90" s="1">
        <v>1</v>
      </c>
      <c r="F90" s="1">
        <v>0</v>
      </c>
      <c r="G90" s="1">
        <v>0</v>
      </c>
      <c r="H90" s="1">
        <v>30</v>
      </c>
      <c r="I90" s="1">
        <v>0</v>
      </c>
      <c r="J90" s="1">
        <v>0</v>
      </c>
      <c r="K90" s="1">
        <v>0</v>
      </c>
      <c r="L90" s="1">
        <v>0</v>
      </c>
      <c r="M90" s="1">
        <v>0</v>
      </c>
      <c r="N90" s="1">
        <v>0</v>
      </c>
      <c r="O90" s="1">
        <v>4</v>
      </c>
      <c r="P90" s="1">
        <v>85</v>
      </c>
      <c r="Q90" s="1">
        <v>2</v>
      </c>
    </row>
    <row r="91" spans="1:17" x14ac:dyDescent="0.3">
      <c r="A91" s="1">
        <v>9010</v>
      </c>
      <c r="B91" s="1" t="s">
        <v>8379</v>
      </c>
      <c r="C91" s="1">
        <v>9</v>
      </c>
      <c r="D91" s="1">
        <v>1</v>
      </c>
      <c r="E91" s="1">
        <v>1</v>
      </c>
      <c r="F91" s="1">
        <v>25</v>
      </c>
      <c r="G91" s="1">
        <v>7</v>
      </c>
      <c r="H91" s="1">
        <v>0</v>
      </c>
      <c r="I91" s="1">
        <v>0</v>
      </c>
      <c r="J91" s="1">
        <v>0</v>
      </c>
      <c r="K91" s="1">
        <v>0</v>
      </c>
      <c r="L91" s="1">
        <v>0</v>
      </c>
      <c r="M91" s="1">
        <v>0</v>
      </c>
      <c r="N91" s="1">
        <v>0</v>
      </c>
      <c r="O91" s="1">
        <v>4</v>
      </c>
      <c r="P91" s="1">
        <v>85</v>
      </c>
      <c r="Q91" s="1">
        <v>2</v>
      </c>
    </row>
    <row r="92" spans="1:17" x14ac:dyDescent="0.3">
      <c r="A92" s="1">
        <v>10001</v>
      </c>
      <c r="B92" s="1" t="s">
        <v>8378</v>
      </c>
      <c r="C92" s="1">
        <v>10</v>
      </c>
      <c r="D92" s="1">
        <v>1</v>
      </c>
      <c r="E92" s="1">
        <v>1</v>
      </c>
      <c r="F92" s="1">
        <v>30</v>
      </c>
      <c r="G92" s="1">
        <v>0</v>
      </c>
      <c r="H92" s="1">
        <v>0</v>
      </c>
      <c r="I92" s="1">
        <v>4</v>
      </c>
      <c r="J92" s="1">
        <v>0</v>
      </c>
      <c r="K92" s="1">
        <v>0</v>
      </c>
      <c r="L92" s="1">
        <v>0</v>
      </c>
      <c r="M92" s="1">
        <v>0</v>
      </c>
      <c r="N92" s="1">
        <v>0</v>
      </c>
      <c r="O92" s="1">
        <v>3</v>
      </c>
      <c r="P92" s="1">
        <v>75</v>
      </c>
      <c r="Q92" s="1">
        <v>1</v>
      </c>
    </row>
    <row r="93" spans="1:17" x14ac:dyDescent="0.3">
      <c r="A93" s="1">
        <v>10002</v>
      </c>
      <c r="B93" s="1" t="s">
        <v>8377</v>
      </c>
      <c r="C93" s="1">
        <v>10</v>
      </c>
      <c r="D93" s="1">
        <v>1</v>
      </c>
      <c r="E93" s="1">
        <v>1</v>
      </c>
      <c r="F93" s="1">
        <v>0</v>
      </c>
      <c r="G93" s="1">
        <v>22</v>
      </c>
      <c r="H93" s="1">
        <v>0</v>
      </c>
      <c r="I93" s="1">
        <v>0</v>
      </c>
      <c r="J93" s="1">
        <v>0</v>
      </c>
      <c r="K93" s="1">
        <v>0</v>
      </c>
      <c r="L93" s="1">
        <v>0</v>
      </c>
      <c r="M93" s="1">
        <v>0</v>
      </c>
      <c r="N93" s="1">
        <v>0</v>
      </c>
      <c r="O93" s="1">
        <v>2</v>
      </c>
      <c r="P93" s="1">
        <v>50</v>
      </c>
      <c r="Q93" s="1">
        <v>1</v>
      </c>
    </row>
    <row r="94" spans="1:17" x14ac:dyDescent="0.3">
      <c r="A94" s="1">
        <v>10003</v>
      </c>
      <c r="B94" s="1" t="s">
        <v>8376</v>
      </c>
      <c r="C94" s="1">
        <v>10</v>
      </c>
      <c r="D94" s="1">
        <v>1</v>
      </c>
      <c r="E94" s="1">
        <v>1</v>
      </c>
      <c r="F94" s="1">
        <v>30</v>
      </c>
      <c r="G94" s="1">
        <v>0</v>
      </c>
      <c r="H94" s="1">
        <v>0</v>
      </c>
      <c r="I94" s="1">
        <v>4</v>
      </c>
      <c r="J94" s="1">
        <v>0</v>
      </c>
      <c r="K94" s="1">
        <v>0</v>
      </c>
      <c r="L94" s="1">
        <v>0</v>
      </c>
      <c r="M94" s="1">
        <v>0</v>
      </c>
      <c r="N94" s="1">
        <v>0</v>
      </c>
      <c r="O94" s="1">
        <v>4</v>
      </c>
      <c r="P94" s="1">
        <v>90</v>
      </c>
      <c r="Q94" s="1">
        <v>1</v>
      </c>
    </row>
    <row r="95" spans="1:17" x14ac:dyDescent="0.3">
      <c r="A95" s="1">
        <v>10004</v>
      </c>
      <c r="B95" s="1" t="s">
        <v>8375</v>
      </c>
      <c r="C95" s="1">
        <v>10</v>
      </c>
      <c r="D95" s="1">
        <v>1</v>
      </c>
      <c r="E95" s="1">
        <v>1</v>
      </c>
      <c r="F95" s="1">
        <v>0</v>
      </c>
      <c r="G95" s="1">
        <v>40</v>
      </c>
      <c r="H95" s="1">
        <v>4</v>
      </c>
      <c r="I95" s="1">
        <v>0</v>
      </c>
      <c r="J95" s="1">
        <v>0</v>
      </c>
      <c r="K95" s="1">
        <v>0</v>
      </c>
      <c r="L95" s="1">
        <v>0</v>
      </c>
      <c r="M95" s="1">
        <v>0</v>
      </c>
      <c r="N95" s="1">
        <v>0</v>
      </c>
      <c r="O95" s="1">
        <v>3</v>
      </c>
      <c r="P95" s="1">
        <v>75</v>
      </c>
      <c r="Q95" s="1">
        <v>1</v>
      </c>
    </row>
    <row r="96" spans="1:17" x14ac:dyDescent="0.3">
      <c r="A96" s="1">
        <v>10005</v>
      </c>
      <c r="B96" s="1" t="s">
        <v>8374</v>
      </c>
      <c r="C96" s="1">
        <v>10</v>
      </c>
      <c r="D96" s="1">
        <v>1</v>
      </c>
      <c r="E96" s="1">
        <v>1</v>
      </c>
      <c r="F96" s="1">
        <v>4</v>
      </c>
      <c r="G96" s="1">
        <v>0</v>
      </c>
      <c r="H96" s="1">
        <v>40</v>
      </c>
      <c r="I96" s="1">
        <v>0</v>
      </c>
      <c r="J96" s="1">
        <v>0</v>
      </c>
      <c r="K96" s="1">
        <v>0</v>
      </c>
      <c r="L96" s="1">
        <v>0</v>
      </c>
      <c r="M96" s="1">
        <v>0</v>
      </c>
      <c r="N96" s="1">
        <v>0</v>
      </c>
      <c r="O96" s="1">
        <v>4</v>
      </c>
      <c r="P96" s="1">
        <v>90</v>
      </c>
      <c r="Q96" s="1">
        <v>1</v>
      </c>
    </row>
    <row r="97" spans="1:17" x14ac:dyDescent="0.3">
      <c r="A97" s="1">
        <v>10006</v>
      </c>
      <c r="B97" s="1" t="s">
        <v>8373</v>
      </c>
      <c r="C97" s="1">
        <v>10</v>
      </c>
      <c r="D97" s="1">
        <v>1</v>
      </c>
      <c r="E97" s="1">
        <v>1</v>
      </c>
      <c r="F97" s="1">
        <v>0</v>
      </c>
      <c r="G97" s="1">
        <v>4</v>
      </c>
      <c r="H97" s="1">
        <v>40</v>
      </c>
      <c r="I97" s="1">
        <v>0</v>
      </c>
      <c r="J97" s="1">
        <v>0</v>
      </c>
      <c r="K97" s="1">
        <v>0</v>
      </c>
      <c r="L97" s="1">
        <v>0</v>
      </c>
      <c r="M97" s="1">
        <v>0</v>
      </c>
      <c r="N97" s="1">
        <v>0</v>
      </c>
      <c r="O97" s="1">
        <v>4</v>
      </c>
      <c r="P97" s="1">
        <v>90</v>
      </c>
      <c r="Q97" s="1">
        <v>1</v>
      </c>
    </row>
    <row r="98" spans="1:17" x14ac:dyDescent="0.3">
      <c r="A98" s="1">
        <v>10007</v>
      </c>
      <c r="B98" s="1" t="s">
        <v>8372</v>
      </c>
      <c r="C98" s="1">
        <v>10</v>
      </c>
      <c r="D98" s="1">
        <v>1</v>
      </c>
      <c r="E98" s="1">
        <v>1</v>
      </c>
      <c r="F98" s="1">
        <v>0</v>
      </c>
      <c r="G98" s="1">
        <v>40</v>
      </c>
      <c r="H98" s="1">
        <v>0</v>
      </c>
      <c r="I98" s="1">
        <v>24</v>
      </c>
      <c r="J98" s="1">
        <v>0</v>
      </c>
      <c r="K98" s="1">
        <v>0</v>
      </c>
      <c r="L98" s="1">
        <v>0</v>
      </c>
      <c r="M98" s="1">
        <v>0</v>
      </c>
      <c r="N98" s="1">
        <v>0</v>
      </c>
      <c r="O98" s="1">
        <v>6</v>
      </c>
      <c r="P98" s="1">
        <v>130</v>
      </c>
      <c r="Q98" s="1">
        <v>1</v>
      </c>
    </row>
    <row r="99" spans="1:17" x14ac:dyDescent="0.3">
      <c r="A99" s="1">
        <v>10008</v>
      </c>
      <c r="B99" s="1" t="s">
        <v>8371</v>
      </c>
      <c r="C99" s="1">
        <v>10</v>
      </c>
      <c r="D99" s="1">
        <v>1</v>
      </c>
      <c r="E99" s="1">
        <v>1</v>
      </c>
      <c r="F99" s="1">
        <v>24</v>
      </c>
      <c r="G99" s="1">
        <v>22</v>
      </c>
      <c r="H99" s="1">
        <v>0</v>
      </c>
      <c r="I99" s="1">
        <v>0</v>
      </c>
      <c r="J99" s="1">
        <v>0</v>
      </c>
      <c r="K99" s="1">
        <v>0</v>
      </c>
      <c r="L99" s="1">
        <v>0</v>
      </c>
      <c r="M99" s="1">
        <v>0</v>
      </c>
      <c r="N99" s="1">
        <v>0</v>
      </c>
      <c r="O99" s="1">
        <v>4</v>
      </c>
      <c r="P99" s="1">
        <v>90</v>
      </c>
      <c r="Q99" s="1">
        <v>1</v>
      </c>
    </row>
    <row r="100" spans="1:17" x14ac:dyDescent="0.3">
      <c r="A100" s="1">
        <v>10009</v>
      </c>
      <c r="B100" s="1" t="s">
        <v>8370</v>
      </c>
      <c r="C100" s="1">
        <v>10</v>
      </c>
      <c r="D100" s="1">
        <v>1</v>
      </c>
      <c r="E100" s="1">
        <v>1</v>
      </c>
      <c r="F100" s="1">
        <v>0</v>
      </c>
      <c r="G100" s="1">
        <v>24</v>
      </c>
      <c r="H100" s="1">
        <v>0</v>
      </c>
      <c r="I100" s="1">
        <v>0</v>
      </c>
      <c r="J100" s="1">
        <v>0</v>
      </c>
      <c r="K100" s="1">
        <v>0</v>
      </c>
      <c r="L100" s="1">
        <v>0</v>
      </c>
      <c r="M100" s="1">
        <v>0</v>
      </c>
      <c r="N100" s="1">
        <v>0</v>
      </c>
      <c r="O100" s="1">
        <v>2</v>
      </c>
      <c r="P100" s="1">
        <v>50</v>
      </c>
      <c r="Q100" s="1">
        <v>1</v>
      </c>
    </row>
    <row r="101" spans="1:17" x14ac:dyDescent="0.3">
      <c r="A101" s="1">
        <v>10010</v>
      </c>
      <c r="B101" s="1" t="s">
        <v>8369</v>
      </c>
      <c r="C101" s="1">
        <v>10</v>
      </c>
      <c r="D101" s="1">
        <v>1</v>
      </c>
      <c r="E101" s="1">
        <v>1</v>
      </c>
      <c r="F101" s="1">
        <v>44</v>
      </c>
      <c r="G101" s="1">
        <v>0</v>
      </c>
      <c r="H101" s="1">
        <v>0</v>
      </c>
      <c r="I101" s="1">
        <v>0</v>
      </c>
      <c r="J101" s="1">
        <v>0</v>
      </c>
      <c r="K101" s="1">
        <v>0</v>
      </c>
      <c r="L101" s="1">
        <v>0</v>
      </c>
      <c r="M101" s="1">
        <v>0</v>
      </c>
      <c r="N101" s="1">
        <v>0</v>
      </c>
      <c r="O101" s="1">
        <v>4</v>
      </c>
      <c r="P101" s="1">
        <v>90</v>
      </c>
      <c r="Q101" s="1">
        <v>1</v>
      </c>
    </row>
    <row r="102" spans="1:17" x14ac:dyDescent="0.3">
      <c r="A102">
        <v>11001</v>
      </c>
      <c r="B102" t="s">
        <v>9049</v>
      </c>
      <c r="C102">
        <v>11</v>
      </c>
      <c r="D102">
        <v>1</v>
      </c>
      <c r="E102">
        <v>1</v>
      </c>
      <c r="F102">
        <v>20</v>
      </c>
      <c r="G102">
        <v>10</v>
      </c>
      <c r="H102">
        <v>0</v>
      </c>
      <c r="I102">
        <v>0</v>
      </c>
      <c r="J102">
        <v>0</v>
      </c>
      <c r="K102">
        <v>0</v>
      </c>
      <c r="L102">
        <v>0</v>
      </c>
      <c r="M102">
        <v>0</v>
      </c>
      <c r="N102">
        <v>0</v>
      </c>
      <c r="O102">
        <v>3</v>
      </c>
      <c r="P102">
        <v>75</v>
      </c>
      <c r="Q102">
        <v>2</v>
      </c>
    </row>
    <row r="103" spans="1:17" x14ac:dyDescent="0.3">
      <c r="A103">
        <v>11002</v>
      </c>
      <c r="B103" t="s">
        <v>9050</v>
      </c>
      <c r="C103">
        <v>11</v>
      </c>
      <c r="D103">
        <v>1</v>
      </c>
      <c r="E103">
        <v>1</v>
      </c>
      <c r="F103">
        <v>0</v>
      </c>
      <c r="G103">
        <v>0</v>
      </c>
      <c r="H103">
        <v>15</v>
      </c>
      <c r="I103">
        <v>15</v>
      </c>
      <c r="J103">
        <v>0</v>
      </c>
      <c r="K103">
        <v>0</v>
      </c>
      <c r="L103">
        <v>0</v>
      </c>
      <c r="M103">
        <v>0</v>
      </c>
      <c r="N103">
        <v>0</v>
      </c>
      <c r="O103">
        <v>2</v>
      </c>
      <c r="P103">
        <v>50</v>
      </c>
      <c r="Q103">
        <v>2</v>
      </c>
    </row>
    <row r="104" spans="1:17" x14ac:dyDescent="0.3">
      <c r="A104">
        <v>11003</v>
      </c>
      <c r="B104" t="s">
        <v>9051</v>
      </c>
      <c r="C104">
        <v>11</v>
      </c>
      <c r="D104">
        <v>1</v>
      </c>
      <c r="E104">
        <v>1</v>
      </c>
      <c r="F104">
        <v>20</v>
      </c>
      <c r="G104">
        <v>0</v>
      </c>
      <c r="H104">
        <v>0</v>
      </c>
      <c r="I104">
        <v>15</v>
      </c>
      <c r="J104">
        <v>0</v>
      </c>
      <c r="K104">
        <v>0</v>
      </c>
      <c r="L104">
        <v>0</v>
      </c>
      <c r="M104">
        <v>0</v>
      </c>
      <c r="N104">
        <v>0</v>
      </c>
      <c r="O104">
        <v>3</v>
      </c>
      <c r="P104">
        <v>90</v>
      </c>
      <c r="Q104">
        <v>2</v>
      </c>
    </row>
    <row r="105" spans="1:17" x14ac:dyDescent="0.3">
      <c r="A105">
        <v>11004</v>
      </c>
      <c r="B105" t="s">
        <v>9052</v>
      </c>
      <c r="C105">
        <v>11</v>
      </c>
      <c r="D105">
        <v>1</v>
      </c>
      <c r="E105">
        <v>1</v>
      </c>
      <c r="F105">
        <v>20</v>
      </c>
      <c r="G105">
        <v>10</v>
      </c>
      <c r="H105">
        <v>0</v>
      </c>
      <c r="I105">
        <v>0</v>
      </c>
      <c r="J105">
        <v>0</v>
      </c>
      <c r="K105">
        <v>0</v>
      </c>
      <c r="L105">
        <v>0</v>
      </c>
      <c r="M105">
        <v>0</v>
      </c>
      <c r="N105">
        <v>0</v>
      </c>
      <c r="O105">
        <v>4</v>
      </c>
      <c r="P105">
        <v>75</v>
      </c>
      <c r="Q105">
        <v>2</v>
      </c>
    </row>
    <row r="106" spans="1:17" x14ac:dyDescent="0.3">
      <c r="A106">
        <v>11005</v>
      </c>
      <c r="B106" t="s">
        <v>9053</v>
      </c>
      <c r="C106">
        <v>11</v>
      </c>
      <c r="D106">
        <v>1</v>
      </c>
      <c r="E106">
        <v>1</v>
      </c>
      <c r="F106">
        <v>0</v>
      </c>
      <c r="G106">
        <v>0</v>
      </c>
      <c r="H106">
        <v>15</v>
      </c>
      <c r="I106">
        <v>15</v>
      </c>
      <c r="J106">
        <v>0</v>
      </c>
      <c r="K106">
        <v>0</v>
      </c>
      <c r="L106">
        <v>0</v>
      </c>
      <c r="M106">
        <v>0</v>
      </c>
      <c r="N106">
        <v>0</v>
      </c>
      <c r="O106">
        <v>3</v>
      </c>
      <c r="P106">
        <v>90</v>
      </c>
      <c r="Q106">
        <v>2</v>
      </c>
    </row>
    <row r="107" spans="1:17" x14ac:dyDescent="0.3">
      <c r="A107">
        <v>11006</v>
      </c>
      <c r="B107" t="s">
        <v>9054</v>
      </c>
      <c r="C107">
        <v>11</v>
      </c>
      <c r="D107">
        <v>1</v>
      </c>
      <c r="E107">
        <v>1</v>
      </c>
      <c r="F107">
        <v>0</v>
      </c>
      <c r="G107">
        <v>10</v>
      </c>
      <c r="H107">
        <v>0</v>
      </c>
      <c r="I107">
        <v>15</v>
      </c>
      <c r="J107">
        <v>0</v>
      </c>
      <c r="K107">
        <v>0</v>
      </c>
      <c r="L107">
        <v>0</v>
      </c>
      <c r="M107">
        <v>0</v>
      </c>
      <c r="N107">
        <v>0</v>
      </c>
      <c r="O107">
        <v>3</v>
      </c>
      <c r="P107">
        <v>90</v>
      </c>
      <c r="Q107">
        <v>2</v>
      </c>
    </row>
    <row r="108" spans="1:17" x14ac:dyDescent="0.3">
      <c r="A108">
        <v>11007</v>
      </c>
      <c r="B108" t="s">
        <v>9055</v>
      </c>
      <c r="C108">
        <v>11</v>
      </c>
      <c r="D108">
        <v>1</v>
      </c>
      <c r="E108">
        <v>1</v>
      </c>
      <c r="F108">
        <v>20</v>
      </c>
      <c r="G108">
        <v>10</v>
      </c>
      <c r="H108">
        <v>0</v>
      </c>
      <c r="I108">
        <v>0</v>
      </c>
      <c r="J108">
        <v>0</v>
      </c>
      <c r="K108">
        <v>0</v>
      </c>
      <c r="L108">
        <v>0</v>
      </c>
      <c r="M108">
        <v>0</v>
      </c>
      <c r="N108">
        <v>0</v>
      </c>
      <c r="O108">
        <v>3</v>
      </c>
      <c r="P108">
        <v>130</v>
      </c>
      <c r="Q108">
        <v>2</v>
      </c>
    </row>
    <row r="109" spans="1:17" x14ac:dyDescent="0.3">
      <c r="A109">
        <v>11008</v>
      </c>
      <c r="B109" t="s">
        <v>9056</v>
      </c>
      <c r="C109">
        <v>11</v>
      </c>
      <c r="D109">
        <v>1</v>
      </c>
      <c r="E109">
        <v>1</v>
      </c>
      <c r="F109">
        <v>20</v>
      </c>
      <c r="G109">
        <v>0</v>
      </c>
      <c r="H109">
        <v>15</v>
      </c>
      <c r="I109">
        <v>0</v>
      </c>
      <c r="J109">
        <v>0</v>
      </c>
      <c r="K109">
        <v>0</v>
      </c>
      <c r="L109">
        <v>0</v>
      </c>
      <c r="M109">
        <v>0</v>
      </c>
      <c r="N109">
        <v>0</v>
      </c>
      <c r="O109">
        <v>3</v>
      </c>
      <c r="P109">
        <v>90</v>
      </c>
      <c r="Q109">
        <v>2</v>
      </c>
    </row>
    <row r="110" spans="1:17" x14ac:dyDescent="0.3">
      <c r="A110">
        <v>11009</v>
      </c>
      <c r="B110" t="s">
        <v>9057</v>
      </c>
      <c r="C110">
        <v>11</v>
      </c>
      <c r="D110">
        <v>1</v>
      </c>
      <c r="E110">
        <v>1</v>
      </c>
      <c r="F110">
        <v>0</v>
      </c>
      <c r="G110">
        <v>0</v>
      </c>
      <c r="H110">
        <v>20</v>
      </c>
      <c r="I110">
        <v>10</v>
      </c>
      <c r="J110">
        <v>0</v>
      </c>
      <c r="K110">
        <v>0</v>
      </c>
      <c r="L110">
        <v>0</v>
      </c>
      <c r="M110">
        <v>0</v>
      </c>
      <c r="N110">
        <v>0</v>
      </c>
      <c r="O110">
        <v>4</v>
      </c>
      <c r="P110">
        <v>50</v>
      </c>
      <c r="Q110">
        <v>2</v>
      </c>
    </row>
    <row r="111" spans="1:17" x14ac:dyDescent="0.3">
      <c r="A111">
        <v>11010</v>
      </c>
      <c r="B111" t="s">
        <v>9058</v>
      </c>
      <c r="C111">
        <v>11</v>
      </c>
      <c r="D111">
        <v>1</v>
      </c>
      <c r="E111">
        <v>1</v>
      </c>
      <c r="F111">
        <v>15</v>
      </c>
      <c r="G111">
        <v>10</v>
      </c>
      <c r="H111">
        <v>0</v>
      </c>
      <c r="I111">
        <v>0</v>
      </c>
      <c r="J111">
        <v>0</v>
      </c>
      <c r="K111">
        <v>0</v>
      </c>
      <c r="L111">
        <v>0</v>
      </c>
      <c r="M111">
        <v>0</v>
      </c>
      <c r="N111">
        <v>0</v>
      </c>
      <c r="O111">
        <v>6</v>
      </c>
      <c r="P111">
        <v>90</v>
      </c>
      <c r="Q111">
        <v>2</v>
      </c>
    </row>
  </sheetData>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6BDAF-2AEF-4D6E-8B96-CBC6A7C71C75}">
  <sheetPr codeName="Sheet23">
    <tabColor theme="8" tint="0.79998168889431442"/>
  </sheetPr>
  <dimension ref="A1:Y326"/>
  <sheetViews>
    <sheetView workbookViewId="0">
      <pane ySplit="1" topLeftCell="A301" activePane="bottomLeft" state="frozen"/>
      <selection pane="bottomLeft" activeCell="A322" sqref="A322:Y326"/>
    </sheetView>
  </sheetViews>
  <sheetFormatPr defaultRowHeight="14.4" x14ac:dyDescent="0.3"/>
  <cols>
    <col min="1" max="1" width="7.33203125" bestFit="1" customWidth="1"/>
    <col min="2" max="2" width="13.44140625" bestFit="1" customWidth="1"/>
    <col min="3" max="3" width="7.109375" bestFit="1" customWidth="1"/>
    <col min="4" max="4" width="16.44140625" bestFit="1" customWidth="1"/>
    <col min="5" max="5" width="14.6640625" bestFit="1" customWidth="1"/>
    <col min="6" max="6" width="23" bestFit="1" customWidth="1"/>
    <col min="7" max="7" width="18.109375" bestFit="1" customWidth="1"/>
    <col min="8" max="8" width="19.6640625" bestFit="1" customWidth="1"/>
    <col min="9" max="9" width="19.44140625" bestFit="1" customWidth="1"/>
    <col min="10" max="10" width="18.33203125" bestFit="1" customWidth="1"/>
    <col min="11" max="11" width="21.44140625" bestFit="1" customWidth="1"/>
    <col min="12" max="12" width="21.109375" bestFit="1" customWidth="1"/>
    <col min="13" max="13" width="29.5546875" bestFit="1" customWidth="1"/>
    <col min="14" max="14" width="18.6640625" bestFit="1" customWidth="1"/>
    <col min="15" max="15" width="23.6640625" bestFit="1" customWidth="1"/>
    <col min="16" max="16" width="21.33203125" bestFit="1" customWidth="1"/>
    <col min="17" max="17" width="21.109375" bestFit="1" customWidth="1"/>
    <col min="18" max="18" width="29.44140625" bestFit="1" customWidth="1"/>
    <col min="19" max="19" width="9.6640625" bestFit="1" customWidth="1"/>
    <col min="20" max="20" width="14" bestFit="1" customWidth="1"/>
    <col min="21" max="23" width="7.88671875" bestFit="1" customWidth="1"/>
    <col min="24" max="24" width="15.109375" bestFit="1" customWidth="1"/>
  </cols>
  <sheetData>
    <row r="1" spans="1:24" x14ac:dyDescent="0.3">
      <c r="A1" s="38" t="s">
        <v>25</v>
      </c>
      <c r="B1" s="38" t="s">
        <v>1028</v>
      </c>
      <c r="C1" s="38" t="s">
        <v>1035</v>
      </c>
      <c r="D1" s="38" t="s">
        <v>4689</v>
      </c>
      <c r="E1" s="38" t="s">
        <v>1050</v>
      </c>
      <c r="F1" s="38" t="s">
        <v>1051</v>
      </c>
      <c r="G1" s="38" t="s">
        <v>1052</v>
      </c>
      <c r="H1" s="38" t="s">
        <v>1053</v>
      </c>
      <c r="I1" s="38" t="s">
        <v>1054</v>
      </c>
      <c r="J1" s="38" t="s">
        <v>1055</v>
      </c>
      <c r="K1" s="38" t="s">
        <v>1056</v>
      </c>
      <c r="L1" s="38" t="s">
        <v>1057</v>
      </c>
      <c r="M1" s="38" t="s">
        <v>1058</v>
      </c>
      <c r="N1" s="38" t="s">
        <v>1059</v>
      </c>
      <c r="O1" s="38" t="s">
        <v>1060</v>
      </c>
      <c r="P1" s="38" t="s">
        <v>1061</v>
      </c>
      <c r="Q1" s="38" t="s">
        <v>1062</v>
      </c>
      <c r="R1" s="10" t="s">
        <v>2624</v>
      </c>
      <c r="S1" s="10" t="s">
        <v>4466</v>
      </c>
      <c r="T1" s="10" t="s">
        <v>4690</v>
      </c>
      <c r="U1" s="10" t="s">
        <v>41</v>
      </c>
      <c r="V1" s="10" t="s">
        <v>42</v>
      </c>
      <c r="W1" s="10" t="s">
        <v>879</v>
      </c>
      <c r="X1" s="10" t="s">
        <v>970</v>
      </c>
    </row>
    <row r="2" spans="1:24" x14ac:dyDescent="0.3">
      <c r="A2" s="1">
        <v>10000</v>
      </c>
      <c r="B2" s="1">
        <v>100</v>
      </c>
      <c r="C2" s="1">
        <v>0</v>
      </c>
      <c r="D2" s="1">
        <v>0</v>
      </c>
      <c r="E2" s="1">
        <v>0</v>
      </c>
      <c r="F2" s="1">
        <v>1</v>
      </c>
      <c r="G2" s="1">
        <v>366</v>
      </c>
      <c r="H2" s="1">
        <v>44</v>
      </c>
      <c r="I2" s="1">
        <v>38</v>
      </c>
      <c r="J2" s="1">
        <v>23</v>
      </c>
      <c r="K2" s="1">
        <v>48</v>
      </c>
      <c r="L2" s="1">
        <v>0</v>
      </c>
      <c r="M2" s="1">
        <v>0</v>
      </c>
      <c r="N2" s="1">
        <v>0</v>
      </c>
      <c r="O2" s="1">
        <v>0</v>
      </c>
      <c r="P2" s="1">
        <v>0</v>
      </c>
      <c r="Q2" s="1">
        <v>0</v>
      </c>
      <c r="R2" s="1" t="s">
        <v>4691</v>
      </c>
      <c r="S2" s="1">
        <v>0</v>
      </c>
      <c r="T2" s="1">
        <v>0</v>
      </c>
      <c r="U2" s="1">
        <v>0</v>
      </c>
      <c r="V2" s="1">
        <v>0</v>
      </c>
      <c r="W2" s="1">
        <v>0</v>
      </c>
      <c r="X2" s="1">
        <v>0</v>
      </c>
    </row>
    <row r="3" spans="1:24" x14ac:dyDescent="0.3">
      <c r="A3" s="1">
        <v>10001</v>
      </c>
      <c r="B3" s="1">
        <v>100</v>
      </c>
      <c r="C3" s="1">
        <v>1</v>
      </c>
      <c r="D3" s="1">
        <v>1</v>
      </c>
      <c r="E3" s="1">
        <v>0</v>
      </c>
      <c r="F3" s="1">
        <v>1</v>
      </c>
      <c r="G3" s="1">
        <v>366</v>
      </c>
      <c r="H3" s="1">
        <v>44</v>
      </c>
      <c r="I3" s="1">
        <v>38</v>
      </c>
      <c r="J3" s="1">
        <v>23</v>
      </c>
      <c r="K3" s="1">
        <v>48</v>
      </c>
      <c r="L3" s="1">
        <v>0</v>
      </c>
      <c r="M3" s="1">
        <v>0</v>
      </c>
      <c r="N3" s="1">
        <v>0</v>
      </c>
      <c r="O3" s="1">
        <v>0</v>
      </c>
      <c r="P3" s="1">
        <v>0</v>
      </c>
      <c r="Q3" s="1">
        <v>200</v>
      </c>
      <c r="R3" s="1" t="s">
        <v>4691</v>
      </c>
      <c r="S3" s="1">
        <v>0</v>
      </c>
      <c r="T3" s="1">
        <v>0</v>
      </c>
      <c r="U3" s="1">
        <v>0</v>
      </c>
      <c r="V3" s="1">
        <v>0</v>
      </c>
      <c r="W3" s="1">
        <v>0</v>
      </c>
      <c r="X3" s="1">
        <v>0</v>
      </c>
    </row>
    <row r="4" spans="1:24" x14ac:dyDescent="0.3">
      <c r="A4" s="1">
        <v>10002</v>
      </c>
      <c r="B4" s="1">
        <v>100</v>
      </c>
      <c r="C4" s="1">
        <v>2</v>
      </c>
      <c r="D4" s="1">
        <v>1</v>
      </c>
      <c r="E4" s="1">
        <v>0</v>
      </c>
      <c r="F4" s="1">
        <v>1</v>
      </c>
      <c r="G4" s="1">
        <v>366</v>
      </c>
      <c r="H4" s="1">
        <v>80</v>
      </c>
      <c r="I4" s="1">
        <v>38</v>
      </c>
      <c r="J4" s="1">
        <v>23</v>
      </c>
      <c r="K4" s="1">
        <v>48</v>
      </c>
      <c r="L4" s="1">
        <v>0</v>
      </c>
      <c r="M4" s="1">
        <v>0</v>
      </c>
      <c r="N4" s="1">
        <v>0</v>
      </c>
      <c r="O4" s="1">
        <v>0</v>
      </c>
      <c r="P4" s="1">
        <v>0</v>
      </c>
      <c r="Q4" s="1">
        <v>200</v>
      </c>
      <c r="R4" s="1" t="s">
        <v>4692</v>
      </c>
      <c r="S4" s="1">
        <v>0</v>
      </c>
      <c r="T4" s="1">
        <v>0</v>
      </c>
      <c r="U4" s="1">
        <v>0</v>
      </c>
      <c r="V4" s="1">
        <v>0</v>
      </c>
      <c r="W4" s="1">
        <v>0</v>
      </c>
      <c r="X4" s="1">
        <v>0</v>
      </c>
    </row>
    <row r="5" spans="1:24" x14ac:dyDescent="0.3">
      <c r="A5" s="1">
        <v>10003</v>
      </c>
      <c r="B5" s="1">
        <v>100</v>
      </c>
      <c r="C5" s="1">
        <v>3</v>
      </c>
      <c r="D5" s="1">
        <v>1</v>
      </c>
      <c r="E5" s="1">
        <v>0</v>
      </c>
      <c r="F5" s="1">
        <v>1</v>
      </c>
      <c r="G5" s="1">
        <v>366</v>
      </c>
      <c r="H5" s="1">
        <v>80</v>
      </c>
      <c r="I5" s="1">
        <v>38</v>
      </c>
      <c r="J5" s="1">
        <v>33</v>
      </c>
      <c r="K5" s="1">
        <v>63</v>
      </c>
      <c r="L5" s="1">
        <v>0</v>
      </c>
      <c r="M5" s="1">
        <v>0</v>
      </c>
      <c r="N5" s="1">
        <v>0</v>
      </c>
      <c r="O5" s="1">
        <v>0</v>
      </c>
      <c r="P5" s="1">
        <v>0</v>
      </c>
      <c r="Q5" s="1">
        <v>200</v>
      </c>
      <c r="R5" s="1" t="s">
        <v>4592</v>
      </c>
      <c r="S5" s="1">
        <v>0</v>
      </c>
      <c r="T5" s="1">
        <v>0</v>
      </c>
      <c r="U5" s="1">
        <v>0</v>
      </c>
      <c r="V5" s="1">
        <v>0</v>
      </c>
      <c r="W5" s="1">
        <v>0</v>
      </c>
      <c r="X5" s="1">
        <v>0</v>
      </c>
    </row>
    <row r="6" spans="1:24" x14ac:dyDescent="0.3">
      <c r="A6" s="1">
        <v>10004</v>
      </c>
      <c r="B6" s="1">
        <v>100</v>
      </c>
      <c r="C6" s="1">
        <v>4</v>
      </c>
      <c r="D6" s="1">
        <v>1</v>
      </c>
      <c r="E6" s="1">
        <v>1</v>
      </c>
      <c r="F6" s="1">
        <v>1</v>
      </c>
      <c r="G6" s="1">
        <v>366</v>
      </c>
      <c r="H6" s="1">
        <v>80</v>
      </c>
      <c r="I6" s="1">
        <v>38</v>
      </c>
      <c r="J6" s="1">
        <v>33</v>
      </c>
      <c r="K6" s="1">
        <v>63</v>
      </c>
      <c r="L6" s="1">
        <v>0</v>
      </c>
      <c r="M6" s="1">
        <v>0</v>
      </c>
      <c r="N6" s="1">
        <v>0</v>
      </c>
      <c r="O6" s="1">
        <v>0</v>
      </c>
      <c r="P6" s="1">
        <v>0</v>
      </c>
      <c r="Q6" s="1">
        <v>200</v>
      </c>
      <c r="R6" s="1" t="s">
        <v>4592</v>
      </c>
      <c r="S6" s="1">
        <v>0</v>
      </c>
      <c r="T6" s="1">
        <v>0</v>
      </c>
      <c r="U6" s="1">
        <v>901585</v>
      </c>
      <c r="V6" s="1">
        <v>0</v>
      </c>
      <c r="W6" s="1">
        <v>0</v>
      </c>
      <c r="X6" s="1">
        <v>0</v>
      </c>
    </row>
    <row r="7" spans="1:24" x14ac:dyDescent="0.3">
      <c r="A7" s="1">
        <v>10100</v>
      </c>
      <c r="B7" s="1">
        <v>101</v>
      </c>
      <c r="C7" s="1">
        <v>0</v>
      </c>
      <c r="D7" s="1">
        <v>0</v>
      </c>
      <c r="E7" s="1">
        <v>0</v>
      </c>
      <c r="F7" s="1">
        <v>1</v>
      </c>
      <c r="G7" s="1">
        <v>331</v>
      </c>
      <c r="H7" s="1">
        <v>42</v>
      </c>
      <c r="I7" s="1">
        <v>36</v>
      </c>
      <c r="J7" s="1">
        <v>19</v>
      </c>
      <c r="K7" s="1">
        <v>58</v>
      </c>
      <c r="L7" s="1">
        <v>0</v>
      </c>
      <c r="M7" s="1">
        <v>0</v>
      </c>
      <c r="N7" s="1">
        <v>0</v>
      </c>
      <c r="O7" s="1">
        <v>0</v>
      </c>
      <c r="P7" s="1">
        <v>0</v>
      </c>
      <c r="Q7" s="1">
        <v>0</v>
      </c>
      <c r="R7" s="1" t="s">
        <v>4691</v>
      </c>
      <c r="S7" s="1">
        <v>0</v>
      </c>
      <c r="T7" s="1">
        <v>0</v>
      </c>
      <c r="U7" s="1">
        <v>0</v>
      </c>
      <c r="V7" s="1">
        <v>0</v>
      </c>
      <c r="W7" s="1">
        <v>0</v>
      </c>
      <c r="X7" s="1">
        <v>0</v>
      </c>
    </row>
    <row r="8" spans="1:24" x14ac:dyDescent="0.3">
      <c r="A8" s="1">
        <v>10101</v>
      </c>
      <c r="B8" s="1">
        <v>101</v>
      </c>
      <c r="C8" s="1">
        <v>1</v>
      </c>
      <c r="D8" s="1">
        <v>1</v>
      </c>
      <c r="E8" s="1">
        <v>0</v>
      </c>
      <c r="F8" s="1">
        <v>1</v>
      </c>
      <c r="G8" s="1">
        <v>331</v>
      </c>
      <c r="H8" s="1">
        <v>42</v>
      </c>
      <c r="I8" s="1">
        <v>36</v>
      </c>
      <c r="J8" s="1">
        <v>19</v>
      </c>
      <c r="K8" s="1">
        <v>58</v>
      </c>
      <c r="L8" s="1">
        <v>0</v>
      </c>
      <c r="M8" s="1">
        <v>0</v>
      </c>
      <c r="N8" s="1">
        <v>0</v>
      </c>
      <c r="O8" s="1">
        <v>0</v>
      </c>
      <c r="P8" s="1">
        <v>0</v>
      </c>
      <c r="Q8" s="1">
        <v>200</v>
      </c>
      <c r="R8" s="1" t="s">
        <v>4592</v>
      </c>
      <c r="S8" s="1">
        <v>0</v>
      </c>
      <c r="T8" s="1">
        <v>0</v>
      </c>
      <c r="U8" s="1">
        <v>0</v>
      </c>
      <c r="V8" s="1">
        <v>0</v>
      </c>
      <c r="W8" s="1">
        <v>0</v>
      </c>
      <c r="X8" s="1">
        <v>0</v>
      </c>
    </row>
    <row r="9" spans="1:24" x14ac:dyDescent="0.3">
      <c r="A9" s="1">
        <v>10102</v>
      </c>
      <c r="B9" s="1">
        <v>101</v>
      </c>
      <c r="C9" s="1">
        <v>2</v>
      </c>
      <c r="D9" s="1">
        <v>1</v>
      </c>
      <c r="E9" s="1">
        <v>0</v>
      </c>
      <c r="F9" s="1">
        <v>1</v>
      </c>
      <c r="G9" s="1">
        <v>331</v>
      </c>
      <c r="H9" s="1">
        <v>72</v>
      </c>
      <c r="I9" s="1">
        <v>36</v>
      </c>
      <c r="J9" s="1">
        <v>29</v>
      </c>
      <c r="K9" s="1">
        <v>58</v>
      </c>
      <c r="L9" s="1">
        <v>0</v>
      </c>
      <c r="M9" s="1">
        <v>0</v>
      </c>
      <c r="N9" s="1">
        <v>0</v>
      </c>
      <c r="O9" s="1">
        <v>0</v>
      </c>
      <c r="P9" s="1">
        <v>0</v>
      </c>
      <c r="Q9" s="1">
        <v>200</v>
      </c>
      <c r="R9" s="1" t="s">
        <v>4592</v>
      </c>
      <c r="S9" s="1">
        <v>0</v>
      </c>
      <c r="T9" s="1">
        <v>0</v>
      </c>
      <c r="U9" s="1">
        <v>0</v>
      </c>
      <c r="V9" s="1">
        <v>0</v>
      </c>
      <c r="W9" s="1">
        <v>0</v>
      </c>
      <c r="X9" s="1">
        <v>0</v>
      </c>
    </row>
    <row r="10" spans="1:24" x14ac:dyDescent="0.3">
      <c r="A10" s="1">
        <v>10103</v>
      </c>
      <c r="B10" s="1">
        <v>101</v>
      </c>
      <c r="C10" s="1">
        <v>3</v>
      </c>
      <c r="D10" s="1">
        <v>1</v>
      </c>
      <c r="E10" s="1">
        <v>0</v>
      </c>
      <c r="F10" s="1">
        <v>1</v>
      </c>
      <c r="G10" s="1">
        <v>331</v>
      </c>
      <c r="H10" s="1">
        <v>72</v>
      </c>
      <c r="I10" s="1">
        <v>42</v>
      </c>
      <c r="J10" s="1">
        <v>29</v>
      </c>
      <c r="K10" s="1">
        <v>73</v>
      </c>
      <c r="L10" s="1">
        <v>0</v>
      </c>
      <c r="M10" s="1">
        <v>0</v>
      </c>
      <c r="N10" s="1">
        <v>0</v>
      </c>
      <c r="O10" s="1">
        <v>0</v>
      </c>
      <c r="P10" s="1">
        <v>0</v>
      </c>
      <c r="Q10" s="1">
        <v>200</v>
      </c>
      <c r="R10" s="1" t="s">
        <v>4592</v>
      </c>
      <c r="S10" s="1">
        <v>0</v>
      </c>
      <c r="T10" s="1">
        <v>0</v>
      </c>
      <c r="U10" s="1">
        <v>0</v>
      </c>
      <c r="V10" s="1">
        <v>0</v>
      </c>
      <c r="W10" s="1">
        <v>0</v>
      </c>
      <c r="X10" s="1">
        <v>0</v>
      </c>
    </row>
    <row r="11" spans="1:24" x14ac:dyDescent="0.3">
      <c r="A11" s="1">
        <v>10104</v>
      </c>
      <c r="B11" s="1">
        <v>101</v>
      </c>
      <c r="C11" s="1">
        <v>4</v>
      </c>
      <c r="D11" s="1">
        <v>1</v>
      </c>
      <c r="E11" s="1">
        <v>1</v>
      </c>
      <c r="F11" s="1">
        <v>1</v>
      </c>
      <c r="G11" s="1">
        <v>331</v>
      </c>
      <c r="H11" s="1">
        <v>72</v>
      </c>
      <c r="I11" s="1">
        <v>42</v>
      </c>
      <c r="J11" s="1">
        <v>29</v>
      </c>
      <c r="K11" s="1">
        <v>73</v>
      </c>
      <c r="L11" s="1">
        <v>0</v>
      </c>
      <c r="M11" s="1">
        <v>0</v>
      </c>
      <c r="N11" s="1">
        <v>0</v>
      </c>
      <c r="O11" s="1">
        <v>0</v>
      </c>
      <c r="P11" s="1">
        <v>0</v>
      </c>
      <c r="Q11" s="1">
        <v>200</v>
      </c>
      <c r="R11" s="1" t="s">
        <v>4592</v>
      </c>
      <c r="S11" s="1">
        <v>0</v>
      </c>
      <c r="T11" s="1">
        <v>0</v>
      </c>
      <c r="U11" s="1">
        <v>900526</v>
      </c>
      <c r="V11" s="1">
        <v>0</v>
      </c>
      <c r="W11" s="1">
        <v>0</v>
      </c>
      <c r="X11" s="1">
        <v>0</v>
      </c>
    </row>
    <row r="12" spans="1:24" x14ac:dyDescent="0.3">
      <c r="A12" s="1">
        <v>10200</v>
      </c>
      <c r="B12" s="1">
        <v>102</v>
      </c>
      <c r="C12" s="1">
        <v>0</v>
      </c>
      <c r="D12" s="1">
        <v>0</v>
      </c>
      <c r="E12" s="1">
        <v>0</v>
      </c>
      <c r="F12" s="1">
        <v>1</v>
      </c>
      <c r="G12" s="1">
        <v>319</v>
      </c>
      <c r="H12" s="1">
        <v>42</v>
      </c>
      <c r="I12" s="1">
        <v>32</v>
      </c>
      <c r="J12" s="1">
        <v>31</v>
      </c>
      <c r="K12" s="1">
        <v>42</v>
      </c>
      <c r="L12" s="1">
        <v>0</v>
      </c>
      <c r="M12" s="1">
        <v>0</v>
      </c>
      <c r="N12" s="1">
        <v>0</v>
      </c>
      <c r="O12" s="1">
        <v>0</v>
      </c>
      <c r="P12" s="1">
        <v>0</v>
      </c>
      <c r="Q12" s="1">
        <v>0</v>
      </c>
      <c r="R12" s="1" t="s">
        <v>4693</v>
      </c>
      <c r="S12" s="1">
        <v>0</v>
      </c>
      <c r="T12" s="1">
        <v>0</v>
      </c>
      <c r="U12" s="1">
        <v>0</v>
      </c>
      <c r="V12" s="1">
        <v>0</v>
      </c>
      <c r="W12" s="1">
        <v>0</v>
      </c>
      <c r="X12" s="1">
        <v>0</v>
      </c>
    </row>
    <row r="13" spans="1:24" x14ac:dyDescent="0.3">
      <c r="A13" s="1">
        <v>10201</v>
      </c>
      <c r="B13" s="1">
        <v>102</v>
      </c>
      <c r="C13" s="1">
        <v>1</v>
      </c>
      <c r="D13" s="1">
        <v>1</v>
      </c>
      <c r="E13" s="1">
        <v>0</v>
      </c>
      <c r="F13" s="1">
        <v>1</v>
      </c>
      <c r="G13" s="1">
        <v>319</v>
      </c>
      <c r="H13" s="1">
        <v>42</v>
      </c>
      <c r="I13" s="1">
        <v>32</v>
      </c>
      <c r="J13" s="1">
        <v>31</v>
      </c>
      <c r="K13" s="1">
        <v>42</v>
      </c>
      <c r="L13" s="1">
        <v>0</v>
      </c>
      <c r="M13" s="1">
        <v>0</v>
      </c>
      <c r="N13" s="1">
        <v>0</v>
      </c>
      <c r="O13" s="1">
        <v>0</v>
      </c>
      <c r="P13" s="1">
        <v>0</v>
      </c>
      <c r="Q13" s="1">
        <v>200</v>
      </c>
      <c r="R13" s="1" t="s">
        <v>4512</v>
      </c>
      <c r="S13" s="1">
        <v>0</v>
      </c>
      <c r="T13" s="1">
        <v>0</v>
      </c>
      <c r="U13" s="1">
        <v>0</v>
      </c>
      <c r="V13" s="1">
        <v>0</v>
      </c>
      <c r="W13" s="1">
        <v>0</v>
      </c>
      <c r="X13" s="1">
        <v>0</v>
      </c>
    </row>
    <row r="14" spans="1:24" x14ac:dyDescent="0.3">
      <c r="A14" s="1">
        <v>10202</v>
      </c>
      <c r="B14" s="1">
        <v>102</v>
      </c>
      <c r="C14" s="1">
        <v>2</v>
      </c>
      <c r="D14" s="1">
        <v>1</v>
      </c>
      <c r="E14" s="1">
        <v>0</v>
      </c>
      <c r="F14" s="1">
        <v>1</v>
      </c>
      <c r="G14" s="1">
        <v>319</v>
      </c>
      <c r="H14" s="1">
        <v>82</v>
      </c>
      <c r="I14" s="1">
        <v>32</v>
      </c>
      <c r="J14" s="1">
        <v>31</v>
      </c>
      <c r="K14" s="1">
        <v>42</v>
      </c>
      <c r="L14" s="1">
        <v>0</v>
      </c>
      <c r="M14" s="1">
        <v>0</v>
      </c>
      <c r="N14" s="1">
        <v>0</v>
      </c>
      <c r="O14" s="1">
        <v>0</v>
      </c>
      <c r="P14" s="1">
        <v>0</v>
      </c>
      <c r="Q14" s="1">
        <v>200</v>
      </c>
      <c r="R14" s="1" t="s">
        <v>4512</v>
      </c>
      <c r="S14" s="1">
        <v>0</v>
      </c>
      <c r="T14" s="1">
        <v>0</v>
      </c>
      <c r="U14" s="1">
        <v>0</v>
      </c>
      <c r="V14" s="1">
        <v>0</v>
      </c>
      <c r="W14" s="1">
        <v>0</v>
      </c>
      <c r="X14" s="1">
        <v>0</v>
      </c>
    </row>
    <row r="15" spans="1:24" x14ac:dyDescent="0.3">
      <c r="A15" s="1">
        <v>10203</v>
      </c>
      <c r="B15" s="1">
        <v>102</v>
      </c>
      <c r="C15" s="1">
        <v>3</v>
      </c>
      <c r="D15" s="1">
        <v>1</v>
      </c>
      <c r="E15" s="1">
        <v>0</v>
      </c>
      <c r="F15" s="1">
        <v>1</v>
      </c>
      <c r="G15" s="1">
        <v>439</v>
      </c>
      <c r="H15" s="1">
        <v>82</v>
      </c>
      <c r="I15" s="1">
        <v>32</v>
      </c>
      <c r="J15" s="1">
        <v>31</v>
      </c>
      <c r="K15" s="1">
        <v>57</v>
      </c>
      <c r="L15" s="1">
        <v>0</v>
      </c>
      <c r="M15" s="1">
        <v>0</v>
      </c>
      <c r="N15" s="1">
        <v>0</v>
      </c>
      <c r="O15" s="1">
        <v>0</v>
      </c>
      <c r="P15" s="1">
        <v>0</v>
      </c>
      <c r="Q15" s="1">
        <v>200</v>
      </c>
      <c r="R15" s="1" t="s">
        <v>4512</v>
      </c>
      <c r="S15" s="1">
        <v>0</v>
      </c>
      <c r="T15" s="1">
        <v>0</v>
      </c>
      <c r="U15" s="1">
        <v>0</v>
      </c>
      <c r="V15" s="1">
        <v>0</v>
      </c>
      <c r="W15" s="1">
        <v>0</v>
      </c>
      <c r="X15" s="1">
        <v>0</v>
      </c>
    </row>
    <row r="16" spans="1:24" x14ac:dyDescent="0.3">
      <c r="A16" s="1">
        <v>10204</v>
      </c>
      <c r="B16" s="1">
        <v>102</v>
      </c>
      <c r="C16" s="1">
        <v>4</v>
      </c>
      <c r="D16" s="1">
        <v>1</v>
      </c>
      <c r="E16" s="1">
        <v>1</v>
      </c>
      <c r="F16" s="1">
        <v>1</v>
      </c>
      <c r="G16" s="1">
        <v>439</v>
      </c>
      <c r="H16" s="1">
        <v>82</v>
      </c>
      <c r="I16" s="1">
        <v>32</v>
      </c>
      <c r="J16" s="1">
        <v>31</v>
      </c>
      <c r="K16" s="1">
        <v>57</v>
      </c>
      <c r="L16" s="1">
        <v>0</v>
      </c>
      <c r="M16" s="1">
        <v>0</v>
      </c>
      <c r="N16" s="1">
        <v>0</v>
      </c>
      <c r="O16" s="1">
        <v>0</v>
      </c>
      <c r="P16" s="1">
        <v>0</v>
      </c>
      <c r="Q16" s="1">
        <v>200</v>
      </c>
      <c r="R16" s="1" t="s">
        <v>4512</v>
      </c>
      <c r="S16" s="1">
        <v>0</v>
      </c>
      <c r="T16" s="1">
        <v>0</v>
      </c>
      <c r="U16" s="1">
        <v>600308</v>
      </c>
      <c r="V16" s="1">
        <v>0</v>
      </c>
      <c r="W16" s="1">
        <v>0</v>
      </c>
      <c r="X16" s="1">
        <v>0</v>
      </c>
    </row>
    <row r="17" spans="1:24" x14ac:dyDescent="0.3">
      <c r="A17" s="1">
        <v>10300</v>
      </c>
      <c r="B17" s="1">
        <v>103</v>
      </c>
      <c r="C17" s="1">
        <v>0</v>
      </c>
      <c r="D17" s="1">
        <v>0</v>
      </c>
      <c r="E17" s="1">
        <v>0</v>
      </c>
      <c r="F17" s="1">
        <v>1</v>
      </c>
      <c r="G17" s="1">
        <v>348</v>
      </c>
      <c r="H17" s="1">
        <v>57</v>
      </c>
      <c r="I17" s="1">
        <v>39</v>
      </c>
      <c r="J17" s="1">
        <v>17</v>
      </c>
      <c r="K17" s="1">
        <v>32</v>
      </c>
      <c r="L17" s="1">
        <v>0</v>
      </c>
      <c r="M17" s="1">
        <v>0</v>
      </c>
      <c r="N17" s="1">
        <v>0</v>
      </c>
      <c r="O17" s="1">
        <v>0</v>
      </c>
      <c r="P17" s="1">
        <v>0</v>
      </c>
      <c r="Q17" s="1">
        <v>0</v>
      </c>
      <c r="R17" s="1" t="s">
        <v>4694</v>
      </c>
      <c r="S17" s="1">
        <v>0</v>
      </c>
      <c r="T17" s="1">
        <v>0</v>
      </c>
      <c r="U17" s="1">
        <v>0</v>
      </c>
      <c r="V17" s="1">
        <v>0</v>
      </c>
      <c r="W17" s="1">
        <v>0</v>
      </c>
      <c r="X17" s="1">
        <v>0</v>
      </c>
    </row>
    <row r="18" spans="1:24" x14ac:dyDescent="0.3">
      <c r="A18" s="1">
        <v>10301</v>
      </c>
      <c r="B18" s="1">
        <v>103</v>
      </c>
      <c r="C18" s="1">
        <v>1</v>
      </c>
      <c r="D18" s="1">
        <v>1</v>
      </c>
      <c r="E18" s="1">
        <v>0</v>
      </c>
      <c r="F18" s="1">
        <v>1</v>
      </c>
      <c r="G18" s="1">
        <v>348</v>
      </c>
      <c r="H18" s="1">
        <v>57</v>
      </c>
      <c r="I18" s="1">
        <v>39</v>
      </c>
      <c r="J18" s="1">
        <v>17</v>
      </c>
      <c r="K18" s="1">
        <v>32</v>
      </c>
      <c r="L18" s="1">
        <v>0</v>
      </c>
      <c r="M18" s="1">
        <v>0</v>
      </c>
      <c r="N18" s="1">
        <v>0</v>
      </c>
      <c r="O18" s="1">
        <v>0</v>
      </c>
      <c r="P18" s="1">
        <v>0</v>
      </c>
      <c r="Q18" s="1">
        <v>200</v>
      </c>
      <c r="R18" s="1" t="s">
        <v>4561</v>
      </c>
      <c r="S18" s="1">
        <v>0</v>
      </c>
      <c r="T18" s="1">
        <v>0</v>
      </c>
      <c r="U18" s="1">
        <v>0</v>
      </c>
      <c r="V18" s="1">
        <v>0</v>
      </c>
      <c r="W18" s="1">
        <v>0</v>
      </c>
      <c r="X18" s="1">
        <v>0</v>
      </c>
    </row>
    <row r="19" spans="1:24" x14ac:dyDescent="0.3">
      <c r="A19" s="1">
        <v>10302</v>
      </c>
      <c r="B19" s="1">
        <v>103</v>
      </c>
      <c r="C19" s="1">
        <v>2</v>
      </c>
      <c r="D19" s="1">
        <v>1</v>
      </c>
      <c r="E19" s="1">
        <v>0</v>
      </c>
      <c r="F19" s="1">
        <v>1</v>
      </c>
      <c r="G19" s="1">
        <v>348</v>
      </c>
      <c r="H19" s="1">
        <v>77</v>
      </c>
      <c r="I19" s="1">
        <v>39</v>
      </c>
      <c r="J19" s="1">
        <v>17</v>
      </c>
      <c r="K19" s="1">
        <v>47</v>
      </c>
      <c r="L19" s="1">
        <v>0</v>
      </c>
      <c r="M19" s="1">
        <v>0</v>
      </c>
      <c r="N19" s="1">
        <v>0</v>
      </c>
      <c r="O19" s="1">
        <v>0</v>
      </c>
      <c r="P19" s="1">
        <v>0</v>
      </c>
      <c r="Q19" s="1">
        <v>200</v>
      </c>
      <c r="R19" s="1" t="s">
        <v>4561</v>
      </c>
      <c r="S19" s="1">
        <v>0</v>
      </c>
      <c r="T19" s="1">
        <v>0</v>
      </c>
      <c r="U19" s="1">
        <v>0</v>
      </c>
      <c r="V19" s="1">
        <v>0</v>
      </c>
      <c r="W19" s="1">
        <v>0</v>
      </c>
      <c r="X19" s="1">
        <v>0</v>
      </c>
    </row>
    <row r="20" spans="1:24" x14ac:dyDescent="0.3">
      <c r="A20" s="1">
        <v>10303</v>
      </c>
      <c r="B20" s="1">
        <v>103</v>
      </c>
      <c r="C20" s="1">
        <v>3</v>
      </c>
      <c r="D20" s="1">
        <v>1</v>
      </c>
      <c r="E20" s="1">
        <v>0</v>
      </c>
      <c r="F20" s="1">
        <v>1</v>
      </c>
      <c r="G20" s="1">
        <v>348</v>
      </c>
      <c r="H20" s="1">
        <v>77</v>
      </c>
      <c r="I20" s="1">
        <v>39</v>
      </c>
      <c r="J20" s="1">
        <v>33</v>
      </c>
      <c r="K20" s="1">
        <v>63</v>
      </c>
      <c r="L20" s="1">
        <v>0</v>
      </c>
      <c r="M20" s="1">
        <v>0</v>
      </c>
      <c r="N20" s="1">
        <v>0</v>
      </c>
      <c r="O20" s="1">
        <v>0</v>
      </c>
      <c r="P20" s="1">
        <v>0</v>
      </c>
      <c r="Q20" s="1">
        <v>200</v>
      </c>
      <c r="R20" s="1" t="s">
        <v>4561</v>
      </c>
      <c r="S20" s="1">
        <v>0</v>
      </c>
      <c r="T20" s="1">
        <v>0</v>
      </c>
      <c r="U20" s="1">
        <v>0</v>
      </c>
      <c r="V20" s="1">
        <v>0</v>
      </c>
      <c r="W20" s="1">
        <v>0</v>
      </c>
      <c r="X20" s="1">
        <v>0</v>
      </c>
    </row>
    <row r="21" spans="1:24" x14ac:dyDescent="0.3">
      <c r="A21" s="1">
        <v>10304</v>
      </c>
      <c r="B21" s="1">
        <v>103</v>
      </c>
      <c r="C21" s="1">
        <v>4</v>
      </c>
      <c r="D21" s="1">
        <v>1</v>
      </c>
      <c r="E21" s="1">
        <v>1</v>
      </c>
      <c r="F21" s="1">
        <v>1</v>
      </c>
      <c r="G21" s="1">
        <v>348</v>
      </c>
      <c r="H21" s="1">
        <v>77</v>
      </c>
      <c r="I21" s="1">
        <v>39</v>
      </c>
      <c r="J21" s="1">
        <v>33</v>
      </c>
      <c r="K21" s="1">
        <v>63</v>
      </c>
      <c r="L21" s="1">
        <v>0</v>
      </c>
      <c r="M21" s="1">
        <v>0</v>
      </c>
      <c r="N21" s="1">
        <v>0</v>
      </c>
      <c r="O21" s="1">
        <v>0</v>
      </c>
      <c r="P21" s="1">
        <v>0</v>
      </c>
      <c r="Q21" s="1">
        <v>200</v>
      </c>
      <c r="R21" s="1" t="s">
        <v>4561</v>
      </c>
      <c r="S21" s="1">
        <v>0</v>
      </c>
      <c r="T21" s="1">
        <v>0</v>
      </c>
      <c r="U21" s="1">
        <v>900598</v>
      </c>
      <c r="V21" s="1">
        <v>0</v>
      </c>
      <c r="W21" s="1">
        <v>0</v>
      </c>
      <c r="X21" s="1">
        <v>0</v>
      </c>
    </row>
    <row r="22" spans="1:24" x14ac:dyDescent="0.3">
      <c r="A22" s="1">
        <v>10400</v>
      </c>
      <c r="B22" s="1">
        <v>104</v>
      </c>
      <c r="C22" s="1">
        <v>0</v>
      </c>
      <c r="D22" s="1">
        <v>0</v>
      </c>
      <c r="E22" s="1">
        <v>0</v>
      </c>
      <c r="F22" s="1">
        <v>1</v>
      </c>
      <c r="G22" s="1">
        <v>419</v>
      </c>
      <c r="H22" s="1">
        <v>55</v>
      </c>
      <c r="I22" s="1">
        <v>30</v>
      </c>
      <c r="J22" s="1">
        <v>15</v>
      </c>
      <c r="K22" s="1">
        <v>27</v>
      </c>
      <c r="L22" s="1">
        <v>0</v>
      </c>
      <c r="M22" s="1">
        <v>0</v>
      </c>
      <c r="N22" s="1">
        <v>0</v>
      </c>
      <c r="O22" s="1">
        <v>0</v>
      </c>
      <c r="P22" s="1">
        <v>0</v>
      </c>
      <c r="Q22" s="1">
        <v>0</v>
      </c>
      <c r="R22" s="1" t="s">
        <v>4695</v>
      </c>
      <c r="S22" s="1">
        <v>0</v>
      </c>
      <c r="T22" s="1">
        <v>0</v>
      </c>
      <c r="U22" s="1">
        <v>0</v>
      </c>
      <c r="V22" s="1">
        <v>0</v>
      </c>
      <c r="W22" s="1">
        <v>0</v>
      </c>
      <c r="X22" s="1">
        <v>0</v>
      </c>
    </row>
    <row r="23" spans="1:24" x14ac:dyDescent="0.3">
      <c r="A23" s="1">
        <v>10401</v>
      </c>
      <c r="B23" s="1">
        <v>104</v>
      </c>
      <c r="C23" s="1">
        <v>1</v>
      </c>
      <c r="D23" s="1">
        <v>1</v>
      </c>
      <c r="E23" s="1">
        <v>0</v>
      </c>
      <c r="F23" s="1">
        <v>1</v>
      </c>
      <c r="G23" s="1">
        <v>419</v>
      </c>
      <c r="H23" s="1">
        <v>55</v>
      </c>
      <c r="I23" s="1">
        <v>30</v>
      </c>
      <c r="J23" s="1">
        <v>15</v>
      </c>
      <c r="K23" s="1">
        <v>27</v>
      </c>
      <c r="L23" s="1">
        <v>0</v>
      </c>
      <c r="M23" s="1">
        <v>0</v>
      </c>
      <c r="N23" s="1">
        <v>0</v>
      </c>
      <c r="O23" s="1">
        <v>0</v>
      </c>
      <c r="P23" s="1">
        <v>0</v>
      </c>
      <c r="Q23" s="1">
        <v>200</v>
      </c>
      <c r="R23" s="1" t="s">
        <v>4566</v>
      </c>
      <c r="S23" s="1">
        <v>0</v>
      </c>
      <c r="T23" s="1">
        <v>0</v>
      </c>
      <c r="U23" s="1">
        <v>0</v>
      </c>
      <c r="V23" s="1">
        <v>0</v>
      </c>
      <c r="W23" s="1">
        <v>0</v>
      </c>
      <c r="X23" s="1">
        <v>0</v>
      </c>
    </row>
    <row r="24" spans="1:24" x14ac:dyDescent="0.3">
      <c r="A24" s="1">
        <v>10402</v>
      </c>
      <c r="B24" s="1">
        <v>104</v>
      </c>
      <c r="C24" s="1">
        <v>2</v>
      </c>
      <c r="D24" s="1">
        <v>1</v>
      </c>
      <c r="E24" s="1">
        <v>0</v>
      </c>
      <c r="F24" s="1">
        <v>1</v>
      </c>
      <c r="G24" s="1">
        <v>419</v>
      </c>
      <c r="H24" s="1">
        <v>80</v>
      </c>
      <c r="I24" s="1">
        <v>35</v>
      </c>
      <c r="J24" s="1">
        <v>15</v>
      </c>
      <c r="K24" s="1">
        <v>27</v>
      </c>
      <c r="L24" s="1">
        <v>0</v>
      </c>
      <c r="M24" s="1">
        <v>0</v>
      </c>
      <c r="N24" s="1">
        <v>0</v>
      </c>
      <c r="O24" s="1">
        <v>0</v>
      </c>
      <c r="P24" s="1">
        <v>0</v>
      </c>
      <c r="Q24" s="1">
        <v>200</v>
      </c>
      <c r="R24" s="1" t="s">
        <v>4566</v>
      </c>
      <c r="S24" s="1">
        <v>0</v>
      </c>
      <c r="T24" s="1">
        <v>0</v>
      </c>
      <c r="U24" s="1">
        <v>0</v>
      </c>
      <c r="V24" s="1">
        <v>0</v>
      </c>
      <c r="W24" s="1">
        <v>0</v>
      </c>
      <c r="X24" s="1">
        <v>0</v>
      </c>
    </row>
    <row r="25" spans="1:24" x14ac:dyDescent="0.3">
      <c r="A25" s="1">
        <v>10403</v>
      </c>
      <c r="B25" s="1">
        <v>104</v>
      </c>
      <c r="C25" s="1">
        <v>3</v>
      </c>
      <c r="D25" s="1">
        <v>1</v>
      </c>
      <c r="E25" s="1">
        <v>0</v>
      </c>
      <c r="F25" s="1">
        <v>1</v>
      </c>
      <c r="G25" s="1">
        <v>419</v>
      </c>
      <c r="H25" s="1">
        <v>80</v>
      </c>
      <c r="I25" s="1">
        <v>35</v>
      </c>
      <c r="J25" s="1">
        <v>30</v>
      </c>
      <c r="K25" s="1">
        <v>57</v>
      </c>
      <c r="L25" s="1">
        <v>0</v>
      </c>
      <c r="M25" s="1">
        <v>0</v>
      </c>
      <c r="N25" s="1">
        <v>0</v>
      </c>
      <c r="O25" s="1">
        <v>0</v>
      </c>
      <c r="P25" s="1">
        <v>0</v>
      </c>
      <c r="Q25" s="1">
        <v>200</v>
      </c>
      <c r="R25" s="1" t="s">
        <v>4566</v>
      </c>
      <c r="S25" s="1">
        <v>0</v>
      </c>
      <c r="T25" s="1">
        <v>0</v>
      </c>
      <c r="U25" s="1">
        <v>0</v>
      </c>
      <c r="V25" s="1">
        <v>0</v>
      </c>
      <c r="W25" s="1">
        <v>0</v>
      </c>
      <c r="X25" s="1">
        <v>0</v>
      </c>
    </row>
    <row r="26" spans="1:24" x14ac:dyDescent="0.3">
      <c r="A26" s="1">
        <v>10404</v>
      </c>
      <c r="B26" s="1">
        <v>104</v>
      </c>
      <c r="C26" s="1">
        <v>4</v>
      </c>
      <c r="D26" s="1">
        <v>1</v>
      </c>
      <c r="E26" s="1">
        <v>1</v>
      </c>
      <c r="F26" s="1">
        <v>1</v>
      </c>
      <c r="G26" s="1">
        <v>419</v>
      </c>
      <c r="H26" s="1">
        <v>80</v>
      </c>
      <c r="I26" s="1">
        <v>35</v>
      </c>
      <c r="J26" s="1">
        <v>30</v>
      </c>
      <c r="K26" s="1">
        <v>57</v>
      </c>
      <c r="L26" s="1">
        <v>0</v>
      </c>
      <c r="M26" s="1">
        <v>0</v>
      </c>
      <c r="N26" s="1">
        <v>0</v>
      </c>
      <c r="O26" s="1">
        <v>0</v>
      </c>
      <c r="P26" s="1">
        <v>0</v>
      </c>
      <c r="Q26" s="1">
        <v>200</v>
      </c>
      <c r="R26" s="1" t="s">
        <v>4566</v>
      </c>
      <c r="S26" s="1">
        <v>0</v>
      </c>
      <c r="T26" s="1">
        <v>0</v>
      </c>
      <c r="U26" s="1">
        <v>900674</v>
      </c>
      <c r="V26" s="1">
        <v>0</v>
      </c>
      <c r="W26" s="1">
        <v>0</v>
      </c>
      <c r="X26" s="1">
        <v>0</v>
      </c>
    </row>
    <row r="27" spans="1:24" x14ac:dyDescent="0.3">
      <c r="A27" s="1">
        <v>10500</v>
      </c>
      <c r="B27" s="1">
        <v>105</v>
      </c>
      <c r="C27" s="1">
        <v>0</v>
      </c>
      <c r="D27" s="1">
        <v>0</v>
      </c>
      <c r="E27" s="1">
        <v>0</v>
      </c>
      <c r="F27" s="1">
        <v>1</v>
      </c>
      <c r="G27" s="1">
        <v>384</v>
      </c>
      <c r="H27" s="1">
        <v>53</v>
      </c>
      <c r="I27" s="1">
        <v>20</v>
      </c>
      <c r="J27" s="1">
        <v>17</v>
      </c>
      <c r="K27" s="1">
        <v>27</v>
      </c>
      <c r="L27" s="1">
        <v>0</v>
      </c>
      <c r="M27" s="1">
        <v>0</v>
      </c>
      <c r="N27" s="1">
        <v>0</v>
      </c>
      <c r="O27" s="1">
        <v>0</v>
      </c>
      <c r="P27" s="1">
        <v>0</v>
      </c>
      <c r="Q27" s="1">
        <v>0</v>
      </c>
      <c r="R27" s="1" t="s">
        <v>4696</v>
      </c>
      <c r="S27" s="1">
        <v>0</v>
      </c>
      <c r="T27" s="1">
        <v>0</v>
      </c>
      <c r="U27" s="1">
        <v>0</v>
      </c>
      <c r="V27" s="1">
        <v>0</v>
      </c>
      <c r="W27" s="1">
        <v>0</v>
      </c>
      <c r="X27" s="1">
        <v>0</v>
      </c>
    </row>
    <row r="28" spans="1:24" x14ac:dyDescent="0.3">
      <c r="A28" s="1">
        <v>10501</v>
      </c>
      <c r="B28" s="1">
        <v>105</v>
      </c>
      <c r="C28" s="1">
        <v>1</v>
      </c>
      <c r="D28" s="1">
        <v>1</v>
      </c>
      <c r="E28" s="1">
        <v>0</v>
      </c>
      <c r="F28" s="1">
        <v>1</v>
      </c>
      <c r="G28" s="1">
        <v>384</v>
      </c>
      <c r="H28" s="1">
        <v>53</v>
      </c>
      <c r="I28" s="1">
        <v>20</v>
      </c>
      <c r="J28" s="1">
        <v>17</v>
      </c>
      <c r="K28" s="1">
        <v>27</v>
      </c>
      <c r="L28" s="1">
        <v>0</v>
      </c>
      <c r="M28" s="1">
        <v>0</v>
      </c>
      <c r="N28" s="1">
        <v>0</v>
      </c>
      <c r="O28" s="1">
        <v>0</v>
      </c>
      <c r="P28" s="1">
        <v>0</v>
      </c>
      <c r="Q28" s="1">
        <v>200</v>
      </c>
      <c r="R28" s="1" t="s">
        <v>4534</v>
      </c>
      <c r="S28" s="1">
        <v>0</v>
      </c>
      <c r="T28" s="1">
        <v>0</v>
      </c>
      <c r="U28" s="1">
        <v>0</v>
      </c>
      <c r="V28" s="1">
        <v>0</v>
      </c>
      <c r="W28" s="1">
        <v>0</v>
      </c>
      <c r="X28" s="1">
        <v>0</v>
      </c>
    </row>
    <row r="29" spans="1:24" x14ac:dyDescent="0.3">
      <c r="A29" s="1">
        <v>10502</v>
      </c>
      <c r="B29" s="1">
        <v>105</v>
      </c>
      <c r="C29" s="1">
        <v>2</v>
      </c>
      <c r="D29" s="1">
        <v>1</v>
      </c>
      <c r="E29" s="1">
        <v>0</v>
      </c>
      <c r="F29" s="1">
        <v>1</v>
      </c>
      <c r="G29" s="1">
        <v>384</v>
      </c>
      <c r="H29" s="1">
        <v>78</v>
      </c>
      <c r="I29" s="1">
        <v>25</v>
      </c>
      <c r="J29" s="1">
        <v>17</v>
      </c>
      <c r="K29" s="1">
        <v>27</v>
      </c>
      <c r="L29" s="1">
        <v>0</v>
      </c>
      <c r="M29" s="1">
        <v>0</v>
      </c>
      <c r="N29" s="1">
        <v>0</v>
      </c>
      <c r="O29" s="1">
        <v>0</v>
      </c>
      <c r="P29" s="1">
        <v>0</v>
      </c>
      <c r="Q29" s="1">
        <v>200</v>
      </c>
      <c r="R29" s="1" t="s">
        <v>4534</v>
      </c>
      <c r="S29" s="1">
        <v>0</v>
      </c>
      <c r="T29" s="1">
        <v>0</v>
      </c>
      <c r="U29" s="1">
        <v>0</v>
      </c>
      <c r="V29" s="1">
        <v>0</v>
      </c>
      <c r="W29" s="1">
        <v>0</v>
      </c>
      <c r="X29" s="1">
        <v>0</v>
      </c>
    </row>
    <row r="30" spans="1:24" x14ac:dyDescent="0.3">
      <c r="A30" s="1">
        <v>10503</v>
      </c>
      <c r="B30" s="1">
        <v>105</v>
      </c>
      <c r="C30" s="1">
        <v>3</v>
      </c>
      <c r="D30" s="1">
        <v>1</v>
      </c>
      <c r="E30" s="1">
        <v>0</v>
      </c>
      <c r="F30" s="1">
        <v>1</v>
      </c>
      <c r="G30" s="1">
        <v>384</v>
      </c>
      <c r="H30" s="1">
        <v>103</v>
      </c>
      <c r="I30" s="1">
        <v>25</v>
      </c>
      <c r="J30" s="1">
        <v>32</v>
      </c>
      <c r="K30" s="1">
        <v>57</v>
      </c>
      <c r="L30" s="1">
        <v>0</v>
      </c>
      <c r="M30" s="1">
        <v>0</v>
      </c>
      <c r="N30" s="1">
        <v>0</v>
      </c>
      <c r="O30" s="1">
        <v>0</v>
      </c>
      <c r="P30" s="1">
        <v>0</v>
      </c>
      <c r="Q30" s="1">
        <v>200</v>
      </c>
      <c r="R30" s="1" t="s">
        <v>4534</v>
      </c>
      <c r="S30" s="1">
        <v>0</v>
      </c>
      <c r="T30" s="1">
        <v>0</v>
      </c>
      <c r="U30" s="1">
        <v>0</v>
      </c>
      <c r="V30" s="1">
        <v>0</v>
      </c>
      <c r="W30" s="1">
        <v>0</v>
      </c>
      <c r="X30" s="1">
        <v>0</v>
      </c>
    </row>
    <row r="31" spans="1:24" x14ac:dyDescent="0.3">
      <c r="A31" s="1">
        <v>10504</v>
      </c>
      <c r="B31" s="1">
        <v>105</v>
      </c>
      <c r="C31" s="1">
        <v>4</v>
      </c>
      <c r="D31" s="1">
        <v>1</v>
      </c>
      <c r="E31" s="1">
        <v>1</v>
      </c>
      <c r="F31" s="1">
        <v>1</v>
      </c>
      <c r="G31" s="1">
        <v>384</v>
      </c>
      <c r="H31" s="1">
        <v>103</v>
      </c>
      <c r="I31" s="1">
        <v>25</v>
      </c>
      <c r="J31" s="1">
        <v>32</v>
      </c>
      <c r="K31" s="1">
        <v>57</v>
      </c>
      <c r="L31" s="1">
        <v>0</v>
      </c>
      <c r="M31" s="1">
        <v>0</v>
      </c>
      <c r="N31" s="1">
        <v>0</v>
      </c>
      <c r="O31" s="1">
        <v>0</v>
      </c>
      <c r="P31" s="1">
        <v>0</v>
      </c>
      <c r="Q31" s="1">
        <v>200</v>
      </c>
      <c r="R31" s="1" t="s">
        <v>4534</v>
      </c>
      <c r="S31" s="1">
        <v>0</v>
      </c>
      <c r="T31" s="1">
        <v>0</v>
      </c>
      <c r="U31" s="1">
        <v>900738</v>
      </c>
      <c r="V31" s="1">
        <v>0</v>
      </c>
      <c r="W31" s="1">
        <v>0</v>
      </c>
      <c r="X31" s="1">
        <v>0</v>
      </c>
    </row>
    <row r="32" spans="1:24" x14ac:dyDescent="0.3">
      <c r="A32" s="1">
        <v>10600</v>
      </c>
      <c r="B32" s="1">
        <v>106</v>
      </c>
      <c r="C32" s="1">
        <v>0</v>
      </c>
      <c r="D32" s="1">
        <v>0</v>
      </c>
      <c r="E32" s="1">
        <v>0</v>
      </c>
      <c r="F32" s="1">
        <v>1</v>
      </c>
      <c r="G32" s="1">
        <v>384</v>
      </c>
      <c r="H32" s="1">
        <v>51</v>
      </c>
      <c r="I32" s="1">
        <v>29</v>
      </c>
      <c r="J32" s="1">
        <v>18</v>
      </c>
      <c r="K32" s="1">
        <v>27</v>
      </c>
      <c r="L32" s="1">
        <v>0</v>
      </c>
      <c r="M32" s="1">
        <v>0</v>
      </c>
      <c r="N32" s="1">
        <v>0</v>
      </c>
      <c r="O32" s="1">
        <v>0</v>
      </c>
      <c r="P32" s="1">
        <v>0</v>
      </c>
      <c r="Q32" s="1">
        <v>0</v>
      </c>
      <c r="R32" s="1" t="s">
        <v>4697</v>
      </c>
      <c r="S32" s="1">
        <v>0</v>
      </c>
      <c r="T32" s="1">
        <v>0</v>
      </c>
      <c r="U32" s="1">
        <v>0</v>
      </c>
      <c r="V32" s="1">
        <v>0</v>
      </c>
      <c r="W32" s="1">
        <v>0</v>
      </c>
      <c r="X32" s="1">
        <v>0</v>
      </c>
    </row>
    <row r="33" spans="1:24" x14ac:dyDescent="0.3">
      <c r="A33" s="1">
        <v>10601</v>
      </c>
      <c r="B33" s="1">
        <v>106</v>
      </c>
      <c r="C33" s="1">
        <v>1</v>
      </c>
      <c r="D33" s="1">
        <v>1</v>
      </c>
      <c r="E33" s="1">
        <v>0</v>
      </c>
      <c r="F33" s="1">
        <v>1</v>
      </c>
      <c r="G33" s="1">
        <v>384</v>
      </c>
      <c r="H33" s="1">
        <v>51</v>
      </c>
      <c r="I33" s="1">
        <v>29</v>
      </c>
      <c r="J33" s="1">
        <v>18</v>
      </c>
      <c r="K33" s="1">
        <v>27</v>
      </c>
      <c r="L33" s="1">
        <v>0</v>
      </c>
      <c r="M33" s="1">
        <v>0</v>
      </c>
      <c r="N33" s="1">
        <v>0</v>
      </c>
      <c r="O33" s="1">
        <v>0</v>
      </c>
      <c r="P33" s="1">
        <v>0</v>
      </c>
      <c r="Q33" s="1">
        <v>200</v>
      </c>
      <c r="R33" s="1" t="s">
        <v>4519</v>
      </c>
      <c r="S33" s="1">
        <v>0</v>
      </c>
      <c r="T33" s="1">
        <v>0</v>
      </c>
      <c r="U33" s="1">
        <v>0</v>
      </c>
      <c r="V33" s="1">
        <v>0</v>
      </c>
      <c r="W33" s="1">
        <v>0</v>
      </c>
      <c r="X33" s="1">
        <v>0</v>
      </c>
    </row>
    <row r="34" spans="1:24" x14ac:dyDescent="0.3">
      <c r="A34" s="1">
        <v>10602</v>
      </c>
      <c r="B34" s="1">
        <v>106</v>
      </c>
      <c r="C34" s="1">
        <v>2</v>
      </c>
      <c r="D34" s="1">
        <v>1</v>
      </c>
      <c r="E34" s="1">
        <v>0</v>
      </c>
      <c r="F34" s="1">
        <v>1</v>
      </c>
      <c r="G34" s="1">
        <v>384</v>
      </c>
      <c r="H34" s="1">
        <v>71</v>
      </c>
      <c r="I34" s="1">
        <v>29</v>
      </c>
      <c r="J34" s="1">
        <v>33</v>
      </c>
      <c r="K34" s="1">
        <v>42</v>
      </c>
      <c r="L34" s="1">
        <v>0</v>
      </c>
      <c r="M34" s="1">
        <v>0</v>
      </c>
      <c r="N34" s="1">
        <v>0</v>
      </c>
      <c r="O34" s="1">
        <v>0</v>
      </c>
      <c r="P34" s="1">
        <v>0</v>
      </c>
      <c r="Q34" s="1">
        <v>200</v>
      </c>
      <c r="R34" s="1" t="s">
        <v>4519</v>
      </c>
      <c r="S34" s="1">
        <v>0</v>
      </c>
      <c r="T34" s="1">
        <v>0</v>
      </c>
      <c r="U34" s="1">
        <v>0</v>
      </c>
      <c r="V34" s="1">
        <v>0</v>
      </c>
      <c r="W34" s="1">
        <v>0</v>
      </c>
      <c r="X34" s="1">
        <v>0</v>
      </c>
    </row>
    <row r="35" spans="1:24" x14ac:dyDescent="0.3">
      <c r="A35" s="1">
        <v>10603</v>
      </c>
      <c r="B35" s="1">
        <v>106</v>
      </c>
      <c r="C35" s="1">
        <v>3</v>
      </c>
      <c r="D35" s="1">
        <v>1</v>
      </c>
      <c r="E35" s="1">
        <v>0</v>
      </c>
      <c r="F35" s="1">
        <v>1</v>
      </c>
      <c r="G35" s="1">
        <v>384</v>
      </c>
      <c r="H35" s="1">
        <v>91</v>
      </c>
      <c r="I35" s="1">
        <v>39</v>
      </c>
      <c r="J35" s="1">
        <v>33</v>
      </c>
      <c r="K35" s="1">
        <v>42</v>
      </c>
      <c r="L35" s="1">
        <v>0</v>
      </c>
      <c r="M35" s="1">
        <v>0</v>
      </c>
      <c r="N35" s="1">
        <v>0</v>
      </c>
      <c r="O35" s="1">
        <v>0</v>
      </c>
      <c r="P35" s="1">
        <v>0</v>
      </c>
      <c r="Q35" s="1">
        <v>200</v>
      </c>
      <c r="R35" s="1" t="s">
        <v>4519</v>
      </c>
      <c r="S35" s="1">
        <v>0</v>
      </c>
      <c r="T35" s="1">
        <v>0</v>
      </c>
      <c r="U35" s="1">
        <v>0</v>
      </c>
      <c r="V35" s="1">
        <v>0</v>
      </c>
      <c r="W35" s="1">
        <v>0</v>
      </c>
      <c r="X35" s="1">
        <v>0</v>
      </c>
    </row>
    <row r="36" spans="1:24" x14ac:dyDescent="0.3">
      <c r="A36" s="1">
        <v>10604</v>
      </c>
      <c r="B36" s="1">
        <v>106</v>
      </c>
      <c r="C36" s="1">
        <v>4</v>
      </c>
      <c r="D36" s="1">
        <v>1</v>
      </c>
      <c r="E36" s="1">
        <v>1</v>
      </c>
      <c r="F36" s="1">
        <v>1</v>
      </c>
      <c r="G36" s="1">
        <v>384</v>
      </c>
      <c r="H36" s="1">
        <v>91</v>
      </c>
      <c r="I36" s="1">
        <v>39</v>
      </c>
      <c r="J36" s="1">
        <v>33</v>
      </c>
      <c r="K36" s="1">
        <v>42</v>
      </c>
      <c r="L36" s="1">
        <v>0</v>
      </c>
      <c r="M36" s="1">
        <v>0</v>
      </c>
      <c r="N36" s="1">
        <v>0</v>
      </c>
      <c r="O36" s="1">
        <v>0</v>
      </c>
      <c r="P36" s="1">
        <v>0</v>
      </c>
      <c r="Q36" s="1">
        <v>200</v>
      </c>
      <c r="R36" s="1" t="s">
        <v>4519</v>
      </c>
      <c r="S36" s="1">
        <v>0</v>
      </c>
      <c r="T36" s="1">
        <v>0</v>
      </c>
      <c r="U36" s="1">
        <v>900784</v>
      </c>
      <c r="V36" s="1">
        <v>0</v>
      </c>
      <c r="W36" s="1">
        <v>0</v>
      </c>
      <c r="X36" s="1">
        <v>0</v>
      </c>
    </row>
    <row r="37" spans="1:24" x14ac:dyDescent="0.3">
      <c r="A37" s="1">
        <v>10700</v>
      </c>
      <c r="B37" s="1">
        <v>107</v>
      </c>
      <c r="C37" s="1">
        <v>0</v>
      </c>
      <c r="D37" s="1">
        <v>0</v>
      </c>
      <c r="E37" s="1">
        <v>0</v>
      </c>
      <c r="F37" s="1">
        <v>1</v>
      </c>
      <c r="G37" s="1">
        <v>366</v>
      </c>
      <c r="H37" s="1">
        <v>50</v>
      </c>
      <c r="I37" s="1">
        <v>23</v>
      </c>
      <c r="J37" s="1">
        <v>18</v>
      </c>
      <c r="K37" s="1">
        <v>33</v>
      </c>
      <c r="L37" s="1">
        <v>0</v>
      </c>
      <c r="M37" s="1">
        <v>0</v>
      </c>
      <c r="N37" s="1">
        <v>0</v>
      </c>
      <c r="O37" s="1">
        <v>0</v>
      </c>
      <c r="P37" s="1">
        <v>0</v>
      </c>
      <c r="Q37" s="1">
        <v>0</v>
      </c>
      <c r="R37" s="1" t="s">
        <v>4698</v>
      </c>
      <c r="S37" s="1">
        <v>0</v>
      </c>
      <c r="T37" s="1">
        <v>0</v>
      </c>
      <c r="U37" s="1">
        <v>0</v>
      </c>
      <c r="V37" s="1">
        <v>0</v>
      </c>
      <c r="W37" s="1">
        <v>0</v>
      </c>
      <c r="X37" s="1">
        <v>0</v>
      </c>
    </row>
    <row r="38" spans="1:24" x14ac:dyDescent="0.3">
      <c r="A38" s="1">
        <v>10701</v>
      </c>
      <c r="B38" s="1">
        <v>107</v>
      </c>
      <c r="C38" s="1">
        <v>1</v>
      </c>
      <c r="D38" s="1">
        <v>1</v>
      </c>
      <c r="E38" s="1">
        <v>0</v>
      </c>
      <c r="F38" s="1">
        <v>1</v>
      </c>
      <c r="G38" s="1">
        <v>366</v>
      </c>
      <c r="H38" s="1">
        <v>50</v>
      </c>
      <c r="I38" s="1">
        <v>23</v>
      </c>
      <c r="J38" s="1">
        <v>18</v>
      </c>
      <c r="K38" s="1">
        <v>33</v>
      </c>
      <c r="L38" s="1">
        <v>0</v>
      </c>
      <c r="M38" s="1">
        <v>0</v>
      </c>
      <c r="N38" s="1">
        <v>0</v>
      </c>
      <c r="O38" s="1">
        <v>0</v>
      </c>
      <c r="P38" s="1">
        <v>0</v>
      </c>
      <c r="Q38" s="1">
        <v>200</v>
      </c>
      <c r="R38" s="1" t="s">
        <v>4598</v>
      </c>
      <c r="S38" s="1">
        <v>0</v>
      </c>
      <c r="T38" s="1">
        <v>0</v>
      </c>
      <c r="U38" s="1">
        <v>0</v>
      </c>
      <c r="V38" s="1">
        <v>0</v>
      </c>
      <c r="W38" s="1">
        <v>0</v>
      </c>
      <c r="X38" s="1">
        <v>0</v>
      </c>
    </row>
    <row r="39" spans="1:24" x14ac:dyDescent="0.3">
      <c r="A39" s="1">
        <v>10702</v>
      </c>
      <c r="B39" s="1">
        <v>107</v>
      </c>
      <c r="C39" s="1">
        <v>2</v>
      </c>
      <c r="D39" s="1">
        <v>1</v>
      </c>
      <c r="E39" s="1">
        <v>0</v>
      </c>
      <c r="F39" s="1">
        <v>1</v>
      </c>
      <c r="G39" s="1">
        <v>366</v>
      </c>
      <c r="H39" s="1">
        <v>80</v>
      </c>
      <c r="I39" s="1">
        <v>23</v>
      </c>
      <c r="J39" s="1">
        <v>18</v>
      </c>
      <c r="K39" s="1">
        <v>63</v>
      </c>
      <c r="L39" s="1">
        <v>0</v>
      </c>
      <c r="M39" s="1">
        <v>0</v>
      </c>
      <c r="N39" s="1">
        <v>0</v>
      </c>
      <c r="O39" s="1">
        <v>0</v>
      </c>
      <c r="P39" s="1">
        <v>0</v>
      </c>
      <c r="Q39" s="1">
        <v>200</v>
      </c>
      <c r="R39" s="1" t="s">
        <v>4598</v>
      </c>
      <c r="S39" s="1">
        <v>0</v>
      </c>
      <c r="T39" s="1">
        <v>0</v>
      </c>
      <c r="U39" s="1">
        <v>0</v>
      </c>
      <c r="V39" s="1">
        <v>0</v>
      </c>
      <c r="W39" s="1">
        <v>0</v>
      </c>
      <c r="X39" s="1">
        <v>0</v>
      </c>
    </row>
    <row r="40" spans="1:24" x14ac:dyDescent="0.3">
      <c r="A40" s="1">
        <v>10703</v>
      </c>
      <c r="B40" s="1">
        <v>107</v>
      </c>
      <c r="C40" s="1">
        <v>3</v>
      </c>
      <c r="D40" s="1">
        <v>1</v>
      </c>
      <c r="E40" s="1">
        <v>0</v>
      </c>
      <c r="F40" s="1">
        <v>1</v>
      </c>
      <c r="G40" s="1">
        <v>366</v>
      </c>
      <c r="H40" s="1">
        <v>80</v>
      </c>
      <c r="I40" s="1">
        <v>38</v>
      </c>
      <c r="J40" s="1">
        <v>33</v>
      </c>
      <c r="K40" s="1">
        <v>63</v>
      </c>
      <c r="L40" s="1">
        <v>0</v>
      </c>
      <c r="M40" s="1">
        <v>0</v>
      </c>
      <c r="N40" s="1">
        <v>0</v>
      </c>
      <c r="O40" s="1">
        <v>0</v>
      </c>
      <c r="P40" s="1">
        <v>0</v>
      </c>
      <c r="Q40" s="1">
        <v>200</v>
      </c>
      <c r="R40" s="1" t="s">
        <v>4598</v>
      </c>
      <c r="S40" s="1">
        <v>0</v>
      </c>
      <c r="T40" s="1">
        <v>0</v>
      </c>
      <c r="U40" s="1">
        <v>0</v>
      </c>
      <c r="V40" s="1">
        <v>0</v>
      </c>
      <c r="W40" s="1">
        <v>0</v>
      </c>
      <c r="X40" s="1">
        <v>0</v>
      </c>
    </row>
    <row r="41" spans="1:24" x14ac:dyDescent="0.3">
      <c r="A41" s="1">
        <v>10704</v>
      </c>
      <c r="B41" s="1">
        <v>107</v>
      </c>
      <c r="C41" s="1">
        <v>4</v>
      </c>
      <c r="D41" s="1">
        <v>1</v>
      </c>
      <c r="E41" s="1">
        <v>1</v>
      </c>
      <c r="F41" s="1">
        <v>1</v>
      </c>
      <c r="G41" s="1">
        <v>366</v>
      </c>
      <c r="H41" s="1">
        <v>80</v>
      </c>
      <c r="I41" s="1">
        <v>38</v>
      </c>
      <c r="J41" s="1">
        <v>33</v>
      </c>
      <c r="K41" s="1">
        <v>63</v>
      </c>
      <c r="L41" s="1">
        <v>0</v>
      </c>
      <c r="M41" s="1">
        <v>0</v>
      </c>
      <c r="N41" s="1">
        <v>0</v>
      </c>
      <c r="O41" s="1">
        <v>0</v>
      </c>
      <c r="P41" s="1">
        <v>0</v>
      </c>
      <c r="Q41" s="1">
        <v>200</v>
      </c>
      <c r="R41" s="1" t="s">
        <v>4598</v>
      </c>
      <c r="S41" s="1">
        <v>0</v>
      </c>
      <c r="T41" s="1">
        <v>0</v>
      </c>
      <c r="U41" s="1">
        <v>900834</v>
      </c>
      <c r="V41" s="1">
        <v>0</v>
      </c>
      <c r="W41" s="1">
        <v>0</v>
      </c>
      <c r="X41" s="1">
        <v>0</v>
      </c>
    </row>
    <row r="42" spans="1:24" x14ac:dyDescent="0.3">
      <c r="A42" s="1">
        <v>10800</v>
      </c>
      <c r="B42" s="1">
        <v>108</v>
      </c>
      <c r="C42" s="1">
        <v>0</v>
      </c>
      <c r="D42" s="1">
        <v>0</v>
      </c>
      <c r="E42" s="1">
        <v>0</v>
      </c>
      <c r="F42" s="1">
        <v>1</v>
      </c>
      <c r="G42" s="1">
        <v>246</v>
      </c>
      <c r="H42" s="1">
        <v>47</v>
      </c>
      <c r="I42" s="1">
        <v>22</v>
      </c>
      <c r="J42" s="1">
        <v>36</v>
      </c>
      <c r="K42" s="1">
        <v>26</v>
      </c>
      <c r="L42" s="1">
        <v>0</v>
      </c>
      <c r="M42" s="1">
        <v>0</v>
      </c>
      <c r="N42" s="1">
        <v>0</v>
      </c>
      <c r="O42" s="1">
        <v>0</v>
      </c>
      <c r="P42" s="1">
        <v>0</v>
      </c>
      <c r="Q42" s="1">
        <v>0</v>
      </c>
      <c r="R42" s="1" t="s">
        <v>4699</v>
      </c>
      <c r="S42" s="1">
        <v>0</v>
      </c>
      <c r="T42" s="1">
        <v>0</v>
      </c>
      <c r="U42" s="1">
        <v>0</v>
      </c>
      <c r="V42" s="1">
        <v>0</v>
      </c>
      <c r="W42" s="1">
        <v>0</v>
      </c>
      <c r="X42" s="1">
        <v>0</v>
      </c>
    </row>
    <row r="43" spans="1:24" x14ac:dyDescent="0.3">
      <c r="A43" s="1">
        <v>10801</v>
      </c>
      <c r="B43" s="1">
        <v>108</v>
      </c>
      <c r="C43" s="1">
        <v>1</v>
      </c>
      <c r="D43" s="1">
        <v>1</v>
      </c>
      <c r="E43" s="1">
        <v>0</v>
      </c>
      <c r="F43" s="1">
        <v>1</v>
      </c>
      <c r="G43" s="1">
        <v>246</v>
      </c>
      <c r="H43" s="1">
        <v>47</v>
      </c>
      <c r="I43" s="1">
        <v>22</v>
      </c>
      <c r="J43" s="1">
        <v>36</v>
      </c>
      <c r="K43" s="1">
        <v>26</v>
      </c>
      <c r="L43" s="1">
        <v>0</v>
      </c>
      <c r="M43" s="1">
        <v>0</v>
      </c>
      <c r="N43" s="1">
        <v>0</v>
      </c>
      <c r="O43" s="1">
        <v>0</v>
      </c>
      <c r="P43" s="1">
        <v>0</v>
      </c>
      <c r="Q43" s="1">
        <v>200</v>
      </c>
      <c r="R43" s="1" t="s">
        <v>4700</v>
      </c>
      <c r="S43" s="1">
        <v>0</v>
      </c>
      <c r="T43" s="1">
        <v>0</v>
      </c>
      <c r="U43" s="1">
        <v>0</v>
      </c>
      <c r="V43" s="1">
        <v>0</v>
      </c>
      <c r="W43" s="1">
        <v>0</v>
      </c>
      <c r="X43" s="1">
        <v>0</v>
      </c>
    </row>
    <row r="44" spans="1:24" x14ac:dyDescent="0.3">
      <c r="A44" s="1">
        <v>10802</v>
      </c>
      <c r="B44" s="1">
        <v>108</v>
      </c>
      <c r="C44" s="1">
        <v>2</v>
      </c>
      <c r="D44" s="1">
        <v>1</v>
      </c>
      <c r="E44" s="1">
        <v>0</v>
      </c>
      <c r="F44" s="1">
        <v>1</v>
      </c>
      <c r="G44" s="1">
        <v>246</v>
      </c>
      <c r="H44" s="1">
        <v>77</v>
      </c>
      <c r="I44" s="1">
        <v>42</v>
      </c>
      <c r="J44" s="1">
        <v>36</v>
      </c>
      <c r="K44" s="1">
        <v>26</v>
      </c>
      <c r="L44" s="1">
        <v>0</v>
      </c>
      <c r="M44" s="1">
        <v>0</v>
      </c>
      <c r="N44" s="1">
        <v>0</v>
      </c>
      <c r="O44" s="1">
        <v>0</v>
      </c>
      <c r="P44" s="1">
        <v>0</v>
      </c>
      <c r="Q44" s="1">
        <v>200</v>
      </c>
      <c r="R44" s="1" t="s">
        <v>4700</v>
      </c>
      <c r="S44" s="1">
        <v>0</v>
      </c>
      <c r="T44" s="1">
        <v>0</v>
      </c>
      <c r="U44" s="1">
        <v>0</v>
      </c>
      <c r="V44" s="1">
        <v>0</v>
      </c>
      <c r="W44" s="1">
        <v>0</v>
      </c>
      <c r="X44" s="1">
        <v>0</v>
      </c>
    </row>
    <row r="45" spans="1:24" x14ac:dyDescent="0.3">
      <c r="A45" s="1">
        <v>10803</v>
      </c>
      <c r="B45" s="1">
        <v>108</v>
      </c>
      <c r="C45" s="1">
        <v>3</v>
      </c>
      <c r="D45" s="1">
        <v>1</v>
      </c>
      <c r="E45" s="1">
        <v>0</v>
      </c>
      <c r="F45" s="1">
        <v>1</v>
      </c>
      <c r="G45" s="1">
        <v>366</v>
      </c>
      <c r="H45" s="1">
        <v>77</v>
      </c>
      <c r="I45" s="1">
        <v>42</v>
      </c>
      <c r="J45" s="1">
        <v>36</v>
      </c>
      <c r="K45" s="1">
        <v>66</v>
      </c>
      <c r="L45" s="1">
        <v>0</v>
      </c>
      <c r="M45" s="1">
        <v>0</v>
      </c>
      <c r="N45" s="1">
        <v>0</v>
      </c>
      <c r="O45" s="1">
        <v>0</v>
      </c>
      <c r="P45" s="1">
        <v>0</v>
      </c>
      <c r="Q45" s="1">
        <v>200</v>
      </c>
      <c r="R45" s="1" t="s">
        <v>4700</v>
      </c>
      <c r="S45" s="1">
        <v>0</v>
      </c>
      <c r="T45" s="1">
        <v>0</v>
      </c>
      <c r="U45" s="1">
        <v>0</v>
      </c>
      <c r="V45" s="1">
        <v>0</v>
      </c>
      <c r="W45" s="1">
        <v>0</v>
      </c>
      <c r="X45" s="1">
        <v>0</v>
      </c>
    </row>
    <row r="46" spans="1:24" x14ac:dyDescent="0.3">
      <c r="A46" s="1">
        <v>10804</v>
      </c>
      <c r="B46" s="1">
        <v>108</v>
      </c>
      <c r="C46" s="1">
        <v>4</v>
      </c>
      <c r="D46" s="1">
        <v>1</v>
      </c>
      <c r="E46" s="1">
        <v>1</v>
      </c>
      <c r="F46" s="1">
        <v>1</v>
      </c>
      <c r="G46" s="1">
        <v>366</v>
      </c>
      <c r="H46" s="1">
        <v>77</v>
      </c>
      <c r="I46" s="1">
        <v>42</v>
      </c>
      <c r="J46" s="1">
        <v>36</v>
      </c>
      <c r="K46" s="1">
        <v>66</v>
      </c>
      <c r="L46" s="1">
        <v>0</v>
      </c>
      <c r="M46" s="1">
        <v>0</v>
      </c>
      <c r="N46" s="1">
        <v>0</v>
      </c>
      <c r="O46" s="1">
        <v>0</v>
      </c>
      <c r="P46" s="1">
        <v>0</v>
      </c>
      <c r="Q46" s="1">
        <v>200</v>
      </c>
      <c r="R46" s="1" t="s">
        <v>4700</v>
      </c>
      <c r="S46" s="1">
        <v>0</v>
      </c>
      <c r="T46" s="1">
        <v>0</v>
      </c>
      <c r="U46" s="1">
        <v>900926</v>
      </c>
      <c r="V46" s="1">
        <v>0</v>
      </c>
      <c r="W46" s="1">
        <v>0</v>
      </c>
      <c r="X46" s="1">
        <v>0</v>
      </c>
    </row>
    <row r="47" spans="1:24" x14ac:dyDescent="0.3">
      <c r="A47" s="1">
        <v>10900</v>
      </c>
      <c r="B47" s="1">
        <v>109</v>
      </c>
      <c r="C47" s="1">
        <v>0</v>
      </c>
      <c r="D47" s="1">
        <v>0</v>
      </c>
      <c r="E47" s="1">
        <v>0</v>
      </c>
      <c r="F47" s="1">
        <v>1</v>
      </c>
      <c r="G47" s="1">
        <v>331</v>
      </c>
      <c r="H47" s="1">
        <v>56</v>
      </c>
      <c r="I47" s="1">
        <v>24</v>
      </c>
      <c r="J47" s="1">
        <v>20</v>
      </c>
      <c r="K47" s="1">
        <v>44</v>
      </c>
      <c r="L47" s="1">
        <v>0</v>
      </c>
      <c r="M47" s="1">
        <v>0</v>
      </c>
      <c r="N47" s="1">
        <v>0</v>
      </c>
      <c r="O47" s="1">
        <v>0</v>
      </c>
      <c r="P47" s="1">
        <v>0</v>
      </c>
      <c r="Q47" s="1">
        <v>0</v>
      </c>
      <c r="R47" s="1" t="s">
        <v>4701</v>
      </c>
      <c r="S47" s="1">
        <v>0</v>
      </c>
      <c r="T47" s="1">
        <v>0</v>
      </c>
      <c r="U47" s="1">
        <v>0</v>
      </c>
      <c r="V47" s="1">
        <v>0</v>
      </c>
      <c r="W47" s="1">
        <v>0</v>
      </c>
      <c r="X47" s="1">
        <v>0</v>
      </c>
    </row>
    <row r="48" spans="1:24" x14ac:dyDescent="0.3">
      <c r="A48" s="1">
        <v>10901</v>
      </c>
      <c r="B48" s="1">
        <v>109</v>
      </c>
      <c r="C48" s="1">
        <v>1</v>
      </c>
      <c r="D48" s="1">
        <v>1</v>
      </c>
      <c r="E48" s="1">
        <v>0</v>
      </c>
      <c r="F48" s="1">
        <v>1</v>
      </c>
      <c r="G48" s="1">
        <v>331</v>
      </c>
      <c r="H48" s="1">
        <v>56</v>
      </c>
      <c r="I48" s="1">
        <v>24</v>
      </c>
      <c r="J48" s="1">
        <v>20</v>
      </c>
      <c r="K48" s="1">
        <v>44</v>
      </c>
      <c r="L48" s="1">
        <v>0</v>
      </c>
      <c r="M48" s="1">
        <v>0</v>
      </c>
      <c r="N48" s="1">
        <v>0</v>
      </c>
      <c r="O48" s="1">
        <v>0</v>
      </c>
      <c r="P48" s="1">
        <v>0</v>
      </c>
      <c r="Q48" s="1">
        <v>200</v>
      </c>
      <c r="R48" s="1" t="s">
        <v>4540</v>
      </c>
      <c r="S48" s="1">
        <v>0</v>
      </c>
      <c r="T48" s="1">
        <v>0</v>
      </c>
      <c r="U48" s="1">
        <v>0</v>
      </c>
      <c r="V48" s="1">
        <v>0</v>
      </c>
      <c r="W48" s="1">
        <v>0</v>
      </c>
      <c r="X48" s="1">
        <v>0</v>
      </c>
    </row>
    <row r="49" spans="1:24" x14ac:dyDescent="0.3">
      <c r="A49" s="1">
        <v>10902</v>
      </c>
      <c r="B49" s="1">
        <v>109</v>
      </c>
      <c r="C49" s="1">
        <v>2</v>
      </c>
      <c r="D49" s="1">
        <v>1</v>
      </c>
      <c r="E49" s="1">
        <v>0</v>
      </c>
      <c r="F49" s="1">
        <v>1</v>
      </c>
      <c r="G49" s="1">
        <v>331</v>
      </c>
      <c r="H49" s="1">
        <v>96</v>
      </c>
      <c r="I49" s="1">
        <v>24</v>
      </c>
      <c r="J49" s="1">
        <v>20</v>
      </c>
      <c r="K49" s="1">
        <v>60</v>
      </c>
      <c r="L49" s="1">
        <v>0</v>
      </c>
      <c r="M49" s="1">
        <v>0</v>
      </c>
      <c r="N49" s="1">
        <v>0</v>
      </c>
      <c r="O49" s="1">
        <v>0</v>
      </c>
      <c r="P49" s="1">
        <v>0</v>
      </c>
      <c r="Q49" s="1">
        <v>200</v>
      </c>
      <c r="R49" s="1" t="s">
        <v>4540</v>
      </c>
      <c r="S49" s="1">
        <v>0</v>
      </c>
      <c r="T49" s="1">
        <v>0</v>
      </c>
      <c r="U49" s="1">
        <v>0</v>
      </c>
      <c r="V49" s="1">
        <v>0</v>
      </c>
      <c r="W49" s="1">
        <v>0</v>
      </c>
      <c r="X49" s="1">
        <v>0</v>
      </c>
    </row>
    <row r="50" spans="1:24" x14ac:dyDescent="0.3">
      <c r="A50" s="1">
        <v>10903</v>
      </c>
      <c r="B50" s="1">
        <v>109</v>
      </c>
      <c r="C50" s="1">
        <v>3</v>
      </c>
      <c r="D50" s="1">
        <v>1</v>
      </c>
      <c r="E50" s="1">
        <v>0</v>
      </c>
      <c r="F50" s="1">
        <v>1</v>
      </c>
      <c r="G50" s="1">
        <v>331</v>
      </c>
      <c r="H50" s="1">
        <v>96</v>
      </c>
      <c r="I50" s="1">
        <v>36</v>
      </c>
      <c r="J50" s="1">
        <v>35</v>
      </c>
      <c r="K50" s="1">
        <v>60</v>
      </c>
      <c r="L50" s="1">
        <v>0</v>
      </c>
      <c r="M50" s="1">
        <v>0</v>
      </c>
      <c r="N50" s="1">
        <v>0</v>
      </c>
      <c r="O50" s="1">
        <v>0</v>
      </c>
      <c r="P50" s="1">
        <v>0</v>
      </c>
      <c r="Q50" s="1">
        <v>200</v>
      </c>
      <c r="R50" s="1" t="s">
        <v>4540</v>
      </c>
      <c r="S50" s="1">
        <v>0</v>
      </c>
      <c r="T50" s="1">
        <v>0</v>
      </c>
      <c r="U50" s="1">
        <v>0</v>
      </c>
      <c r="V50" s="1">
        <v>0</v>
      </c>
      <c r="W50" s="1">
        <v>0</v>
      </c>
      <c r="X50" s="1">
        <v>0</v>
      </c>
    </row>
    <row r="51" spans="1:24" x14ac:dyDescent="0.3">
      <c r="A51" s="1">
        <v>10904</v>
      </c>
      <c r="B51" s="1">
        <v>109</v>
      </c>
      <c r="C51" s="1">
        <v>4</v>
      </c>
      <c r="D51" s="1">
        <v>1</v>
      </c>
      <c r="E51" s="1">
        <v>1</v>
      </c>
      <c r="F51" s="1">
        <v>1</v>
      </c>
      <c r="G51" s="1">
        <v>331</v>
      </c>
      <c r="H51" s="1">
        <v>96</v>
      </c>
      <c r="I51" s="1">
        <v>36</v>
      </c>
      <c r="J51" s="1">
        <v>35</v>
      </c>
      <c r="K51" s="1">
        <v>60</v>
      </c>
      <c r="L51" s="1">
        <v>0</v>
      </c>
      <c r="M51" s="1">
        <v>0</v>
      </c>
      <c r="N51" s="1">
        <v>0</v>
      </c>
      <c r="O51" s="1">
        <v>0</v>
      </c>
      <c r="P51" s="1">
        <v>0</v>
      </c>
      <c r="Q51" s="1">
        <v>200</v>
      </c>
      <c r="R51" s="1" t="s">
        <v>4540</v>
      </c>
      <c r="S51" s="1">
        <v>0</v>
      </c>
      <c r="T51" s="1">
        <v>0</v>
      </c>
      <c r="U51" s="1">
        <v>900970</v>
      </c>
      <c r="V51" s="1">
        <v>0</v>
      </c>
      <c r="W51" s="1">
        <v>0</v>
      </c>
      <c r="X51" s="1">
        <v>0</v>
      </c>
    </row>
    <row r="52" spans="1:24" x14ac:dyDescent="0.3">
      <c r="A52" s="1">
        <v>11000</v>
      </c>
      <c r="B52" s="1">
        <v>110</v>
      </c>
      <c r="C52" s="1">
        <v>0</v>
      </c>
      <c r="D52" s="1">
        <v>0</v>
      </c>
      <c r="E52" s="1">
        <v>0</v>
      </c>
      <c r="F52" s="1">
        <v>1</v>
      </c>
      <c r="G52" s="1">
        <v>366</v>
      </c>
      <c r="H52" s="1">
        <v>45</v>
      </c>
      <c r="I52" s="1">
        <v>31</v>
      </c>
      <c r="J52" s="1">
        <v>20</v>
      </c>
      <c r="K52" s="1">
        <v>39</v>
      </c>
      <c r="L52" s="1">
        <v>0</v>
      </c>
      <c r="M52" s="1">
        <v>0</v>
      </c>
      <c r="N52" s="1">
        <v>0</v>
      </c>
      <c r="O52" s="1">
        <v>0</v>
      </c>
      <c r="P52" s="1">
        <v>0</v>
      </c>
      <c r="Q52" s="1">
        <v>0</v>
      </c>
      <c r="R52" s="1" t="s">
        <v>4702</v>
      </c>
      <c r="S52" s="1">
        <v>0</v>
      </c>
      <c r="T52" s="1">
        <v>0</v>
      </c>
      <c r="U52" s="1">
        <v>0</v>
      </c>
      <c r="V52" s="1">
        <v>0</v>
      </c>
      <c r="W52" s="1">
        <v>0</v>
      </c>
      <c r="X52" s="1">
        <v>0</v>
      </c>
    </row>
    <row r="53" spans="1:24" x14ac:dyDescent="0.3">
      <c r="A53" s="1">
        <v>11001</v>
      </c>
      <c r="B53" s="1">
        <v>110</v>
      </c>
      <c r="C53" s="1">
        <v>1</v>
      </c>
      <c r="D53" s="1">
        <v>1</v>
      </c>
      <c r="E53" s="1">
        <v>0</v>
      </c>
      <c r="F53" s="1">
        <v>1</v>
      </c>
      <c r="G53" s="1">
        <v>366</v>
      </c>
      <c r="H53" s="1">
        <v>45</v>
      </c>
      <c r="I53" s="1">
        <v>31</v>
      </c>
      <c r="J53" s="1">
        <v>20</v>
      </c>
      <c r="K53" s="1">
        <v>39</v>
      </c>
      <c r="L53" s="1">
        <v>0</v>
      </c>
      <c r="M53" s="1">
        <v>0</v>
      </c>
      <c r="N53" s="1">
        <v>0</v>
      </c>
      <c r="O53" s="1">
        <v>0</v>
      </c>
      <c r="P53" s="1">
        <v>0</v>
      </c>
      <c r="Q53" s="1">
        <v>200</v>
      </c>
      <c r="R53" s="1" t="s">
        <v>4555</v>
      </c>
      <c r="S53" s="1">
        <v>0</v>
      </c>
      <c r="T53" s="1">
        <v>0</v>
      </c>
      <c r="U53" s="1">
        <v>0</v>
      </c>
      <c r="V53" s="1">
        <v>0</v>
      </c>
      <c r="W53" s="1">
        <v>0</v>
      </c>
      <c r="X53" s="1">
        <v>0</v>
      </c>
    </row>
    <row r="54" spans="1:24" x14ac:dyDescent="0.3">
      <c r="A54" s="1">
        <v>11002</v>
      </c>
      <c r="B54" s="1">
        <v>110</v>
      </c>
      <c r="C54" s="1">
        <v>2</v>
      </c>
      <c r="D54" s="1">
        <v>1</v>
      </c>
      <c r="E54" s="1">
        <v>0</v>
      </c>
      <c r="F54" s="1">
        <v>1</v>
      </c>
      <c r="G54" s="1">
        <v>366</v>
      </c>
      <c r="H54" s="1">
        <v>45</v>
      </c>
      <c r="I54" s="1">
        <v>43</v>
      </c>
      <c r="J54" s="1">
        <v>20</v>
      </c>
      <c r="K54" s="1">
        <v>57</v>
      </c>
      <c r="L54" s="1">
        <v>0</v>
      </c>
      <c r="M54" s="1">
        <v>0</v>
      </c>
      <c r="N54" s="1">
        <v>0</v>
      </c>
      <c r="O54" s="1">
        <v>0</v>
      </c>
      <c r="P54" s="1">
        <v>0</v>
      </c>
      <c r="Q54" s="1">
        <v>200</v>
      </c>
      <c r="R54" s="1" t="s">
        <v>4555</v>
      </c>
      <c r="S54" s="1">
        <v>0</v>
      </c>
      <c r="T54" s="1">
        <v>0</v>
      </c>
      <c r="U54" s="1">
        <v>0</v>
      </c>
      <c r="V54" s="1">
        <v>0</v>
      </c>
      <c r="W54" s="1">
        <v>0</v>
      </c>
      <c r="X54" s="1">
        <v>0</v>
      </c>
    </row>
    <row r="55" spans="1:24" x14ac:dyDescent="0.3">
      <c r="A55" s="1">
        <v>11003</v>
      </c>
      <c r="B55" s="1">
        <v>110</v>
      </c>
      <c r="C55" s="1">
        <v>3</v>
      </c>
      <c r="D55" s="1">
        <v>1</v>
      </c>
      <c r="E55" s="1">
        <v>0</v>
      </c>
      <c r="F55" s="1">
        <v>1</v>
      </c>
      <c r="G55" s="1">
        <v>366</v>
      </c>
      <c r="H55" s="1">
        <v>77</v>
      </c>
      <c r="I55" s="1">
        <v>43</v>
      </c>
      <c r="J55" s="1">
        <v>40</v>
      </c>
      <c r="K55" s="1">
        <v>57</v>
      </c>
      <c r="L55" s="1">
        <v>0</v>
      </c>
      <c r="M55" s="1">
        <v>0</v>
      </c>
      <c r="N55" s="1">
        <v>0</v>
      </c>
      <c r="O55" s="1">
        <v>0</v>
      </c>
      <c r="P55" s="1">
        <v>0</v>
      </c>
      <c r="Q55" s="1">
        <v>200</v>
      </c>
      <c r="R55" s="1" t="s">
        <v>4555</v>
      </c>
      <c r="S55" s="1">
        <v>0</v>
      </c>
      <c r="T55" s="1">
        <v>0</v>
      </c>
      <c r="U55" s="1">
        <v>0</v>
      </c>
      <c r="V55" s="1">
        <v>0</v>
      </c>
      <c r="W55" s="1">
        <v>0</v>
      </c>
      <c r="X55" s="1">
        <v>0</v>
      </c>
    </row>
    <row r="56" spans="1:24" x14ac:dyDescent="0.3">
      <c r="A56" s="1">
        <v>11004</v>
      </c>
      <c r="B56" s="1">
        <v>110</v>
      </c>
      <c r="C56" s="1">
        <v>4</v>
      </c>
      <c r="D56" s="1">
        <v>1</v>
      </c>
      <c r="E56" s="1">
        <v>1</v>
      </c>
      <c r="F56" s="1">
        <v>1</v>
      </c>
      <c r="G56" s="1">
        <v>366</v>
      </c>
      <c r="H56" s="1">
        <v>77</v>
      </c>
      <c r="I56" s="1">
        <v>43</v>
      </c>
      <c r="J56" s="1">
        <v>40</v>
      </c>
      <c r="K56" s="1">
        <v>57</v>
      </c>
      <c r="L56" s="1">
        <v>0</v>
      </c>
      <c r="M56" s="1">
        <v>0</v>
      </c>
      <c r="N56" s="1">
        <v>0</v>
      </c>
      <c r="O56" s="1">
        <v>0</v>
      </c>
      <c r="P56" s="1">
        <v>0</v>
      </c>
      <c r="Q56" s="1">
        <v>200</v>
      </c>
      <c r="R56" s="1" t="s">
        <v>4555</v>
      </c>
      <c r="S56" s="1">
        <v>0</v>
      </c>
      <c r="T56" s="1">
        <v>0</v>
      </c>
      <c r="U56" s="1">
        <v>911031</v>
      </c>
      <c r="V56" s="1">
        <v>0</v>
      </c>
      <c r="W56" s="1">
        <v>0</v>
      </c>
      <c r="X56" s="1">
        <v>0</v>
      </c>
    </row>
    <row r="57" spans="1:24" x14ac:dyDescent="0.3">
      <c r="A57" s="1">
        <v>11100</v>
      </c>
      <c r="B57" s="1">
        <v>111</v>
      </c>
      <c r="C57" s="1">
        <v>0</v>
      </c>
      <c r="D57" s="1">
        <v>0</v>
      </c>
      <c r="E57" s="1">
        <v>0</v>
      </c>
      <c r="F57" s="1">
        <v>1</v>
      </c>
      <c r="G57" s="1">
        <v>287</v>
      </c>
      <c r="H57" s="1">
        <v>46</v>
      </c>
      <c r="I57" s="1">
        <v>23</v>
      </c>
      <c r="J57" s="1">
        <v>35</v>
      </c>
      <c r="K57" s="1">
        <v>13</v>
      </c>
      <c r="L57" s="1">
        <v>5</v>
      </c>
      <c r="M57" s="1">
        <v>0</v>
      </c>
      <c r="N57" s="1">
        <v>0</v>
      </c>
      <c r="O57" s="1">
        <v>0</v>
      </c>
      <c r="P57" s="1">
        <v>0</v>
      </c>
      <c r="Q57" s="1">
        <v>0</v>
      </c>
      <c r="R57" s="1" t="s">
        <v>4703</v>
      </c>
      <c r="S57" s="1">
        <v>0</v>
      </c>
      <c r="T57" s="1">
        <v>0</v>
      </c>
      <c r="U57" s="1">
        <v>0</v>
      </c>
      <c r="V57" s="1">
        <v>0</v>
      </c>
      <c r="W57" s="1">
        <v>0</v>
      </c>
      <c r="X57" s="1">
        <v>0</v>
      </c>
    </row>
    <row r="58" spans="1:24" x14ac:dyDescent="0.3">
      <c r="A58" s="1">
        <v>11101</v>
      </c>
      <c r="B58" s="1">
        <v>111</v>
      </c>
      <c r="C58" s="1">
        <v>1</v>
      </c>
      <c r="D58" s="1">
        <v>1</v>
      </c>
      <c r="E58" s="1">
        <v>0</v>
      </c>
      <c r="F58" s="1">
        <v>1</v>
      </c>
      <c r="G58" s="1">
        <v>287</v>
      </c>
      <c r="H58" s="1">
        <v>46</v>
      </c>
      <c r="I58" s="1">
        <v>23</v>
      </c>
      <c r="J58" s="1">
        <v>35</v>
      </c>
      <c r="K58" s="1">
        <v>13</v>
      </c>
      <c r="L58" s="1">
        <v>5</v>
      </c>
      <c r="M58" s="1">
        <v>0</v>
      </c>
      <c r="N58" s="1">
        <v>0</v>
      </c>
      <c r="O58" s="1">
        <v>0</v>
      </c>
      <c r="P58" s="1">
        <v>0</v>
      </c>
      <c r="Q58" s="1">
        <v>200</v>
      </c>
      <c r="R58" s="1" t="s">
        <v>4573</v>
      </c>
      <c r="S58" s="1">
        <v>0</v>
      </c>
      <c r="T58" s="1">
        <v>0</v>
      </c>
      <c r="U58" s="1">
        <v>0</v>
      </c>
      <c r="V58" s="1">
        <v>0</v>
      </c>
      <c r="W58" s="1">
        <v>0</v>
      </c>
      <c r="X58" s="1">
        <v>0</v>
      </c>
    </row>
    <row r="59" spans="1:24" x14ac:dyDescent="0.3">
      <c r="A59" s="1">
        <v>11102</v>
      </c>
      <c r="B59" s="1">
        <v>111</v>
      </c>
      <c r="C59" s="1">
        <v>2</v>
      </c>
      <c r="D59" s="1">
        <v>1</v>
      </c>
      <c r="E59" s="1">
        <v>0</v>
      </c>
      <c r="F59" s="1">
        <v>1</v>
      </c>
      <c r="G59" s="1">
        <v>453</v>
      </c>
      <c r="H59" s="1">
        <v>46</v>
      </c>
      <c r="I59" s="1">
        <v>39</v>
      </c>
      <c r="J59" s="1">
        <v>35</v>
      </c>
      <c r="K59" s="1">
        <v>13</v>
      </c>
      <c r="L59" s="1">
        <v>5</v>
      </c>
      <c r="M59" s="1">
        <v>0</v>
      </c>
      <c r="N59" s="1">
        <v>0</v>
      </c>
      <c r="O59" s="1">
        <v>0</v>
      </c>
      <c r="P59" s="1">
        <v>0</v>
      </c>
      <c r="Q59" s="1">
        <v>200</v>
      </c>
      <c r="R59" s="1" t="s">
        <v>4573</v>
      </c>
      <c r="S59" s="1">
        <v>0</v>
      </c>
      <c r="T59" s="1">
        <v>0</v>
      </c>
      <c r="U59" s="1">
        <v>0</v>
      </c>
      <c r="V59" s="1">
        <v>0</v>
      </c>
      <c r="W59" s="1">
        <v>0</v>
      </c>
      <c r="X59" s="1">
        <v>0</v>
      </c>
    </row>
    <row r="60" spans="1:24" x14ac:dyDescent="0.3">
      <c r="A60" s="1">
        <v>11103</v>
      </c>
      <c r="B60" s="1">
        <v>111</v>
      </c>
      <c r="C60" s="1">
        <v>3</v>
      </c>
      <c r="D60" s="1">
        <v>1</v>
      </c>
      <c r="E60" s="1">
        <v>0</v>
      </c>
      <c r="F60" s="1">
        <v>1</v>
      </c>
      <c r="G60" s="1">
        <v>453</v>
      </c>
      <c r="H60" s="1">
        <v>72</v>
      </c>
      <c r="I60" s="1">
        <v>39</v>
      </c>
      <c r="J60" s="1">
        <v>35</v>
      </c>
      <c r="K60" s="1">
        <v>48</v>
      </c>
      <c r="L60" s="1">
        <v>5</v>
      </c>
      <c r="M60" s="1">
        <v>0</v>
      </c>
      <c r="N60" s="1">
        <v>0</v>
      </c>
      <c r="O60" s="1">
        <v>0</v>
      </c>
      <c r="P60" s="1">
        <v>0</v>
      </c>
      <c r="Q60" s="1">
        <v>200</v>
      </c>
      <c r="R60" s="1" t="s">
        <v>4573</v>
      </c>
      <c r="S60" s="1">
        <v>0</v>
      </c>
      <c r="T60" s="1">
        <v>0</v>
      </c>
      <c r="U60" s="1">
        <v>0</v>
      </c>
      <c r="V60" s="1">
        <v>0</v>
      </c>
      <c r="W60" s="1">
        <v>0</v>
      </c>
      <c r="X60" s="1">
        <v>0</v>
      </c>
    </row>
    <row r="61" spans="1:24" x14ac:dyDescent="0.3">
      <c r="A61" s="1">
        <v>11104</v>
      </c>
      <c r="B61" s="1">
        <v>111</v>
      </c>
      <c r="C61" s="1">
        <v>4</v>
      </c>
      <c r="D61" s="1">
        <v>1</v>
      </c>
      <c r="E61" s="1">
        <v>1</v>
      </c>
      <c r="F61" s="1">
        <v>1</v>
      </c>
      <c r="G61" s="1">
        <v>453</v>
      </c>
      <c r="H61" s="1">
        <v>72</v>
      </c>
      <c r="I61" s="1">
        <v>39</v>
      </c>
      <c r="J61" s="1">
        <v>35</v>
      </c>
      <c r="K61" s="1">
        <v>48</v>
      </c>
      <c r="L61" s="1">
        <v>5</v>
      </c>
      <c r="M61" s="1">
        <v>0</v>
      </c>
      <c r="N61" s="1">
        <v>0</v>
      </c>
      <c r="O61" s="1">
        <v>0</v>
      </c>
      <c r="P61" s="1">
        <v>0</v>
      </c>
      <c r="Q61" s="1">
        <v>200</v>
      </c>
      <c r="R61" s="1" t="s">
        <v>4573</v>
      </c>
      <c r="S61" s="1">
        <v>0</v>
      </c>
      <c r="T61" s="1">
        <v>0</v>
      </c>
      <c r="U61" s="1">
        <v>901201</v>
      </c>
      <c r="V61" s="1">
        <v>0</v>
      </c>
      <c r="W61" s="1">
        <v>0</v>
      </c>
      <c r="X61" s="1">
        <v>0</v>
      </c>
    </row>
    <row r="62" spans="1:24" x14ac:dyDescent="0.3">
      <c r="A62" s="1">
        <v>11200</v>
      </c>
      <c r="B62" s="1">
        <v>112</v>
      </c>
      <c r="C62" s="1">
        <v>0</v>
      </c>
      <c r="D62" s="1">
        <v>0</v>
      </c>
      <c r="E62" s="1">
        <v>0</v>
      </c>
      <c r="F62" s="1">
        <v>1</v>
      </c>
      <c r="G62" s="1">
        <v>401</v>
      </c>
      <c r="H62" s="1">
        <v>63</v>
      </c>
      <c r="I62" s="1">
        <v>25</v>
      </c>
      <c r="J62" s="1">
        <v>21</v>
      </c>
      <c r="K62" s="1">
        <v>42</v>
      </c>
      <c r="L62" s="1">
        <v>0</v>
      </c>
      <c r="M62" s="1">
        <v>0</v>
      </c>
      <c r="N62" s="1">
        <v>0</v>
      </c>
      <c r="O62" s="1">
        <v>0</v>
      </c>
      <c r="P62" s="1">
        <v>0</v>
      </c>
      <c r="Q62" s="1">
        <v>0</v>
      </c>
      <c r="R62" s="1" t="s">
        <v>4704</v>
      </c>
      <c r="S62" s="1">
        <v>0</v>
      </c>
      <c r="T62" s="1">
        <v>0</v>
      </c>
      <c r="U62" s="1">
        <v>0</v>
      </c>
      <c r="V62" s="1">
        <v>0</v>
      </c>
      <c r="W62" s="1">
        <v>0</v>
      </c>
      <c r="X62" s="1">
        <v>0</v>
      </c>
    </row>
    <row r="63" spans="1:24" x14ac:dyDescent="0.3">
      <c r="A63" s="1">
        <v>11201</v>
      </c>
      <c r="B63" s="1">
        <v>112</v>
      </c>
      <c r="C63" s="1">
        <v>1</v>
      </c>
      <c r="D63" s="1">
        <v>1</v>
      </c>
      <c r="E63" s="1">
        <v>0</v>
      </c>
      <c r="F63" s="1">
        <v>1</v>
      </c>
      <c r="G63" s="1">
        <v>401</v>
      </c>
      <c r="H63" s="1">
        <v>63</v>
      </c>
      <c r="I63" s="1">
        <v>25</v>
      </c>
      <c r="J63" s="1">
        <v>21</v>
      </c>
      <c r="K63" s="1">
        <v>42</v>
      </c>
      <c r="L63" s="1">
        <v>0</v>
      </c>
      <c r="M63" s="1">
        <v>0</v>
      </c>
      <c r="N63" s="1">
        <v>0</v>
      </c>
      <c r="O63" s="1">
        <v>0</v>
      </c>
      <c r="P63" s="1">
        <v>0</v>
      </c>
      <c r="Q63" s="1">
        <v>200</v>
      </c>
      <c r="R63" s="1" t="s">
        <v>4505</v>
      </c>
      <c r="S63" s="1">
        <v>0</v>
      </c>
      <c r="T63" s="1">
        <v>0</v>
      </c>
      <c r="U63" s="1">
        <v>0</v>
      </c>
      <c r="V63" s="1">
        <v>0</v>
      </c>
      <c r="W63" s="1">
        <v>0</v>
      </c>
      <c r="X63" s="1">
        <v>0</v>
      </c>
    </row>
    <row r="64" spans="1:24" x14ac:dyDescent="0.3">
      <c r="A64" s="1">
        <v>11202</v>
      </c>
      <c r="B64" s="1">
        <v>112</v>
      </c>
      <c r="C64" s="1">
        <v>2</v>
      </c>
      <c r="D64" s="1">
        <v>1</v>
      </c>
      <c r="E64" s="1">
        <v>0</v>
      </c>
      <c r="F64" s="1">
        <v>1</v>
      </c>
      <c r="G64" s="1">
        <v>401</v>
      </c>
      <c r="H64" s="1">
        <v>100</v>
      </c>
      <c r="I64" s="1">
        <v>25</v>
      </c>
      <c r="J64" s="1">
        <v>21</v>
      </c>
      <c r="K64" s="1">
        <v>60</v>
      </c>
      <c r="L64" s="1">
        <v>0</v>
      </c>
      <c r="M64" s="1">
        <v>0</v>
      </c>
      <c r="N64" s="1">
        <v>0</v>
      </c>
      <c r="O64" s="1">
        <v>0</v>
      </c>
      <c r="P64" s="1">
        <v>0</v>
      </c>
      <c r="Q64" s="1">
        <v>200</v>
      </c>
      <c r="R64" s="1" t="s">
        <v>4505</v>
      </c>
      <c r="S64" s="1">
        <v>0</v>
      </c>
      <c r="T64" s="1">
        <v>0</v>
      </c>
      <c r="U64" s="1">
        <v>0</v>
      </c>
      <c r="V64" s="1">
        <v>0</v>
      </c>
      <c r="W64" s="1">
        <v>0</v>
      </c>
      <c r="X64" s="1">
        <v>0</v>
      </c>
    </row>
    <row r="65" spans="1:24" x14ac:dyDescent="0.3">
      <c r="A65" s="1">
        <v>11203</v>
      </c>
      <c r="B65" s="1">
        <v>112</v>
      </c>
      <c r="C65" s="1">
        <v>3</v>
      </c>
      <c r="D65" s="1">
        <v>1</v>
      </c>
      <c r="E65" s="1">
        <v>0</v>
      </c>
      <c r="F65" s="1">
        <v>1</v>
      </c>
      <c r="G65" s="1">
        <v>401</v>
      </c>
      <c r="H65" s="1">
        <v>100</v>
      </c>
      <c r="I65" s="1">
        <v>35</v>
      </c>
      <c r="J65" s="1">
        <v>38</v>
      </c>
      <c r="K65" s="1">
        <v>60</v>
      </c>
      <c r="L65" s="1">
        <v>0</v>
      </c>
      <c r="M65" s="1">
        <v>0</v>
      </c>
      <c r="N65" s="1">
        <v>0</v>
      </c>
      <c r="O65" s="1">
        <v>0</v>
      </c>
      <c r="P65" s="1">
        <v>0</v>
      </c>
      <c r="Q65" s="1">
        <v>200</v>
      </c>
      <c r="R65" s="1" t="s">
        <v>4505</v>
      </c>
      <c r="S65" s="1">
        <v>0</v>
      </c>
      <c r="T65" s="1">
        <v>0</v>
      </c>
      <c r="U65" s="1">
        <v>0</v>
      </c>
      <c r="V65" s="1">
        <v>0</v>
      </c>
      <c r="W65" s="1">
        <v>0</v>
      </c>
      <c r="X65" s="1">
        <v>0</v>
      </c>
    </row>
    <row r="66" spans="1:24" x14ac:dyDescent="0.3">
      <c r="A66" s="1">
        <v>11204</v>
      </c>
      <c r="B66" s="1">
        <v>112</v>
      </c>
      <c r="C66" s="1">
        <v>4</v>
      </c>
      <c r="D66" s="1">
        <v>1</v>
      </c>
      <c r="E66" s="1">
        <v>1</v>
      </c>
      <c r="F66" s="1">
        <v>1</v>
      </c>
      <c r="G66" s="1">
        <v>401</v>
      </c>
      <c r="H66" s="1">
        <v>100</v>
      </c>
      <c r="I66" s="1">
        <v>35</v>
      </c>
      <c r="J66" s="1">
        <v>38</v>
      </c>
      <c r="K66" s="1">
        <v>60</v>
      </c>
      <c r="L66" s="1">
        <v>0</v>
      </c>
      <c r="M66" s="1">
        <v>0</v>
      </c>
      <c r="N66" s="1">
        <v>0</v>
      </c>
      <c r="O66" s="1">
        <v>0</v>
      </c>
      <c r="P66" s="1">
        <v>0</v>
      </c>
      <c r="Q66" s="1">
        <v>200</v>
      </c>
      <c r="R66" s="1" t="s">
        <v>4505</v>
      </c>
      <c r="S66" s="1">
        <v>0</v>
      </c>
      <c r="T66" s="1">
        <v>0</v>
      </c>
      <c r="U66" s="1">
        <v>902163</v>
      </c>
      <c r="V66" s="1">
        <v>0</v>
      </c>
      <c r="W66" s="1">
        <v>0</v>
      </c>
      <c r="X66" s="1">
        <v>0</v>
      </c>
    </row>
    <row r="67" spans="1:24" x14ac:dyDescent="0.3">
      <c r="A67" s="1">
        <v>11300</v>
      </c>
      <c r="B67" s="1">
        <v>113</v>
      </c>
      <c r="C67" s="1">
        <v>0</v>
      </c>
      <c r="D67" s="1">
        <v>0</v>
      </c>
      <c r="E67" s="1">
        <v>0</v>
      </c>
      <c r="F67" s="1">
        <v>1</v>
      </c>
      <c r="G67" s="1">
        <v>313</v>
      </c>
      <c r="H67" s="1">
        <v>80</v>
      </c>
      <c r="I67" s="1">
        <v>16</v>
      </c>
      <c r="J67" s="1">
        <v>29</v>
      </c>
      <c r="K67" s="1">
        <v>18</v>
      </c>
      <c r="L67" s="1">
        <v>0</v>
      </c>
      <c r="M67" s="1">
        <v>0</v>
      </c>
      <c r="N67" s="1">
        <v>0</v>
      </c>
      <c r="O67" s="1">
        <v>0</v>
      </c>
      <c r="P67" s="1">
        <v>0</v>
      </c>
      <c r="Q67" s="1">
        <v>0</v>
      </c>
      <c r="R67" s="1" t="s">
        <v>4705</v>
      </c>
      <c r="S67" s="1">
        <v>0</v>
      </c>
      <c r="T67" s="1">
        <v>0</v>
      </c>
      <c r="U67" s="1">
        <v>0</v>
      </c>
      <c r="V67" s="1">
        <v>0</v>
      </c>
      <c r="W67" s="1">
        <v>0</v>
      </c>
      <c r="X67" s="1">
        <v>0</v>
      </c>
    </row>
    <row r="68" spans="1:24" x14ac:dyDescent="0.3">
      <c r="A68" s="1">
        <v>11301</v>
      </c>
      <c r="B68" s="1">
        <v>113</v>
      </c>
      <c r="C68" s="1">
        <v>1</v>
      </c>
      <c r="D68" s="1">
        <v>1</v>
      </c>
      <c r="E68" s="1">
        <v>0</v>
      </c>
      <c r="F68" s="1">
        <v>1</v>
      </c>
      <c r="G68" s="1">
        <v>313</v>
      </c>
      <c r="H68" s="1">
        <v>80</v>
      </c>
      <c r="I68" s="1">
        <v>16</v>
      </c>
      <c r="J68" s="1">
        <v>29</v>
      </c>
      <c r="K68" s="1">
        <v>18</v>
      </c>
      <c r="L68" s="1">
        <v>0</v>
      </c>
      <c r="M68" s="1">
        <v>0</v>
      </c>
      <c r="N68" s="1">
        <v>0</v>
      </c>
      <c r="O68" s="1">
        <v>0</v>
      </c>
      <c r="P68" s="1">
        <v>0</v>
      </c>
      <c r="Q68" s="1">
        <v>200</v>
      </c>
      <c r="R68" s="1" t="s">
        <v>4579</v>
      </c>
      <c r="S68" s="1">
        <v>0</v>
      </c>
      <c r="T68" s="1">
        <v>0</v>
      </c>
      <c r="U68" s="1">
        <v>0</v>
      </c>
      <c r="V68" s="1">
        <v>0</v>
      </c>
      <c r="W68" s="1">
        <v>0</v>
      </c>
      <c r="X68" s="1">
        <v>0</v>
      </c>
    </row>
    <row r="69" spans="1:24" x14ac:dyDescent="0.3">
      <c r="A69" s="1">
        <v>11302</v>
      </c>
      <c r="B69" s="1">
        <v>113</v>
      </c>
      <c r="C69" s="1">
        <v>2</v>
      </c>
      <c r="D69" s="1">
        <v>1</v>
      </c>
      <c r="E69" s="1">
        <v>0</v>
      </c>
      <c r="F69" s="1">
        <v>1</v>
      </c>
      <c r="G69" s="1">
        <v>313</v>
      </c>
      <c r="H69" s="1">
        <v>102</v>
      </c>
      <c r="I69" s="1">
        <v>16</v>
      </c>
      <c r="J69" s="1">
        <v>41</v>
      </c>
      <c r="K69" s="1">
        <v>18</v>
      </c>
      <c r="L69" s="1">
        <v>0</v>
      </c>
      <c r="M69" s="1">
        <v>0</v>
      </c>
      <c r="N69" s="1">
        <v>0</v>
      </c>
      <c r="O69" s="1">
        <v>0</v>
      </c>
      <c r="P69" s="1">
        <v>0</v>
      </c>
      <c r="Q69" s="1">
        <v>200</v>
      </c>
      <c r="R69" s="1" t="s">
        <v>4579</v>
      </c>
      <c r="S69" s="1">
        <v>0</v>
      </c>
      <c r="T69" s="1">
        <v>0</v>
      </c>
      <c r="U69" s="1">
        <v>0</v>
      </c>
      <c r="V69" s="1">
        <v>0</v>
      </c>
      <c r="W69" s="1">
        <v>0</v>
      </c>
      <c r="X69" s="1">
        <v>0</v>
      </c>
    </row>
    <row r="70" spans="1:24" x14ac:dyDescent="0.3">
      <c r="A70" s="1">
        <v>11303</v>
      </c>
      <c r="B70" s="1">
        <v>113</v>
      </c>
      <c r="C70" s="1">
        <v>3</v>
      </c>
      <c r="D70" s="1">
        <v>1</v>
      </c>
      <c r="E70" s="1">
        <v>0</v>
      </c>
      <c r="F70" s="1">
        <v>1</v>
      </c>
      <c r="G70" s="1">
        <v>313</v>
      </c>
      <c r="H70" s="1">
        <v>102</v>
      </c>
      <c r="I70" s="1">
        <v>26</v>
      </c>
      <c r="J70" s="1">
        <v>41</v>
      </c>
      <c r="K70" s="1">
        <v>32</v>
      </c>
      <c r="L70" s="1">
        <v>0</v>
      </c>
      <c r="M70" s="1">
        <v>0</v>
      </c>
      <c r="N70" s="1">
        <v>0</v>
      </c>
      <c r="O70" s="1">
        <v>0</v>
      </c>
      <c r="P70" s="1">
        <v>0</v>
      </c>
      <c r="Q70" s="1">
        <v>200</v>
      </c>
      <c r="R70" s="1" t="s">
        <v>4579</v>
      </c>
      <c r="S70" s="1">
        <v>0</v>
      </c>
      <c r="T70" s="1">
        <v>0</v>
      </c>
      <c r="U70" s="1">
        <v>0</v>
      </c>
      <c r="V70" s="1">
        <v>0</v>
      </c>
      <c r="W70" s="1">
        <v>0</v>
      </c>
      <c r="X70" s="1">
        <v>0</v>
      </c>
    </row>
    <row r="71" spans="1:24" x14ac:dyDescent="0.3">
      <c r="A71" s="1">
        <v>11304</v>
      </c>
      <c r="B71" s="1">
        <v>113</v>
      </c>
      <c r="C71" s="1">
        <v>4</v>
      </c>
      <c r="D71" s="1">
        <v>1</v>
      </c>
      <c r="E71" s="1">
        <v>1</v>
      </c>
      <c r="F71" s="1">
        <v>1</v>
      </c>
      <c r="G71" s="1">
        <v>313</v>
      </c>
      <c r="H71" s="1">
        <v>102</v>
      </c>
      <c r="I71" s="1">
        <v>26</v>
      </c>
      <c r="J71" s="1">
        <v>41</v>
      </c>
      <c r="K71" s="1">
        <v>32</v>
      </c>
      <c r="L71" s="1">
        <v>0</v>
      </c>
      <c r="M71" s="1">
        <v>0</v>
      </c>
      <c r="N71" s="1">
        <v>0</v>
      </c>
      <c r="O71" s="1">
        <v>0</v>
      </c>
      <c r="P71" s="1">
        <v>0</v>
      </c>
      <c r="Q71" s="1">
        <v>200</v>
      </c>
      <c r="R71" s="1" t="s">
        <v>4579</v>
      </c>
      <c r="S71" s="1">
        <v>0</v>
      </c>
      <c r="T71" s="1">
        <v>0</v>
      </c>
      <c r="U71" s="1">
        <v>902362</v>
      </c>
      <c r="V71" s="1">
        <v>0</v>
      </c>
      <c r="W71" s="1">
        <v>0</v>
      </c>
      <c r="X71" s="1">
        <v>0</v>
      </c>
    </row>
    <row r="72" spans="1:24" x14ac:dyDescent="0.3">
      <c r="A72" s="1">
        <v>11400</v>
      </c>
      <c r="B72" s="1">
        <v>114</v>
      </c>
      <c r="C72" s="1">
        <v>0</v>
      </c>
      <c r="D72" s="1">
        <v>0</v>
      </c>
      <c r="E72" s="1">
        <v>0</v>
      </c>
      <c r="F72" s="1">
        <v>1</v>
      </c>
      <c r="G72" s="1">
        <v>235</v>
      </c>
      <c r="H72" s="1">
        <v>85</v>
      </c>
      <c r="I72" s="1">
        <v>19</v>
      </c>
      <c r="J72" s="1">
        <v>19</v>
      </c>
      <c r="K72" s="1">
        <v>31</v>
      </c>
      <c r="L72" s="1">
        <v>0</v>
      </c>
      <c r="M72" s="1">
        <v>0</v>
      </c>
      <c r="N72" s="1">
        <v>0</v>
      </c>
      <c r="O72" s="1">
        <v>0</v>
      </c>
      <c r="P72" s="1">
        <v>0</v>
      </c>
      <c r="Q72" s="1">
        <v>0</v>
      </c>
      <c r="R72" s="1" t="s">
        <v>4706</v>
      </c>
      <c r="S72" s="1">
        <v>0</v>
      </c>
      <c r="T72" s="1">
        <v>0</v>
      </c>
      <c r="U72" s="1">
        <v>0</v>
      </c>
      <c r="V72" s="1">
        <v>0</v>
      </c>
      <c r="W72" s="1">
        <v>0</v>
      </c>
      <c r="X72" s="1">
        <v>0</v>
      </c>
    </row>
    <row r="73" spans="1:24" x14ac:dyDescent="0.3">
      <c r="A73" s="1">
        <v>11401</v>
      </c>
      <c r="B73" s="1">
        <v>114</v>
      </c>
      <c r="C73" s="1">
        <v>1</v>
      </c>
      <c r="D73" s="1">
        <v>1</v>
      </c>
      <c r="E73" s="1">
        <v>0</v>
      </c>
      <c r="F73" s="1">
        <v>1</v>
      </c>
      <c r="G73" s="1">
        <v>235</v>
      </c>
      <c r="H73" s="1">
        <v>85</v>
      </c>
      <c r="I73" s="1">
        <v>19</v>
      </c>
      <c r="J73" s="1">
        <v>19</v>
      </c>
      <c r="K73" s="1">
        <v>31</v>
      </c>
      <c r="L73" s="1">
        <v>0</v>
      </c>
      <c r="M73" s="1">
        <v>0</v>
      </c>
      <c r="N73" s="1">
        <v>0</v>
      </c>
      <c r="O73" s="1">
        <v>0</v>
      </c>
      <c r="P73" s="1">
        <v>0</v>
      </c>
      <c r="Q73" s="1">
        <v>200</v>
      </c>
      <c r="R73" s="1" t="s">
        <v>4586</v>
      </c>
      <c r="S73" s="1">
        <v>0</v>
      </c>
      <c r="T73" s="1">
        <v>0</v>
      </c>
      <c r="U73" s="1">
        <v>0</v>
      </c>
      <c r="V73" s="1">
        <v>0</v>
      </c>
      <c r="W73" s="1">
        <v>0</v>
      </c>
      <c r="X73" s="1">
        <v>0</v>
      </c>
    </row>
    <row r="74" spans="1:24" x14ac:dyDescent="0.3">
      <c r="A74" s="1">
        <v>11402</v>
      </c>
      <c r="B74" s="1">
        <v>114</v>
      </c>
      <c r="C74" s="1">
        <v>2</v>
      </c>
      <c r="D74" s="1">
        <v>1</v>
      </c>
      <c r="E74" s="1">
        <v>0</v>
      </c>
      <c r="F74" s="1">
        <v>1</v>
      </c>
      <c r="G74" s="1">
        <v>366</v>
      </c>
      <c r="H74" s="1">
        <v>85</v>
      </c>
      <c r="I74" s="1">
        <v>19</v>
      </c>
      <c r="J74" s="1">
        <v>19</v>
      </c>
      <c r="K74" s="1">
        <v>54</v>
      </c>
      <c r="L74" s="1">
        <v>0</v>
      </c>
      <c r="M74" s="1">
        <v>0</v>
      </c>
      <c r="N74" s="1">
        <v>0</v>
      </c>
      <c r="O74" s="1">
        <v>0</v>
      </c>
      <c r="P74" s="1">
        <v>0</v>
      </c>
      <c r="Q74" s="1">
        <v>200</v>
      </c>
      <c r="R74" s="1" t="s">
        <v>4586</v>
      </c>
      <c r="S74" s="1">
        <v>0</v>
      </c>
      <c r="T74" s="1">
        <v>0</v>
      </c>
      <c r="U74" s="1">
        <v>0</v>
      </c>
      <c r="V74" s="1">
        <v>0</v>
      </c>
      <c r="W74" s="1">
        <v>0</v>
      </c>
      <c r="X74" s="1">
        <v>0</v>
      </c>
    </row>
    <row r="75" spans="1:24" x14ac:dyDescent="0.3">
      <c r="A75" s="1">
        <v>11403</v>
      </c>
      <c r="B75" s="1">
        <v>114</v>
      </c>
      <c r="C75" s="1">
        <v>3</v>
      </c>
      <c r="D75" s="1">
        <v>1</v>
      </c>
      <c r="E75" s="1">
        <v>0</v>
      </c>
      <c r="F75" s="1">
        <v>1</v>
      </c>
      <c r="G75" s="1">
        <v>366</v>
      </c>
      <c r="H75" s="1">
        <v>103</v>
      </c>
      <c r="I75" s="1">
        <v>19</v>
      </c>
      <c r="J75" s="1">
        <v>35</v>
      </c>
      <c r="K75" s="1">
        <v>54</v>
      </c>
      <c r="L75" s="1">
        <v>0</v>
      </c>
      <c r="M75" s="1">
        <v>0</v>
      </c>
      <c r="N75" s="1">
        <v>0</v>
      </c>
      <c r="O75" s="1">
        <v>0</v>
      </c>
      <c r="P75" s="1">
        <v>0</v>
      </c>
      <c r="Q75" s="1">
        <v>200</v>
      </c>
      <c r="R75" s="1" t="s">
        <v>4586</v>
      </c>
      <c r="S75" s="1">
        <v>0</v>
      </c>
      <c r="T75" s="1">
        <v>0</v>
      </c>
      <c r="U75" s="1">
        <v>0</v>
      </c>
      <c r="V75" s="1">
        <v>0</v>
      </c>
      <c r="W75" s="1">
        <v>0</v>
      </c>
      <c r="X75" s="1">
        <v>0</v>
      </c>
    </row>
    <row r="76" spans="1:24" x14ac:dyDescent="0.3">
      <c r="A76" s="1">
        <v>11404</v>
      </c>
      <c r="B76" s="1">
        <v>114</v>
      </c>
      <c r="C76" s="1">
        <v>4</v>
      </c>
      <c r="D76" s="1">
        <v>1</v>
      </c>
      <c r="E76" s="1">
        <v>1</v>
      </c>
      <c r="F76" s="1">
        <v>1</v>
      </c>
      <c r="G76" s="1">
        <v>366</v>
      </c>
      <c r="H76" s="1">
        <v>103</v>
      </c>
      <c r="I76" s="1">
        <v>19</v>
      </c>
      <c r="J76" s="1">
        <v>35</v>
      </c>
      <c r="K76" s="1">
        <v>54</v>
      </c>
      <c r="L76" s="1">
        <v>0</v>
      </c>
      <c r="M76" s="1">
        <v>0</v>
      </c>
      <c r="N76" s="1">
        <v>0</v>
      </c>
      <c r="O76" s="1">
        <v>0</v>
      </c>
      <c r="P76" s="1">
        <v>0</v>
      </c>
      <c r="Q76" s="1">
        <v>200</v>
      </c>
      <c r="R76" s="1" t="s">
        <v>4586</v>
      </c>
      <c r="S76" s="1">
        <v>0</v>
      </c>
      <c r="T76" s="1">
        <v>0</v>
      </c>
      <c r="U76" s="1">
        <v>902442</v>
      </c>
      <c r="V76" s="1">
        <v>0</v>
      </c>
      <c r="W76" s="1">
        <v>0</v>
      </c>
      <c r="X76" s="1">
        <v>0</v>
      </c>
    </row>
    <row r="77" spans="1:24" x14ac:dyDescent="0.3">
      <c r="A77" s="1">
        <v>11500</v>
      </c>
      <c r="B77" s="1">
        <v>115</v>
      </c>
      <c r="C77" s="1">
        <v>0</v>
      </c>
      <c r="D77" s="1">
        <v>0</v>
      </c>
      <c r="E77" s="1">
        <v>0</v>
      </c>
      <c r="F77" s="1">
        <v>1</v>
      </c>
      <c r="G77" s="1">
        <v>419</v>
      </c>
      <c r="H77" s="1">
        <v>57</v>
      </c>
      <c r="I77" s="1">
        <v>31</v>
      </c>
      <c r="J77" s="1">
        <v>18</v>
      </c>
      <c r="K77" s="1">
        <v>21</v>
      </c>
      <c r="L77" s="1">
        <v>0</v>
      </c>
      <c r="M77" s="1">
        <v>0</v>
      </c>
      <c r="N77" s="1">
        <v>0</v>
      </c>
      <c r="O77" s="1">
        <v>0</v>
      </c>
      <c r="P77" s="1">
        <v>0</v>
      </c>
      <c r="Q77" s="1">
        <v>0</v>
      </c>
      <c r="R77" s="1" t="s">
        <v>4707</v>
      </c>
      <c r="S77" s="1">
        <v>0</v>
      </c>
      <c r="T77" s="1">
        <v>0</v>
      </c>
      <c r="U77" s="1">
        <v>0</v>
      </c>
      <c r="V77" s="1">
        <v>0</v>
      </c>
      <c r="W77" s="1">
        <v>0</v>
      </c>
      <c r="X77" s="1">
        <v>0</v>
      </c>
    </row>
    <row r="78" spans="1:24" x14ac:dyDescent="0.3">
      <c r="A78" s="1">
        <v>11501</v>
      </c>
      <c r="B78" s="1">
        <v>115</v>
      </c>
      <c r="C78" s="1">
        <v>1</v>
      </c>
      <c r="D78" s="1">
        <v>1</v>
      </c>
      <c r="E78" s="1">
        <v>0</v>
      </c>
      <c r="F78" s="1">
        <v>1</v>
      </c>
      <c r="G78" s="1">
        <v>419</v>
      </c>
      <c r="H78" s="1">
        <v>57</v>
      </c>
      <c r="I78" s="1">
        <v>31</v>
      </c>
      <c r="J78" s="1">
        <v>18</v>
      </c>
      <c r="K78" s="1">
        <v>21</v>
      </c>
      <c r="L78" s="1">
        <v>0</v>
      </c>
      <c r="M78" s="1">
        <v>0</v>
      </c>
      <c r="N78" s="1">
        <v>0</v>
      </c>
      <c r="O78" s="1">
        <v>0</v>
      </c>
      <c r="P78" s="1">
        <v>0</v>
      </c>
      <c r="Q78" s="1">
        <v>200</v>
      </c>
      <c r="R78" s="1" t="s">
        <v>4527</v>
      </c>
      <c r="S78" s="1">
        <v>0</v>
      </c>
      <c r="T78" s="1">
        <v>0</v>
      </c>
      <c r="U78" s="1">
        <v>0</v>
      </c>
      <c r="V78" s="1">
        <v>0</v>
      </c>
      <c r="W78" s="1">
        <v>0</v>
      </c>
      <c r="X78" s="1">
        <v>0</v>
      </c>
    </row>
    <row r="79" spans="1:24" x14ac:dyDescent="0.3">
      <c r="A79" s="1">
        <v>11502</v>
      </c>
      <c r="B79" s="1">
        <v>115</v>
      </c>
      <c r="C79" s="1">
        <v>2</v>
      </c>
      <c r="D79" s="1">
        <v>1</v>
      </c>
      <c r="E79" s="1">
        <v>0</v>
      </c>
      <c r="F79" s="1">
        <v>1</v>
      </c>
      <c r="G79" s="1">
        <v>419</v>
      </c>
      <c r="H79" s="1">
        <v>77</v>
      </c>
      <c r="I79" s="1">
        <v>31</v>
      </c>
      <c r="J79" s="1">
        <v>18</v>
      </c>
      <c r="K79" s="1">
        <v>36</v>
      </c>
      <c r="L79" s="1">
        <v>0</v>
      </c>
      <c r="M79" s="1">
        <v>0</v>
      </c>
      <c r="N79" s="1">
        <v>0</v>
      </c>
      <c r="O79" s="1">
        <v>0</v>
      </c>
      <c r="P79" s="1">
        <v>0</v>
      </c>
      <c r="Q79" s="1">
        <v>200</v>
      </c>
      <c r="R79" s="1" t="s">
        <v>4527</v>
      </c>
      <c r="S79" s="1">
        <v>0</v>
      </c>
      <c r="T79" s="1">
        <v>0</v>
      </c>
      <c r="U79" s="1">
        <v>0</v>
      </c>
      <c r="V79" s="1">
        <v>0</v>
      </c>
      <c r="W79" s="1">
        <v>0</v>
      </c>
      <c r="X79" s="1">
        <v>0</v>
      </c>
    </row>
    <row r="80" spans="1:24" x14ac:dyDescent="0.3">
      <c r="A80" s="1">
        <v>11503</v>
      </c>
      <c r="B80" s="1">
        <v>115</v>
      </c>
      <c r="C80" s="1">
        <v>3</v>
      </c>
      <c r="D80" s="1">
        <v>1</v>
      </c>
      <c r="E80" s="1">
        <v>0</v>
      </c>
      <c r="F80" s="1">
        <v>1</v>
      </c>
      <c r="G80" s="1">
        <v>419</v>
      </c>
      <c r="H80" s="1">
        <v>107</v>
      </c>
      <c r="I80" s="1">
        <v>31</v>
      </c>
      <c r="J80" s="1">
        <v>43</v>
      </c>
      <c r="K80" s="1">
        <v>36</v>
      </c>
      <c r="L80" s="1">
        <v>0</v>
      </c>
      <c r="M80" s="1">
        <v>0</v>
      </c>
      <c r="N80" s="1">
        <v>0</v>
      </c>
      <c r="O80" s="1">
        <v>0</v>
      </c>
      <c r="P80" s="1">
        <v>0</v>
      </c>
      <c r="Q80" s="1">
        <v>200</v>
      </c>
      <c r="R80" s="1" t="s">
        <v>4527</v>
      </c>
      <c r="S80" s="1">
        <v>0</v>
      </c>
      <c r="T80" s="1">
        <v>0</v>
      </c>
      <c r="U80" s="1">
        <v>0</v>
      </c>
      <c r="V80" s="1">
        <v>0</v>
      </c>
      <c r="W80" s="1">
        <v>0</v>
      </c>
      <c r="X80" s="1">
        <v>0</v>
      </c>
    </row>
    <row r="81" spans="1:24" x14ac:dyDescent="0.3">
      <c r="A81" s="1">
        <v>11504</v>
      </c>
      <c r="B81" s="1">
        <v>115</v>
      </c>
      <c r="C81" s="1">
        <v>4</v>
      </c>
      <c r="D81" s="1">
        <v>1</v>
      </c>
      <c r="E81" s="1">
        <v>1</v>
      </c>
      <c r="F81" s="1">
        <v>1</v>
      </c>
      <c r="G81" s="1">
        <v>419</v>
      </c>
      <c r="H81" s="1">
        <v>107</v>
      </c>
      <c r="I81" s="1">
        <v>31</v>
      </c>
      <c r="J81" s="1">
        <v>43</v>
      </c>
      <c r="K81" s="1">
        <v>36</v>
      </c>
      <c r="L81" s="1">
        <v>0</v>
      </c>
      <c r="M81" s="1">
        <v>0</v>
      </c>
      <c r="N81" s="1">
        <v>0</v>
      </c>
      <c r="O81" s="1">
        <v>0</v>
      </c>
      <c r="P81" s="1">
        <v>0</v>
      </c>
      <c r="Q81" s="1">
        <v>200</v>
      </c>
      <c r="R81" s="1" t="s">
        <v>4527</v>
      </c>
      <c r="S81" s="1">
        <v>0</v>
      </c>
      <c r="T81" s="1">
        <v>0</v>
      </c>
      <c r="U81" s="1">
        <v>750002</v>
      </c>
      <c r="V81" s="1">
        <v>0</v>
      </c>
      <c r="W81" s="1">
        <v>0</v>
      </c>
      <c r="X81" s="1">
        <v>0</v>
      </c>
    </row>
    <row r="82" spans="1:24" x14ac:dyDescent="0.3">
      <c r="A82" s="1">
        <v>11600</v>
      </c>
      <c r="B82" s="1">
        <v>116</v>
      </c>
      <c r="C82" s="1">
        <v>0</v>
      </c>
      <c r="D82" s="1">
        <v>0</v>
      </c>
      <c r="E82" s="1">
        <v>0</v>
      </c>
      <c r="F82" s="1">
        <v>1</v>
      </c>
      <c r="G82" s="1">
        <v>250</v>
      </c>
      <c r="H82" s="1">
        <v>48</v>
      </c>
      <c r="I82" s="1">
        <v>24</v>
      </c>
      <c r="J82" s="1">
        <v>27</v>
      </c>
      <c r="K82" s="1">
        <v>50</v>
      </c>
      <c r="L82" s="1">
        <v>0</v>
      </c>
      <c r="M82" s="1">
        <v>0</v>
      </c>
      <c r="N82" s="1">
        <v>0</v>
      </c>
      <c r="O82" s="1">
        <v>0</v>
      </c>
      <c r="P82" s="1">
        <v>0</v>
      </c>
      <c r="Q82" s="1">
        <v>0</v>
      </c>
      <c r="R82" s="1" t="s">
        <v>4708</v>
      </c>
      <c r="S82" s="1">
        <v>0</v>
      </c>
      <c r="T82" s="1">
        <v>0</v>
      </c>
      <c r="U82" s="1">
        <v>0</v>
      </c>
      <c r="V82" s="1">
        <v>0</v>
      </c>
      <c r="W82" s="1">
        <v>0</v>
      </c>
      <c r="X82" s="1">
        <v>0</v>
      </c>
    </row>
    <row r="83" spans="1:24" x14ac:dyDescent="0.3">
      <c r="A83" s="1">
        <v>11601</v>
      </c>
      <c r="B83" s="1">
        <v>116</v>
      </c>
      <c r="C83" s="1">
        <v>1</v>
      </c>
      <c r="D83" s="1">
        <v>1</v>
      </c>
      <c r="E83" s="1">
        <v>0</v>
      </c>
      <c r="F83" s="1">
        <v>1</v>
      </c>
      <c r="G83" s="1">
        <v>250</v>
      </c>
      <c r="H83" s="1">
        <v>48</v>
      </c>
      <c r="I83" s="1">
        <v>24</v>
      </c>
      <c r="J83" s="1">
        <v>27</v>
      </c>
      <c r="K83" s="1">
        <v>50</v>
      </c>
      <c r="L83" s="1">
        <v>0</v>
      </c>
      <c r="M83" s="1">
        <v>0</v>
      </c>
      <c r="N83" s="1">
        <v>0</v>
      </c>
      <c r="O83" s="1">
        <v>0</v>
      </c>
      <c r="P83" s="1">
        <v>0</v>
      </c>
      <c r="Q83" s="1">
        <v>200</v>
      </c>
      <c r="R83" s="1" t="s">
        <v>4490</v>
      </c>
      <c r="S83" s="1">
        <v>0</v>
      </c>
      <c r="T83" s="1">
        <v>0</v>
      </c>
      <c r="U83" s="1">
        <v>0</v>
      </c>
      <c r="V83" s="1">
        <v>0</v>
      </c>
      <c r="W83" s="1">
        <v>0</v>
      </c>
      <c r="X83" s="1">
        <v>0</v>
      </c>
    </row>
    <row r="84" spans="1:24" x14ac:dyDescent="0.3">
      <c r="A84" s="1">
        <v>11602</v>
      </c>
      <c r="B84" s="1">
        <v>116</v>
      </c>
      <c r="C84" s="1">
        <v>2</v>
      </c>
      <c r="D84" s="1">
        <v>1</v>
      </c>
      <c r="E84" s="1">
        <v>0</v>
      </c>
      <c r="F84" s="1">
        <v>1</v>
      </c>
      <c r="G84" s="1">
        <v>250</v>
      </c>
      <c r="H84" s="1">
        <v>75</v>
      </c>
      <c r="I84" s="1">
        <v>24</v>
      </c>
      <c r="J84" s="1">
        <v>27</v>
      </c>
      <c r="K84" s="1">
        <v>63</v>
      </c>
      <c r="L84" s="1">
        <v>0</v>
      </c>
      <c r="M84" s="1">
        <v>0</v>
      </c>
      <c r="N84" s="1">
        <v>0</v>
      </c>
      <c r="O84" s="1">
        <v>0</v>
      </c>
      <c r="P84" s="1">
        <v>0</v>
      </c>
      <c r="Q84" s="1">
        <v>200</v>
      </c>
      <c r="R84" s="1" t="s">
        <v>4490</v>
      </c>
      <c r="S84" s="1">
        <v>0</v>
      </c>
      <c r="T84" s="1">
        <v>0</v>
      </c>
      <c r="U84" s="1">
        <v>0</v>
      </c>
      <c r="V84" s="1">
        <v>0</v>
      </c>
      <c r="W84" s="1">
        <v>0</v>
      </c>
      <c r="X84" s="1">
        <v>0</v>
      </c>
    </row>
    <row r="85" spans="1:24" x14ac:dyDescent="0.3">
      <c r="A85" s="1">
        <v>11603</v>
      </c>
      <c r="B85" s="1">
        <v>116</v>
      </c>
      <c r="C85" s="1">
        <v>3</v>
      </c>
      <c r="D85" s="1">
        <v>1</v>
      </c>
      <c r="E85" s="1">
        <v>0</v>
      </c>
      <c r="F85" s="1">
        <v>1</v>
      </c>
      <c r="G85" s="1">
        <v>436</v>
      </c>
      <c r="H85" s="1">
        <v>75</v>
      </c>
      <c r="I85" s="1">
        <v>39</v>
      </c>
      <c r="J85" s="1">
        <v>27</v>
      </c>
      <c r="K85" s="1">
        <v>63</v>
      </c>
      <c r="L85" s="1">
        <v>0</v>
      </c>
      <c r="M85" s="1">
        <v>0</v>
      </c>
      <c r="N85" s="1">
        <v>0</v>
      </c>
      <c r="O85" s="1">
        <v>0</v>
      </c>
      <c r="P85" s="1">
        <v>0</v>
      </c>
      <c r="Q85" s="1">
        <v>200</v>
      </c>
      <c r="R85" s="1" t="s">
        <v>4490</v>
      </c>
      <c r="S85" s="1">
        <v>0</v>
      </c>
      <c r="T85" s="1">
        <v>0</v>
      </c>
      <c r="U85" s="1">
        <v>0</v>
      </c>
      <c r="V85" s="1">
        <v>0</v>
      </c>
      <c r="W85" s="1">
        <v>0</v>
      </c>
      <c r="X85" s="1">
        <v>0</v>
      </c>
    </row>
    <row r="86" spans="1:24" x14ac:dyDescent="0.3">
      <c r="A86" s="1">
        <v>11604</v>
      </c>
      <c r="B86" s="1">
        <v>116</v>
      </c>
      <c r="C86" s="1">
        <v>4</v>
      </c>
      <c r="D86" s="1">
        <v>1</v>
      </c>
      <c r="E86" s="1">
        <v>1</v>
      </c>
      <c r="F86" s="1">
        <v>1</v>
      </c>
      <c r="G86" s="1">
        <v>436</v>
      </c>
      <c r="H86" s="1">
        <v>75</v>
      </c>
      <c r="I86" s="1">
        <v>39</v>
      </c>
      <c r="J86" s="1">
        <v>27</v>
      </c>
      <c r="K86" s="1">
        <v>63</v>
      </c>
      <c r="L86" s="1">
        <v>0</v>
      </c>
      <c r="M86" s="1">
        <v>0</v>
      </c>
      <c r="N86" s="1">
        <v>0</v>
      </c>
      <c r="O86" s="1">
        <v>0</v>
      </c>
      <c r="P86" s="1">
        <v>0</v>
      </c>
      <c r="Q86" s="1">
        <v>200</v>
      </c>
      <c r="R86" s="1" t="s">
        <v>4490</v>
      </c>
      <c r="S86" s="1">
        <v>0</v>
      </c>
      <c r="T86" s="1">
        <v>0</v>
      </c>
      <c r="U86" s="1">
        <v>750080</v>
      </c>
      <c r="V86" s="1">
        <v>0</v>
      </c>
      <c r="W86" s="1">
        <v>0</v>
      </c>
      <c r="X86" s="1">
        <v>0</v>
      </c>
    </row>
    <row r="87" spans="1:24" x14ac:dyDescent="0.3">
      <c r="A87" s="1">
        <v>11700</v>
      </c>
      <c r="B87" s="1">
        <v>117</v>
      </c>
      <c r="C87" s="1">
        <v>0</v>
      </c>
      <c r="D87" s="1">
        <v>0</v>
      </c>
      <c r="E87" s="1">
        <v>0</v>
      </c>
      <c r="F87" s="1">
        <v>1</v>
      </c>
      <c r="G87" s="1">
        <v>200</v>
      </c>
      <c r="H87" s="1">
        <v>40</v>
      </c>
      <c r="I87" s="1">
        <v>29</v>
      </c>
      <c r="J87" s="1">
        <v>10</v>
      </c>
      <c r="K87" s="1">
        <v>66</v>
      </c>
      <c r="L87" s="1">
        <v>0</v>
      </c>
      <c r="M87" s="1">
        <v>0</v>
      </c>
      <c r="N87" s="1">
        <v>0</v>
      </c>
      <c r="O87" s="1">
        <v>0</v>
      </c>
      <c r="P87" s="1">
        <v>0</v>
      </c>
      <c r="Q87" s="1">
        <v>0</v>
      </c>
      <c r="R87" s="1" t="s">
        <v>5664</v>
      </c>
      <c r="S87" s="1">
        <v>0</v>
      </c>
      <c r="T87" s="1">
        <v>0</v>
      </c>
      <c r="U87" s="1">
        <v>0</v>
      </c>
      <c r="V87" s="1">
        <v>0</v>
      </c>
      <c r="W87" s="1">
        <v>0</v>
      </c>
      <c r="X87" s="1">
        <v>0</v>
      </c>
    </row>
    <row r="88" spans="1:24" x14ac:dyDescent="0.3">
      <c r="A88" s="1">
        <v>11701</v>
      </c>
      <c r="B88" s="1">
        <v>117</v>
      </c>
      <c r="C88" s="1">
        <v>1</v>
      </c>
      <c r="D88" s="1">
        <v>1</v>
      </c>
      <c r="E88" s="1">
        <v>0</v>
      </c>
      <c r="F88" s="1">
        <v>1</v>
      </c>
      <c r="G88" s="1">
        <v>200</v>
      </c>
      <c r="H88" s="1">
        <v>40</v>
      </c>
      <c r="I88" s="1">
        <v>29</v>
      </c>
      <c r="J88" s="1">
        <v>10</v>
      </c>
      <c r="K88" s="1">
        <v>66</v>
      </c>
      <c r="L88" s="1">
        <v>0</v>
      </c>
      <c r="M88" s="1">
        <v>0</v>
      </c>
      <c r="N88" s="1">
        <v>0</v>
      </c>
      <c r="O88" s="1">
        <v>0</v>
      </c>
      <c r="P88" s="1">
        <v>0</v>
      </c>
      <c r="Q88" s="1">
        <v>200</v>
      </c>
      <c r="R88" s="1" t="s">
        <v>5665</v>
      </c>
      <c r="S88" s="1">
        <v>0</v>
      </c>
      <c r="T88" s="1">
        <v>0</v>
      </c>
      <c r="U88" s="1">
        <v>0</v>
      </c>
      <c r="V88" s="1">
        <v>0</v>
      </c>
      <c r="W88" s="1">
        <v>0</v>
      </c>
      <c r="X88" s="1">
        <v>0</v>
      </c>
    </row>
    <row r="89" spans="1:24" x14ac:dyDescent="0.3">
      <c r="A89" s="1">
        <v>11702</v>
      </c>
      <c r="B89" s="1">
        <v>117</v>
      </c>
      <c r="C89" s="1">
        <v>2</v>
      </c>
      <c r="D89" s="1">
        <v>1</v>
      </c>
      <c r="E89" s="1">
        <v>0</v>
      </c>
      <c r="F89" s="1">
        <v>1</v>
      </c>
      <c r="G89" s="1">
        <v>200</v>
      </c>
      <c r="H89" s="1">
        <v>70</v>
      </c>
      <c r="I89" s="1">
        <v>29</v>
      </c>
      <c r="J89" s="1">
        <v>25</v>
      </c>
      <c r="K89" s="1">
        <v>66</v>
      </c>
      <c r="L89" s="1">
        <v>0</v>
      </c>
      <c r="M89" s="1">
        <v>0</v>
      </c>
      <c r="N89" s="1">
        <v>0</v>
      </c>
      <c r="O89" s="1">
        <v>0</v>
      </c>
      <c r="P89" s="1">
        <v>0</v>
      </c>
      <c r="Q89" s="1">
        <v>200</v>
      </c>
      <c r="R89" s="1" t="s">
        <v>5665</v>
      </c>
      <c r="S89" s="1">
        <v>0</v>
      </c>
      <c r="T89" s="1">
        <v>0</v>
      </c>
      <c r="U89" s="1">
        <v>0</v>
      </c>
      <c r="V89" s="1">
        <v>0</v>
      </c>
      <c r="W89" s="1">
        <v>0</v>
      </c>
      <c r="X89" s="1">
        <v>0</v>
      </c>
    </row>
    <row r="90" spans="1:24" x14ac:dyDescent="0.3">
      <c r="A90" s="1">
        <v>11703</v>
      </c>
      <c r="B90" s="1">
        <v>117</v>
      </c>
      <c r="C90" s="1">
        <v>3</v>
      </c>
      <c r="D90" s="1">
        <v>1</v>
      </c>
      <c r="E90" s="1">
        <v>0</v>
      </c>
      <c r="F90" s="1">
        <v>1</v>
      </c>
      <c r="G90" s="1">
        <v>419</v>
      </c>
      <c r="H90" s="1">
        <v>100</v>
      </c>
      <c r="I90" s="1">
        <v>29</v>
      </c>
      <c r="J90" s="1">
        <v>25</v>
      </c>
      <c r="K90" s="1">
        <v>66</v>
      </c>
      <c r="L90" s="1">
        <v>0</v>
      </c>
      <c r="M90" s="1">
        <v>0</v>
      </c>
      <c r="N90" s="1">
        <v>0</v>
      </c>
      <c r="O90" s="1">
        <v>0</v>
      </c>
      <c r="P90" s="1">
        <v>0</v>
      </c>
      <c r="Q90" s="1">
        <v>200</v>
      </c>
      <c r="R90" s="1" t="s">
        <v>5665</v>
      </c>
      <c r="S90" s="1">
        <v>0</v>
      </c>
      <c r="T90" s="1">
        <v>0</v>
      </c>
      <c r="U90" s="1">
        <v>0</v>
      </c>
      <c r="V90" s="1">
        <v>0</v>
      </c>
      <c r="W90" s="1">
        <v>0</v>
      </c>
      <c r="X90" s="1">
        <v>0</v>
      </c>
    </row>
    <row r="91" spans="1:24" x14ac:dyDescent="0.3">
      <c r="A91" s="1">
        <v>11704</v>
      </c>
      <c r="B91" s="1">
        <v>117</v>
      </c>
      <c r="C91" s="1">
        <v>4</v>
      </c>
      <c r="D91" s="1">
        <v>1</v>
      </c>
      <c r="E91" s="1">
        <v>1</v>
      </c>
      <c r="F91" s="1">
        <v>1</v>
      </c>
      <c r="G91" s="1">
        <v>419</v>
      </c>
      <c r="H91" s="1">
        <v>100</v>
      </c>
      <c r="I91" s="1">
        <v>29</v>
      </c>
      <c r="J91" s="1">
        <v>25</v>
      </c>
      <c r="K91" s="1">
        <v>66</v>
      </c>
      <c r="L91" s="1">
        <v>0</v>
      </c>
      <c r="M91" s="1">
        <v>0</v>
      </c>
      <c r="N91" s="1">
        <v>0</v>
      </c>
      <c r="O91" s="1">
        <v>0</v>
      </c>
      <c r="P91" s="1">
        <v>0</v>
      </c>
      <c r="Q91" s="1">
        <v>200</v>
      </c>
      <c r="R91" s="1" t="s">
        <v>5665</v>
      </c>
      <c r="S91" s="1">
        <v>0</v>
      </c>
      <c r="T91" s="1">
        <v>0</v>
      </c>
      <c r="U91" s="1">
        <v>750277</v>
      </c>
      <c r="V91" s="1">
        <v>0</v>
      </c>
      <c r="W91" s="1">
        <v>0</v>
      </c>
      <c r="X91" s="1">
        <v>0</v>
      </c>
    </row>
    <row r="92" spans="1:24" x14ac:dyDescent="0.3">
      <c r="A92">
        <v>11800</v>
      </c>
      <c r="B92">
        <v>118</v>
      </c>
      <c r="C92">
        <v>0</v>
      </c>
      <c r="D92">
        <v>0</v>
      </c>
      <c r="E92">
        <v>0</v>
      </c>
      <c r="F92">
        <v>1</v>
      </c>
      <c r="G92">
        <v>110</v>
      </c>
      <c r="H92">
        <v>39</v>
      </c>
      <c r="I92">
        <v>35</v>
      </c>
      <c r="J92">
        <v>38</v>
      </c>
      <c r="K92">
        <v>55</v>
      </c>
      <c r="L92">
        <v>0</v>
      </c>
      <c r="M92">
        <v>0</v>
      </c>
      <c r="N92">
        <v>0</v>
      </c>
      <c r="O92">
        <v>0</v>
      </c>
      <c r="P92">
        <v>0</v>
      </c>
      <c r="Q92">
        <v>0</v>
      </c>
      <c r="R92" t="s">
        <v>6358</v>
      </c>
      <c r="S92">
        <v>0</v>
      </c>
      <c r="T92">
        <v>0</v>
      </c>
      <c r="U92">
        <v>0</v>
      </c>
      <c r="V92">
        <v>0</v>
      </c>
      <c r="W92">
        <v>0</v>
      </c>
      <c r="X92">
        <v>0</v>
      </c>
    </row>
    <row r="93" spans="1:24" x14ac:dyDescent="0.3">
      <c r="A93">
        <v>11801</v>
      </c>
      <c r="B93">
        <v>118</v>
      </c>
      <c r="C93">
        <v>1</v>
      </c>
      <c r="D93">
        <v>1</v>
      </c>
      <c r="E93">
        <v>0</v>
      </c>
      <c r="F93">
        <v>1</v>
      </c>
      <c r="G93">
        <v>110</v>
      </c>
      <c r="H93">
        <v>39</v>
      </c>
      <c r="I93">
        <v>35</v>
      </c>
      <c r="J93">
        <v>38</v>
      </c>
      <c r="K93">
        <v>55</v>
      </c>
      <c r="L93">
        <v>0</v>
      </c>
      <c r="M93">
        <v>0</v>
      </c>
      <c r="N93">
        <v>0</v>
      </c>
      <c r="O93">
        <v>0</v>
      </c>
      <c r="P93">
        <v>0</v>
      </c>
      <c r="Q93">
        <v>200</v>
      </c>
      <c r="R93" t="s">
        <v>6353</v>
      </c>
      <c r="S93">
        <v>0</v>
      </c>
      <c r="T93">
        <v>0</v>
      </c>
      <c r="U93">
        <v>0</v>
      </c>
      <c r="V93">
        <v>0</v>
      </c>
      <c r="W93">
        <v>0</v>
      </c>
      <c r="X93">
        <v>0</v>
      </c>
    </row>
    <row r="94" spans="1:24" x14ac:dyDescent="0.3">
      <c r="A94">
        <v>11802</v>
      </c>
      <c r="B94">
        <v>118</v>
      </c>
      <c r="C94">
        <v>2</v>
      </c>
      <c r="D94">
        <v>1</v>
      </c>
      <c r="E94">
        <v>0</v>
      </c>
      <c r="F94">
        <v>1</v>
      </c>
      <c r="G94">
        <v>110</v>
      </c>
      <c r="H94">
        <v>77</v>
      </c>
      <c r="I94">
        <v>35</v>
      </c>
      <c r="J94">
        <v>48</v>
      </c>
      <c r="K94">
        <v>55</v>
      </c>
      <c r="L94">
        <v>0</v>
      </c>
      <c r="M94">
        <v>0</v>
      </c>
      <c r="N94">
        <v>0</v>
      </c>
      <c r="O94">
        <v>0</v>
      </c>
      <c r="P94">
        <v>0</v>
      </c>
      <c r="Q94">
        <v>200</v>
      </c>
      <c r="R94" t="s">
        <v>6353</v>
      </c>
      <c r="S94">
        <v>0</v>
      </c>
      <c r="T94">
        <v>0</v>
      </c>
      <c r="U94">
        <v>0</v>
      </c>
      <c r="V94">
        <v>0</v>
      </c>
      <c r="W94">
        <v>0</v>
      </c>
      <c r="X94">
        <v>0</v>
      </c>
    </row>
    <row r="95" spans="1:24" x14ac:dyDescent="0.3">
      <c r="A95">
        <v>11803</v>
      </c>
      <c r="B95">
        <v>118</v>
      </c>
      <c r="C95">
        <v>3</v>
      </c>
      <c r="D95">
        <v>1</v>
      </c>
      <c r="E95">
        <v>0</v>
      </c>
      <c r="F95">
        <v>1</v>
      </c>
      <c r="G95">
        <v>278</v>
      </c>
      <c r="H95">
        <v>77</v>
      </c>
      <c r="I95">
        <v>35</v>
      </c>
      <c r="J95">
        <v>48</v>
      </c>
      <c r="K95">
        <v>75</v>
      </c>
      <c r="L95">
        <v>0</v>
      </c>
      <c r="M95">
        <v>0</v>
      </c>
      <c r="N95">
        <v>0</v>
      </c>
      <c r="O95">
        <v>0</v>
      </c>
      <c r="P95">
        <v>0</v>
      </c>
      <c r="Q95">
        <v>200</v>
      </c>
      <c r="R95" t="s">
        <v>6353</v>
      </c>
      <c r="S95">
        <v>0</v>
      </c>
      <c r="T95">
        <v>0</v>
      </c>
      <c r="U95">
        <v>0</v>
      </c>
      <c r="V95">
        <v>0</v>
      </c>
      <c r="W95">
        <v>0</v>
      </c>
      <c r="X95">
        <v>0</v>
      </c>
    </row>
    <row r="96" spans="1:24" x14ac:dyDescent="0.3">
      <c r="A96">
        <v>11804</v>
      </c>
      <c r="B96">
        <v>118</v>
      </c>
      <c r="C96">
        <v>4</v>
      </c>
      <c r="D96">
        <v>1</v>
      </c>
      <c r="E96">
        <v>1</v>
      </c>
      <c r="F96">
        <v>1</v>
      </c>
      <c r="G96">
        <v>278</v>
      </c>
      <c r="H96">
        <v>77</v>
      </c>
      <c r="I96">
        <v>35</v>
      </c>
      <c r="J96">
        <v>48</v>
      </c>
      <c r="K96">
        <v>75</v>
      </c>
      <c r="L96">
        <v>0</v>
      </c>
      <c r="M96">
        <v>0</v>
      </c>
      <c r="N96">
        <v>0</v>
      </c>
      <c r="O96">
        <v>0</v>
      </c>
      <c r="P96">
        <v>0</v>
      </c>
      <c r="Q96">
        <v>200</v>
      </c>
      <c r="R96" t="s">
        <v>6353</v>
      </c>
      <c r="S96">
        <v>0</v>
      </c>
      <c r="T96">
        <v>0</v>
      </c>
      <c r="U96">
        <v>750364</v>
      </c>
      <c r="V96">
        <v>0</v>
      </c>
      <c r="W96">
        <v>0</v>
      </c>
      <c r="X96">
        <v>0</v>
      </c>
    </row>
    <row r="97" spans="1:24" x14ac:dyDescent="0.3">
      <c r="A97" s="1">
        <v>20100</v>
      </c>
      <c r="B97" s="1">
        <v>201</v>
      </c>
      <c r="C97" s="1">
        <v>0</v>
      </c>
      <c r="D97" s="1">
        <v>0</v>
      </c>
      <c r="E97" s="1">
        <v>0</v>
      </c>
      <c r="F97" s="1">
        <v>1</v>
      </c>
      <c r="G97" s="1">
        <v>44</v>
      </c>
      <c r="H97" s="1">
        <v>8</v>
      </c>
      <c r="I97" s="1">
        <v>32</v>
      </c>
      <c r="J97" s="1">
        <v>31</v>
      </c>
      <c r="K97" s="1">
        <v>46</v>
      </c>
      <c r="L97" s="1">
        <v>0</v>
      </c>
      <c r="M97" s="1">
        <v>0</v>
      </c>
      <c r="N97" s="1">
        <v>0</v>
      </c>
      <c r="O97" s="1">
        <v>0</v>
      </c>
      <c r="P97" s="1">
        <v>0</v>
      </c>
      <c r="Q97" s="1">
        <v>0</v>
      </c>
      <c r="R97" s="1" t="s">
        <v>328</v>
      </c>
      <c r="S97" s="1">
        <v>0</v>
      </c>
      <c r="T97" s="1">
        <v>0</v>
      </c>
      <c r="U97" s="1">
        <v>0</v>
      </c>
      <c r="V97" s="1">
        <v>0</v>
      </c>
      <c r="W97" s="1">
        <v>0</v>
      </c>
      <c r="X97" s="1">
        <v>0</v>
      </c>
    </row>
    <row r="98" spans="1:24" x14ac:dyDescent="0.3">
      <c r="A98" s="1">
        <v>20101</v>
      </c>
      <c r="B98" s="1">
        <v>201</v>
      </c>
      <c r="C98" s="1">
        <v>1</v>
      </c>
      <c r="D98" s="1">
        <v>1</v>
      </c>
      <c r="E98" s="1">
        <v>0</v>
      </c>
      <c r="F98" s="1">
        <v>2</v>
      </c>
      <c r="G98" s="1">
        <v>44</v>
      </c>
      <c r="H98" s="1">
        <v>8</v>
      </c>
      <c r="I98" s="1">
        <v>32</v>
      </c>
      <c r="J98" s="1">
        <v>31</v>
      </c>
      <c r="K98" s="1">
        <v>46</v>
      </c>
      <c r="L98" s="1">
        <v>0</v>
      </c>
      <c r="M98" s="1">
        <v>0</v>
      </c>
      <c r="N98" s="1">
        <v>0</v>
      </c>
      <c r="O98" s="1">
        <v>0</v>
      </c>
      <c r="P98" s="1">
        <v>0</v>
      </c>
      <c r="Q98" s="1">
        <v>0</v>
      </c>
      <c r="R98" s="1" t="s">
        <v>328</v>
      </c>
      <c r="S98" s="1">
        <v>0</v>
      </c>
      <c r="T98" s="1">
        <v>0</v>
      </c>
      <c r="U98" s="1">
        <v>0</v>
      </c>
      <c r="V98" s="1">
        <v>0</v>
      </c>
      <c r="W98" s="1">
        <v>0</v>
      </c>
      <c r="X98" s="1">
        <v>0</v>
      </c>
    </row>
    <row r="99" spans="1:24" x14ac:dyDescent="0.3">
      <c r="A99" s="1">
        <v>20102</v>
      </c>
      <c r="B99" s="1">
        <v>201</v>
      </c>
      <c r="C99" s="1">
        <v>2</v>
      </c>
      <c r="D99" s="1">
        <v>1</v>
      </c>
      <c r="E99" s="1">
        <v>0</v>
      </c>
      <c r="F99" s="1">
        <v>3</v>
      </c>
      <c r="G99" s="1">
        <v>44</v>
      </c>
      <c r="H99" s="1">
        <v>8</v>
      </c>
      <c r="I99" s="1">
        <v>32</v>
      </c>
      <c r="J99" s="1">
        <v>31</v>
      </c>
      <c r="K99" s="1">
        <v>46</v>
      </c>
      <c r="L99" s="1">
        <v>0</v>
      </c>
      <c r="M99" s="1">
        <v>0</v>
      </c>
      <c r="N99" s="1">
        <v>0</v>
      </c>
      <c r="O99" s="1">
        <v>0</v>
      </c>
      <c r="P99" s="1">
        <v>0</v>
      </c>
      <c r="Q99" s="1">
        <v>0</v>
      </c>
      <c r="R99" s="1" t="s">
        <v>328</v>
      </c>
      <c r="S99" s="1">
        <v>0</v>
      </c>
      <c r="T99" s="1">
        <v>0</v>
      </c>
      <c r="U99" s="1">
        <v>0</v>
      </c>
      <c r="V99" s="1">
        <v>0</v>
      </c>
      <c r="W99" s="1">
        <v>0</v>
      </c>
      <c r="X99" s="1">
        <v>0</v>
      </c>
    </row>
    <row r="100" spans="1:24" x14ac:dyDescent="0.3">
      <c r="A100" s="1">
        <v>20103</v>
      </c>
      <c r="B100" s="1">
        <v>201</v>
      </c>
      <c r="C100" s="1">
        <v>3</v>
      </c>
      <c r="D100" s="1">
        <v>1</v>
      </c>
      <c r="E100" s="1">
        <v>0</v>
      </c>
      <c r="F100" s="1">
        <v>4</v>
      </c>
      <c r="G100" s="1">
        <v>44</v>
      </c>
      <c r="H100" s="1">
        <v>8</v>
      </c>
      <c r="I100" s="1">
        <v>32</v>
      </c>
      <c r="J100" s="1">
        <v>31</v>
      </c>
      <c r="K100" s="1">
        <v>46</v>
      </c>
      <c r="L100" s="1">
        <v>0</v>
      </c>
      <c r="M100" s="1">
        <v>0</v>
      </c>
      <c r="N100" s="1">
        <v>0</v>
      </c>
      <c r="O100" s="1">
        <v>0</v>
      </c>
      <c r="P100" s="1">
        <v>0</v>
      </c>
      <c r="Q100" s="1">
        <v>0</v>
      </c>
      <c r="R100" s="1" t="s">
        <v>328</v>
      </c>
      <c r="S100" s="1">
        <v>0</v>
      </c>
      <c r="T100" s="1">
        <v>0</v>
      </c>
      <c r="U100" s="1">
        <v>0</v>
      </c>
      <c r="V100" s="1">
        <v>0</v>
      </c>
      <c r="W100" s="1">
        <v>0</v>
      </c>
      <c r="X100" s="1">
        <v>0</v>
      </c>
    </row>
    <row r="101" spans="1:24" x14ac:dyDescent="0.3">
      <c r="A101" s="1">
        <v>20104</v>
      </c>
      <c r="B101" s="1">
        <v>201</v>
      </c>
      <c r="C101" s="1">
        <v>4</v>
      </c>
      <c r="D101" s="1">
        <v>1</v>
      </c>
      <c r="E101" s="1">
        <v>0</v>
      </c>
      <c r="F101" s="1">
        <v>5</v>
      </c>
      <c r="G101" s="1">
        <v>44</v>
      </c>
      <c r="H101" s="1">
        <v>8</v>
      </c>
      <c r="I101" s="1">
        <v>32</v>
      </c>
      <c r="J101" s="1">
        <v>31</v>
      </c>
      <c r="K101" s="1">
        <v>46</v>
      </c>
      <c r="L101" s="1">
        <v>0</v>
      </c>
      <c r="M101" s="1">
        <v>0</v>
      </c>
      <c r="N101" s="1">
        <v>0</v>
      </c>
      <c r="O101" s="1">
        <v>0</v>
      </c>
      <c r="P101" s="1">
        <v>0</v>
      </c>
      <c r="Q101" s="1">
        <v>0</v>
      </c>
      <c r="R101" s="1" t="s">
        <v>328</v>
      </c>
      <c r="S101" s="1">
        <v>0</v>
      </c>
      <c r="T101" s="1">
        <v>0</v>
      </c>
      <c r="U101" s="1">
        <v>0</v>
      </c>
      <c r="V101" s="1">
        <v>0</v>
      </c>
      <c r="W101" s="1">
        <v>0</v>
      </c>
      <c r="X101" s="1">
        <v>0</v>
      </c>
    </row>
    <row r="102" spans="1:24" x14ac:dyDescent="0.3">
      <c r="A102" s="1">
        <v>20200</v>
      </c>
      <c r="B102" s="1">
        <v>202</v>
      </c>
      <c r="C102" s="1">
        <v>0</v>
      </c>
      <c r="D102" s="1">
        <v>0</v>
      </c>
      <c r="E102" s="1">
        <v>0</v>
      </c>
      <c r="F102" s="1">
        <v>1</v>
      </c>
      <c r="G102" s="1">
        <v>77</v>
      </c>
      <c r="H102" s="1">
        <v>15</v>
      </c>
      <c r="I102" s="1">
        <v>27</v>
      </c>
      <c r="J102" s="1">
        <v>33</v>
      </c>
      <c r="K102" s="1">
        <v>39</v>
      </c>
      <c r="L102" s="1">
        <v>0</v>
      </c>
      <c r="M102" s="1">
        <v>0</v>
      </c>
      <c r="N102" s="1">
        <v>0</v>
      </c>
      <c r="O102" s="1">
        <v>0</v>
      </c>
      <c r="P102" s="1">
        <v>0</v>
      </c>
      <c r="Q102" s="1">
        <v>0</v>
      </c>
      <c r="R102" s="1" t="s">
        <v>328</v>
      </c>
      <c r="S102" s="1">
        <v>0</v>
      </c>
      <c r="T102" s="1">
        <v>0</v>
      </c>
      <c r="U102" s="1">
        <v>0</v>
      </c>
      <c r="V102" s="1">
        <v>0</v>
      </c>
      <c r="W102" s="1">
        <v>0</v>
      </c>
      <c r="X102" s="1">
        <v>0</v>
      </c>
    </row>
    <row r="103" spans="1:24" x14ac:dyDescent="0.3">
      <c r="A103" s="1">
        <v>20201</v>
      </c>
      <c r="B103" s="1">
        <v>202</v>
      </c>
      <c r="C103" s="1">
        <v>1</v>
      </c>
      <c r="D103" s="1">
        <v>1</v>
      </c>
      <c r="E103" s="1">
        <v>0</v>
      </c>
      <c r="F103" s="1">
        <v>2</v>
      </c>
      <c r="G103" s="1">
        <v>77</v>
      </c>
      <c r="H103" s="1">
        <v>15</v>
      </c>
      <c r="I103" s="1">
        <v>27</v>
      </c>
      <c r="J103" s="1">
        <v>33</v>
      </c>
      <c r="K103" s="1">
        <v>39</v>
      </c>
      <c r="L103" s="1">
        <v>0</v>
      </c>
      <c r="M103" s="1">
        <v>0</v>
      </c>
      <c r="N103" s="1">
        <v>0</v>
      </c>
      <c r="O103" s="1">
        <v>0</v>
      </c>
      <c r="P103" s="1">
        <v>0</v>
      </c>
      <c r="Q103" s="1">
        <v>0</v>
      </c>
      <c r="R103" s="1" t="s">
        <v>328</v>
      </c>
      <c r="S103" s="1">
        <v>0</v>
      </c>
      <c r="T103" s="1">
        <v>0</v>
      </c>
      <c r="U103" s="1">
        <v>0</v>
      </c>
      <c r="V103" s="1">
        <v>0</v>
      </c>
      <c r="W103" s="1">
        <v>0</v>
      </c>
      <c r="X103" s="1">
        <v>0</v>
      </c>
    </row>
    <row r="104" spans="1:24" x14ac:dyDescent="0.3">
      <c r="A104" s="1">
        <v>20202</v>
      </c>
      <c r="B104" s="1">
        <v>202</v>
      </c>
      <c r="C104" s="1">
        <v>2</v>
      </c>
      <c r="D104" s="1">
        <v>1</v>
      </c>
      <c r="E104" s="1">
        <v>0</v>
      </c>
      <c r="F104" s="1">
        <v>3</v>
      </c>
      <c r="G104" s="1">
        <v>77</v>
      </c>
      <c r="H104" s="1">
        <v>15</v>
      </c>
      <c r="I104" s="1">
        <v>27</v>
      </c>
      <c r="J104" s="1">
        <v>33</v>
      </c>
      <c r="K104" s="1">
        <v>39</v>
      </c>
      <c r="L104" s="1">
        <v>0</v>
      </c>
      <c r="M104" s="1">
        <v>0</v>
      </c>
      <c r="N104" s="1">
        <v>0</v>
      </c>
      <c r="O104" s="1">
        <v>0</v>
      </c>
      <c r="P104" s="1">
        <v>0</v>
      </c>
      <c r="Q104" s="1">
        <v>0</v>
      </c>
      <c r="R104" s="1" t="s">
        <v>328</v>
      </c>
      <c r="S104" s="1">
        <v>0</v>
      </c>
      <c r="T104" s="1">
        <v>0</v>
      </c>
      <c r="U104" s="1">
        <v>0</v>
      </c>
      <c r="V104" s="1">
        <v>0</v>
      </c>
      <c r="W104" s="1">
        <v>0</v>
      </c>
      <c r="X104" s="1">
        <v>0</v>
      </c>
    </row>
    <row r="105" spans="1:24" x14ac:dyDescent="0.3">
      <c r="A105" s="1">
        <v>20203</v>
      </c>
      <c r="B105" s="1">
        <v>202</v>
      </c>
      <c r="C105" s="1">
        <v>3</v>
      </c>
      <c r="D105" s="1">
        <v>1</v>
      </c>
      <c r="E105" s="1">
        <v>0</v>
      </c>
      <c r="F105" s="1">
        <v>4</v>
      </c>
      <c r="G105" s="1">
        <v>77</v>
      </c>
      <c r="H105" s="1">
        <v>15</v>
      </c>
      <c r="I105" s="1">
        <v>27</v>
      </c>
      <c r="J105" s="1">
        <v>33</v>
      </c>
      <c r="K105" s="1">
        <v>39</v>
      </c>
      <c r="L105" s="1">
        <v>0</v>
      </c>
      <c r="M105" s="1">
        <v>0</v>
      </c>
      <c r="N105" s="1">
        <v>0</v>
      </c>
      <c r="O105" s="1">
        <v>0</v>
      </c>
      <c r="P105" s="1">
        <v>0</v>
      </c>
      <c r="Q105" s="1">
        <v>0</v>
      </c>
      <c r="R105" s="1" t="s">
        <v>328</v>
      </c>
      <c r="S105" s="1">
        <v>0</v>
      </c>
      <c r="T105" s="1">
        <v>0</v>
      </c>
      <c r="U105" s="1">
        <v>0</v>
      </c>
      <c r="V105" s="1">
        <v>0</v>
      </c>
      <c r="W105" s="1">
        <v>0</v>
      </c>
      <c r="X105" s="1">
        <v>0</v>
      </c>
    </row>
    <row r="106" spans="1:24" x14ac:dyDescent="0.3">
      <c r="A106" s="1">
        <v>20204</v>
      </c>
      <c r="B106" s="1">
        <v>202</v>
      </c>
      <c r="C106" s="1">
        <v>4</v>
      </c>
      <c r="D106" s="1">
        <v>1</v>
      </c>
      <c r="E106" s="1">
        <v>0</v>
      </c>
      <c r="F106" s="1">
        <v>5</v>
      </c>
      <c r="G106" s="1">
        <v>77</v>
      </c>
      <c r="H106" s="1">
        <v>15</v>
      </c>
      <c r="I106" s="1">
        <v>27</v>
      </c>
      <c r="J106" s="1">
        <v>33</v>
      </c>
      <c r="K106" s="1">
        <v>39</v>
      </c>
      <c r="L106" s="1">
        <v>0</v>
      </c>
      <c r="M106" s="1">
        <v>0</v>
      </c>
      <c r="N106" s="1">
        <v>0</v>
      </c>
      <c r="O106" s="1">
        <v>0</v>
      </c>
      <c r="P106" s="1">
        <v>0</v>
      </c>
      <c r="Q106" s="1">
        <v>0</v>
      </c>
      <c r="R106" s="1" t="s">
        <v>328</v>
      </c>
      <c r="S106" s="1">
        <v>0</v>
      </c>
      <c r="T106" s="1">
        <v>0</v>
      </c>
      <c r="U106" s="1">
        <v>0</v>
      </c>
      <c r="V106" s="1">
        <v>0</v>
      </c>
      <c r="W106" s="1">
        <v>0</v>
      </c>
      <c r="X106" s="1">
        <v>0</v>
      </c>
    </row>
    <row r="107" spans="1:24" x14ac:dyDescent="0.3">
      <c r="A107" s="1">
        <v>20300</v>
      </c>
      <c r="B107" s="1">
        <v>203</v>
      </c>
      <c r="C107" s="1">
        <v>0</v>
      </c>
      <c r="D107" s="1">
        <v>0</v>
      </c>
      <c r="E107" s="1">
        <v>0</v>
      </c>
      <c r="F107" s="1">
        <v>1</v>
      </c>
      <c r="G107" s="1">
        <v>83</v>
      </c>
      <c r="H107" s="1">
        <v>13</v>
      </c>
      <c r="I107" s="1">
        <v>30</v>
      </c>
      <c r="J107" s="1">
        <v>34</v>
      </c>
      <c r="K107" s="1">
        <v>22</v>
      </c>
      <c r="L107" s="1">
        <v>11</v>
      </c>
      <c r="M107" s="1">
        <v>0</v>
      </c>
      <c r="N107" s="1">
        <v>0</v>
      </c>
      <c r="O107" s="1">
        <v>0</v>
      </c>
      <c r="P107" s="1">
        <v>0</v>
      </c>
      <c r="Q107" s="1">
        <v>0</v>
      </c>
      <c r="R107" s="1" t="s">
        <v>328</v>
      </c>
      <c r="S107" s="1">
        <v>0</v>
      </c>
      <c r="T107" s="1">
        <v>0</v>
      </c>
      <c r="U107" s="1">
        <v>0</v>
      </c>
      <c r="V107" s="1">
        <v>0</v>
      </c>
      <c r="W107" s="1">
        <v>0</v>
      </c>
      <c r="X107" s="1">
        <v>0</v>
      </c>
    </row>
    <row r="108" spans="1:24" x14ac:dyDescent="0.3">
      <c r="A108" s="1">
        <v>20301</v>
      </c>
      <c r="B108" s="1">
        <v>203</v>
      </c>
      <c r="C108" s="1">
        <v>1</v>
      </c>
      <c r="D108" s="1">
        <v>1</v>
      </c>
      <c r="E108" s="1">
        <v>0</v>
      </c>
      <c r="F108" s="1">
        <v>2</v>
      </c>
      <c r="G108" s="1">
        <v>83</v>
      </c>
      <c r="H108" s="1">
        <v>13</v>
      </c>
      <c r="I108" s="1">
        <v>30</v>
      </c>
      <c r="J108" s="1">
        <v>34</v>
      </c>
      <c r="K108" s="1">
        <v>22</v>
      </c>
      <c r="L108" s="1">
        <v>11</v>
      </c>
      <c r="M108" s="1">
        <v>0</v>
      </c>
      <c r="N108" s="1">
        <v>0</v>
      </c>
      <c r="O108" s="1">
        <v>0</v>
      </c>
      <c r="P108" s="1">
        <v>0</v>
      </c>
      <c r="Q108" s="1">
        <v>0</v>
      </c>
      <c r="R108" s="1" t="s">
        <v>328</v>
      </c>
      <c r="S108" s="1">
        <v>0</v>
      </c>
      <c r="T108" s="1">
        <v>0</v>
      </c>
      <c r="U108" s="1">
        <v>0</v>
      </c>
      <c r="V108" s="1">
        <v>0</v>
      </c>
      <c r="W108" s="1">
        <v>0</v>
      </c>
      <c r="X108" s="1">
        <v>0</v>
      </c>
    </row>
    <row r="109" spans="1:24" x14ac:dyDescent="0.3">
      <c r="A109" s="1">
        <v>20302</v>
      </c>
      <c r="B109" s="1">
        <v>203</v>
      </c>
      <c r="C109" s="1">
        <v>2</v>
      </c>
      <c r="D109" s="1">
        <v>1</v>
      </c>
      <c r="E109" s="1">
        <v>0</v>
      </c>
      <c r="F109" s="1">
        <v>3</v>
      </c>
      <c r="G109" s="1">
        <v>83</v>
      </c>
      <c r="H109" s="1">
        <v>13</v>
      </c>
      <c r="I109" s="1">
        <v>30</v>
      </c>
      <c r="J109" s="1">
        <v>34</v>
      </c>
      <c r="K109" s="1">
        <v>22</v>
      </c>
      <c r="L109" s="1">
        <v>11</v>
      </c>
      <c r="M109" s="1">
        <v>0</v>
      </c>
      <c r="N109" s="1">
        <v>0</v>
      </c>
      <c r="O109" s="1">
        <v>0</v>
      </c>
      <c r="P109" s="1">
        <v>0</v>
      </c>
      <c r="Q109" s="1">
        <v>0</v>
      </c>
      <c r="R109" s="1" t="s">
        <v>328</v>
      </c>
      <c r="S109" s="1">
        <v>0</v>
      </c>
      <c r="T109" s="1">
        <v>0</v>
      </c>
      <c r="U109" s="1">
        <v>0</v>
      </c>
      <c r="V109" s="1">
        <v>0</v>
      </c>
      <c r="W109" s="1">
        <v>0</v>
      </c>
      <c r="X109" s="1">
        <v>0</v>
      </c>
    </row>
    <row r="110" spans="1:24" x14ac:dyDescent="0.3">
      <c r="A110" s="1">
        <v>20303</v>
      </c>
      <c r="B110" s="1">
        <v>203</v>
      </c>
      <c r="C110" s="1">
        <v>3</v>
      </c>
      <c r="D110" s="1">
        <v>1</v>
      </c>
      <c r="E110" s="1">
        <v>0</v>
      </c>
      <c r="F110" s="1">
        <v>4</v>
      </c>
      <c r="G110" s="1">
        <v>83</v>
      </c>
      <c r="H110" s="1">
        <v>13</v>
      </c>
      <c r="I110" s="1">
        <v>30</v>
      </c>
      <c r="J110" s="1">
        <v>34</v>
      </c>
      <c r="K110" s="1">
        <v>22</v>
      </c>
      <c r="L110" s="1">
        <v>11</v>
      </c>
      <c r="M110" s="1">
        <v>0</v>
      </c>
      <c r="N110" s="1">
        <v>0</v>
      </c>
      <c r="O110" s="1">
        <v>0</v>
      </c>
      <c r="P110" s="1">
        <v>0</v>
      </c>
      <c r="Q110" s="1">
        <v>0</v>
      </c>
      <c r="R110" s="1" t="s">
        <v>328</v>
      </c>
      <c r="S110" s="1">
        <v>0</v>
      </c>
      <c r="T110" s="1">
        <v>0</v>
      </c>
      <c r="U110" s="1">
        <v>0</v>
      </c>
      <c r="V110" s="1">
        <v>0</v>
      </c>
      <c r="W110" s="1">
        <v>0</v>
      </c>
      <c r="X110" s="1">
        <v>0</v>
      </c>
    </row>
    <row r="111" spans="1:24" x14ac:dyDescent="0.3">
      <c r="A111" s="1">
        <v>20304</v>
      </c>
      <c r="B111" s="1">
        <v>203</v>
      </c>
      <c r="C111" s="1">
        <v>4</v>
      </c>
      <c r="D111" s="1">
        <v>1</v>
      </c>
      <c r="E111" s="1">
        <v>0</v>
      </c>
      <c r="F111" s="1">
        <v>5</v>
      </c>
      <c r="G111" s="1">
        <v>83</v>
      </c>
      <c r="H111" s="1">
        <v>13</v>
      </c>
      <c r="I111" s="1">
        <v>30</v>
      </c>
      <c r="J111" s="1">
        <v>34</v>
      </c>
      <c r="K111" s="1">
        <v>22</v>
      </c>
      <c r="L111" s="1">
        <v>11</v>
      </c>
      <c r="M111" s="1">
        <v>0</v>
      </c>
      <c r="N111" s="1">
        <v>0</v>
      </c>
      <c r="O111" s="1">
        <v>0</v>
      </c>
      <c r="P111" s="1">
        <v>0</v>
      </c>
      <c r="Q111" s="1">
        <v>0</v>
      </c>
      <c r="R111" s="1" t="s">
        <v>328</v>
      </c>
      <c r="S111" s="1">
        <v>0</v>
      </c>
      <c r="T111" s="1">
        <v>0</v>
      </c>
      <c r="U111" s="1">
        <v>0</v>
      </c>
      <c r="V111" s="1">
        <v>0</v>
      </c>
      <c r="W111" s="1">
        <v>0</v>
      </c>
      <c r="X111" s="1">
        <v>0</v>
      </c>
    </row>
    <row r="112" spans="1:24" x14ac:dyDescent="0.3">
      <c r="A112" s="1">
        <v>20400</v>
      </c>
      <c r="B112" s="1">
        <v>204</v>
      </c>
      <c r="C112" s="1">
        <v>0</v>
      </c>
      <c r="D112" s="1">
        <v>0</v>
      </c>
      <c r="E112" s="1">
        <v>0</v>
      </c>
      <c r="F112" s="1">
        <v>1</v>
      </c>
      <c r="G112" s="1">
        <v>64</v>
      </c>
      <c r="H112" s="1">
        <v>31</v>
      </c>
      <c r="I112" s="1">
        <v>27</v>
      </c>
      <c r="J112" s="1">
        <v>38</v>
      </c>
      <c r="K112" s="1">
        <v>17</v>
      </c>
      <c r="L112" s="1">
        <v>8</v>
      </c>
      <c r="M112" s="1">
        <v>0</v>
      </c>
      <c r="N112" s="1">
        <v>0</v>
      </c>
      <c r="O112" s="1">
        <v>0</v>
      </c>
      <c r="P112" s="1">
        <v>0</v>
      </c>
      <c r="Q112" s="1">
        <v>0</v>
      </c>
      <c r="R112" s="1" t="s">
        <v>328</v>
      </c>
      <c r="S112" s="1">
        <v>0</v>
      </c>
      <c r="T112" s="1">
        <v>0</v>
      </c>
      <c r="U112" s="1">
        <v>0</v>
      </c>
      <c r="V112" s="1">
        <v>0</v>
      </c>
      <c r="W112" s="1">
        <v>0</v>
      </c>
      <c r="X112" s="1">
        <v>0</v>
      </c>
    </row>
    <row r="113" spans="1:24" x14ac:dyDescent="0.3">
      <c r="A113" s="1">
        <v>20401</v>
      </c>
      <c r="B113" s="1">
        <v>204</v>
      </c>
      <c r="C113" s="1">
        <v>1</v>
      </c>
      <c r="D113" s="1">
        <v>1</v>
      </c>
      <c r="E113" s="1">
        <v>0</v>
      </c>
      <c r="F113" s="1">
        <v>2</v>
      </c>
      <c r="G113" s="1">
        <v>64</v>
      </c>
      <c r="H113" s="1">
        <v>31</v>
      </c>
      <c r="I113" s="1">
        <v>27</v>
      </c>
      <c r="J113" s="1">
        <v>38</v>
      </c>
      <c r="K113" s="1">
        <v>17</v>
      </c>
      <c r="L113" s="1">
        <v>8</v>
      </c>
      <c r="M113" s="1">
        <v>0</v>
      </c>
      <c r="N113" s="1">
        <v>0</v>
      </c>
      <c r="O113" s="1">
        <v>0</v>
      </c>
      <c r="P113" s="1">
        <v>0</v>
      </c>
      <c r="Q113" s="1">
        <v>0</v>
      </c>
      <c r="R113" s="1" t="s">
        <v>328</v>
      </c>
      <c r="S113" s="1">
        <v>0</v>
      </c>
      <c r="T113" s="1">
        <v>0</v>
      </c>
      <c r="U113" s="1">
        <v>0</v>
      </c>
      <c r="V113" s="1">
        <v>0</v>
      </c>
      <c r="W113" s="1">
        <v>0</v>
      </c>
      <c r="X113" s="1">
        <v>0</v>
      </c>
    </row>
    <row r="114" spans="1:24" x14ac:dyDescent="0.3">
      <c r="A114" s="1">
        <v>20402</v>
      </c>
      <c r="B114" s="1">
        <v>204</v>
      </c>
      <c r="C114" s="1">
        <v>2</v>
      </c>
      <c r="D114" s="1">
        <v>1</v>
      </c>
      <c r="E114" s="1">
        <v>0</v>
      </c>
      <c r="F114" s="1">
        <v>3</v>
      </c>
      <c r="G114" s="1">
        <v>64</v>
      </c>
      <c r="H114" s="1">
        <v>31</v>
      </c>
      <c r="I114" s="1">
        <v>27</v>
      </c>
      <c r="J114" s="1">
        <v>38</v>
      </c>
      <c r="K114" s="1">
        <v>17</v>
      </c>
      <c r="L114" s="1">
        <v>8</v>
      </c>
      <c r="M114" s="1">
        <v>0</v>
      </c>
      <c r="N114" s="1">
        <v>0</v>
      </c>
      <c r="O114" s="1">
        <v>0</v>
      </c>
      <c r="P114" s="1">
        <v>0</v>
      </c>
      <c r="Q114" s="1">
        <v>0</v>
      </c>
      <c r="R114" s="1" t="s">
        <v>328</v>
      </c>
      <c r="S114" s="1">
        <v>0</v>
      </c>
      <c r="T114" s="1">
        <v>0</v>
      </c>
      <c r="U114" s="1">
        <v>0</v>
      </c>
      <c r="V114" s="1">
        <v>0</v>
      </c>
      <c r="W114" s="1">
        <v>0</v>
      </c>
      <c r="X114" s="1">
        <v>0</v>
      </c>
    </row>
    <row r="115" spans="1:24" x14ac:dyDescent="0.3">
      <c r="A115" s="1">
        <v>20403</v>
      </c>
      <c r="B115" s="1">
        <v>204</v>
      </c>
      <c r="C115" s="1">
        <v>3</v>
      </c>
      <c r="D115" s="1">
        <v>1</v>
      </c>
      <c r="E115" s="1">
        <v>0</v>
      </c>
      <c r="F115" s="1">
        <v>4</v>
      </c>
      <c r="G115" s="1">
        <v>64</v>
      </c>
      <c r="H115" s="1">
        <v>31</v>
      </c>
      <c r="I115" s="1">
        <v>27</v>
      </c>
      <c r="J115" s="1">
        <v>38</v>
      </c>
      <c r="K115" s="1">
        <v>17</v>
      </c>
      <c r="L115" s="1">
        <v>8</v>
      </c>
      <c r="M115" s="1">
        <v>0</v>
      </c>
      <c r="N115" s="1">
        <v>0</v>
      </c>
      <c r="O115" s="1">
        <v>0</v>
      </c>
      <c r="P115" s="1">
        <v>0</v>
      </c>
      <c r="Q115" s="1">
        <v>0</v>
      </c>
      <c r="R115" s="1" t="s">
        <v>328</v>
      </c>
      <c r="S115" s="1">
        <v>0</v>
      </c>
      <c r="T115" s="1">
        <v>0</v>
      </c>
      <c r="U115" s="1">
        <v>0</v>
      </c>
      <c r="V115" s="1">
        <v>0</v>
      </c>
      <c r="W115" s="1">
        <v>0</v>
      </c>
      <c r="X115" s="1">
        <v>0</v>
      </c>
    </row>
    <row r="116" spans="1:24" x14ac:dyDescent="0.3">
      <c r="A116" s="1">
        <v>20404</v>
      </c>
      <c r="B116" s="1">
        <v>204</v>
      </c>
      <c r="C116" s="1">
        <v>4</v>
      </c>
      <c r="D116" s="1">
        <v>1</v>
      </c>
      <c r="E116" s="1">
        <v>0</v>
      </c>
      <c r="F116" s="1">
        <v>5</v>
      </c>
      <c r="G116" s="1">
        <v>64</v>
      </c>
      <c r="H116" s="1">
        <v>31</v>
      </c>
      <c r="I116" s="1">
        <v>27</v>
      </c>
      <c r="J116" s="1">
        <v>38</v>
      </c>
      <c r="K116" s="1">
        <v>17</v>
      </c>
      <c r="L116" s="1">
        <v>8</v>
      </c>
      <c r="M116" s="1">
        <v>0</v>
      </c>
      <c r="N116" s="1">
        <v>0</v>
      </c>
      <c r="O116" s="1">
        <v>0</v>
      </c>
      <c r="P116" s="1">
        <v>0</v>
      </c>
      <c r="Q116" s="1">
        <v>0</v>
      </c>
      <c r="R116" s="1" t="s">
        <v>328</v>
      </c>
      <c r="S116" s="1">
        <v>0</v>
      </c>
      <c r="T116" s="1">
        <v>0</v>
      </c>
      <c r="U116" s="1">
        <v>0</v>
      </c>
      <c r="V116" s="1">
        <v>0</v>
      </c>
      <c r="W116" s="1">
        <v>0</v>
      </c>
      <c r="X116" s="1">
        <v>0</v>
      </c>
    </row>
    <row r="117" spans="1:24" x14ac:dyDescent="0.3">
      <c r="A117" s="1">
        <v>20500</v>
      </c>
      <c r="B117" s="1">
        <v>205</v>
      </c>
      <c r="C117" s="1">
        <v>0</v>
      </c>
      <c r="D117" s="1">
        <v>0</v>
      </c>
      <c r="E117" s="1">
        <v>0</v>
      </c>
      <c r="F117" s="1">
        <v>1</v>
      </c>
      <c r="G117" s="1">
        <v>23</v>
      </c>
      <c r="H117" s="1">
        <v>18</v>
      </c>
      <c r="I117" s="1">
        <v>44</v>
      </c>
      <c r="J117" s="1">
        <v>36</v>
      </c>
      <c r="K117" s="1">
        <v>30</v>
      </c>
      <c r="L117" s="1">
        <v>10</v>
      </c>
      <c r="M117" s="1">
        <v>0</v>
      </c>
      <c r="N117" s="1">
        <v>0</v>
      </c>
      <c r="O117" s="1">
        <v>0</v>
      </c>
      <c r="P117" s="1">
        <v>0</v>
      </c>
      <c r="Q117" s="1">
        <v>0</v>
      </c>
      <c r="R117" s="1" t="s">
        <v>328</v>
      </c>
      <c r="S117" s="1">
        <v>0</v>
      </c>
      <c r="T117" s="1">
        <v>0</v>
      </c>
      <c r="U117" s="1">
        <v>0</v>
      </c>
      <c r="V117" s="1">
        <v>0</v>
      </c>
      <c r="W117" s="1">
        <v>0</v>
      </c>
      <c r="X117" s="1">
        <v>0</v>
      </c>
    </row>
    <row r="118" spans="1:24" x14ac:dyDescent="0.3">
      <c r="A118" s="1">
        <v>20501</v>
      </c>
      <c r="B118" s="1">
        <v>205</v>
      </c>
      <c r="C118" s="1">
        <v>1</v>
      </c>
      <c r="D118" s="1">
        <v>1</v>
      </c>
      <c r="E118" s="1">
        <v>0</v>
      </c>
      <c r="F118" s="1">
        <v>2</v>
      </c>
      <c r="G118" s="1">
        <v>23</v>
      </c>
      <c r="H118" s="1">
        <v>18</v>
      </c>
      <c r="I118" s="1">
        <v>44</v>
      </c>
      <c r="J118" s="1">
        <v>36</v>
      </c>
      <c r="K118" s="1">
        <v>30</v>
      </c>
      <c r="L118" s="1">
        <v>10</v>
      </c>
      <c r="M118" s="1">
        <v>0</v>
      </c>
      <c r="N118" s="1">
        <v>0</v>
      </c>
      <c r="O118" s="1">
        <v>0</v>
      </c>
      <c r="P118" s="1">
        <v>0</v>
      </c>
      <c r="Q118" s="1">
        <v>0</v>
      </c>
      <c r="R118" s="1" t="s">
        <v>328</v>
      </c>
      <c r="S118" s="1">
        <v>0</v>
      </c>
      <c r="T118" s="1">
        <v>0</v>
      </c>
      <c r="U118" s="1">
        <v>0</v>
      </c>
      <c r="V118" s="1">
        <v>0</v>
      </c>
      <c r="W118" s="1">
        <v>0</v>
      </c>
      <c r="X118" s="1">
        <v>0</v>
      </c>
    </row>
    <row r="119" spans="1:24" x14ac:dyDescent="0.3">
      <c r="A119" s="1">
        <v>20502</v>
      </c>
      <c r="B119" s="1">
        <v>205</v>
      </c>
      <c r="C119" s="1">
        <v>2</v>
      </c>
      <c r="D119" s="1">
        <v>1</v>
      </c>
      <c r="E119" s="1">
        <v>0</v>
      </c>
      <c r="F119" s="1">
        <v>3</v>
      </c>
      <c r="G119" s="1">
        <v>23</v>
      </c>
      <c r="H119" s="1">
        <v>18</v>
      </c>
      <c r="I119" s="1">
        <v>44</v>
      </c>
      <c r="J119" s="1">
        <v>36</v>
      </c>
      <c r="K119" s="1">
        <v>30</v>
      </c>
      <c r="L119" s="1">
        <v>10</v>
      </c>
      <c r="M119" s="1">
        <v>0</v>
      </c>
      <c r="N119" s="1">
        <v>0</v>
      </c>
      <c r="O119" s="1">
        <v>0</v>
      </c>
      <c r="P119" s="1">
        <v>0</v>
      </c>
      <c r="Q119" s="1">
        <v>0</v>
      </c>
      <c r="R119" s="1" t="s">
        <v>328</v>
      </c>
      <c r="S119" s="1">
        <v>0</v>
      </c>
      <c r="T119" s="1">
        <v>0</v>
      </c>
      <c r="U119" s="1">
        <v>0</v>
      </c>
      <c r="V119" s="1">
        <v>0</v>
      </c>
      <c r="W119" s="1">
        <v>0</v>
      </c>
      <c r="X119" s="1">
        <v>0</v>
      </c>
    </row>
    <row r="120" spans="1:24" x14ac:dyDescent="0.3">
      <c r="A120" s="1">
        <v>20503</v>
      </c>
      <c r="B120" s="1">
        <v>205</v>
      </c>
      <c r="C120" s="1">
        <v>3</v>
      </c>
      <c r="D120" s="1">
        <v>1</v>
      </c>
      <c r="E120" s="1">
        <v>0</v>
      </c>
      <c r="F120" s="1">
        <v>4</v>
      </c>
      <c r="G120" s="1">
        <v>23</v>
      </c>
      <c r="H120" s="1">
        <v>18</v>
      </c>
      <c r="I120" s="1">
        <v>44</v>
      </c>
      <c r="J120" s="1">
        <v>36</v>
      </c>
      <c r="K120" s="1">
        <v>30</v>
      </c>
      <c r="L120" s="1">
        <v>10</v>
      </c>
      <c r="M120" s="1">
        <v>0</v>
      </c>
      <c r="N120" s="1">
        <v>0</v>
      </c>
      <c r="O120" s="1">
        <v>0</v>
      </c>
      <c r="P120" s="1">
        <v>0</v>
      </c>
      <c r="Q120" s="1">
        <v>0</v>
      </c>
      <c r="R120" s="1" t="s">
        <v>328</v>
      </c>
      <c r="S120" s="1">
        <v>0</v>
      </c>
      <c r="T120" s="1">
        <v>0</v>
      </c>
      <c r="U120" s="1">
        <v>0</v>
      </c>
      <c r="V120" s="1">
        <v>0</v>
      </c>
      <c r="W120" s="1">
        <v>0</v>
      </c>
      <c r="X120" s="1">
        <v>0</v>
      </c>
    </row>
    <row r="121" spans="1:24" x14ac:dyDescent="0.3">
      <c r="A121" s="1">
        <v>20504</v>
      </c>
      <c r="B121" s="1">
        <v>205</v>
      </c>
      <c r="C121" s="1">
        <v>4</v>
      </c>
      <c r="D121" s="1">
        <v>1</v>
      </c>
      <c r="E121" s="1">
        <v>0</v>
      </c>
      <c r="F121" s="1">
        <v>5</v>
      </c>
      <c r="G121" s="1">
        <v>23</v>
      </c>
      <c r="H121" s="1">
        <v>18</v>
      </c>
      <c r="I121" s="1">
        <v>44</v>
      </c>
      <c r="J121" s="1">
        <v>36</v>
      </c>
      <c r="K121" s="1">
        <v>30</v>
      </c>
      <c r="L121" s="1">
        <v>10</v>
      </c>
      <c r="M121" s="1">
        <v>0</v>
      </c>
      <c r="N121" s="1">
        <v>0</v>
      </c>
      <c r="O121" s="1">
        <v>0</v>
      </c>
      <c r="P121" s="1">
        <v>0</v>
      </c>
      <c r="Q121" s="1">
        <v>0</v>
      </c>
      <c r="R121" s="1" t="s">
        <v>328</v>
      </c>
      <c r="S121" s="1">
        <v>0</v>
      </c>
      <c r="T121" s="1">
        <v>0</v>
      </c>
      <c r="U121" s="1">
        <v>0</v>
      </c>
      <c r="V121" s="1">
        <v>0</v>
      </c>
      <c r="W121" s="1">
        <v>0</v>
      </c>
      <c r="X121" s="1">
        <v>0</v>
      </c>
    </row>
    <row r="122" spans="1:24" x14ac:dyDescent="0.3">
      <c r="A122" s="1">
        <v>20600</v>
      </c>
      <c r="B122" s="1">
        <v>206</v>
      </c>
      <c r="C122" s="1">
        <v>0</v>
      </c>
      <c r="D122" s="1">
        <v>0</v>
      </c>
      <c r="E122" s="1">
        <v>0</v>
      </c>
      <c r="F122" s="1">
        <v>1</v>
      </c>
      <c r="G122" s="1">
        <v>332</v>
      </c>
      <c r="H122" s="1">
        <v>63</v>
      </c>
      <c r="I122" s="1">
        <v>24</v>
      </c>
      <c r="J122" s="1">
        <v>13</v>
      </c>
      <c r="K122" s="1">
        <v>11</v>
      </c>
      <c r="L122" s="1">
        <v>7</v>
      </c>
      <c r="M122" s="1">
        <v>0</v>
      </c>
      <c r="N122" s="1">
        <v>0</v>
      </c>
      <c r="O122" s="1">
        <v>0</v>
      </c>
      <c r="P122" s="1">
        <v>0</v>
      </c>
      <c r="Q122" s="1">
        <v>0</v>
      </c>
      <c r="R122" s="1" t="s">
        <v>328</v>
      </c>
      <c r="S122" s="1">
        <v>0</v>
      </c>
      <c r="T122" s="1">
        <v>0</v>
      </c>
      <c r="U122" s="1">
        <v>0</v>
      </c>
      <c r="V122" s="1">
        <v>0</v>
      </c>
      <c r="W122" s="1">
        <v>0</v>
      </c>
      <c r="X122" s="1">
        <v>0</v>
      </c>
    </row>
    <row r="123" spans="1:24" x14ac:dyDescent="0.3">
      <c r="A123" s="1">
        <v>20601</v>
      </c>
      <c r="B123" s="1">
        <v>206</v>
      </c>
      <c r="C123" s="1">
        <v>1</v>
      </c>
      <c r="D123" s="1">
        <v>1</v>
      </c>
      <c r="E123" s="1">
        <v>0</v>
      </c>
      <c r="F123" s="1">
        <v>1</v>
      </c>
      <c r="G123" s="1">
        <v>432</v>
      </c>
      <c r="H123" s="1">
        <v>123</v>
      </c>
      <c r="I123" s="1">
        <v>24</v>
      </c>
      <c r="J123" s="1">
        <v>48</v>
      </c>
      <c r="K123" s="1">
        <v>11</v>
      </c>
      <c r="L123" s="1">
        <v>7</v>
      </c>
      <c r="M123" s="1">
        <v>0</v>
      </c>
      <c r="N123" s="1">
        <v>0</v>
      </c>
      <c r="O123" s="1">
        <v>0</v>
      </c>
      <c r="P123" s="1">
        <v>0</v>
      </c>
      <c r="Q123" s="1">
        <v>0</v>
      </c>
      <c r="R123" s="1" t="s">
        <v>328</v>
      </c>
      <c r="S123" s="1">
        <v>0</v>
      </c>
      <c r="T123" s="1">
        <v>0</v>
      </c>
      <c r="U123" s="1">
        <v>0</v>
      </c>
      <c r="V123" s="1">
        <v>0</v>
      </c>
      <c r="W123" s="1">
        <v>0</v>
      </c>
      <c r="X123" s="1">
        <v>0</v>
      </c>
    </row>
    <row r="124" spans="1:24" x14ac:dyDescent="0.3">
      <c r="A124" s="1">
        <v>20602</v>
      </c>
      <c r="B124" s="1">
        <v>206</v>
      </c>
      <c r="C124" s="1">
        <v>2</v>
      </c>
      <c r="D124" s="1">
        <v>1</v>
      </c>
      <c r="E124" s="1">
        <v>0</v>
      </c>
      <c r="F124" s="1">
        <v>1</v>
      </c>
      <c r="G124" s="1">
        <v>532</v>
      </c>
      <c r="H124" s="1">
        <v>123</v>
      </c>
      <c r="I124" s="1">
        <v>24</v>
      </c>
      <c r="J124" s="1">
        <v>48</v>
      </c>
      <c r="K124" s="1">
        <v>36</v>
      </c>
      <c r="L124" s="1">
        <v>13</v>
      </c>
      <c r="M124" s="1">
        <v>0</v>
      </c>
      <c r="N124" s="1">
        <v>0</v>
      </c>
      <c r="O124" s="1">
        <v>0</v>
      </c>
      <c r="P124" s="1">
        <v>0</v>
      </c>
      <c r="Q124" s="1">
        <v>0</v>
      </c>
      <c r="R124" s="1" t="s">
        <v>328</v>
      </c>
      <c r="S124" s="1">
        <v>0</v>
      </c>
      <c r="T124" s="1">
        <v>0</v>
      </c>
      <c r="U124" s="1">
        <v>0</v>
      </c>
      <c r="V124" s="1">
        <v>0</v>
      </c>
      <c r="W124" s="1">
        <v>0</v>
      </c>
      <c r="X124" s="1">
        <v>0</v>
      </c>
    </row>
    <row r="125" spans="1:24" x14ac:dyDescent="0.3">
      <c r="A125" s="1">
        <v>20603</v>
      </c>
      <c r="B125" s="1">
        <v>206</v>
      </c>
      <c r="C125" s="1">
        <v>3</v>
      </c>
      <c r="D125" s="1">
        <v>1</v>
      </c>
      <c r="E125" s="1">
        <v>0</v>
      </c>
      <c r="F125" s="1">
        <v>1</v>
      </c>
      <c r="G125" s="1">
        <v>632</v>
      </c>
      <c r="H125" s="1">
        <v>243</v>
      </c>
      <c r="I125" s="1">
        <v>24</v>
      </c>
      <c r="J125" s="1">
        <v>48</v>
      </c>
      <c r="K125" s="1">
        <v>36</v>
      </c>
      <c r="L125" s="1">
        <v>13</v>
      </c>
      <c r="M125" s="1">
        <v>0</v>
      </c>
      <c r="N125" s="1">
        <v>0</v>
      </c>
      <c r="O125" s="1">
        <v>0</v>
      </c>
      <c r="P125" s="1">
        <v>0</v>
      </c>
      <c r="Q125" s="1">
        <v>0</v>
      </c>
      <c r="R125" s="1" t="s">
        <v>328</v>
      </c>
      <c r="S125" s="1">
        <v>0</v>
      </c>
      <c r="T125" s="1">
        <v>0</v>
      </c>
      <c r="U125" s="1">
        <v>0</v>
      </c>
      <c r="V125" s="1">
        <v>0</v>
      </c>
      <c r="W125" s="1">
        <v>0</v>
      </c>
      <c r="X125" s="1">
        <v>0</v>
      </c>
    </row>
    <row r="126" spans="1:24" x14ac:dyDescent="0.3">
      <c r="A126" s="1">
        <v>20604</v>
      </c>
      <c r="B126" s="1">
        <v>206</v>
      </c>
      <c r="C126" s="1">
        <v>4</v>
      </c>
      <c r="D126" s="1">
        <v>1</v>
      </c>
      <c r="E126" s="1">
        <v>0</v>
      </c>
      <c r="F126" s="1">
        <v>1</v>
      </c>
      <c r="G126" s="1">
        <v>732</v>
      </c>
      <c r="H126" s="1">
        <v>243</v>
      </c>
      <c r="I126" s="1">
        <v>44</v>
      </c>
      <c r="J126" s="1">
        <v>48</v>
      </c>
      <c r="K126" s="1">
        <v>36</v>
      </c>
      <c r="L126" s="1">
        <v>19</v>
      </c>
      <c r="M126" s="1">
        <v>0</v>
      </c>
      <c r="N126" s="1">
        <v>0</v>
      </c>
      <c r="O126" s="1">
        <v>0</v>
      </c>
      <c r="P126" s="1">
        <v>0</v>
      </c>
      <c r="Q126" s="1">
        <v>0</v>
      </c>
      <c r="R126" s="1" t="s">
        <v>328</v>
      </c>
      <c r="S126" s="1">
        <v>0</v>
      </c>
      <c r="T126" s="1">
        <v>0</v>
      </c>
      <c r="U126" s="1">
        <v>0</v>
      </c>
      <c r="V126" s="1">
        <v>0</v>
      </c>
      <c r="W126" s="1">
        <v>0</v>
      </c>
      <c r="X126" s="1">
        <v>0</v>
      </c>
    </row>
    <row r="127" spans="1:24" x14ac:dyDescent="0.3">
      <c r="A127" s="1">
        <v>20800</v>
      </c>
      <c r="B127" s="1">
        <v>208</v>
      </c>
      <c r="C127" s="1">
        <v>0</v>
      </c>
      <c r="D127" s="1">
        <v>0</v>
      </c>
      <c r="E127" s="1">
        <v>0</v>
      </c>
      <c r="F127" s="1">
        <v>1</v>
      </c>
      <c r="G127" s="1">
        <v>87</v>
      </c>
      <c r="H127" s="1">
        <v>17</v>
      </c>
      <c r="I127" s="1">
        <v>31</v>
      </c>
      <c r="J127" s="1">
        <v>38</v>
      </c>
      <c r="K127" s="1">
        <v>47</v>
      </c>
      <c r="L127" s="1">
        <v>0</v>
      </c>
      <c r="M127" s="1">
        <v>0</v>
      </c>
      <c r="N127" s="1">
        <v>0</v>
      </c>
      <c r="O127" s="1">
        <v>0</v>
      </c>
      <c r="P127" s="1">
        <v>0</v>
      </c>
      <c r="Q127" s="1">
        <v>0</v>
      </c>
      <c r="R127" s="1" t="s">
        <v>328</v>
      </c>
      <c r="S127" s="1">
        <v>0</v>
      </c>
      <c r="T127" s="1">
        <v>0</v>
      </c>
      <c r="U127" s="1">
        <v>0</v>
      </c>
      <c r="V127" s="1">
        <v>0</v>
      </c>
      <c r="W127" s="1">
        <v>0</v>
      </c>
      <c r="X127" s="1">
        <v>0</v>
      </c>
    </row>
    <row r="128" spans="1:24" x14ac:dyDescent="0.3">
      <c r="A128" s="1">
        <v>20801</v>
      </c>
      <c r="B128" s="1">
        <v>208</v>
      </c>
      <c r="C128" s="1">
        <v>1</v>
      </c>
      <c r="D128" s="1">
        <v>1</v>
      </c>
      <c r="E128" s="1">
        <v>0</v>
      </c>
      <c r="F128" s="1">
        <v>2</v>
      </c>
      <c r="G128" s="1">
        <v>87</v>
      </c>
      <c r="H128" s="1">
        <v>17</v>
      </c>
      <c r="I128" s="1">
        <v>31</v>
      </c>
      <c r="J128" s="1">
        <v>38</v>
      </c>
      <c r="K128" s="1">
        <v>47</v>
      </c>
      <c r="L128" s="1">
        <v>0</v>
      </c>
      <c r="M128" s="1">
        <v>0</v>
      </c>
      <c r="N128" s="1">
        <v>0</v>
      </c>
      <c r="O128" s="1">
        <v>0</v>
      </c>
      <c r="P128" s="1">
        <v>0</v>
      </c>
      <c r="Q128" s="1">
        <v>0</v>
      </c>
      <c r="R128" s="1" t="s">
        <v>328</v>
      </c>
      <c r="S128" s="1">
        <v>0</v>
      </c>
      <c r="T128" s="1">
        <v>0</v>
      </c>
      <c r="U128" s="1">
        <v>0</v>
      </c>
      <c r="V128" s="1">
        <v>0</v>
      </c>
      <c r="W128" s="1">
        <v>0</v>
      </c>
      <c r="X128" s="1">
        <v>0</v>
      </c>
    </row>
    <row r="129" spans="1:24" x14ac:dyDescent="0.3">
      <c r="A129" s="1">
        <v>20802</v>
      </c>
      <c r="B129" s="1">
        <v>208</v>
      </c>
      <c r="C129" s="1">
        <v>2</v>
      </c>
      <c r="D129" s="1">
        <v>1</v>
      </c>
      <c r="E129" s="1">
        <v>0</v>
      </c>
      <c r="F129" s="1">
        <v>3</v>
      </c>
      <c r="G129" s="1">
        <v>87</v>
      </c>
      <c r="H129" s="1">
        <v>17</v>
      </c>
      <c r="I129" s="1">
        <v>31</v>
      </c>
      <c r="J129" s="1">
        <v>38</v>
      </c>
      <c r="K129" s="1">
        <v>47</v>
      </c>
      <c r="L129" s="1">
        <v>0</v>
      </c>
      <c r="M129" s="1">
        <v>0</v>
      </c>
      <c r="N129" s="1">
        <v>0</v>
      </c>
      <c r="O129" s="1">
        <v>0</v>
      </c>
      <c r="P129" s="1">
        <v>0</v>
      </c>
      <c r="Q129" s="1">
        <v>0</v>
      </c>
      <c r="R129" s="1" t="s">
        <v>328</v>
      </c>
      <c r="S129" s="1">
        <v>0</v>
      </c>
      <c r="T129" s="1">
        <v>0</v>
      </c>
      <c r="U129" s="1">
        <v>0</v>
      </c>
      <c r="V129" s="1">
        <v>0</v>
      </c>
      <c r="W129" s="1">
        <v>0</v>
      </c>
      <c r="X129" s="1">
        <v>0</v>
      </c>
    </row>
    <row r="130" spans="1:24" x14ac:dyDescent="0.3">
      <c r="A130" s="1">
        <v>20803</v>
      </c>
      <c r="B130" s="1">
        <v>208</v>
      </c>
      <c r="C130" s="1">
        <v>3</v>
      </c>
      <c r="D130" s="1">
        <v>1</v>
      </c>
      <c r="E130" s="1">
        <v>0</v>
      </c>
      <c r="F130" s="1">
        <v>4</v>
      </c>
      <c r="G130" s="1">
        <v>87</v>
      </c>
      <c r="H130" s="1">
        <v>17</v>
      </c>
      <c r="I130" s="1">
        <v>31</v>
      </c>
      <c r="J130" s="1">
        <v>38</v>
      </c>
      <c r="K130" s="1">
        <v>47</v>
      </c>
      <c r="L130" s="1">
        <v>0</v>
      </c>
      <c r="M130" s="1">
        <v>0</v>
      </c>
      <c r="N130" s="1">
        <v>0</v>
      </c>
      <c r="O130" s="1">
        <v>0</v>
      </c>
      <c r="P130" s="1">
        <v>0</v>
      </c>
      <c r="Q130" s="1">
        <v>0</v>
      </c>
      <c r="R130" s="1" t="s">
        <v>328</v>
      </c>
      <c r="S130" s="1">
        <v>0</v>
      </c>
      <c r="T130" s="1">
        <v>0</v>
      </c>
      <c r="U130" s="1">
        <v>0</v>
      </c>
      <c r="V130" s="1">
        <v>0</v>
      </c>
      <c r="W130" s="1">
        <v>0</v>
      </c>
      <c r="X130" s="1">
        <v>0</v>
      </c>
    </row>
    <row r="131" spans="1:24" x14ac:dyDescent="0.3">
      <c r="A131" s="1">
        <v>20804</v>
      </c>
      <c r="B131" s="1">
        <v>208</v>
      </c>
      <c r="C131" s="1">
        <v>4</v>
      </c>
      <c r="D131" s="1">
        <v>1</v>
      </c>
      <c r="E131" s="1">
        <v>0</v>
      </c>
      <c r="F131" s="1">
        <v>5</v>
      </c>
      <c r="G131" s="1">
        <v>87</v>
      </c>
      <c r="H131" s="1">
        <v>17</v>
      </c>
      <c r="I131" s="1">
        <v>31</v>
      </c>
      <c r="J131" s="1">
        <v>38</v>
      </c>
      <c r="K131" s="1">
        <v>47</v>
      </c>
      <c r="L131" s="1">
        <v>0</v>
      </c>
      <c r="M131" s="1">
        <v>0</v>
      </c>
      <c r="N131" s="1">
        <v>0</v>
      </c>
      <c r="O131" s="1">
        <v>0</v>
      </c>
      <c r="P131" s="1">
        <v>0</v>
      </c>
      <c r="Q131" s="1">
        <v>0</v>
      </c>
      <c r="R131" s="1" t="s">
        <v>328</v>
      </c>
      <c r="S131" s="1">
        <v>0</v>
      </c>
      <c r="T131" s="1">
        <v>0</v>
      </c>
      <c r="U131" s="1">
        <v>0</v>
      </c>
      <c r="V131" s="1">
        <v>0</v>
      </c>
      <c r="W131" s="1">
        <v>0</v>
      </c>
      <c r="X131" s="1">
        <v>0</v>
      </c>
    </row>
    <row r="132" spans="1:24" x14ac:dyDescent="0.3">
      <c r="A132" s="1">
        <v>20900</v>
      </c>
      <c r="B132" s="1">
        <v>209</v>
      </c>
      <c r="C132" s="1">
        <v>0</v>
      </c>
      <c r="D132" s="1">
        <v>0</v>
      </c>
      <c r="E132" s="1">
        <v>0</v>
      </c>
      <c r="F132" s="1">
        <v>1</v>
      </c>
      <c r="G132" s="1">
        <v>67</v>
      </c>
      <c r="H132" s="1">
        <v>11</v>
      </c>
      <c r="I132" s="1">
        <v>41</v>
      </c>
      <c r="J132" s="1">
        <v>25</v>
      </c>
      <c r="K132" s="1">
        <v>74</v>
      </c>
      <c r="L132" s="1">
        <v>0</v>
      </c>
      <c r="M132" s="1">
        <v>0</v>
      </c>
      <c r="N132" s="1">
        <v>0</v>
      </c>
      <c r="O132" s="1">
        <v>0</v>
      </c>
      <c r="P132" s="1">
        <v>0</v>
      </c>
      <c r="Q132" s="1">
        <v>0</v>
      </c>
      <c r="R132" s="1" t="s">
        <v>328</v>
      </c>
      <c r="S132" s="1">
        <v>0</v>
      </c>
      <c r="T132" s="1">
        <v>0</v>
      </c>
      <c r="U132" s="1">
        <v>0</v>
      </c>
      <c r="V132" s="1">
        <v>0</v>
      </c>
      <c r="W132" s="1">
        <v>0</v>
      </c>
      <c r="X132" s="1">
        <v>0</v>
      </c>
    </row>
    <row r="133" spans="1:24" x14ac:dyDescent="0.3">
      <c r="A133" s="1">
        <v>20901</v>
      </c>
      <c r="B133" s="1">
        <v>209</v>
      </c>
      <c r="C133" s="1">
        <v>1</v>
      </c>
      <c r="D133" s="1">
        <v>1</v>
      </c>
      <c r="E133" s="1">
        <v>0</v>
      </c>
      <c r="F133" s="1">
        <v>2</v>
      </c>
      <c r="G133" s="1">
        <v>67</v>
      </c>
      <c r="H133" s="1">
        <v>11</v>
      </c>
      <c r="I133" s="1">
        <v>41</v>
      </c>
      <c r="J133" s="1">
        <v>25</v>
      </c>
      <c r="K133" s="1">
        <v>74</v>
      </c>
      <c r="L133" s="1">
        <v>0</v>
      </c>
      <c r="M133" s="1">
        <v>0</v>
      </c>
      <c r="N133" s="1">
        <v>0</v>
      </c>
      <c r="O133" s="1">
        <v>0</v>
      </c>
      <c r="P133" s="1">
        <v>0</v>
      </c>
      <c r="Q133" s="1">
        <v>0</v>
      </c>
      <c r="R133" s="1" t="s">
        <v>328</v>
      </c>
      <c r="S133" s="1">
        <v>0</v>
      </c>
      <c r="T133" s="1">
        <v>0</v>
      </c>
      <c r="U133" s="1">
        <v>0</v>
      </c>
      <c r="V133" s="1">
        <v>0</v>
      </c>
      <c r="W133" s="1">
        <v>0</v>
      </c>
      <c r="X133" s="1">
        <v>0</v>
      </c>
    </row>
    <row r="134" spans="1:24" x14ac:dyDescent="0.3">
      <c r="A134" s="1">
        <v>20902</v>
      </c>
      <c r="B134" s="1">
        <v>209</v>
      </c>
      <c r="C134" s="1">
        <v>2</v>
      </c>
      <c r="D134" s="1">
        <v>1</v>
      </c>
      <c r="E134" s="1">
        <v>0</v>
      </c>
      <c r="F134" s="1">
        <v>3</v>
      </c>
      <c r="G134" s="1">
        <v>67</v>
      </c>
      <c r="H134" s="1">
        <v>11</v>
      </c>
      <c r="I134" s="1">
        <v>41</v>
      </c>
      <c r="J134" s="1">
        <v>25</v>
      </c>
      <c r="K134" s="1">
        <v>74</v>
      </c>
      <c r="L134" s="1">
        <v>0</v>
      </c>
      <c r="M134" s="1">
        <v>0</v>
      </c>
      <c r="N134" s="1">
        <v>0</v>
      </c>
      <c r="O134" s="1">
        <v>0</v>
      </c>
      <c r="P134" s="1">
        <v>0</v>
      </c>
      <c r="Q134" s="1">
        <v>0</v>
      </c>
      <c r="R134" s="1" t="s">
        <v>328</v>
      </c>
      <c r="S134" s="1">
        <v>0</v>
      </c>
      <c r="T134" s="1">
        <v>0</v>
      </c>
      <c r="U134" s="1">
        <v>0</v>
      </c>
      <c r="V134" s="1">
        <v>0</v>
      </c>
      <c r="W134" s="1">
        <v>0</v>
      </c>
      <c r="X134" s="1">
        <v>0</v>
      </c>
    </row>
    <row r="135" spans="1:24" x14ac:dyDescent="0.3">
      <c r="A135" s="1">
        <v>20903</v>
      </c>
      <c r="B135" s="1">
        <v>209</v>
      </c>
      <c r="C135" s="1">
        <v>3</v>
      </c>
      <c r="D135" s="1">
        <v>1</v>
      </c>
      <c r="E135" s="1">
        <v>0</v>
      </c>
      <c r="F135" s="1">
        <v>4</v>
      </c>
      <c r="G135" s="1">
        <v>67</v>
      </c>
      <c r="H135" s="1">
        <v>11</v>
      </c>
      <c r="I135" s="1">
        <v>41</v>
      </c>
      <c r="J135" s="1">
        <v>25</v>
      </c>
      <c r="K135" s="1">
        <v>74</v>
      </c>
      <c r="L135" s="1">
        <v>0</v>
      </c>
      <c r="M135" s="1">
        <v>0</v>
      </c>
      <c r="N135" s="1">
        <v>0</v>
      </c>
      <c r="O135" s="1">
        <v>0</v>
      </c>
      <c r="P135" s="1">
        <v>0</v>
      </c>
      <c r="Q135" s="1">
        <v>0</v>
      </c>
      <c r="R135" s="1" t="s">
        <v>328</v>
      </c>
      <c r="S135" s="1">
        <v>0</v>
      </c>
      <c r="T135" s="1">
        <v>0</v>
      </c>
      <c r="U135" s="1">
        <v>0</v>
      </c>
      <c r="V135" s="1">
        <v>0</v>
      </c>
      <c r="W135" s="1">
        <v>0</v>
      </c>
      <c r="X135" s="1">
        <v>0</v>
      </c>
    </row>
    <row r="136" spans="1:24" x14ac:dyDescent="0.3">
      <c r="A136" s="1">
        <v>20904</v>
      </c>
      <c r="B136" s="1">
        <v>209</v>
      </c>
      <c r="C136" s="1">
        <v>4</v>
      </c>
      <c r="D136" s="1">
        <v>1</v>
      </c>
      <c r="E136" s="1">
        <v>0</v>
      </c>
      <c r="F136" s="1">
        <v>5</v>
      </c>
      <c r="G136" s="1">
        <v>67</v>
      </c>
      <c r="H136" s="1">
        <v>11</v>
      </c>
      <c r="I136" s="1">
        <v>41</v>
      </c>
      <c r="J136" s="1">
        <v>25</v>
      </c>
      <c r="K136" s="1">
        <v>74</v>
      </c>
      <c r="L136" s="1">
        <v>0</v>
      </c>
      <c r="M136" s="1">
        <v>0</v>
      </c>
      <c r="N136" s="1">
        <v>0</v>
      </c>
      <c r="O136" s="1">
        <v>0</v>
      </c>
      <c r="P136" s="1">
        <v>0</v>
      </c>
      <c r="Q136" s="1">
        <v>0</v>
      </c>
      <c r="R136" s="1" t="s">
        <v>328</v>
      </c>
      <c r="S136" s="1">
        <v>0</v>
      </c>
      <c r="T136" s="1">
        <v>0</v>
      </c>
      <c r="U136" s="1">
        <v>0</v>
      </c>
      <c r="V136" s="1">
        <v>0</v>
      </c>
      <c r="W136" s="1">
        <v>0</v>
      </c>
      <c r="X136" s="1">
        <v>0</v>
      </c>
    </row>
    <row r="137" spans="1:24" x14ac:dyDescent="0.3">
      <c r="A137" s="1">
        <v>21000</v>
      </c>
      <c r="B137" s="1">
        <v>210</v>
      </c>
      <c r="C137" s="1">
        <v>0</v>
      </c>
      <c r="D137" s="1">
        <v>0</v>
      </c>
      <c r="E137" s="1">
        <v>0</v>
      </c>
      <c r="F137" s="1">
        <v>1</v>
      </c>
      <c r="G137" s="1">
        <v>59</v>
      </c>
      <c r="H137" s="1">
        <v>16</v>
      </c>
      <c r="I137" s="1">
        <v>42</v>
      </c>
      <c r="J137" s="1">
        <v>38</v>
      </c>
      <c r="K137" s="1">
        <v>53</v>
      </c>
      <c r="L137" s="1">
        <v>0</v>
      </c>
      <c r="M137" s="1">
        <v>0</v>
      </c>
      <c r="N137" s="1">
        <v>0</v>
      </c>
      <c r="O137" s="1">
        <v>0</v>
      </c>
      <c r="P137" s="1">
        <v>0</v>
      </c>
      <c r="Q137" s="1">
        <v>0</v>
      </c>
      <c r="R137" s="1" t="s">
        <v>328</v>
      </c>
      <c r="S137" s="1">
        <v>0</v>
      </c>
      <c r="T137" s="1">
        <v>0</v>
      </c>
      <c r="U137" s="1">
        <v>0</v>
      </c>
      <c r="V137" s="1">
        <v>0</v>
      </c>
      <c r="W137" s="1">
        <v>0</v>
      </c>
      <c r="X137" s="1">
        <v>0</v>
      </c>
    </row>
    <row r="138" spans="1:24" x14ac:dyDescent="0.3">
      <c r="A138" s="1">
        <v>21001</v>
      </c>
      <c r="B138" s="1">
        <v>210</v>
      </c>
      <c r="C138" s="1">
        <v>1</v>
      </c>
      <c r="D138" s="1">
        <v>1</v>
      </c>
      <c r="E138" s="1">
        <v>0</v>
      </c>
      <c r="F138" s="1">
        <v>2</v>
      </c>
      <c r="G138" s="1">
        <v>59</v>
      </c>
      <c r="H138" s="1">
        <v>16</v>
      </c>
      <c r="I138" s="1">
        <v>42</v>
      </c>
      <c r="J138" s="1">
        <v>38</v>
      </c>
      <c r="K138" s="1">
        <v>53</v>
      </c>
      <c r="L138" s="1">
        <v>0</v>
      </c>
      <c r="M138" s="1">
        <v>0</v>
      </c>
      <c r="N138" s="1">
        <v>0</v>
      </c>
      <c r="O138" s="1">
        <v>0</v>
      </c>
      <c r="P138" s="1">
        <v>0</v>
      </c>
      <c r="Q138" s="1">
        <v>0</v>
      </c>
      <c r="R138" s="1" t="s">
        <v>328</v>
      </c>
      <c r="S138" s="1">
        <v>0</v>
      </c>
      <c r="T138" s="1">
        <v>0</v>
      </c>
      <c r="U138" s="1">
        <v>0</v>
      </c>
      <c r="V138" s="1">
        <v>0</v>
      </c>
      <c r="W138" s="1">
        <v>0</v>
      </c>
      <c r="X138" s="1">
        <v>0</v>
      </c>
    </row>
    <row r="139" spans="1:24" x14ac:dyDescent="0.3">
      <c r="A139" s="1">
        <v>21002</v>
      </c>
      <c r="B139" s="1">
        <v>210</v>
      </c>
      <c r="C139" s="1">
        <v>2</v>
      </c>
      <c r="D139" s="1">
        <v>1</v>
      </c>
      <c r="E139" s="1">
        <v>0</v>
      </c>
      <c r="F139" s="1">
        <v>3</v>
      </c>
      <c r="G139" s="1">
        <v>59</v>
      </c>
      <c r="H139" s="1">
        <v>16</v>
      </c>
      <c r="I139" s="1">
        <v>42</v>
      </c>
      <c r="J139" s="1">
        <v>38</v>
      </c>
      <c r="K139" s="1">
        <v>53</v>
      </c>
      <c r="L139" s="1">
        <v>0</v>
      </c>
      <c r="M139" s="1">
        <v>0</v>
      </c>
      <c r="N139" s="1">
        <v>0</v>
      </c>
      <c r="O139" s="1">
        <v>0</v>
      </c>
      <c r="P139" s="1">
        <v>0</v>
      </c>
      <c r="Q139" s="1">
        <v>0</v>
      </c>
      <c r="R139" s="1" t="s">
        <v>328</v>
      </c>
      <c r="S139" s="1">
        <v>0</v>
      </c>
      <c r="T139" s="1">
        <v>0</v>
      </c>
      <c r="U139" s="1">
        <v>0</v>
      </c>
      <c r="V139" s="1">
        <v>0</v>
      </c>
      <c r="W139" s="1">
        <v>0</v>
      </c>
      <c r="X139" s="1">
        <v>0</v>
      </c>
    </row>
    <row r="140" spans="1:24" x14ac:dyDescent="0.3">
      <c r="A140" s="1">
        <v>21003</v>
      </c>
      <c r="B140" s="1">
        <v>210</v>
      </c>
      <c r="C140" s="1">
        <v>3</v>
      </c>
      <c r="D140" s="1">
        <v>1</v>
      </c>
      <c r="E140" s="1">
        <v>0</v>
      </c>
      <c r="F140" s="1">
        <v>4</v>
      </c>
      <c r="G140" s="1">
        <v>59</v>
      </c>
      <c r="H140" s="1">
        <v>16</v>
      </c>
      <c r="I140" s="1">
        <v>42</v>
      </c>
      <c r="J140" s="1">
        <v>38</v>
      </c>
      <c r="K140" s="1">
        <v>53</v>
      </c>
      <c r="L140" s="1">
        <v>0</v>
      </c>
      <c r="M140" s="1">
        <v>0</v>
      </c>
      <c r="N140" s="1">
        <v>0</v>
      </c>
      <c r="O140" s="1">
        <v>0</v>
      </c>
      <c r="P140" s="1">
        <v>0</v>
      </c>
      <c r="Q140" s="1">
        <v>0</v>
      </c>
      <c r="R140" s="1" t="s">
        <v>328</v>
      </c>
      <c r="S140" s="1">
        <v>0</v>
      </c>
      <c r="T140" s="1">
        <v>0</v>
      </c>
      <c r="U140" s="1">
        <v>0</v>
      </c>
      <c r="V140" s="1">
        <v>0</v>
      </c>
      <c r="W140" s="1">
        <v>0</v>
      </c>
      <c r="X140" s="1">
        <v>0</v>
      </c>
    </row>
    <row r="141" spans="1:24" x14ac:dyDescent="0.3">
      <c r="A141" s="1">
        <v>21004</v>
      </c>
      <c r="B141" s="1">
        <v>210</v>
      </c>
      <c r="C141" s="1">
        <v>4</v>
      </c>
      <c r="D141" s="1">
        <v>1</v>
      </c>
      <c r="E141" s="1">
        <v>0</v>
      </c>
      <c r="F141" s="1">
        <v>5</v>
      </c>
      <c r="G141" s="1">
        <v>59</v>
      </c>
      <c r="H141" s="1">
        <v>16</v>
      </c>
      <c r="I141" s="1">
        <v>42</v>
      </c>
      <c r="J141" s="1">
        <v>38</v>
      </c>
      <c r="K141" s="1">
        <v>53</v>
      </c>
      <c r="L141" s="1">
        <v>0</v>
      </c>
      <c r="M141" s="1">
        <v>0</v>
      </c>
      <c r="N141" s="1">
        <v>0</v>
      </c>
      <c r="O141" s="1">
        <v>0</v>
      </c>
      <c r="P141" s="1">
        <v>0</v>
      </c>
      <c r="Q141" s="1">
        <v>0</v>
      </c>
      <c r="R141" s="1" t="s">
        <v>328</v>
      </c>
      <c r="S141" s="1">
        <v>0</v>
      </c>
      <c r="T141" s="1">
        <v>0</v>
      </c>
      <c r="U141" s="1">
        <v>0</v>
      </c>
      <c r="V141" s="1">
        <v>0</v>
      </c>
      <c r="W141" s="1">
        <v>0</v>
      </c>
      <c r="X141" s="1">
        <v>0</v>
      </c>
    </row>
    <row r="142" spans="1:24" x14ac:dyDescent="0.3">
      <c r="A142" s="1">
        <v>21100</v>
      </c>
      <c r="B142" s="1">
        <v>211</v>
      </c>
      <c r="C142" s="1">
        <v>0</v>
      </c>
      <c r="D142" s="1">
        <v>0</v>
      </c>
      <c r="E142" s="1">
        <v>0</v>
      </c>
      <c r="F142" s="1">
        <v>1</v>
      </c>
      <c r="G142" s="1">
        <v>64</v>
      </c>
      <c r="H142" s="1">
        <v>16</v>
      </c>
      <c r="I142" s="1">
        <v>52</v>
      </c>
      <c r="J142" s="1">
        <v>40</v>
      </c>
      <c r="K142" s="1">
        <v>57</v>
      </c>
      <c r="L142" s="1">
        <v>0</v>
      </c>
      <c r="M142" s="1">
        <v>0</v>
      </c>
      <c r="N142" s="1">
        <v>0</v>
      </c>
      <c r="O142" s="1">
        <v>0</v>
      </c>
      <c r="P142" s="1">
        <v>0</v>
      </c>
      <c r="Q142" s="1">
        <v>0</v>
      </c>
      <c r="R142" s="1" t="s">
        <v>328</v>
      </c>
      <c r="S142" s="1">
        <v>0</v>
      </c>
      <c r="T142" s="1">
        <v>0</v>
      </c>
      <c r="U142" s="1">
        <v>0</v>
      </c>
      <c r="V142" s="1">
        <v>0</v>
      </c>
      <c r="W142" s="1">
        <v>0</v>
      </c>
      <c r="X142" s="1">
        <v>0</v>
      </c>
    </row>
    <row r="143" spans="1:24" x14ac:dyDescent="0.3">
      <c r="A143" s="1">
        <v>21101</v>
      </c>
      <c r="B143" s="1">
        <v>211</v>
      </c>
      <c r="C143" s="1">
        <v>1</v>
      </c>
      <c r="D143" s="1">
        <v>1</v>
      </c>
      <c r="E143" s="1">
        <v>0</v>
      </c>
      <c r="F143" s="1">
        <v>2</v>
      </c>
      <c r="G143" s="1">
        <v>64</v>
      </c>
      <c r="H143" s="1">
        <v>16</v>
      </c>
      <c r="I143" s="1">
        <v>52</v>
      </c>
      <c r="J143" s="1">
        <v>40</v>
      </c>
      <c r="K143" s="1">
        <v>57</v>
      </c>
      <c r="L143" s="1">
        <v>0</v>
      </c>
      <c r="M143" s="1">
        <v>0</v>
      </c>
      <c r="N143" s="1">
        <v>0</v>
      </c>
      <c r="O143" s="1">
        <v>0</v>
      </c>
      <c r="P143" s="1">
        <v>0</v>
      </c>
      <c r="Q143" s="1">
        <v>0</v>
      </c>
      <c r="R143" s="1" t="s">
        <v>328</v>
      </c>
      <c r="S143" s="1">
        <v>0</v>
      </c>
      <c r="T143" s="1">
        <v>0</v>
      </c>
      <c r="U143" s="1">
        <v>0</v>
      </c>
      <c r="V143" s="1">
        <v>0</v>
      </c>
      <c r="W143" s="1">
        <v>0</v>
      </c>
      <c r="X143" s="1">
        <v>0</v>
      </c>
    </row>
    <row r="144" spans="1:24" x14ac:dyDescent="0.3">
      <c r="A144" s="1">
        <v>21102</v>
      </c>
      <c r="B144" s="1">
        <v>211</v>
      </c>
      <c r="C144" s="1">
        <v>2</v>
      </c>
      <c r="D144" s="1">
        <v>1</v>
      </c>
      <c r="E144" s="1">
        <v>0</v>
      </c>
      <c r="F144" s="1">
        <v>3</v>
      </c>
      <c r="G144" s="1">
        <v>64</v>
      </c>
      <c r="H144" s="1">
        <v>16</v>
      </c>
      <c r="I144" s="1">
        <v>52</v>
      </c>
      <c r="J144" s="1">
        <v>40</v>
      </c>
      <c r="K144" s="1">
        <v>57</v>
      </c>
      <c r="L144" s="1">
        <v>0</v>
      </c>
      <c r="M144" s="1">
        <v>0</v>
      </c>
      <c r="N144" s="1">
        <v>0</v>
      </c>
      <c r="O144" s="1">
        <v>0</v>
      </c>
      <c r="P144" s="1">
        <v>0</v>
      </c>
      <c r="Q144" s="1">
        <v>0</v>
      </c>
      <c r="R144" s="1" t="s">
        <v>328</v>
      </c>
      <c r="S144" s="1">
        <v>0</v>
      </c>
      <c r="T144" s="1">
        <v>0</v>
      </c>
      <c r="U144" s="1">
        <v>0</v>
      </c>
      <c r="V144" s="1">
        <v>0</v>
      </c>
      <c r="W144" s="1">
        <v>0</v>
      </c>
      <c r="X144" s="1">
        <v>0</v>
      </c>
    </row>
    <row r="145" spans="1:24" x14ac:dyDescent="0.3">
      <c r="A145" s="1">
        <v>21103</v>
      </c>
      <c r="B145" s="1">
        <v>211</v>
      </c>
      <c r="C145" s="1">
        <v>3</v>
      </c>
      <c r="D145" s="1">
        <v>1</v>
      </c>
      <c r="E145" s="1">
        <v>0</v>
      </c>
      <c r="F145" s="1">
        <v>4</v>
      </c>
      <c r="G145" s="1">
        <v>64</v>
      </c>
      <c r="H145" s="1">
        <v>16</v>
      </c>
      <c r="I145" s="1">
        <v>52</v>
      </c>
      <c r="J145" s="1">
        <v>40</v>
      </c>
      <c r="K145" s="1">
        <v>57</v>
      </c>
      <c r="L145" s="1">
        <v>0</v>
      </c>
      <c r="M145" s="1">
        <v>0</v>
      </c>
      <c r="N145" s="1">
        <v>0</v>
      </c>
      <c r="O145" s="1">
        <v>0</v>
      </c>
      <c r="P145" s="1">
        <v>0</v>
      </c>
      <c r="Q145" s="1">
        <v>0</v>
      </c>
      <c r="R145" s="1" t="s">
        <v>328</v>
      </c>
      <c r="S145" s="1">
        <v>0</v>
      </c>
      <c r="T145" s="1">
        <v>0</v>
      </c>
      <c r="U145" s="1">
        <v>0</v>
      </c>
      <c r="V145" s="1">
        <v>0</v>
      </c>
      <c r="W145" s="1">
        <v>0</v>
      </c>
      <c r="X145" s="1">
        <v>0</v>
      </c>
    </row>
    <row r="146" spans="1:24" x14ac:dyDescent="0.3">
      <c r="A146" s="1">
        <v>21104</v>
      </c>
      <c r="B146" s="1">
        <v>211</v>
      </c>
      <c r="C146" s="1">
        <v>4</v>
      </c>
      <c r="D146" s="1">
        <v>1</v>
      </c>
      <c r="E146" s="1">
        <v>0</v>
      </c>
      <c r="F146" s="1">
        <v>5</v>
      </c>
      <c r="G146" s="1">
        <v>64</v>
      </c>
      <c r="H146" s="1">
        <v>16</v>
      </c>
      <c r="I146" s="1">
        <v>52</v>
      </c>
      <c r="J146" s="1">
        <v>40</v>
      </c>
      <c r="K146" s="1">
        <v>57</v>
      </c>
      <c r="L146" s="1">
        <v>0</v>
      </c>
      <c r="M146" s="1">
        <v>0</v>
      </c>
      <c r="N146" s="1">
        <v>0</v>
      </c>
      <c r="O146" s="1">
        <v>0</v>
      </c>
      <c r="P146" s="1">
        <v>0</v>
      </c>
      <c r="Q146" s="1">
        <v>0</v>
      </c>
      <c r="R146" s="1" t="s">
        <v>328</v>
      </c>
      <c r="S146" s="1">
        <v>0</v>
      </c>
      <c r="T146" s="1">
        <v>0</v>
      </c>
      <c r="U146" s="1">
        <v>0</v>
      </c>
      <c r="V146" s="1">
        <v>0</v>
      </c>
      <c r="W146" s="1">
        <v>0</v>
      </c>
      <c r="X146" s="1">
        <v>0</v>
      </c>
    </row>
    <row r="147" spans="1:24" x14ac:dyDescent="0.3">
      <c r="A147" s="1">
        <v>21200</v>
      </c>
      <c r="B147" s="1">
        <v>212</v>
      </c>
      <c r="C147" s="1">
        <v>0</v>
      </c>
      <c r="D147" s="1">
        <v>0</v>
      </c>
      <c r="E147" s="1">
        <v>0</v>
      </c>
      <c r="F147" s="1">
        <v>1</v>
      </c>
      <c r="G147" s="1">
        <v>80</v>
      </c>
      <c r="H147" s="1">
        <v>18</v>
      </c>
      <c r="I147" s="1">
        <v>27</v>
      </c>
      <c r="J147" s="1">
        <v>36</v>
      </c>
      <c r="K147" s="1">
        <v>45</v>
      </c>
      <c r="L147" s="1">
        <v>0</v>
      </c>
      <c r="M147" s="1">
        <v>0</v>
      </c>
      <c r="N147" s="1">
        <v>0</v>
      </c>
      <c r="O147" s="1">
        <v>0</v>
      </c>
      <c r="P147" s="1">
        <v>0</v>
      </c>
      <c r="Q147" s="1">
        <v>0</v>
      </c>
      <c r="R147" s="1" t="s">
        <v>328</v>
      </c>
      <c r="S147" s="1">
        <v>0</v>
      </c>
      <c r="T147" s="1">
        <v>0</v>
      </c>
      <c r="U147" s="1">
        <v>0</v>
      </c>
      <c r="V147" s="1">
        <v>0</v>
      </c>
      <c r="W147" s="1">
        <v>0</v>
      </c>
      <c r="X147" s="1">
        <v>0</v>
      </c>
    </row>
    <row r="148" spans="1:24" x14ac:dyDescent="0.3">
      <c r="A148" s="1">
        <v>21201</v>
      </c>
      <c r="B148" s="1">
        <v>212</v>
      </c>
      <c r="C148" s="1">
        <v>1</v>
      </c>
      <c r="D148" s="1">
        <v>1</v>
      </c>
      <c r="E148" s="1">
        <v>0</v>
      </c>
      <c r="F148" s="1">
        <v>2</v>
      </c>
      <c r="G148" s="1">
        <v>80</v>
      </c>
      <c r="H148" s="1">
        <v>18</v>
      </c>
      <c r="I148" s="1">
        <v>27</v>
      </c>
      <c r="J148" s="1">
        <v>36</v>
      </c>
      <c r="K148" s="1">
        <v>45</v>
      </c>
      <c r="L148" s="1">
        <v>0</v>
      </c>
      <c r="M148" s="1">
        <v>0</v>
      </c>
      <c r="N148" s="1">
        <v>0</v>
      </c>
      <c r="O148" s="1">
        <v>0</v>
      </c>
      <c r="P148" s="1">
        <v>0</v>
      </c>
      <c r="Q148" s="1">
        <v>0</v>
      </c>
      <c r="R148" s="1" t="s">
        <v>328</v>
      </c>
      <c r="S148" s="1">
        <v>0</v>
      </c>
      <c r="T148" s="1">
        <v>0</v>
      </c>
      <c r="U148" s="1">
        <v>0</v>
      </c>
      <c r="V148" s="1">
        <v>0</v>
      </c>
      <c r="W148" s="1">
        <v>0</v>
      </c>
      <c r="X148" s="1">
        <v>0</v>
      </c>
    </row>
    <row r="149" spans="1:24" x14ac:dyDescent="0.3">
      <c r="A149" s="1">
        <v>21202</v>
      </c>
      <c r="B149" s="1">
        <v>212</v>
      </c>
      <c r="C149" s="1">
        <v>2</v>
      </c>
      <c r="D149" s="1">
        <v>1</v>
      </c>
      <c r="E149" s="1">
        <v>0</v>
      </c>
      <c r="F149" s="1">
        <v>3</v>
      </c>
      <c r="G149" s="1">
        <v>80</v>
      </c>
      <c r="H149" s="1">
        <v>18</v>
      </c>
      <c r="I149" s="1">
        <v>27</v>
      </c>
      <c r="J149" s="1">
        <v>36</v>
      </c>
      <c r="K149" s="1">
        <v>45</v>
      </c>
      <c r="L149" s="1">
        <v>0</v>
      </c>
      <c r="M149" s="1">
        <v>0</v>
      </c>
      <c r="N149" s="1">
        <v>0</v>
      </c>
      <c r="O149" s="1">
        <v>0</v>
      </c>
      <c r="P149" s="1">
        <v>0</v>
      </c>
      <c r="Q149" s="1">
        <v>0</v>
      </c>
      <c r="R149" s="1" t="s">
        <v>328</v>
      </c>
      <c r="S149" s="1">
        <v>0</v>
      </c>
      <c r="T149" s="1">
        <v>0</v>
      </c>
      <c r="U149" s="1">
        <v>0</v>
      </c>
      <c r="V149" s="1">
        <v>0</v>
      </c>
      <c r="W149" s="1">
        <v>0</v>
      </c>
      <c r="X149" s="1">
        <v>0</v>
      </c>
    </row>
    <row r="150" spans="1:24" x14ac:dyDescent="0.3">
      <c r="A150" s="1">
        <v>21203</v>
      </c>
      <c r="B150" s="1">
        <v>212</v>
      </c>
      <c r="C150" s="1">
        <v>3</v>
      </c>
      <c r="D150" s="1">
        <v>1</v>
      </c>
      <c r="E150" s="1">
        <v>0</v>
      </c>
      <c r="F150" s="1">
        <v>4</v>
      </c>
      <c r="G150" s="1">
        <v>80</v>
      </c>
      <c r="H150" s="1">
        <v>18</v>
      </c>
      <c r="I150" s="1">
        <v>27</v>
      </c>
      <c r="J150" s="1">
        <v>36</v>
      </c>
      <c r="K150" s="1">
        <v>45</v>
      </c>
      <c r="L150" s="1">
        <v>0</v>
      </c>
      <c r="M150" s="1">
        <v>0</v>
      </c>
      <c r="N150" s="1">
        <v>0</v>
      </c>
      <c r="O150" s="1">
        <v>0</v>
      </c>
      <c r="P150" s="1">
        <v>0</v>
      </c>
      <c r="Q150" s="1">
        <v>0</v>
      </c>
      <c r="R150" s="1" t="s">
        <v>328</v>
      </c>
      <c r="S150" s="1">
        <v>0</v>
      </c>
      <c r="T150" s="1">
        <v>0</v>
      </c>
      <c r="U150" s="1">
        <v>0</v>
      </c>
      <c r="V150" s="1">
        <v>0</v>
      </c>
      <c r="W150" s="1">
        <v>0</v>
      </c>
      <c r="X150" s="1">
        <v>0</v>
      </c>
    </row>
    <row r="151" spans="1:24" x14ac:dyDescent="0.3">
      <c r="A151" s="1">
        <v>21204</v>
      </c>
      <c r="B151" s="1">
        <v>212</v>
      </c>
      <c r="C151" s="1">
        <v>4</v>
      </c>
      <c r="D151" s="1">
        <v>1</v>
      </c>
      <c r="E151" s="1">
        <v>0</v>
      </c>
      <c r="F151" s="1">
        <v>5</v>
      </c>
      <c r="G151" s="1">
        <v>80</v>
      </c>
      <c r="H151" s="1">
        <v>18</v>
      </c>
      <c r="I151" s="1">
        <v>27</v>
      </c>
      <c r="J151" s="1">
        <v>36</v>
      </c>
      <c r="K151" s="1">
        <v>45</v>
      </c>
      <c r="L151" s="1">
        <v>0</v>
      </c>
      <c r="M151" s="1">
        <v>0</v>
      </c>
      <c r="N151" s="1">
        <v>0</v>
      </c>
      <c r="O151" s="1">
        <v>0</v>
      </c>
      <c r="P151" s="1">
        <v>0</v>
      </c>
      <c r="Q151" s="1">
        <v>0</v>
      </c>
      <c r="R151" s="1" t="s">
        <v>328</v>
      </c>
      <c r="S151" s="1">
        <v>0</v>
      </c>
      <c r="T151" s="1">
        <v>0</v>
      </c>
      <c r="U151" s="1">
        <v>0</v>
      </c>
      <c r="V151" s="1">
        <v>0</v>
      </c>
      <c r="W151" s="1">
        <v>0</v>
      </c>
      <c r="X151" s="1">
        <v>0</v>
      </c>
    </row>
    <row r="152" spans="1:24" x14ac:dyDescent="0.3">
      <c r="A152" s="1">
        <v>21300</v>
      </c>
      <c r="B152" s="1">
        <v>213</v>
      </c>
      <c r="C152" s="1">
        <v>0</v>
      </c>
      <c r="D152" s="1">
        <v>0</v>
      </c>
      <c r="E152" s="1">
        <v>0</v>
      </c>
      <c r="F152" s="1">
        <v>1</v>
      </c>
      <c r="G152" s="1">
        <v>58</v>
      </c>
      <c r="H152" s="1">
        <v>14</v>
      </c>
      <c r="I152" s="1">
        <v>44</v>
      </c>
      <c r="J152" s="1">
        <v>25</v>
      </c>
      <c r="K152" s="1">
        <v>23</v>
      </c>
      <c r="L152" s="1">
        <v>0</v>
      </c>
      <c r="M152" s="1">
        <v>0</v>
      </c>
      <c r="N152" s="1">
        <v>0</v>
      </c>
      <c r="O152" s="1">
        <v>0</v>
      </c>
      <c r="P152" s="1">
        <v>0</v>
      </c>
      <c r="Q152" s="1">
        <v>0</v>
      </c>
      <c r="R152" s="1" t="s">
        <v>328</v>
      </c>
      <c r="S152" s="1">
        <v>0</v>
      </c>
      <c r="T152" s="1">
        <v>0</v>
      </c>
      <c r="U152" s="1">
        <v>0</v>
      </c>
      <c r="V152" s="1">
        <v>0</v>
      </c>
      <c r="W152" s="1">
        <v>0</v>
      </c>
      <c r="X152" s="1">
        <v>0</v>
      </c>
    </row>
    <row r="153" spans="1:24" x14ac:dyDescent="0.3">
      <c r="A153" s="1">
        <v>21301</v>
      </c>
      <c r="B153" s="1">
        <v>213</v>
      </c>
      <c r="C153" s="1">
        <v>1</v>
      </c>
      <c r="D153" s="1">
        <v>1</v>
      </c>
      <c r="E153" s="1">
        <v>0</v>
      </c>
      <c r="F153" s="1">
        <v>2</v>
      </c>
      <c r="G153" s="1">
        <v>58</v>
      </c>
      <c r="H153" s="1">
        <v>14</v>
      </c>
      <c r="I153" s="1">
        <v>44</v>
      </c>
      <c r="J153" s="1">
        <v>25</v>
      </c>
      <c r="K153" s="1">
        <v>23</v>
      </c>
      <c r="L153" s="1">
        <v>0</v>
      </c>
      <c r="M153" s="1">
        <v>0</v>
      </c>
      <c r="N153" s="1">
        <v>0</v>
      </c>
      <c r="O153" s="1">
        <v>0</v>
      </c>
      <c r="P153" s="1">
        <v>0</v>
      </c>
      <c r="Q153" s="1">
        <v>0</v>
      </c>
      <c r="R153" s="1" t="s">
        <v>328</v>
      </c>
      <c r="S153" s="1">
        <v>0</v>
      </c>
      <c r="T153" s="1">
        <v>0</v>
      </c>
      <c r="U153" s="1">
        <v>0</v>
      </c>
      <c r="V153" s="1">
        <v>0</v>
      </c>
      <c r="W153" s="1">
        <v>0</v>
      </c>
      <c r="X153" s="1">
        <v>0</v>
      </c>
    </row>
    <row r="154" spans="1:24" x14ac:dyDescent="0.3">
      <c r="A154" s="1">
        <v>21302</v>
      </c>
      <c r="B154" s="1">
        <v>213</v>
      </c>
      <c r="C154" s="1">
        <v>2</v>
      </c>
      <c r="D154" s="1">
        <v>1</v>
      </c>
      <c r="E154" s="1">
        <v>0</v>
      </c>
      <c r="F154" s="1">
        <v>3</v>
      </c>
      <c r="G154" s="1">
        <v>58</v>
      </c>
      <c r="H154" s="1">
        <v>14</v>
      </c>
      <c r="I154" s="1">
        <v>44</v>
      </c>
      <c r="J154" s="1">
        <v>25</v>
      </c>
      <c r="K154" s="1">
        <v>23</v>
      </c>
      <c r="L154" s="1">
        <v>0</v>
      </c>
      <c r="M154" s="1">
        <v>0</v>
      </c>
      <c r="N154" s="1">
        <v>0</v>
      </c>
      <c r="O154" s="1">
        <v>0</v>
      </c>
      <c r="P154" s="1">
        <v>0</v>
      </c>
      <c r="Q154" s="1">
        <v>0</v>
      </c>
      <c r="R154" s="1" t="s">
        <v>328</v>
      </c>
      <c r="S154" s="1">
        <v>0</v>
      </c>
      <c r="T154" s="1">
        <v>0</v>
      </c>
      <c r="U154" s="1">
        <v>0</v>
      </c>
      <c r="V154" s="1">
        <v>0</v>
      </c>
      <c r="W154" s="1">
        <v>0</v>
      </c>
      <c r="X154" s="1">
        <v>0</v>
      </c>
    </row>
    <row r="155" spans="1:24" x14ac:dyDescent="0.3">
      <c r="A155" s="1">
        <v>21303</v>
      </c>
      <c r="B155" s="1">
        <v>213</v>
      </c>
      <c r="C155" s="1">
        <v>3</v>
      </c>
      <c r="D155" s="1">
        <v>1</v>
      </c>
      <c r="E155" s="1">
        <v>0</v>
      </c>
      <c r="F155" s="1">
        <v>4</v>
      </c>
      <c r="G155" s="1">
        <v>58</v>
      </c>
      <c r="H155" s="1">
        <v>14</v>
      </c>
      <c r="I155" s="1">
        <v>44</v>
      </c>
      <c r="J155" s="1">
        <v>25</v>
      </c>
      <c r="K155" s="1">
        <v>23</v>
      </c>
      <c r="L155" s="1">
        <v>0</v>
      </c>
      <c r="M155" s="1">
        <v>0</v>
      </c>
      <c r="N155" s="1">
        <v>0</v>
      </c>
      <c r="O155" s="1">
        <v>0</v>
      </c>
      <c r="P155" s="1">
        <v>0</v>
      </c>
      <c r="Q155" s="1">
        <v>0</v>
      </c>
      <c r="R155" s="1" t="s">
        <v>328</v>
      </c>
      <c r="S155" s="1">
        <v>0</v>
      </c>
      <c r="T155" s="1">
        <v>0</v>
      </c>
      <c r="U155" s="1">
        <v>0</v>
      </c>
      <c r="V155" s="1">
        <v>0</v>
      </c>
      <c r="W155" s="1">
        <v>0</v>
      </c>
      <c r="X155" s="1">
        <v>0</v>
      </c>
    </row>
    <row r="156" spans="1:24" x14ac:dyDescent="0.3">
      <c r="A156" s="1">
        <v>21304</v>
      </c>
      <c r="B156" s="1">
        <v>213</v>
      </c>
      <c r="C156" s="1">
        <v>4</v>
      </c>
      <c r="D156" s="1">
        <v>1</v>
      </c>
      <c r="E156" s="1">
        <v>0</v>
      </c>
      <c r="F156" s="1">
        <v>5</v>
      </c>
      <c r="G156" s="1">
        <v>58</v>
      </c>
      <c r="H156" s="1">
        <v>14</v>
      </c>
      <c r="I156" s="1">
        <v>44</v>
      </c>
      <c r="J156" s="1">
        <v>25</v>
      </c>
      <c r="K156" s="1">
        <v>23</v>
      </c>
      <c r="L156" s="1">
        <v>0</v>
      </c>
      <c r="M156" s="1">
        <v>0</v>
      </c>
      <c r="N156" s="1">
        <v>0</v>
      </c>
      <c r="O156" s="1">
        <v>0</v>
      </c>
      <c r="P156" s="1">
        <v>0</v>
      </c>
      <c r="Q156" s="1">
        <v>0</v>
      </c>
      <c r="R156" s="1" t="s">
        <v>328</v>
      </c>
      <c r="S156" s="1">
        <v>0</v>
      </c>
      <c r="T156" s="1">
        <v>0</v>
      </c>
      <c r="U156" s="1">
        <v>0</v>
      </c>
      <c r="V156" s="1">
        <v>0</v>
      </c>
      <c r="W156" s="1">
        <v>0</v>
      </c>
      <c r="X156" s="1">
        <v>0</v>
      </c>
    </row>
    <row r="157" spans="1:24" x14ac:dyDescent="0.3">
      <c r="A157" s="1">
        <v>21400</v>
      </c>
      <c r="B157" s="1">
        <v>214</v>
      </c>
      <c r="C157" s="1">
        <v>0</v>
      </c>
      <c r="D157" s="1">
        <v>0</v>
      </c>
      <c r="E157" s="1">
        <v>0</v>
      </c>
      <c r="F157" s="1">
        <v>1</v>
      </c>
      <c r="G157" s="1">
        <v>107</v>
      </c>
      <c r="H157" s="1">
        <v>11</v>
      </c>
      <c r="I157" s="1">
        <v>22</v>
      </c>
      <c r="J157" s="1">
        <v>34</v>
      </c>
      <c r="K157" s="1">
        <v>28</v>
      </c>
      <c r="L157" s="1">
        <v>15</v>
      </c>
      <c r="M157" s="1">
        <v>0</v>
      </c>
      <c r="N157" s="1">
        <v>0</v>
      </c>
      <c r="O157" s="1">
        <v>0</v>
      </c>
      <c r="P157" s="1">
        <v>0</v>
      </c>
      <c r="Q157" s="1">
        <v>0</v>
      </c>
      <c r="R157" s="1" t="s">
        <v>328</v>
      </c>
      <c r="S157" s="1">
        <v>0</v>
      </c>
      <c r="T157" s="1">
        <v>0</v>
      </c>
      <c r="U157" s="1">
        <v>0</v>
      </c>
      <c r="V157" s="1">
        <v>0</v>
      </c>
      <c r="W157" s="1">
        <v>0</v>
      </c>
      <c r="X157" s="1">
        <v>0</v>
      </c>
    </row>
    <row r="158" spans="1:24" x14ac:dyDescent="0.3">
      <c r="A158" s="1">
        <v>21401</v>
      </c>
      <c r="B158" s="1">
        <v>214</v>
      </c>
      <c r="C158" s="1">
        <v>1</v>
      </c>
      <c r="D158" s="1">
        <v>1</v>
      </c>
      <c r="E158" s="1">
        <v>0</v>
      </c>
      <c r="F158" s="1">
        <v>2</v>
      </c>
      <c r="G158" s="1">
        <v>107</v>
      </c>
      <c r="H158" s="1">
        <v>11</v>
      </c>
      <c r="I158" s="1">
        <v>22</v>
      </c>
      <c r="J158" s="1">
        <v>34</v>
      </c>
      <c r="K158" s="1">
        <v>28</v>
      </c>
      <c r="L158" s="1">
        <v>15</v>
      </c>
      <c r="M158" s="1">
        <v>0</v>
      </c>
      <c r="N158" s="1">
        <v>0</v>
      </c>
      <c r="O158" s="1">
        <v>0</v>
      </c>
      <c r="P158" s="1">
        <v>0</v>
      </c>
      <c r="Q158" s="1">
        <v>0</v>
      </c>
      <c r="R158" s="1" t="s">
        <v>328</v>
      </c>
      <c r="S158" s="1">
        <v>0</v>
      </c>
      <c r="T158" s="1">
        <v>0</v>
      </c>
      <c r="U158" s="1">
        <v>0</v>
      </c>
      <c r="V158" s="1">
        <v>0</v>
      </c>
      <c r="W158" s="1">
        <v>0</v>
      </c>
      <c r="X158" s="1">
        <v>0</v>
      </c>
    </row>
    <row r="159" spans="1:24" x14ac:dyDescent="0.3">
      <c r="A159" s="1">
        <v>21402</v>
      </c>
      <c r="B159" s="1">
        <v>214</v>
      </c>
      <c r="C159" s="1">
        <v>2</v>
      </c>
      <c r="D159" s="1">
        <v>1</v>
      </c>
      <c r="E159" s="1">
        <v>0</v>
      </c>
      <c r="F159" s="1">
        <v>3</v>
      </c>
      <c r="G159" s="1">
        <v>107</v>
      </c>
      <c r="H159" s="1">
        <v>11</v>
      </c>
      <c r="I159" s="1">
        <v>22</v>
      </c>
      <c r="J159" s="1">
        <v>34</v>
      </c>
      <c r="K159" s="1">
        <v>28</v>
      </c>
      <c r="L159" s="1">
        <v>15</v>
      </c>
      <c r="M159" s="1">
        <v>0</v>
      </c>
      <c r="N159" s="1">
        <v>0</v>
      </c>
      <c r="O159" s="1">
        <v>0</v>
      </c>
      <c r="P159" s="1">
        <v>0</v>
      </c>
      <c r="Q159" s="1">
        <v>0</v>
      </c>
      <c r="R159" s="1" t="s">
        <v>328</v>
      </c>
      <c r="S159" s="1">
        <v>0</v>
      </c>
      <c r="T159" s="1">
        <v>0</v>
      </c>
      <c r="U159" s="1">
        <v>0</v>
      </c>
      <c r="V159" s="1">
        <v>0</v>
      </c>
      <c r="W159" s="1">
        <v>0</v>
      </c>
      <c r="X159" s="1">
        <v>0</v>
      </c>
    </row>
    <row r="160" spans="1:24" x14ac:dyDescent="0.3">
      <c r="A160" s="1">
        <v>21403</v>
      </c>
      <c r="B160" s="1">
        <v>214</v>
      </c>
      <c r="C160" s="1">
        <v>3</v>
      </c>
      <c r="D160" s="1">
        <v>1</v>
      </c>
      <c r="E160" s="1">
        <v>0</v>
      </c>
      <c r="F160" s="1">
        <v>4</v>
      </c>
      <c r="G160" s="1">
        <v>107</v>
      </c>
      <c r="H160" s="1">
        <v>11</v>
      </c>
      <c r="I160" s="1">
        <v>22</v>
      </c>
      <c r="J160" s="1">
        <v>34</v>
      </c>
      <c r="K160" s="1">
        <v>28</v>
      </c>
      <c r="L160" s="1">
        <v>15</v>
      </c>
      <c r="M160" s="1">
        <v>0</v>
      </c>
      <c r="N160" s="1">
        <v>0</v>
      </c>
      <c r="O160" s="1">
        <v>0</v>
      </c>
      <c r="P160" s="1">
        <v>0</v>
      </c>
      <c r="Q160" s="1">
        <v>0</v>
      </c>
      <c r="R160" s="1" t="s">
        <v>328</v>
      </c>
      <c r="S160" s="1">
        <v>0</v>
      </c>
      <c r="T160" s="1">
        <v>0</v>
      </c>
      <c r="U160" s="1">
        <v>0</v>
      </c>
      <c r="V160" s="1">
        <v>0</v>
      </c>
      <c r="W160" s="1">
        <v>0</v>
      </c>
      <c r="X160" s="1">
        <v>0</v>
      </c>
    </row>
    <row r="161" spans="1:24" x14ac:dyDescent="0.3">
      <c r="A161" s="1">
        <v>21404</v>
      </c>
      <c r="B161" s="1">
        <v>214</v>
      </c>
      <c r="C161" s="1">
        <v>4</v>
      </c>
      <c r="D161" s="1">
        <v>1</v>
      </c>
      <c r="E161" s="1">
        <v>0</v>
      </c>
      <c r="F161" s="1">
        <v>5</v>
      </c>
      <c r="G161" s="1">
        <v>107</v>
      </c>
      <c r="H161" s="1">
        <v>11</v>
      </c>
      <c r="I161" s="1">
        <v>22</v>
      </c>
      <c r="J161" s="1">
        <v>34</v>
      </c>
      <c r="K161" s="1">
        <v>28</v>
      </c>
      <c r="L161" s="1">
        <v>15</v>
      </c>
      <c r="M161" s="1">
        <v>0</v>
      </c>
      <c r="N161" s="1">
        <v>0</v>
      </c>
      <c r="O161" s="1">
        <v>0</v>
      </c>
      <c r="P161" s="1">
        <v>0</v>
      </c>
      <c r="Q161" s="1">
        <v>0</v>
      </c>
      <c r="R161" s="1" t="s">
        <v>328</v>
      </c>
      <c r="S161" s="1">
        <v>0</v>
      </c>
      <c r="T161" s="1">
        <v>0</v>
      </c>
      <c r="U161" s="1">
        <v>0</v>
      </c>
      <c r="V161" s="1">
        <v>0</v>
      </c>
      <c r="W161" s="1">
        <v>0</v>
      </c>
      <c r="X161" s="1">
        <v>0</v>
      </c>
    </row>
    <row r="162" spans="1:24" x14ac:dyDescent="0.3">
      <c r="A162" s="1">
        <v>21500</v>
      </c>
      <c r="B162" s="1">
        <v>215</v>
      </c>
      <c r="C162" s="1">
        <v>0</v>
      </c>
      <c r="D162" s="1">
        <v>0</v>
      </c>
      <c r="E162" s="1">
        <v>0</v>
      </c>
      <c r="F162" s="1">
        <v>1</v>
      </c>
      <c r="G162" s="1">
        <v>47</v>
      </c>
      <c r="H162" s="1">
        <v>21</v>
      </c>
      <c r="I162" s="1">
        <v>29</v>
      </c>
      <c r="J162" s="1">
        <v>36</v>
      </c>
      <c r="K162" s="1">
        <v>28</v>
      </c>
      <c r="L162" s="1">
        <v>0</v>
      </c>
      <c r="M162" s="1">
        <v>0</v>
      </c>
      <c r="N162" s="1">
        <v>0</v>
      </c>
      <c r="O162" s="1">
        <v>0</v>
      </c>
      <c r="P162" s="1">
        <v>0</v>
      </c>
      <c r="Q162" s="1">
        <v>0</v>
      </c>
      <c r="R162" s="1" t="s">
        <v>328</v>
      </c>
      <c r="S162" s="1">
        <v>0</v>
      </c>
      <c r="T162" s="1">
        <v>0</v>
      </c>
      <c r="U162" s="1">
        <v>0</v>
      </c>
      <c r="V162" s="1">
        <v>0</v>
      </c>
      <c r="W162" s="1">
        <v>0</v>
      </c>
      <c r="X162" s="1">
        <v>0</v>
      </c>
    </row>
    <row r="163" spans="1:24" x14ac:dyDescent="0.3">
      <c r="A163" s="1">
        <v>21501</v>
      </c>
      <c r="B163" s="1">
        <v>215</v>
      </c>
      <c r="C163" s="1">
        <v>1</v>
      </c>
      <c r="D163" s="1">
        <v>1</v>
      </c>
      <c r="E163" s="1">
        <v>0</v>
      </c>
      <c r="F163" s="1">
        <v>2</v>
      </c>
      <c r="G163" s="1">
        <v>47</v>
      </c>
      <c r="H163" s="1">
        <v>21</v>
      </c>
      <c r="I163" s="1">
        <v>29</v>
      </c>
      <c r="J163" s="1">
        <v>36</v>
      </c>
      <c r="K163" s="1">
        <v>28</v>
      </c>
      <c r="L163" s="1">
        <v>0</v>
      </c>
      <c r="M163" s="1">
        <v>0</v>
      </c>
      <c r="N163" s="1">
        <v>0</v>
      </c>
      <c r="O163" s="1">
        <v>0</v>
      </c>
      <c r="P163" s="1">
        <v>0</v>
      </c>
      <c r="Q163" s="1">
        <v>0</v>
      </c>
      <c r="R163" s="1" t="s">
        <v>328</v>
      </c>
      <c r="S163" s="1">
        <v>0</v>
      </c>
      <c r="T163" s="1">
        <v>0</v>
      </c>
      <c r="U163" s="1">
        <v>0</v>
      </c>
      <c r="V163" s="1">
        <v>0</v>
      </c>
      <c r="W163" s="1">
        <v>0</v>
      </c>
      <c r="X163" s="1">
        <v>0</v>
      </c>
    </row>
    <row r="164" spans="1:24" x14ac:dyDescent="0.3">
      <c r="A164" s="1">
        <v>21502</v>
      </c>
      <c r="B164" s="1">
        <v>215</v>
      </c>
      <c r="C164" s="1">
        <v>2</v>
      </c>
      <c r="D164" s="1">
        <v>1</v>
      </c>
      <c r="E164" s="1">
        <v>0</v>
      </c>
      <c r="F164" s="1">
        <v>3</v>
      </c>
      <c r="G164" s="1">
        <v>47</v>
      </c>
      <c r="H164" s="1">
        <v>21</v>
      </c>
      <c r="I164" s="1">
        <v>29</v>
      </c>
      <c r="J164" s="1">
        <v>36</v>
      </c>
      <c r="K164" s="1">
        <v>28</v>
      </c>
      <c r="L164" s="1">
        <v>0</v>
      </c>
      <c r="M164" s="1">
        <v>0</v>
      </c>
      <c r="N164" s="1">
        <v>0</v>
      </c>
      <c r="O164" s="1">
        <v>0</v>
      </c>
      <c r="P164" s="1">
        <v>0</v>
      </c>
      <c r="Q164" s="1">
        <v>0</v>
      </c>
      <c r="R164" s="1" t="s">
        <v>328</v>
      </c>
      <c r="S164" s="1">
        <v>0</v>
      </c>
      <c r="T164" s="1">
        <v>0</v>
      </c>
      <c r="U164" s="1">
        <v>0</v>
      </c>
      <c r="V164" s="1">
        <v>0</v>
      </c>
      <c r="W164" s="1">
        <v>0</v>
      </c>
      <c r="X164" s="1">
        <v>0</v>
      </c>
    </row>
    <row r="165" spans="1:24" x14ac:dyDescent="0.3">
      <c r="A165" s="1">
        <v>21503</v>
      </c>
      <c r="B165" s="1">
        <v>215</v>
      </c>
      <c r="C165" s="1">
        <v>3</v>
      </c>
      <c r="D165" s="1">
        <v>1</v>
      </c>
      <c r="E165" s="1">
        <v>0</v>
      </c>
      <c r="F165" s="1">
        <v>4</v>
      </c>
      <c r="G165" s="1">
        <v>47</v>
      </c>
      <c r="H165" s="1">
        <v>21</v>
      </c>
      <c r="I165" s="1">
        <v>29</v>
      </c>
      <c r="J165" s="1">
        <v>36</v>
      </c>
      <c r="K165" s="1">
        <v>28</v>
      </c>
      <c r="L165" s="1">
        <v>0</v>
      </c>
      <c r="M165" s="1">
        <v>0</v>
      </c>
      <c r="N165" s="1">
        <v>0</v>
      </c>
      <c r="O165" s="1">
        <v>0</v>
      </c>
      <c r="P165" s="1">
        <v>0</v>
      </c>
      <c r="Q165" s="1">
        <v>0</v>
      </c>
      <c r="R165" s="1" t="s">
        <v>328</v>
      </c>
      <c r="S165" s="1">
        <v>0</v>
      </c>
      <c r="T165" s="1">
        <v>0</v>
      </c>
      <c r="U165" s="1">
        <v>0</v>
      </c>
      <c r="V165" s="1">
        <v>0</v>
      </c>
      <c r="W165" s="1">
        <v>0</v>
      </c>
      <c r="X165" s="1">
        <v>0</v>
      </c>
    </row>
    <row r="166" spans="1:24" x14ac:dyDescent="0.3">
      <c r="A166" s="1">
        <v>21504</v>
      </c>
      <c r="B166" s="1">
        <v>215</v>
      </c>
      <c r="C166" s="1">
        <v>4</v>
      </c>
      <c r="D166" s="1">
        <v>1</v>
      </c>
      <c r="E166" s="1">
        <v>0</v>
      </c>
      <c r="F166" s="1">
        <v>5</v>
      </c>
      <c r="G166" s="1">
        <v>47</v>
      </c>
      <c r="H166" s="1">
        <v>21</v>
      </c>
      <c r="I166" s="1">
        <v>29</v>
      </c>
      <c r="J166" s="1">
        <v>36</v>
      </c>
      <c r="K166" s="1">
        <v>28</v>
      </c>
      <c r="L166" s="1">
        <v>0</v>
      </c>
      <c r="M166" s="1">
        <v>0</v>
      </c>
      <c r="N166" s="1">
        <v>0</v>
      </c>
      <c r="O166" s="1">
        <v>0</v>
      </c>
      <c r="P166" s="1">
        <v>0</v>
      </c>
      <c r="Q166" s="1">
        <v>0</v>
      </c>
      <c r="R166" s="1" t="s">
        <v>328</v>
      </c>
      <c r="S166" s="1">
        <v>0</v>
      </c>
      <c r="T166" s="1">
        <v>0</v>
      </c>
      <c r="U166" s="1">
        <v>0</v>
      </c>
      <c r="V166" s="1">
        <v>0</v>
      </c>
      <c r="W166" s="1">
        <v>0</v>
      </c>
      <c r="X166" s="1">
        <v>0</v>
      </c>
    </row>
    <row r="167" spans="1:24" x14ac:dyDescent="0.3">
      <c r="A167" s="1">
        <v>21600</v>
      </c>
      <c r="B167" s="1">
        <v>216</v>
      </c>
      <c r="C167" s="1">
        <v>0</v>
      </c>
      <c r="D167" s="1">
        <v>0</v>
      </c>
      <c r="E167" s="1">
        <v>0</v>
      </c>
      <c r="F167" s="1">
        <v>1</v>
      </c>
      <c r="G167" s="1">
        <v>123</v>
      </c>
      <c r="H167" s="1">
        <v>19</v>
      </c>
      <c r="I167" s="1">
        <v>31</v>
      </c>
      <c r="J167" s="1">
        <v>49</v>
      </c>
      <c r="K167" s="1">
        <v>23</v>
      </c>
      <c r="L167" s="1">
        <v>0</v>
      </c>
      <c r="M167" s="1">
        <v>0</v>
      </c>
      <c r="N167" s="1">
        <v>0</v>
      </c>
      <c r="O167" s="1">
        <v>0</v>
      </c>
      <c r="P167" s="1">
        <v>0</v>
      </c>
      <c r="Q167" s="1">
        <v>0</v>
      </c>
      <c r="R167" s="1" t="s">
        <v>328</v>
      </c>
      <c r="S167" s="1">
        <v>0</v>
      </c>
      <c r="T167" s="1">
        <v>0</v>
      </c>
      <c r="U167" s="1">
        <v>0</v>
      </c>
      <c r="V167" s="1">
        <v>0</v>
      </c>
      <c r="W167" s="1">
        <v>0</v>
      </c>
      <c r="X167" s="1">
        <v>0</v>
      </c>
    </row>
    <row r="168" spans="1:24" x14ac:dyDescent="0.3">
      <c r="A168" s="1">
        <v>21601</v>
      </c>
      <c r="B168" s="1">
        <v>216</v>
      </c>
      <c r="C168" s="1">
        <v>1</v>
      </c>
      <c r="D168" s="1">
        <v>1</v>
      </c>
      <c r="E168" s="1">
        <v>0</v>
      </c>
      <c r="F168" s="1">
        <v>2</v>
      </c>
      <c r="G168" s="1">
        <v>123</v>
      </c>
      <c r="H168" s="1">
        <v>19</v>
      </c>
      <c r="I168" s="1">
        <v>31</v>
      </c>
      <c r="J168" s="1">
        <v>49</v>
      </c>
      <c r="K168" s="1">
        <v>23</v>
      </c>
      <c r="L168" s="1">
        <v>0</v>
      </c>
      <c r="M168" s="1">
        <v>0</v>
      </c>
      <c r="N168" s="1">
        <v>0</v>
      </c>
      <c r="O168" s="1">
        <v>0</v>
      </c>
      <c r="P168" s="1">
        <v>0</v>
      </c>
      <c r="Q168" s="1">
        <v>0</v>
      </c>
      <c r="R168" s="1" t="s">
        <v>328</v>
      </c>
      <c r="S168" s="1">
        <v>0</v>
      </c>
      <c r="T168" s="1">
        <v>0</v>
      </c>
      <c r="U168" s="1">
        <v>0</v>
      </c>
      <c r="V168" s="1">
        <v>0</v>
      </c>
      <c r="W168" s="1">
        <v>0</v>
      </c>
      <c r="X168" s="1">
        <v>0</v>
      </c>
    </row>
    <row r="169" spans="1:24" x14ac:dyDescent="0.3">
      <c r="A169" s="1">
        <v>21602</v>
      </c>
      <c r="B169" s="1">
        <v>216</v>
      </c>
      <c r="C169" s="1">
        <v>2</v>
      </c>
      <c r="D169" s="1">
        <v>1</v>
      </c>
      <c r="E169" s="1">
        <v>0</v>
      </c>
      <c r="F169" s="1">
        <v>3</v>
      </c>
      <c r="G169" s="1">
        <v>123</v>
      </c>
      <c r="H169" s="1">
        <v>19</v>
      </c>
      <c r="I169" s="1">
        <v>31</v>
      </c>
      <c r="J169" s="1">
        <v>49</v>
      </c>
      <c r="K169" s="1">
        <v>23</v>
      </c>
      <c r="L169" s="1">
        <v>0</v>
      </c>
      <c r="M169" s="1">
        <v>0</v>
      </c>
      <c r="N169" s="1">
        <v>0</v>
      </c>
      <c r="O169" s="1">
        <v>0</v>
      </c>
      <c r="P169" s="1">
        <v>0</v>
      </c>
      <c r="Q169" s="1">
        <v>0</v>
      </c>
      <c r="R169" s="1" t="s">
        <v>328</v>
      </c>
      <c r="S169" s="1">
        <v>0</v>
      </c>
      <c r="T169" s="1">
        <v>0</v>
      </c>
      <c r="U169" s="1">
        <v>0</v>
      </c>
      <c r="V169" s="1">
        <v>0</v>
      </c>
      <c r="W169" s="1">
        <v>0</v>
      </c>
      <c r="X169" s="1">
        <v>0</v>
      </c>
    </row>
    <row r="170" spans="1:24" x14ac:dyDescent="0.3">
      <c r="A170" s="1">
        <v>21603</v>
      </c>
      <c r="B170" s="1">
        <v>216</v>
      </c>
      <c r="C170" s="1">
        <v>3</v>
      </c>
      <c r="D170" s="1">
        <v>1</v>
      </c>
      <c r="E170" s="1">
        <v>0</v>
      </c>
      <c r="F170" s="1">
        <v>4</v>
      </c>
      <c r="G170" s="1">
        <v>123</v>
      </c>
      <c r="H170" s="1">
        <v>19</v>
      </c>
      <c r="I170" s="1">
        <v>31</v>
      </c>
      <c r="J170" s="1">
        <v>49</v>
      </c>
      <c r="K170" s="1">
        <v>23</v>
      </c>
      <c r="L170" s="1">
        <v>0</v>
      </c>
      <c r="M170" s="1">
        <v>0</v>
      </c>
      <c r="N170" s="1">
        <v>0</v>
      </c>
      <c r="O170" s="1">
        <v>0</v>
      </c>
      <c r="P170" s="1">
        <v>0</v>
      </c>
      <c r="Q170" s="1">
        <v>0</v>
      </c>
      <c r="R170" s="1" t="s">
        <v>328</v>
      </c>
      <c r="S170" s="1">
        <v>0</v>
      </c>
      <c r="T170" s="1">
        <v>0</v>
      </c>
      <c r="U170" s="1">
        <v>0</v>
      </c>
      <c r="V170" s="1">
        <v>0</v>
      </c>
      <c r="W170" s="1">
        <v>0</v>
      </c>
      <c r="X170" s="1">
        <v>0</v>
      </c>
    </row>
    <row r="171" spans="1:24" x14ac:dyDescent="0.3">
      <c r="A171" s="1">
        <v>21604</v>
      </c>
      <c r="B171" s="1">
        <v>216</v>
      </c>
      <c r="C171" s="1">
        <v>4</v>
      </c>
      <c r="D171" s="1">
        <v>1</v>
      </c>
      <c r="E171" s="1">
        <v>0</v>
      </c>
      <c r="F171" s="1">
        <v>5</v>
      </c>
      <c r="G171" s="1">
        <v>123</v>
      </c>
      <c r="H171" s="1">
        <v>19</v>
      </c>
      <c r="I171" s="1">
        <v>31</v>
      </c>
      <c r="J171" s="1">
        <v>49</v>
      </c>
      <c r="K171" s="1">
        <v>23</v>
      </c>
      <c r="L171" s="1">
        <v>0</v>
      </c>
      <c r="M171" s="1">
        <v>0</v>
      </c>
      <c r="N171" s="1">
        <v>0</v>
      </c>
      <c r="O171" s="1">
        <v>0</v>
      </c>
      <c r="P171" s="1">
        <v>0</v>
      </c>
      <c r="Q171" s="1">
        <v>0</v>
      </c>
      <c r="R171" s="1" t="s">
        <v>328</v>
      </c>
      <c r="S171" s="1">
        <v>0</v>
      </c>
      <c r="T171" s="1">
        <v>0</v>
      </c>
      <c r="U171" s="1">
        <v>0</v>
      </c>
      <c r="V171" s="1">
        <v>0</v>
      </c>
      <c r="W171" s="1">
        <v>0</v>
      </c>
      <c r="X171" s="1">
        <v>0</v>
      </c>
    </row>
    <row r="172" spans="1:24" x14ac:dyDescent="0.3">
      <c r="A172">
        <v>21700</v>
      </c>
      <c r="B172">
        <v>217</v>
      </c>
      <c r="C172">
        <v>0</v>
      </c>
      <c r="D172">
        <v>0</v>
      </c>
      <c r="E172">
        <v>0</v>
      </c>
      <c r="F172">
        <v>1</v>
      </c>
      <c r="G172">
        <v>68</v>
      </c>
      <c r="H172">
        <v>13</v>
      </c>
      <c r="I172">
        <v>45</v>
      </c>
      <c r="J172">
        <v>36</v>
      </c>
      <c r="K172">
        <v>53</v>
      </c>
      <c r="L172">
        <v>0</v>
      </c>
      <c r="M172">
        <v>0</v>
      </c>
      <c r="N172">
        <v>0</v>
      </c>
      <c r="O172">
        <v>0</v>
      </c>
      <c r="P172">
        <v>0</v>
      </c>
      <c r="Q172">
        <v>0</v>
      </c>
      <c r="R172" t="s">
        <v>328</v>
      </c>
      <c r="S172">
        <v>0</v>
      </c>
      <c r="T172">
        <v>0</v>
      </c>
      <c r="U172">
        <v>0</v>
      </c>
      <c r="V172">
        <v>0</v>
      </c>
      <c r="W172">
        <v>0</v>
      </c>
      <c r="X172">
        <v>0</v>
      </c>
    </row>
    <row r="173" spans="1:24" x14ac:dyDescent="0.3">
      <c r="A173">
        <v>21701</v>
      </c>
      <c r="B173">
        <v>217</v>
      </c>
      <c r="C173">
        <v>1</v>
      </c>
      <c r="D173">
        <v>1</v>
      </c>
      <c r="E173">
        <v>0</v>
      </c>
      <c r="F173">
        <v>2</v>
      </c>
      <c r="G173">
        <v>68</v>
      </c>
      <c r="H173">
        <v>13</v>
      </c>
      <c r="I173">
        <v>45</v>
      </c>
      <c r="J173">
        <v>36</v>
      </c>
      <c r="K173">
        <v>53</v>
      </c>
      <c r="L173">
        <v>0</v>
      </c>
      <c r="M173">
        <v>0</v>
      </c>
      <c r="N173">
        <v>0</v>
      </c>
      <c r="O173">
        <v>0</v>
      </c>
      <c r="P173">
        <v>0</v>
      </c>
      <c r="Q173">
        <v>0</v>
      </c>
      <c r="R173" t="s">
        <v>328</v>
      </c>
      <c r="S173">
        <v>0</v>
      </c>
      <c r="T173">
        <v>0</v>
      </c>
      <c r="U173">
        <v>0</v>
      </c>
      <c r="V173">
        <v>0</v>
      </c>
      <c r="W173">
        <v>0</v>
      </c>
      <c r="X173">
        <v>0</v>
      </c>
    </row>
    <row r="174" spans="1:24" x14ac:dyDescent="0.3">
      <c r="A174">
        <v>21702</v>
      </c>
      <c r="B174">
        <v>217</v>
      </c>
      <c r="C174">
        <v>2</v>
      </c>
      <c r="D174">
        <v>1</v>
      </c>
      <c r="E174">
        <v>0</v>
      </c>
      <c r="F174">
        <v>3</v>
      </c>
      <c r="G174">
        <v>68</v>
      </c>
      <c r="H174">
        <v>13</v>
      </c>
      <c r="I174">
        <v>45</v>
      </c>
      <c r="J174">
        <v>36</v>
      </c>
      <c r="K174">
        <v>53</v>
      </c>
      <c r="L174">
        <v>0</v>
      </c>
      <c r="M174">
        <v>0</v>
      </c>
      <c r="N174">
        <v>0</v>
      </c>
      <c r="O174">
        <v>0</v>
      </c>
      <c r="P174">
        <v>0</v>
      </c>
      <c r="Q174">
        <v>0</v>
      </c>
      <c r="R174" t="s">
        <v>328</v>
      </c>
      <c r="S174">
        <v>0</v>
      </c>
      <c r="T174">
        <v>0</v>
      </c>
      <c r="U174">
        <v>0</v>
      </c>
      <c r="V174">
        <v>0</v>
      </c>
      <c r="W174">
        <v>0</v>
      </c>
      <c r="X174">
        <v>0</v>
      </c>
    </row>
    <row r="175" spans="1:24" x14ac:dyDescent="0.3">
      <c r="A175">
        <v>21703</v>
      </c>
      <c r="B175">
        <v>217</v>
      </c>
      <c r="C175">
        <v>3</v>
      </c>
      <c r="D175">
        <v>1</v>
      </c>
      <c r="E175">
        <v>0</v>
      </c>
      <c r="F175">
        <v>4</v>
      </c>
      <c r="G175">
        <v>68</v>
      </c>
      <c r="H175">
        <v>13</v>
      </c>
      <c r="I175">
        <v>45</v>
      </c>
      <c r="J175">
        <v>36</v>
      </c>
      <c r="K175">
        <v>53</v>
      </c>
      <c r="L175">
        <v>0</v>
      </c>
      <c r="M175">
        <v>0</v>
      </c>
      <c r="N175">
        <v>0</v>
      </c>
      <c r="O175">
        <v>0</v>
      </c>
      <c r="P175">
        <v>0</v>
      </c>
      <c r="Q175">
        <v>0</v>
      </c>
      <c r="R175" t="s">
        <v>328</v>
      </c>
      <c r="S175">
        <v>0</v>
      </c>
      <c r="T175">
        <v>0</v>
      </c>
      <c r="U175">
        <v>0</v>
      </c>
      <c r="V175">
        <v>0</v>
      </c>
      <c r="W175">
        <v>0</v>
      </c>
      <c r="X175">
        <v>0</v>
      </c>
    </row>
    <row r="176" spans="1:24" x14ac:dyDescent="0.3">
      <c r="A176">
        <v>21704</v>
      </c>
      <c r="B176">
        <v>217</v>
      </c>
      <c r="C176">
        <v>4</v>
      </c>
      <c r="D176">
        <v>1</v>
      </c>
      <c r="E176">
        <v>0</v>
      </c>
      <c r="F176">
        <v>5</v>
      </c>
      <c r="G176">
        <v>68</v>
      </c>
      <c r="H176">
        <v>13</v>
      </c>
      <c r="I176">
        <v>45</v>
      </c>
      <c r="J176">
        <v>36</v>
      </c>
      <c r="K176">
        <v>53</v>
      </c>
      <c r="L176">
        <v>0</v>
      </c>
      <c r="M176">
        <v>0</v>
      </c>
      <c r="N176">
        <v>0</v>
      </c>
      <c r="O176">
        <v>0</v>
      </c>
      <c r="P176">
        <v>0</v>
      </c>
      <c r="Q176">
        <v>0</v>
      </c>
      <c r="R176" t="s">
        <v>328</v>
      </c>
      <c r="S176">
        <v>0</v>
      </c>
      <c r="T176">
        <v>0</v>
      </c>
      <c r="U176">
        <v>0</v>
      </c>
      <c r="V176">
        <v>0</v>
      </c>
      <c r="W176">
        <v>0</v>
      </c>
      <c r="X176">
        <v>0</v>
      </c>
    </row>
    <row r="177" spans="1:24" x14ac:dyDescent="0.3">
      <c r="A177" s="1">
        <v>30100</v>
      </c>
      <c r="B177" s="1">
        <v>301</v>
      </c>
      <c r="C177" s="1">
        <v>0</v>
      </c>
      <c r="D177" s="1">
        <v>0</v>
      </c>
      <c r="E177" s="1">
        <v>0</v>
      </c>
      <c r="F177" s="1">
        <v>1</v>
      </c>
      <c r="G177" s="1">
        <v>58</v>
      </c>
      <c r="H177" s="1">
        <v>10</v>
      </c>
      <c r="I177" s="1">
        <v>41</v>
      </c>
      <c r="J177" s="1">
        <v>18</v>
      </c>
      <c r="K177" s="1">
        <v>68</v>
      </c>
      <c r="L177" s="1">
        <v>0</v>
      </c>
      <c r="M177" s="1">
        <v>0</v>
      </c>
      <c r="N177" s="1">
        <v>0</v>
      </c>
      <c r="O177" s="1">
        <v>0</v>
      </c>
      <c r="P177" s="1">
        <v>0</v>
      </c>
      <c r="Q177" s="1">
        <v>0</v>
      </c>
      <c r="R177" s="1" t="s">
        <v>328</v>
      </c>
      <c r="S177" s="1">
        <v>0</v>
      </c>
      <c r="T177" s="1">
        <v>0</v>
      </c>
      <c r="U177" s="1">
        <v>0</v>
      </c>
      <c r="V177" s="1">
        <v>0</v>
      </c>
      <c r="W177" s="1">
        <v>0</v>
      </c>
      <c r="X177" s="1">
        <v>0</v>
      </c>
    </row>
    <row r="178" spans="1:24" x14ac:dyDescent="0.3">
      <c r="A178" s="1">
        <v>30101</v>
      </c>
      <c r="B178" s="1">
        <v>301</v>
      </c>
      <c r="C178" s="1">
        <v>1</v>
      </c>
      <c r="D178" s="1">
        <v>1</v>
      </c>
      <c r="E178" s="1">
        <v>0</v>
      </c>
      <c r="F178" s="1">
        <v>2</v>
      </c>
      <c r="G178" s="1">
        <v>58</v>
      </c>
      <c r="H178" s="1">
        <v>10</v>
      </c>
      <c r="I178" s="1">
        <v>41</v>
      </c>
      <c r="J178" s="1">
        <v>18</v>
      </c>
      <c r="K178" s="1">
        <v>68</v>
      </c>
      <c r="L178" s="1">
        <v>0</v>
      </c>
      <c r="M178" s="1">
        <v>0</v>
      </c>
      <c r="N178" s="1">
        <v>0</v>
      </c>
      <c r="O178" s="1">
        <v>0</v>
      </c>
      <c r="P178" s="1">
        <v>0</v>
      </c>
      <c r="Q178" s="1">
        <v>0</v>
      </c>
      <c r="R178" s="1" t="s">
        <v>328</v>
      </c>
      <c r="S178" s="1">
        <v>0</v>
      </c>
      <c r="T178" s="1">
        <v>0</v>
      </c>
      <c r="U178" s="1">
        <v>0</v>
      </c>
      <c r="V178" s="1">
        <v>0</v>
      </c>
      <c r="W178" s="1">
        <v>0</v>
      </c>
      <c r="X178" s="1">
        <v>0</v>
      </c>
    </row>
    <row r="179" spans="1:24" x14ac:dyDescent="0.3">
      <c r="A179" s="1">
        <v>30102</v>
      </c>
      <c r="B179" s="1">
        <v>301</v>
      </c>
      <c r="C179" s="1">
        <v>2</v>
      </c>
      <c r="D179" s="1">
        <v>1</v>
      </c>
      <c r="E179" s="1">
        <v>0</v>
      </c>
      <c r="F179" s="1">
        <v>3</v>
      </c>
      <c r="G179" s="1">
        <v>58</v>
      </c>
      <c r="H179" s="1">
        <v>10</v>
      </c>
      <c r="I179" s="1">
        <v>41</v>
      </c>
      <c r="J179" s="1">
        <v>18</v>
      </c>
      <c r="K179" s="1">
        <v>68</v>
      </c>
      <c r="L179" s="1">
        <v>0</v>
      </c>
      <c r="M179" s="1">
        <v>0</v>
      </c>
      <c r="N179" s="1">
        <v>0</v>
      </c>
      <c r="O179" s="1">
        <v>0</v>
      </c>
      <c r="P179" s="1">
        <v>0</v>
      </c>
      <c r="Q179" s="1">
        <v>0</v>
      </c>
      <c r="R179" s="1" t="s">
        <v>328</v>
      </c>
      <c r="S179" s="1">
        <v>0</v>
      </c>
      <c r="T179" s="1">
        <v>0</v>
      </c>
      <c r="U179" s="1">
        <v>0</v>
      </c>
      <c r="V179" s="1">
        <v>0</v>
      </c>
      <c r="W179" s="1">
        <v>0</v>
      </c>
      <c r="X179" s="1">
        <v>0</v>
      </c>
    </row>
    <row r="180" spans="1:24" x14ac:dyDescent="0.3">
      <c r="A180" s="1">
        <v>30103</v>
      </c>
      <c r="B180" s="1">
        <v>301</v>
      </c>
      <c r="C180" s="1">
        <v>3</v>
      </c>
      <c r="D180" s="1">
        <v>1</v>
      </c>
      <c r="E180" s="1">
        <v>0</v>
      </c>
      <c r="F180" s="1">
        <v>4</v>
      </c>
      <c r="G180" s="1">
        <v>58</v>
      </c>
      <c r="H180" s="1">
        <v>10</v>
      </c>
      <c r="I180" s="1">
        <v>41</v>
      </c>
      <c r="J180" s="1">
        <v>18</v>
      </c>
      <c r="K180" s="1">
        <v>68</v>
      </c>
      <c r="L180" s="1">
        <v>0</v>
      </c>
      <c r="M180" s="1">
        <v>0</v>
      </c>
      <c r="N180" s="1">
        <v>0</v>
      </c>
      <c r="O180" s="1">
        <v>0</v>
      </c>
      <c r="P180" s="1">
        <v>0</v>
      </c>
      <c r="Q180" s="1">
        <v>0</v>
      </c>
      <c r="R180" s="1" t="s">
        <v>328</v>
      </c>
      <c r="S180" s="1">
        <v>0</v>
      </c>
      <c r="T180" s="1">
        <v>0</v>
      </c>
      <c r="U180" s="1">
        <v>0</v>
      </c>
      <c r="V180" s="1">
        <v>0</v>
      </c>
      <c r="W180" s="1">
        <v>0</v>
      </c>
      <c r="X180" s="1">
        <v>0</v>
      </c>
    </row>
    <row r="181" spans="1:24" x14ac:dyDescent="0.3">
      <c r="A181" s="1">
        <v>30104</v>
      </c>
      <c r="B181" s="1">
        <v>301</v>
      </c>
      <c r="C181" s="1">
        <v>4</v>
      </c>
      <c r="D181" s="1">
        <v>1</v>
      </c>
      <c r="E181" s="1">
        <v>0</v>
      </c>
      <c r="F181" s="1">
        <v>5</v>
      </c>
      <c r="G181" s="1">
        <v>58</v>
      </c>
      <c r="H181" s="1">
        <v>10</v>
      </c>
      <c r="I181" s="1">
        <v>41</v>
      </c>
      <c r="J181" s="1">
        <v>18</v>
      </c>
      <c r="K181" s="1">
        <v>68</v>
      </c>
      <c r="L181" s="1">
        <v>0</v>
      </c>
      <c r="M181" s="1">
        <v>0</v>
      </c>
      <c r="N181" s="1">
        <v>0</v>
      </c>
      <c r="O181" s="1">
        <v>0</v>
      </c>
      <c r="P181" s="1">
        <v>0</v>
      </c>
      <c r="Q181" s="1">
        <v>0</v>
      </c>
      <c r="R181" s="1" t="s">
        <v>328</v>
      </c>
      <c r="S181" s="1">
        <v>0</v>
      </c>
      <c r="T181" s="1">
        <v>0</v>
      </c>
      <c r="U181" s="1">
        <v>0</v>
      </c>
      <c r="V181" s="1">
        <v>0</v>
      </c>
      <c r="W181" s="1">
        <v>0</v>
      </c>
      <c r="X181" s="1">
        <v>0</v>
      </c>
    </row>
    <row r="182" spans="1:24" x14ac:dyDescent="0.3">
      <c r="A182" s="1">
        <v>30200</v>
      </c>
      <c r="B182" s="1">
        <v>302</v>
      </c>
      <c r="C182" s="1">
        <v>0</v>
      </c>
      <c r="D182" s="1">
        <v>0</v>
      </c>
      <c r="E182" s="1">
        <v>0</v>
      </c>
      <c r="F182" s="1">
        <v>1</v>
      </c>
      <c r="G182" s="1">
        <v>53</v>
      </c>
      <c r="H182" s="1">
        <v>14</v>
      </c>
      <c r="I182" s="1">
        <v>41</v>
      </c>
      <c r="J182" s="1">
        <v>35</v>
      </c>
      <c r="K182" s="1">
        <v>47</v>
      </c>
      <c r="L182" s="1">
        <v>0</v>
      </c>
      <c r="M182" s="1">
        <v>0</v>
      </c>
      <c r="N182" s="1">
        <v>0</v>
      </c>
      <c r="O182" s="1">
        <v>0</v>
      </c>
      <c r="P182" s="1">
        <v>0</v>
      </c>
      <c r="Q182" s="1">
        <v>0</v>
      </c>
      <c r="R182" s="1" t="s">
        <v>328</v>
      </c>
      <c r="S182" s="1">
        <v>0</v>
      </c>
      <c r="T182" s="1">
        <v>0</v>
      </c>
      <c r="U182" s="1">
        <v>0</v>
      </c>
      <c r="V182" s="1">
        <v>0</v>
      </c>
      <c r="W182" s="1">
        <v>0</v>
      </c>
      <c r="X182" s="1">
        <v>0</v>
      </c>
    </row>
    <row r="183" spans="1:24" x14ac:dyDescent="0.3">
      <c r="A183" s="1">
        <v>30201</v>
      </c>
      <c r="B183" s="1">
        <v>302</v>
      </c>
      <c r="C183" s="1">
        <v>1</v>
      </c>
      <c r="D183" s="1">
        <v>1</v>
      </c>
      <c r="E183" s="1">
        <v>0</v>
      </c>
      <c r="F183" s="1">
        <v>2</v>
      </c>
      <c r="G183" s="1">
        <v>53</v>
      </c>
      <c r="H183" s="1">
        <v>14</v>
      </c>
      <c r="I183" s="1">
        <v>41</v>
      </c>
      <c r="J183" s="1">
        <v>35</v>
      </c>
      <c r="K183" s="1">
        <v>47</v>
      </c>
      <c r="L183" s="1">
        <v>0</v>
      </c>
      <c r="M183" s="1">
        <v>0</v>
      </c>
      <c r="N183" s="1">
        <v>0</v>
      </c>
      <c r="O183" s="1">
        <v>0</v>
      </c>
      <c r="P183" s="1">
        <v>0</v>
      </c>
      <c r="Q183" s="1">
        <v>0</v>
      </c>
      <c r="R183" s="1" t="s">
        <v>328</v>
      </c>
      <c r="S183" s="1">
        <v>0</v>
      </c>
      <c r="T183" s="1">
        <v>0</v>
      </c>
      <c r="U183" s="1">
        <v>0</v>
      </c>
      <c r="V183" s="1">
        <v>0</v>
      </c>
      <c r="W183" s="1">
        <v>0</v>
      </c>
      <c r="X183" s="1">
        <v>0</v>
      </c>
    </row>
    <row r="184" spans="1:24" x14ac:dyDescent="0.3">
      <c r="A184" s="1">
        <v>30202</v>
      </c>
      <c r="B184" s="1">
        <v>302</v>
      </c>
      <c r="C184" s="1">
        <v>2</v>
      </c>
      <c r="D184" s="1">
        <v>1</v>
      </c>
      <c r="E184" s="1">
        <v>0</v>
      </c>
      <c r="F184" s="1">
        <v>3</v>
      </c>
      <c r="G184" s="1">
        <v>53</v>
      </c>
      <c r="H184" s="1">
        <v>14</v>
      </c>
      <c r="I184" s="1">
        <v>41</v>
      </c>
      <c r="J184" s="1">
        <v>35</v>
      </c>
      <c r="K184" s="1">
        <v>47</v>
      </c>
      <c r="L184" s="1">
        <v>0</v>
      </c>
      <c r="M184" s="1">
        <v>0</v>
      </c>
      <c r="N184" s="1">
        <v>0</v>
      </c>
      <c r="O184" s="1">
        <v>0</v>
      </c>
      <c r="P184" s="1">
        <v>0</v>
      </c>
      <c r="Q184" s="1">
        <v>0</v>
      </c>
      <c r="R184" s="1" t="s">
        <v>328</v>
      </c>
      <c r="S184" s="1">
        <v>0</v>
      </c>
      <c r="T184" s="1">
        <v>0</v>
      </c>
      <c r="U184" s="1">
        <v>0</v>
      </c>
      <c r="V184" s="1">
        <v>0</v>
      </c>
      <c r="W184" s="1">
        <v>0</v>
      </c>
      <c r="X184" s="1">
        <v>0</v>
      </c>
    </row>
    <row r="185" spans="1:24" x14ac:dyDescent="0.3">
      <c r="A185" s="1">
        <v>30203</v>
      </c>
      <c r="B185" s="1">
        <v>302</v>
      </c>
      <c r="C185" s="1">
        <v>3</v>
      </c>
      <c r="D185" s="1">
        <v>1</v>
      </c>
      <c r="E185" s="1">
        <v>0</v>
      </c>
      <c r="F185" s="1">
        <v>4</v>
      </c>
      <c r="G185" s="1">
        <v>53</v>
      </c>
      <c r="H185" s="1">
        <v>14</v>
      </c>
      <c r="I185" s="1">
        <v>41</v>
      </c>
      <c r="J185" s="1">
        <v>35</v>
      </c>
      <c r="K185" s="1">
        <v>47</v>
      </c>
      <c r="L185" s="1">
        <v>0</v>
      </c>
      <c r="M185" s="1">
        <v>0</v>
      </c>
      <c r="N185" s="1">
        <v>0</v>
      </c>
      <c r="O185" s="1">
        <v>0</v>
      </c>
      <c r="P185" s="1">
        <v>0</v>
      </c>
      <c r="Q185" s="1">
        <v>0</v>
      </c>
      <c r="R185" s="1" t="s">
        <v>328</v>
      </c>
      <c r="S185" s="1">
        <v>0</v>
      </c>
      <c r="T185" s="1">
        <v>0</v>
      </c>
      <c r="U185" s="1">
        <v>0</v>
      </c>
      <c r="V185" s="1">
        <v>0</v>
      </c>
      <c r="W185" s="1">
        <v>0</v>
      </c>
      <c r="X185" s="1">
        <v>0</v>
      </c>
    </row>
    <row r="186" spans="1:24" x14ac:dyDescent="0.3">
      <c r="A186" s="1">
        <v>30204</v>
      </c>
      <c r="B186" s="1">
        <v>302</v>
      </c>
      <c r="C186" s="1">
        <v>4</v>
      </c>
      <c r="D186" s="1">
        <v>1</v>
      </c>
      <c r="E186" s="1">
        <v>0</v>
      </c>
      <c r="F186" s="1">
        <v>5</v>
      </c>
      <c r="G186" s="1">
        <v>53</v>
      </c>
      <c r="H186" s="1">
        <v>14</v>
      </c>
      <c r="I186" s="1">
        <v>41</v>
      </c>
      <c r="J186" s="1">
        <v>35</v>
      </c>
      <c r="K186" s="1">
        <v>47</v>
      </c>
      <c r="L186" s="1">
        <v>0</v>
      </c>
      <c r="M186" s="1">
        <v>0</v>
      </c>
      <c r="N186" s="1">
        <v>0</v>
      </c>
      <c r="O186" s="1">
        <v>0</v>
      </c>
      <c r="P186" s="1">
        <v>0</v>
      </c>
      <c r="Q186" s="1">
        <v>0</v>
      </c>
      <c r="R186" s="1" t="s">
        <v>328</v>
      </c>
      <c r="S186" s="1">
        <v>0</v>
      </c>
      <c r="T186" s="1">
        <v>0</v>
      </c>
      <c r="U186" s="1">
        <v>0</v>
      </c>
      <c r="V186" s="1">
        <v>0</v>
      </c>
      <c r="W186" s="1">
        <v>0</v>
      </c>
      <c r="X186" s="1">
        <v>0</v>
      </c>
    </row>
    <row r="187" spans="1:24" x14ac:dyDescent="0.3">
      <c r="A187" s="1">
        <v>30300</v>
      </c>
      <c r="B187" s="1">
        <v>303</v>
      </c>
      <c r="C187" s="1">
        <v>0</v>
      </c>
      <c r="D187" s="1">
        <v>0</v>
      </c>
      <c r="E187" s="1">
        <v>0</v>
      </c>
      <c r="F187" s="1">
        <v>1</v>
      </c>
      <c r="G187" s="1">
        <v>78</v>
      </c>
      <c r="H187" s="1">
        <v>12</v>
      </c>
      <c r="I187" s="1">
        <v>31</v>
      </c>
      <c r="J187" s="1">
        <v>38</v>
      </c>
      <c r="K187" s="1">
        <v>40</v>
      </c>
      <c r="L187" s="1">
        <v>0</v>
      </c>
      <c r="M187" s="1">
        <v>0</v>
      </c>
      <c r="N187" s="1">
        <v>0</v>
      </c>
      <c r="O187" s="1">
        <v>0</v>
      </c>
      <c r="P187" s="1">
        <v>0</v>
      </c>
      <c r="Q187" s="1">
        <v>0</v>
      </c>
      <c r="R187" s="1" t="s">
        <v>328</v>
      </c>
      <c r="S187" s="1">
        <v>0</v>
      </c>
      <c r="T187" s="1">
        <v>0</v>
      </c>
      <c r="U187" s="1">
        <v>0</v>
      </c>
      <c r="V187" s="1">
        <v>0</v>
      </c>
      <c r="W187" s="1">
        <v>0</v>
      </c>
      <c r="X187" s="1">
        <v>0</v>
      </c>
    </row>
    <row r="188" spans="1:24" x14ac:dyDescent="0.3">
      <c r="A188" s="1">
        <v>30301</v>
      </c>
      <c r="B188" s="1">
        <v>303</v>
      </c>
      <c r="C188" s="1">
        <v>1</v>
      </c>
      <c r="D188" s="1">
        <v>1</v>
      </c>
      <c r="E188" s="1">
        <v>0</v>
      </c>
      <c r="F188" s="1">
        <v>2</v>
      </c>
      <c r="G188" s="1">
        <v>78</v>
      </c>
      <c r="H188" s="1">
        <v>12</v>
      </c>
      <c r="I188" s="1">
        <v>31</v>
      </c>
      <c r="J188" s="1">
        <v>38</v>
      </c>
      <c r="K188" s="1">
        <v>40</v>
      </c>
      <c r="L188" s="1">
        <v>0</v>
      </c>
      <c r="M188" s="1">
        <v>0</v>
      </c>
      <c r="N188" s="1">
        <v>0</v>
      </c>
      <c r="O188" s="1">
        <v>0</v>
      </c>
      <c r="P188" s="1">
        <v>0</v>
      </c>
      <c r="Q188" s="1">
        <v>0</v>
      </c>
      <c r="R188" s="1" t="s">
        <v>328</v>
      </c>
      <c r="S188" s="1">
        <v>0</v>
      </c>
      <c r="T188" s="1">
        <v>0</v>
      </c>
      <c r="U188" s="1">
        <v>0</v>
      </c>
      <c r="V188" s="1">
        <v>0</v>
      </c>
      <c r="W188" s="1">
        <v>0</v>
      </c>
      <c r="X188" s="1">
        <v>0</v>
      </c>
    </row>
    <row r="189" spans="1:24" x14ac:dyDescent="0.3">
      <c r="A189" s="1">
        <v>30302</v>
      </c>
      <c r="B189" s="1">
        <v>303</v>
      </c>
      <c r="C189" s="1">
        <v>2</v>
      </c>
      <c r="D189" s="1">
        <v>1</v>
      </c>
      <c r="E189" s="1">
        <v>0</v>
      </c>
      <c r="F189" s="1">
        <v>3</v>
      </c>
      <c r="G189" s="1">
        <v>78</v>
      </c>
      <c r="H189" s="1">
        <v>12</v>
      </c>
      <c r="I189" s="1">
        <v>31</v>
      </c>
      <c r="J189" s="1">
        <v>38</v>
      </c>
      <c r="K189" s="1">
        <v>40</v>
      </c>
      <c r="L189" s="1">
        <v>0</v>
      </c>
      <c r="M189" s="1">
        <v>0</v>
      </c>
      <c r="N189" s="1">
        <v>0</v>
      </c>
      <c r="O189" s="1">
        <v>0</v>
      </c>
      <c r="P189" s="1">
        <v>0</v>
      </c>
      <c r="Q189" s="1">
        <v>0</v>
      </c>
      <c r="R189" s="1" t="s">
        <v>328</v>
      </c>
      <c r="S189" s="1">
        <v>0</v>
      </c>
      <c r="T189" s="1">
        <v>0</v>
      </c>
      <c r="U189" s="1">
        <v>0</v>
      </c>
      <c r="V189" s="1">
        <v>0</v>
      </c>
      <c r="W189" s="1">
        <v>0</v>
      </c>
      <c r="X189" s="1">
        <v>0</v>
      </c>
    </row>
    <row r="190" spans="1:24" x14ac:dyDescent="0.3">
      <c r="A190" s="1">
        <v>30303</v>
      </c>
      <c r="B190" s="1">
        <v>303</v>
      </c>
      <c r="C190" s="1">
        <v>3</v>
      </c>
      <c r="D190" s="1">
        <v>1</v>
      </c>
      <c r="E190" s="1">
        <v>0</v>
      </c>
      <c r="F190" s="1">
        <v>4</v>
      </c>
      <c r="G190" s="1">
        <v>78</v>
      </c>
      <c r="H190" s="1">
        <v>12</v>
      </c>
      <c r="I190" s="1">
        <v>31</v>
      </c>
      <c r="J190" s="1">
        <v>38</v>
      </c>
      <c r="K190" s="1">
        <v>40</v>
      </c>
      <c r="L190" s="1">
        <v>0</v>
      </c>
      <c r="M190" s="1">
        <v>0</v>
      </c>
      <c r="N190" s="1">
        <v>0</v>
      </c>
      <c r="O190" s="1">
        <v>0</v>
      </c>
      <c r="P190" s="1">
        <v>0</v>
      </c>
      <c r="Q190" s="1">
        <v>0</v>
      </c>
      <c r="R190" s="1" t="s">
        <v>328</v>
      </c>
      <c r="S190" s="1">
        <v>0</v>
      </c>
      <c r="T190" s="1">
        <v>0</v>
      </c>
      <c r="U190" s="1">
        <v>0</v>
      </c>
      <c r="V190" s="1">
        <v>0</v>
      </c>
      <c r="W190" s="1">
        <v>0</v>
      </c>
      <c r="X190" s="1">
        <v>0</v>
      </c>
    </row>
    <row r="191" spans="1:24" x14ac:dyDescent="0.3">
      <c r="A191" s="1">
        <v>30304</v>
      </c>
      <c r="B191" s="1">
        <v>303</v>
      </c>
      <c r="C191" s="1">
        <v>4</v>
      </c>
      <c r="D191" s="1">
        <v>1</v>
      </c>
      <c r="E191" s="1">
        <v>0</v>
      </c>
      <c r="F191" s="1">
        <v>5</v>
      </c>
      <c r="G191" s="1">
        <v>78</v>
      </c>
      <c r="H191" s="1">
        <v>12</v>
      </c>
      <c r="I191" s="1">
        <v>31</v>
      </c>
      <c r="J191" s="1">
        <v>38</v>
      </c>
      <c r="K191" s="1">
        <v>40</v>
      </c>
      <c r="L191" s="1">
        <v>0</v>
      </c>
      <c r="M191" s="1">
        <v>0</v>
      </c>
      <c r="N191" s="1">
        <v>0</v>
      </c>
      <c r="O191" s="1">
        <v>0</v>
      </c>
      <c r="P191" s="1">
        <v>0</v>
      </c>
      <c r="Q191" s="1">
        <v>0</v>
      </c>
      <c r="R191" s="1" t="s">
        <v>328</v>
      </c>
      <c r="S191" s="1">
        <v>0</v>
      </c>
      <c r="T191" s="1">
        <v>0</v>
      </c>
      <c r="U191" s="1">
        <v>0</v>
      </c>
      <c r="V191" s="1">
        <v>0</v>
      </c>
      <c r="W191" s="1">
        <v>0</v>
      </c>
      <c r="X191" s="1">
        <v>0</v>
      </c>
    </row>
    <row r="192" spans="1:24" x14ac:dyDescent="0.3">
      <c r="A192" s="1">
        <v>30400</v>
      </c>
      <c r="B192" s="1">
        <v>304</v>
      </c>
      <c r="C192" s="1">
        <v>0</v>
      </c>
      <c r="D192" s="1">
        <v>0</v>
      </c>
      <c r="E192" s="1">
        <v>0</v>
      </c>
      <c r="F192" s="1">
        <v>1</v>
      </c>
      <c r="G192" s="1">
        <v>38</v>
      </c>
      <c r="H192" s="1">
        <v>17</v>
      </c>
      <c r="I192" s="1">
        <v>28</v>
      </c>
      <c r="J192" s="1">
        <v>35</v>
      </c>
      <c r="K192" s="1">
        <v>31</v>
      </c>
      <c r="L192" s="1">
        <v>0</v>
      </c>
      <c r="M192" s="1">
        <v>0</v>
      </c>
      <c r="N192" s="1">
        <v>0</v>
      </c>
      <c r="O192" s="1">
        <v>0</v>
      </c>
      <c r="P192" s="1">
        <v>0</v>
      </c>
      <c r="Q192" s="1">
        <v>0</v>
      </c>
      <c r="R192" s="1" t="s">
        <v>328</v>
      </c>
      <c r="S192" s="1">
        <v>0</v>
      </c>
      <c r="T192" s="1">
        <v>0</v>
      </c>
      <c r="U192" s="1">
        <v>0</v>
      </c>
      <c r="V192" s="1">
        <v>0</v>
      </c>
      <c r="W192" s="1">
        <v>0</v>
      </c>
      <c r="X192" s="1">
        <v>0</v>
      </c>
    </row>
    <row r="193" spans="1:24" x14ac:dyDescent="0.3">
      <c r="A193" s="1">
        <v>30401</v>
      </c>
      <c r="B193" s="1">
        <v>304</v>
      </c>
      <c r="C193" s="1">
        <v>1</v>
      </c>
      <c r="D193" s="1">
        <v>1</v>
      </c>
      <c r="E193" s="1">
        <v>0</v>
      </c>
      <c r="F193" s="1">
        <v>2</v>
      </c>
      <c r="G193" s="1">
        <v>38</v>
      </c>
      <c r="H193" s="1">
        <v>17</v>
      </c>
      <c r="I193" s="1">
        <v>28</v>
      </c>
      <c r="J193" s="1">
        <v>35</v>
      </c>
      <c r="K193" s="1">
        <v>31</v>
      </c>
      <c r="L193" s="1">
        <v>0</v>
      </c>
      <c r="M193" s="1">
        <v>0</v>
      </c>
      <c r="N193" s="1">
        <v>0</v>
      </c>
      <c r="O193" s="1">
        <v>0</v>
      </c>
      <c r="P193" s="1">
        <v>0</v>
      </c>
      <c r="Q193" s="1">
        <v>0</v>
      </c>
      <c r="R193" s="1" t="s">
        <v>328</v>
      </c>
      <c r="S193" s="1">
        <v>0</v>
      </c>
      <c r="T193" s="1">
        <v>0</v>
      </c>
      <c r="U193" s="1">
        <v>0</v>
      </c>
      <c r="V193" s="1">
        <v>0</v>
      </c>
      <c r="W193" s="1">
        <v>0</v>
      </c>
      <c r="X193" s="1">
        <v>0</v>
      </c>
    </row>
    <row r="194" spans="1:24" x14ac:dyDescent="0.3">
      <c r="A194" s="1">
        <v>30402</v>
      </c>
      <c r="B194" s="1">
        <v>304</v>
      </c>
      <c r="C194" s="1">
        <v>2</v>
      </c>
      <c r="D194" s="1">
        <v>1</v>
      </c>
      <c r="E194" s="1">
        <v>0</v>
      </c>
      <c r="F194" s="1">
        <v>3</v>
      </c>
      <c r="G194" s="1">
        <v>38</v>
      </c>
      <c r="H194" s="1">
        <v>17</v>
      </c>
      <c r="I194" s="1">
        <v>28</v>
      </c>
      <c r="J194" s="1">
        <v>35</v>
      </c>
      <c r="K194" s="1">
        <v>31</v>
      </c>
      <c r="L194" s="1">
        <v>0</v>
      </c>
      <c r="M194" s="1">
        <v>0</v>
      </c>
      <c r="N194" s="1">
        <v>0</v>
      </c>
      <c r="O194" s="1">
        <v>0</v>
      </c>
      <c r="P194" s="1">
        <v>0</v>
      </c>
      <c r="Q194" s="1">
        <v>0</v>
      </c>
      <c r="R194" s="1" t="s">
        <v>328</v>
      </c>
      <c r="S194" s="1">
        <v>0</v>
      </c>
      <c r="T194" s="1">
        <v>0</v>
      </c>
      <c r="U194" s="1">
        <v>0</v>
      </c>
      <c r="V194" s="1">
        <v>0</v>
      </c>
      <c r="W194" s="1">
        <v>0</v>
      </c>
      <c r="X194" s="1">
        <v>0</v>
      </c>
    </row>
    <row r="195" spans="1:24" x14ac:dyDescent="0.3">
      <c r="A195" s="1">
        <v>30403</v>
      </c>
      <c r="B195" s="1">
        <v>304</v>
      </c>
      <c r="C195" s="1">
        <v>3</v>
      </c>
      <c r="D195" s="1">
        <v>1</v>
      </c>
      <c r="E195" s="1">
        <v>0</v>
      </c>
      <c r="F195" s="1">
        <v>4</v>
      </c>
      <c r="G195" s="1">
        <v>38</v>
      </c>
      <c r="H195" s="1">
        <v>17</v>
      </c>
      <c r="I195" s="1">
        <v>28</v>
      </c>
      <c r="J195" s="1">
        <v>35</v>
      </c>
      <c r="K195" s="1">
        <v>31</v>
      </c>
      <c r="L195" s="1">
        <v>0</v>
      </c>
      <c r="M195" s="1">
        <v>0</v>
      </c>
      <c r="N195" s="1">
        <v>0</v>
      </c>
      <c r="O195" s="1">
        <v>0</v>
      </c>
      <c r="P195" s="1">
        <v>0</v>
      </c>
      <c r="Q195" s="1">
        <v>0</v>
      </c>
      <c r="R195" s="1" t="s">
        <v>328</v>
      </c>
      <c r="S195" s="1">
        <v>0</v>
      </c>
      <c r="T195" s="1">
        <v>0</v>
      </c>
      <c r="U195" s="1">
        <v>0</v>
      </c>
      <c r="V195" s="1">
        <v>0</v>
      </c>
      <c r="W195" s="1">
        <v>0</v>
      </c>
      <c r="X195" s="1">
        <v>0</v>
      </c>
    </row>
    <row r="196" spans="1:24" x14ac:dyDescent="0.3">
      <c r="A196" s="1">
        <v>30404</v>
      </c>
      <c r="B196" s="1">
        <v>304</v>
      </c>
      <c r="C196" s="1">
        <v>4</v>
      </c>
      <c r="D196" s="1">
        <v>1</v>
      </c>
      <c r="E196" s="1">
        <v>0</v>
      </c>
      <c r="F196" s="1">
        <v>5</v>
      </c>
      <c r="G196" s="1">
        <v>38</v>
      </c>
      <c r="H196" s="1">
        <v>17</v>
      </c>
      <c r="I196" s="1">
        <v>28</v>
      </c>
      <c r="J196" s="1">
        <v>35</v>
      </c>
      <c r="K196" s="1">
        <v>31</v>
      </c>
      <c r="L196" s="1">
        <v>0</v>
      </c>
      <c r="M196" s="1">
        <v>0</v>
      </c>
      <c r="N196" s="1">
        <v>0</v>
      </c>
      <c r="O196" s="1">
        <v>0</v>
      </c>
      <c r="P196" s="1">
        <v>0</v>
      </c>
      <c r="Q196" s="1">
        <v>0</v>
      </c>
      <c r="R196" s="1" t="s">
        <v>328</v>
      </c>
      <c r="S196" s="1">
        <v>0</v>
      </c>
      <c r="T196" s="1">
        <v>0</v>
      </c>
      <c r="U196" s="1">
        <v>0</v>
      </c>
      <c r="V196" s="1">
        <v>0</v>
      </c>
      <c r="W196" s="1">
        <v>0</v>
      </c>
      <c r="X196" s="1">
        <v>0</v>
      </c>
    </row>
    <row r="197" spans="1:24" x14ac:dyDescent="0.3">
      <c r="A197" s="1">
        <v>30500</v>
      </c>
      <c r="B197" s="1">
        <v>305</v>
      </c>
      <c r="C197" s="1">
        <v>0</v>
      </c>
      <c r="D197" s="1">
        <v>0</v>
      </c>
      <c r="E197" s="1">
        <v>0</v>
      </c>
      <c r="F197" s="1">
        <v>1</v>
      </c>
      <c r="G197" s="1">
        <v>46</v>
      </c>
      <c r="H197" s="1">
        <v>12</v>
      </c>
      <c r="I197" s="1">
        <v>46</v>
      </c>
      <c r="J197" s="1">
        <v>18</v>
      </c>
      <c r="K197" s="1">
        <v>25</v>
      </c>
      <c r="L197" s="1">
        <v>0</v>
      </c>
      <c r="M197" s="1">
        <v>0</v>
      </c>
      <c r="N197" s="1">
        <v>0</v>
      </c>
      <c r="O197" s="1">
        <v>0</v>
      </c>
      <c r="P197" s="1">
        <v>0</v>
      </c>
      <c r="Q197" s="1">
        <v>0</v>
      </c>
      <c r="R197" s="1" t="s">
        <v>328</v>
      </c>
      <c r="S197" s="1">
        <v>0</v>
      </c>
      <c r="T197" s="1">
        <v>0</v>
      </c>
      <c r="U197" s="1">
        <v>0</v>
      </c>
      <c r="V197" s="1">
        <v>0</v>
      </c>
      <c r="W197" s="1">
        <v>0</v>
      </c>
      <c r="X197" s="1">
        <v>0</v>
      </c>
    </row>
    <row r="198" spans="1:24" x14ac:dyDescent="0.3">
      <c r="A198" s="1">
        <v>30501</v>
      </c>
      <c r="B198" s="1">
        <v>305</v>
      </c>
      <c r="C198" s="1">
        <v>1</v>
      </c>
      <c r="D198" s="1">
        <v>1</v>
      </c>
      <c r="E198" s="1">
        <v>0</v>
      </c>
      <c r="F198" s="1">
        <v>2</v>
      </c>
      <c r="G198" s="1">
        <v>46</v>
      </c>
      <c r="H198" s="1">
        <v>12</v>
      </c>
      <c r="I198" s="1">
        <v>46</v>
      </c>
      <c r="J198" s="1">
        <v>18</v>
      </c>
      <c r="K198" s="1">
        <v>25</v>
      </c>
      <c r="L198" s="1">
        <v>0</v>
      </c>
      <c r="M198" s="1">
        <v>0</v>
      </c>
      <c r="N198" s="1">
        <v>0</v>
      </c>
      <c r="O198" s="1">
        <v>0</v>
      </c>
      <c r="P198" s="1">
        <v>0</v>
      </c>
      <c r="Q198" s="1">
        <v>0</v>
      </c>
      <c r="R198" s="1" t="s">
        <v>328</v>
      </c>
      <c r="S198" s="1">
        <v>0</v>
      </c>
      <c r="T198" s="1">
        <v>0</v>
      </c>
      <c r="U198" s="1">
        <v>0</v>
      </c>
      <c r="V198" s="1">
        <v>0</v>
      </c>
      <c r="W198" s="1">
        <v>0</v>
      </c>
      <c r="X198" s="1">
        <v>0</v>
      </c>
    </row>
    <row r="199" spans="1:24" x14ac:dyDescent="0.3">
      <c r="A199" s="1">
        <v>30502</v>
      </c>
      <c r="B199" s="1">
        <v>305</v>
      </c>
      <c r="C199" s="1">
        <v>2</v>
      </c>
      <c r="D199" s="1">
        <v>1</v>
      </c>
      <c r="E199" s="1">
        <v>0</v>
      </c>
      <c r="F199" s="1">
        <v>3</v>
      </c>
      <c r="G199" s="1">
        <v>46</v>
      </c>
      <c r="H199" s="1">
        <v>12</v>
      </c>
      <c r="I199" s="1">
        <v>46</v>
      </c>
      <c r="J199" s="1">
        <v>18</v>
      </c>
      <c r="K199" s="1">
        <v>25</v>
      </c>
      <c r="L199" s="1">
        <v>0</v>
      </c>
      <c r="M199" s="1">
        <v>0</v>
      </c>
      <c r="N199" s="1">
        <v>0</v>
      </c>
      <c r="O199" s="1">
        <v>0</v>
      </c>
      <c r="P199" s="1">
        <v>0</v>
      </c>
      <c r="Q199" s="1">
        <v>0</v>
      </c>
      <c r="R199" s="1" t="s">
        <v>328</v>
      </c>
      <c r="S199" s="1">
        <v>0</v>
      </c>
      <c r="T199" s="1">
        <v>0</v>
      </c>
      <c r="U199" s="1">
        <v>0</v>
      </c>
      <c r="V199" s="1">
        <v>0</v>
      </c>
      <c r="W199" s="1">
        <v>0</v>
      </c>
      <c r="X199" s="1">
        <v>0</v>
      </c>
    </row>
    <row r="200" spans="1:24" x14ac:dyDescent="0.3">
      <c r="A200" s="1">
        <v>30503</v>
      </c>
      <c r="B200" s="1">
        <v>305</v>
      </c>
      <c r="C200" s="1">
        <v>3</v>
      </c>
      <c r="D200" s="1">
        <v>1</v>
      </c>
      <c r="E200" s="1">
        <v>0</v>
      </c>
      <c r="F200" s="1">
        <v>4</v>
      </c>
      <c r="G200" s="1">
        <v>46</v>
      </c>
      <c r="H200" s="1">
        <v>12</v>
      </c>
      <c r="I200" s="1">
        <v>46</v>
      </c>
      <c r="J200" s="1">
        <v>18</v>
      </c>
      <c r="K200" s="1">
        <v>25</v>
      </c>
      <c r="L200" s="1">
        <v>0</v>
      </c>
      <c r="M200" s="1">
        <v>0</v>
      </c>
      <c r="N200" s="1">
        <v>0</v>
      </c>
      <c r="O200" s="1">
        <v>0</v>
      </c>
      <c r="P200" s="1">
        <v>0</v>
      </c>
      <c r="Q200" s="1">
        <v>0</v>
      </c>
      <c r="R200" s="1" t="s">
        <v>328</v>
      </c>
      <c r="S200" s="1">
        <v>0</v>
      </c>
      <c r="T200" s="1">
        <v>0</v>
      </c>
      <c r="U200" s="1">
        <v>0</v>
      </c>
      <c r="V200" s="1">
        <v>0</v>
      </c>
      <c r="W200" s="1">
        <v>0</v>
      </c>
      <c r="X200" s="1">
        <v>0</v>
      </c>
    </row>
    <row r="201" spans="1:24" x14ac:dyDescent="0.3">
      <c r="A201" s="1">
        <v>30504</v>
      </c>
      <c r="B201" s="1">
        <v>305</v>
      </c>
      <c r="C201" s="1">
        <v>4</v>
      </c>
      <c r="D201" s="1">
        <v>1</v>
      </c>
      <c r="E201" s="1">
        <v>0</v>
      </c>
      <c r="F201" s="1">
        <v>5</v>
      </c>
      <c r="G201" s="1">
        <v>46</v>
      </c>
      <c r="H201" s="1">
        <v>12</v>
      </c>
      <c r="I201" s="1">
        <v>46</v>
      </c>
      <c r="J201" s="1">
        <v>18</v>
      </c>
      <c r="K201" s="1">
        <v>25</v>
      </c>
      <c r="L201" s="1">
        <v>0</v>
      </c>
      <c r="M201" s="1">
        <v>0</v>
      </c>
      <c r="N201" s="1">
        <v>0</v>
      </c>
      <c r="O201" s="1">
        <v>0</v>
      </c>
      <c r="P201" s="1">
        <v>0</v>
      </c>
      <c r="Q201" s="1">
        <v>0</v>
      </c>
      <c r="R201" s="1" t="s">
        <v>328</v>
      </c>
      <c r="S201" s="1">
        <v>0</v>
      </c>
      <c r="T201" s="1">
        <v>0</v>
      </c>
      <c r="U201" s="1">
        <v>0</v>
      </c>
      <c r="V201" s="1">
        <v>0</v>
      </c>
      <c r="W201" s="1">
        <v>0</v>
      </c>
      <c r="X201" s="1">
        <v>0</v>
      </c>
    </row>
    <row r="202" spans="1:24" x14ac:dyDescent="0.3">
      <c r="A202" s="1">
        <v>30600</v>
      </c>
      <c r="B202" s="1">
        <v>306</v>
      </c>
      <c r="C202" s="1">
        <v>0</v>
      </c>
      <c r="D202" s="1">
        <v>0</v>
      </c>
      <c r="E202" s="1">
        <v>0</v>
      </c>
      <c r="F202" s="1">
        <v>1</v>
      </c>
      <c r="G202" s="1">
        <v>23</v>
      </c>
      <c r="H202" s="1">
        <v>17</v>
      </c>
      <c r="I202" s="1">
        <v>44</v>
      </c>
      <c r="J202" s="1">
        <v>34</v>
      </c>
      <c r="K202" s="1">
        <v>57</v>
      </c>
      <c r="L202" s="1">
        <v>0</v>
      </c>
      <c r="M202" s="1">
        <v>0</v>
      </c>
      <c r="N202" s="1">
        <v>0</v>
      </c>
      <c r="O202" s="1">
        <v>0</v>
      </c>
      <c r="P202" s="1">
        <v>0</v>
      </c>
      <c r="Q202" s="1">
        <v>0</v>
      </c>
      <c r="R202" s="1" t="s">
        <v>328</v>
      </c>
      <c r="S202" s="1">
        <v>0</v>
      </c>
      <c r="T202" s="1">
        <v>0</v>
      </c>
      <c r="U202" s="1">
        <v>0</v>
      </c>
      <c r="V202" s="1">
        <v>0</v>
      </c>
      <c r="W202" s="1">
        <v>0</v>
      </c>
      <c r="X202" s="1">
        <v>0</v>
      </c>
    </row>
    <row r="203" spans="1:24" x14ac:dyDescent="0.3">
      <c r="A203" s="1">
        <v>30601</v>
      </c>
      <c r="B203" s="1">
        <v>306</v>
      </c>
      <c r="C203" s="1">
        <v>1</v>
      </c>
      <c r="D203" s="1">
        <v>1</v>
      </c>
      <c r="E203" s="1">
        <v>0</v>
      </c>
      <c r="F203" s="1">
        <v>2</v>
      </c>
      <c r="G203" s="1">
        <v>23</v>
      </c>
      <c r="H203" s="1">
        <v>17</v>
      </c>
      <c r="I203" s="1">
        <v>44</v>
      </c>
      <c r="J203" s="1">
        <v>34</v>
      </c>
      <c r="K203" s="1">
        <v>57</v>
      </c>
      <c r="L203" s="1">
        <v>0</v>
      </c>
      <c r="M203" s="1">
        <v>0</v>
      </c>
      <c r="N203" s="1">
        <v>0</v>
      </c>
      <c r="O203" s="1">
        <v>0</v>
      </c>
      <c r="P203" s="1">
        <v>0</v>
      </c>
      <c r="Q203" s="1">
        <v>0</v>
      </c>
      <c r="R203" s="1" t="s">
        <v>328</v>
      </c>
      <c r="S203" s="1">
        <v>0</v>
      </c>
      <c r="T203" s="1">
        <v>0</v>
      </c>
      <c r="U203" s="1">
        <v>0</v>
      </c>
      <c r="V203" s="1">
        <v>0</v>
      </c>
      <c r="W203" s="1">
        <v>0</v>
      </c>
      <c r="X203" s="1">
        <v>0</v>
      </c>
    </row>
    <row r="204" spans="1:24" x14ac:dyDescent="0.3">
      <c r="A204" s="1">
        <v>30602</v>
      </c>
      <c r="B204" s="1">
        <v>306</v>
      </c>
      <c r="C204" s="1">
        <v>2</v>
      </c>
      <c r="D204" s="1">
        <v>1</v>
      </c>
      <c r="E204" s="1">
        <v>0</v>
      </c>
      <c r="F204" s="1">
        <v>3</v>
      </c>
      <c r="G204" s="1">
        <v>23</v>
      </c>
      <c r="H204" s="1">
        <v>17</v>
      </c>
      <c r="I204" s="1">
        <v>44</v>
      </c>
      <c r="J204" s="1">
        <v>34</v>
      </c>
      <c r="K204" s="1">
        <v>57</v>
      </c>
      <c r="L204" s="1">
        <v>0</v>
      </c>
      <c r="M204" s="1">
        <v>0</v>
      </c>
      <c r="N204" s="1">
        <v>0</v>
      </c>
      <c r="O204" s="1">
        <v>0</v>
      </c>
      <c r="P204" s="1">
        <v>0</v>
      </c>
      <c r="Q204" s="1">
        <v>0</v>
      </c>
      <c r="R204" s="1" t="s">
        <v>328</v>
      </c>
      <c r="S204" s="1">
        <v>0</v>
      </c>
      <c r="T204" s="1">
        <v>0</v>
      </c>
      <c r="U204" s="1">
        <v>0</v>
      </c>
      <c r="V204" s="1">
        <v>0</v>
      </c>
      <c r="W204" s="1">
        <v>0</v>
      </c>
      <c r="X204" s="1">
        <v>0</v>
      </c>
    </row>
    <row r="205" spans="1:24" x14ac:dyDescent="0.3">
      <c r="A205" s="1">
        <v>30603</v>
      </c>
      <c r="B205" s="1">
        <v>306</v>
      </c>
      <c r="C205" s="1">
        <v>3</v>
      </c>
      <c r="D205" s="1">
        <v>1</v>
      </c>
      <c r="E205" s="1">
        <v>0</v>
      </c>
      <c r="F205" s="1">
        <v>4</v>
      </c>
      <c r="G205" s="1">
        <v>23</v>
      </c>
      <c r="H205" s="1">
        <v>17</v>
      </c>
      <c r="I205" s="1">
        <v>44</v>
      </c>
      <c r="J205" s="1">
        <v>34</v>
      </c>
      <c r="K205" s="1">
        <v>57</v>
      </c>
      <c r="L205" s="1">
        <v>0</v>
      </c>
      <c r="M205" s="1">
        <v>0</v>
      </c>
      <c r="N205" s="1">
        <v>0</v>
      </c>
      <c r="O205" s="1">
        <v>0</v>
      </c>
      <c r="P205" s="1">
        <v>0</v>
      </c>
      <c r="Q205" s="1">
        <v>0</v>
      </c>
      <c r="R205" s="1" t="s">
        <v>328</v>
      </c>
      <c r="S205" s="1">
        <v>0</v>
      </c>
      <c r="T205" s="1">
        <v>0</v>
      </c>
      <c r="U205" s="1">
        <v>0</v>
      </c>
      <c r="V205" s="1">
        <v>0</v>
      </c>
      <c r="W205" s="1">
        <v>0</v>
      </c>
      <c r="X205" s="1">
        <v>0</v>
      </c>
    </row>
    <row r="206" spans="1:24" x14ac:dyDescent="0.3">
      <c r="A206" s="1">
        <v>30604</v>
      </c>
      <c r="B206" s="1">
        <v>306</v>
      </c>
      <c r="C206" s="1">
        <v>4</v>
      </c>
      <c r="D206" s="1">
        <v>1</v>
      </c>
      <c r="E206" s="1">
        <v>0</v>
      </c>
      <c r="F206" s="1">
        <v>5</v>
      </c>
      <c r="G206" s="1">
        <v>23</v>
      </c>
      <c r="H206" s="1">
        <v>17</v>
      </c>
      <c r="I206" s="1">
        <v>44</v>
      </c>
      <c r="J206" s="1">
        <v>34</v>
      </c>
      <c r="K206" s="1">
        <v>57</v>
      </c>
      <c r="L206" s="1">
        <v>0</v>
      </c>
      <c r="M206" s="1">
        <v>0</v>
      </c>
      <c r="N206" s="1">
        <v>0</v>
      </c>
      <c r="O206" s="1">
        <v>0</v>
      </c>
      <c r="P206" s="1">
        <v>0</v>
      </c>
      <c r="Q206" s="1">
        <v>0</v>
      </c>
      <c r="R206" s="1" t="s">
        <v>328</v>
      </c>
      <c r="S206" s="1">
        <v>0</v>
      </c>
      <c r="T206" s="1">
        <v>0</v>
      </c>
      <c r="U206" s="1">
        <v>0</v>
      </c>
      <c r="V206" s="1">
        <v>0</v>
      </c>
      <c r="W206" s="1">
        <v>0</v>
      </c>
      <c r="X206" s="1">
        <v>0</v>
      </c>
    </row>
    <row r="207" spans="1:24" x14ac:dyDescent="0.3">
      <c r="A207" s="1">
        <v>30700</v>
      </c>
      <c r="B207" s="1">
        <v>307</v>
      </c>
      <c r="C207" s="1">
        <v>0</v>
      </c>
      <c r="D207" s="1">
        <v>0</v>
      </c>
      <c r="E207" s="1">
        <v>0</v>
      </c>
      <c r="F207" s="1">
        <v>1</v>
      </c>
      <c r="G207" s="1">
        <v>44</v>
      </c>
      <c r="H207" s="1">
        <v>11</v>
      </c>
      <c r="I207" s="1">
        <v>41</v>
      </c>
      <c r="J207" s="1">
        <v>31</v>
      </c>
      <c r="K207" s="1">
        <v>74</v>
      </c>
      <c r="L207" s="1">
        <v>0</v>
      </c>
      <c r="M207" s="1">
        <v>0</v>
      </c>
      <c r="N207" s="1">
        <v>0</v>
      </c>
      <c r="O207" s="1">
        <v>0</v>
      </c>
      <c r="P207" s="1">
        <v>0</v>
      </c>
      <c r="Q207" s="1">
        <v>0</v>
      </c>
      <c r="R207" s="1" t="s">
        <v>328</v>
      </c>
      <c r="S207" s="1">
        <v>0</v>
      </c>
      <c r="T207" s="1">
        <v>0</v>
      </c>
      <c r="U207" s="1">
        <v>0</v>
      </c>
      <c r="V207" s="1">
        <v>0</v>
      </c>
      <c r="W207" s="1">
        <v>0</v>
      </c>
      <c r="X207" s="1">
        <v>0</v>
      </c>
    </row>
    <row r="208" spans="1:24" x14ac:dyDescent="0.3">
      <c r="A208" s="1">
        <v>30701</v>
      </c>
      <c r="B208" s="1">
        <v>307</v>
      </c>
      <c r="C208" s="1">
        <v>1</v>
      </c>
      <c r="D208" s="1">
        <v>1</v>
      </c>
      <c r="E208" s="1">
        <v>0</v>
      </c>
      <c r="F208" s="1">
        <v>2</v>
      </c>
      <c r="G208" s="1">
        <v>44</v>
      </c>
      <c r="H208" s="1">
        <v>11</v>
      </c>
      <c r="I208" s="1">
        <v>41</v>
      </c>
      <c r="J208" s="1">
        <v>31</v>
      </c>
      <c r="K208" s="1">
        <v>74</v>
      </c>
      <c r="L208" s="1">
        <v>0</v>
      </c>
      <c r="M208" s="1">
        <v>0</v>
      </c>
      <c r="N208" s="1">
        <v>0</v>
      </c>
      <c r="O208" s="1">
        <v>0</v>
      </c>
      <c r="P208" s="1">
        <v>0</v>
      </c>
      <c r="Q208" s="1">
        <v>0</v>
      </c>
      <c r="R208" s="1" t="s">
        <v>328</v>
      </c>
      <c r="S208" s="1">
        <v>0</v>
      </c>
      <c r="T208" s="1">
        <v>0</v>
      </c>
      <c r="U208" s="1">
        <v>0</v>
      </c>
      <c r="V208" s="1">
        <v>0</v>
      </c>
      <c r="W208" s="1">
        <v>0</v>
      </c>
      <c r="X208" s="1">
        <v>0</v>
      </c>
    </row>
    <row r="209" spans="1:24" x14ac:dyDescent="0.3">
      <c r="A209" s="1">
        <v>30702</v>
      </c>
      <c r="B209" s="1">
        <v>307</v>
      </c>
      <c r="C209" s="1">
        <v>2</v>
      </c>
      <c r="D209" s="1">
        <v>1</v>
      </c>
      <c r="E209" s="1">
        <v>0</v>
      </c>
      <c r="F209" s="1">
        <v>3</v>
      </c>
      <c r="G209" s="1">
        <v>44</v>
      </c>
      <c r="H209" s="1">
        <v>11</v>
      </c>
      <c r="I209" s="1">
        <v>41</v>
      </c>
      <c r="J209" s="1">
        <v>31</v>
      </c>
      <c r="K209" s="1">
        <v>74</v>
      </c>
      <c r="L209" s="1">
        <v>0</v>
      </c>
      <c r="M209" s="1">
        <v>0</v>
      </c>
      <c r="N209" s="1">
        <v>0</v>
      </c>
      <c r="O209" s="1">
        <v>0</v>
      </c>
      <c r="P209" s="1">
        <v>0</v>
      </c>
      <c r="Q209" s="1">
        <v>0</v>
      </c>
      <c r="R209" s="1" t="s">
        <v>328</v>
      </c>
      <c r="S209" s="1">
        <v>0</v>
      </c>
      <c r="T209" s="1">
        <v>0</v>
      </c>
      <c r="U209" s="1">
        <v>0</v>
      </c>
      <c r="V209" s="1">
        <v>0</v>
      </c>
      <c r="W209" s="1">
        <v>0</v>
      </c>
      <c r="X209" s="1">
        <v>0</v>
      </c>
    </row>
    <row r="210" spans="1:24" x14ac:dyDescent="0.3">
      <c r="A210" s="1">
        <v>30703</v>
      </c>
      <c r="B210" s="1">
        <v>307</v>
      </c>
      <c r="C210" s="1">
        <v>3</v>
      </c>
      <c r="D210" s="1">
        <v>1</v>
      </c>
      <c r="E210" s="1">
        <v>0</v>
      </c>
      <c r="F210" s="1">
        <v>4</v>
      </c>
      <c r="G210" s="1">
        <v>44</v>
      </c>
      <c r="H210" s="1">
        <v>11</v>
      </c>
      <c r="I210" s="1">
        <v>41</v>
      </c>
      <c r="J210" s="1">
        <v>31</v>
      </c>
      <c r="K210" s="1">
        <v>74</v>
      </c>
      <c r="L210" s="1">
        <v>0</v>
      </c>
      <c r="M210" s="1">
        <v>0</v>
      </c>
      <c r="N210" s="1">
        <v>0</v>
      </c>
      <c r="O210" s="1">
        <v>0</v>
      </c>
      <c r="P210" s="1">
        <v>0</v>
      </c>
      <c r="Q210" s="1">
        <v>0</v>
      </c>
      <c r="R210" s="1" t="s">
        <v>328</v>
      </c>
      <c r="S210" s="1">
        <v>0</v>
      </c>
      <c r="T210" s="1">
        <v>0</v>
      </c>
      <c r="U210" s="1">
        <v>0</v>
      </c>
      <c r="V210" s="1">
        <v>0</v>
      </c>
      <c r="W210" s="1">
        <v>0</v>
      </c>
      <c r="X210" s="1">
        <v>0</v>
      </c>
    </row>
    <row r="211" spans="1:24" x14ac:dyDescent="0.3">
      <c r="A211" s="1">
        <v>30704</v>
      </c>
      <c r="B211" s="1">
        <v>307</v>
      </c>
      <c r="C211" s="1">
        <v>4</v>
      </c>
      <c r="D211" s="1">
        <v>1</v>
      </c>
      <c r="E211" s="1">
        <v>0</v>
      </c>
      <c r="F211" s="1">
        <v>5</v>
      </c>
      <c r="G211" s="1">
        <v>44</v>
      </c>
      <c r="H211" s="1">
        <v>11</v>
      </c>
      <c r="I211" s="1">
        <v>41</v>
      </c>
      <c r="J211" s="1">
        <v>31</v>
      </c>
      <c r="K211" s="1">
        <v>74</v>
      </c>
      <c r="L211" s="1">
        <v>0</v>
      </c>
      <c r="M211" s="1">
        <v>0</v>
      </c>
      <c r="N211" s="1">
        <v>0</v>
      </c>
      <c r="O211" s="1">
        <v>0</v>
      </c>
      <c r="P211" s="1">
        <v>0</v>
      </c>
      <c r="Q211" s="1">
        <v>0</v>
      </c>
      <c r="R211" s="1" t="s">
        <v>328</v>
      </c>
      <c r="S211" s="1">
        <v>0</v>
      </c>
      <c r="T211" s="1">
        <v>0</v>
      </c>
      <c r="U211" s="1">
        <v>0</v>
      </c>
      <c r="V211" s="1">
        <v>0</v>
      </c>
      <c r="W211" s="1">
        <v>0</v>
      </c>
      <c r="X211" s="1">
        <v>0</v>
      </c>
    </row>
    <row r="212" spans="1:24" x14ac:dyDescent="0.3">
      <c r="A212" s="1">
        <v>30800</v>
      </c>
      <c r="B212" s="1">
        <v>308</v>
      </c>
      <c r="C212" s="1">
        <v>0</v>
      </c>
      <c r="D212" s="1">
        <v>0</v>
      </c>
      <c r="E212" s="1">
        <v>0</v>
      </c>
      <c r="F212" s="1">
        <v>1</v>
      </c>
      <c r="G212" s="1">
        <v>53</v>
      </c>
      <c r="H212" s="1">
        <v>11</v>
      </c>
      <c r="I212" s="1">
        <v>48</v>
      </c>
      <c r="J212" s="1">
        <v>35</v>
      </c>
      <c r="K212" s="1">
        <v>52</v>
      </c>
      <c r="L212" s="1">
        <v>0</v>
      </c>
      <c r="M212" s="1">
        <v>0</v>
      </c>
      <c r="N212" s="1">
        <v>0</v>
      </c>
      <c r="O212" s="1">
        <v>0</v>
      </c>
      <c r="P212" s="1">
        <v>0</v>
      </c>
      <c r="Q212" s="1">
        <v>0</v>
      </c>
      <c r="R212" s="1" t="s">
        <v>328</v>
      </c>
      <c r="S212" s="1">
        <v>0</v>
      </c>
      <c r="T212" s="1">
        <v>0</v>
      </c>
      <c r="U212" s="1">
        <v>0</v>
      </c>
      <c r="V212" s="1">
        <v>0</v>
      </c>
      <c r="W212" s="1">
        <v>0</v>
      </c>
      <c r="X212" s="1">
        <v>0</v>
      </c>
    </row>
    <row r="213" spans="1:24" x14ac:dyDescent="0.3">
      <c r="A213" s="1">
        <v>30801</v>
      </c>
      <c r="B213" s="1">
        <v>308</v>
      </c>
      <c r="C213" s="1">
        <v>1</v>
      </c>
      <c r="D213" s="1">
        <v>1</v>
      </c>
      <c r="E213" s="1">
        <v>0</v>
      </c>
      <c r="F213" s="1">
        <v>2</v>
      </c>
      <c r="G213" s="1">
        <v>53</v>
      </c>
      <c r="H213" s="1">
        <v>11</v>
      </c>
      <c r="I213" s="1">
        <v>48</v>
      </c>
      <c r="J213" s="1">
        <v>35</v>
      </c>
      <c r="K213" s="1">
        <v>52</v>
      </c>
      <c r="L213" s="1">
        <v>0</v>
      </c>
      <c r="M213" s="1">
        <v>0</v>
      </c>
      <c r="N213" s="1">
        <v>0</v>
      </c>
      <c r="O213" s="1">
        <v>0</v>
      </c>
      <c r="P213" s="1">
        <v>0</v>
      </c>
      <c r="Q213" s="1">
        <v>0</v>
      </c>
      <c r="R213" s="1" t="s">
        <v>328</v>
      </c>
      <c r="S213" s="1">
        <v>0</v>
      </c>
      <c r="T213" s="1">
        <v>0</v>
      </c>
      <c r="U213" s="1">
        <v>0</v>
      </c>
      <c r="V213" s="1">
        <v>0</v>
      </c>
      <c r="W213" s="1">
        <v>0</v>
      </c>
      <c r="X213" s="1">
        <v>0</v>
      </c>
    </row>
    <row r="214" spans="1:24" x14ac:dyDescent="0.3">
      <c r="A214" s="1">
        <v>30802</v>
      </c>
      <c r="B214" s="1">
        <v>308</v>
      </c>
      <c r="C214" s="1">
        <v>2</v>
      </c>
      <c r="D214" s="1">
        <v>1</v>
      </c>
      <c r="E214" s="1">
        <v>0</v>
      </c>
      <c r="F214" s="1">
        <v>3</v>
      </c>
      <c r="G214" s="1">
        <v>53</v>
      </c>
      <c r="H214" s="1">
        <v>11</v>
      </c>
      <c r="I214" s="1">
        <v>48</v>
      </c>
      <c r="J214" s="1">
        <v>35</v>
      </c>
      <c r="K214" s="1">
        <v>52</v>
      </c>
      <c r="L214" s="1">
        <v>0</v>
      </c>
      <c r="M214" s="1">
        <v>0</v>
      </c>
      <c r="N214" s="1">
        <v>0</v>
      </c>
      <c r="O214" s="1">
        <v>0</v>
      </c>
      <c r="P214" s="1">
        <v>0</v>
      </c>
      <c r="Q214" s="1">
        <v>0</v>
      </c>
      <c r="R214" s="1" t="s">
        <v>328</v>
      </c>
      <c r="S214" s="1">
        <v>0</v>
      </c>
      <c r="T214" s="1">
        <v>0</v>
      </c>
      <c r="U214" s="1">
        <v>0</v>
      </c>
      <c r="V214" s="1">
        <v>0</v>
      </c>
      <c r="W214" s="1">
        <v>0</v>
      </c>
      <c r="X214" s="1">
        <v>0</v>
      </c>
    </row>
    <row r="215" spans="1:24" x14ac:dyDescent="0.3">
      <c r="A215" s="1">
        <v>30803</v>
      </c>
      <c r="B215" s="1">
        <v>308</v>
      </c>
      <c r="C215" s="1">
        <v>3</v>
      </c>
      <c r="D215" s="1">
        <v>1</v>
      </c>
      <c r="E215" s="1">
        <v>0</v>
      </c>
      <c r="F215" s="1">
        <v>4</v>
      </c>
      <c r="G215" s="1">
        <v>53</v>
      </c>
      <c r="H215" s="1">
        <v>11</v>
      </c>
      <c r="I215" s="1">
        <v>48</v>
      </c>
      <c r="J215" s="1">
        <v>35</v>
      </c>
      <c r="K215" s="1">
        <v>52</v>
      </c>
      <c r="L215" s="1">
        <v>0</v>
      </c>
      <c r="M215" s="1">
        <v>0</v>
      </c>
      <c r="N215" s="1">
        <v>0</v>
      </c>
      <c r="O215" s="1">
        <v>0</v>
      </c>
      <c r="P215" s="1">
        <v>0</v>
      </c>
      <c r="Q215" s="1">
        <v>0</v>
      </c>
      <c r="R215" s="1" t="s">
        <v>328</v>
      </c>
      <c r="S215" s="1">
        <v>0</v>
      </c>
      <c r="T215" s="1">
        <v>0</v>
      </c>
      <c r="U215" s="1">
        <v>0</v>
      </c>
      <c r="V215" s="1">
        <v>0</v>
      </c>
      <c r="W215" s="1">
        <v>0</v>
      </c>
      <c r="X215" s="1">
        <v>0</v>
      </c>
    </row>
    <row r="216" spans="1:24" x14ac:dyDescent="0.3">
      <c r="A216" s="1">
        <v>30804</v>
      </c>
      <c r="B216" s="1">
        <v>308</v>
      </c>
      <c r="C216" s="1">
        <v>4</v>
      </c>
      <c r="D216" s="1">
        <v>1</v>
      </c>
      <c r="E216" s="1">
        <v>0</v>
      </c>
      <c r="F216" s="1">
        <v>5</v>
      </c>
      <c r="G216" s="1">
        <v>53</v>
      </c>
      <c r="H216" s="1">
        <v>11</v>
      </c>
      <c r="I216" s="1">
        <v>48</v>
      </c>
      <c r="J216" s="1">
        <v>35</v>
      </c>
      <c r="K216" s="1">
        <v>52</v>
      </c>
      <c r="L216" s="1">
        <v>0</v>
      </c>
      <c r="M216" s="1">
        <v>0</v>
      </c>
      <c r="N216" s="1">
        <v>0</v>
      </c>
      <c r="O216" s="1">
        <v>0</v>
      </c>
      <c r="P216" s="1">
        <v>0</v>
      </c>
      <c r="Q216" s="1">
        <v>0</v>
      </c>
      <c r="R216" s="1" t="s">
        <v>328</v>
      </c>
      <c r="S216" s="1">
        <v>0</v>
      </c>
      <c r="T216" s="1">
        <v>0</v>
      </c>
      <c r="U216" s="1">
        <v>0</v>
      </c>
      <c r="V216" s="1">
        <v>0</v>
      </c>
      <c r="W216" s="1">
        <v>0</v>
      </c>
      <c r="X216" s="1">
        <v>0</v>
      </c>
    </row>
    <row r="217" spans="1:24" x14ac:dyDescent="0.3">
      <c r="A217" s="1">
        <v>30900</v>
      </c>
      <c r="B217" s="1">
        <v>309</v>
      </c>
      <c r="C217" s="1">
        <v>0</v>
      </c>
      <c r="D217" s="1">
        <v>0</v>
      </c>
      <c r="E217" s="1">
        <v>0</v>
      </c>
      <c r="F217" s="1">
        <v>1</v>
      </c>
      <c r="G217" s="1">
        <v>34</v>
      </c>
      <c r="H217" s="1">
        <v>14</v>
      </c>
      <c r="I217" s="1">
        <v>24</v>
      </c>
      <c r="J217" s="1">
        <v>41</v>
      </c>
      <c r="K217" s="1">
        <v>51</v>
      </c>
      <c r="L217" s="1">
        <v>0</v>
      </c>
      <c r="M217" s="1">
        <v>0</v>
      </c>
      <c r="N217" s="1">
        <v>0</v>
      </c>
      <c r="O217" s="1">
        <v>0</v>
      </c>
      <c r="P217" s="1">
        <v>0</v>
      </c>
      <c r="Q217" s="1">
        <v>0</v>
      </c>
      <c r="R217" s="1" t="s">
        <v>328</v>
      </c>
      <c r="S217" s="1">
        <v>0</v>
      </c>
      <c r="T217" s="1">
        <v>0</v>
      </c>
      <c r="U217" s="1">
        <v>0</v>
      </c>
      <c r="V217" s="1">
        <v>0</v>
      </c>
      <c r="W217" s="1">
        <v>0</v>
      </c>
      <c r="X217" s="1">
        <v>0</v>
      </c>
    </row>
    <row r="218" spans="1:24" x14ac:dyDescent="0.3">
      <c r="A218" s="1">
        <v>30901</v>
      </c>
      <c r="B218" s="1">
        <v>309</v>
      </c>
      <c r="C218" s="1">
        <v>1</v>
      </c>
      <c r="D218" s="1">
        <v>1</v>
      </c>
      <c r="E218" s="1">
        <v>0</v>
      </c>
      <c r="F218" s="1">
        <v>2</v>
      </c>
      <c r="G218" s="1">
        <v>34</v>
      </c>
      <c r="H218" s="1">
        <v>14</v>
      </c>
      <c r="I218" s="1">
        <v>24</v>
      </c>
      <c r="J218" s="1">
        <v>41</v>
      </c>
      <c r="K218" s="1">
        <v>51</v>
      </c>
      <c r="L218" s="1">
        <v>0</v>
      </c>
      <c r="M218" s="1">
        <v>0</v>
      </c>
      <c r="N218" s="1">
        <v>0</v>
      </c>
      <c r="O218" s="1">
        <v>0</v>
      </c>
      <c r="P218" s="1">
        <v>0</v>
      </c>
      <c r="Q218" s="1">
        <v>0</v>
      </c>
      <c r="R218" s="1" t="s">
        <v>328</v>
      </c>
      <c r="S218" s="1">
        <v>0</v>
      </c>
      <c r="T218" s="1">
        <v>0</v>
      </c>
      <c r="U218" s="1">
        <v>0</v>
      </c>
      <c r="V218" s="1">
        <v>0</v>
      </c>
      <c r="W218" s="1">
        <v>0</v>
      </c>
      <c r="X218" s="1">
        <v>0</v>
      </c>
    </row>
    <row r="219" spans="1:24" x14ac:dyDescent="0.3">
      <c r="A219" s="1">
        <v>30902</v>
      </c>
      <c r="B219" s="1">
        <v>309</v>
      </c>
      <c r="C219" s="1">
        <v>2</v>
      </c>
      <c r="D219" s="1">
        <v>1</v>
      </c>
      <c r="E219" s="1">
        <v>0</v>
      </c>
      <c r="F219" s="1">
        <v>3</v>
      </c>
      <c r="G219" s="1">
        <v>34</v>
      </c>
      <c r="H219" s="1">
        <v>14</v>
      </c>
      <c r="I219" s="1">
        <v>24</v>
      </c>
      <c r="J219" s="1">
        <v>41</v>
      </c>
      <c r="K219" s="1">
        <v>51</v>
      </c>
      <c r="L219" s="1">
        <v>0</v>
      </c>
      <c r="M219" s="1">
        <v>0</v>
      </c>
      <c r="N219" s="1">
        <v>0</v>
      </c>
      <c r="O219" s="1">
        <v>0</v>
      </c>
      <c r="P219" s="1">
        <v>0</v>
      </c>
      <c r="Q219" s="1">
        <v>0</v>
      </c>
      <c r="R219" s="1" t="s">
        <v>328</v>
      </c>
      <c r="S219" s="1">
        <v>0</v>
      </c>
      <c r="T219" s="1">
        <v>0</v>
      </c>
      <c r="U219" s="1">
        <v>0</v>
      </c>
      <c r="V219" s="1">
        <v>0</v>
      </c>
      <c r="W219" s="1">
        <v>0</v>
      </c>
      <c r="X219" s="1">
        <v>0</v>
      </c>
    </row>
    <row r="220" spans="1:24" x14ac:dyDescent="0.3">
      <c r="A220" s="1">
        <v>30903</v>
      </c>
      <c r="B220" s="1">
        <v>309</v>
      </c>
      <c r="C220" s="1">
        <v>3</v>
      </c>
      <c r="D220" s="1">
        <v>1</v>
      </c>
      <c r="E220" s="1">
        <v>0</v>
      </c>
      <c r="F220" s="1">
        <v>4</v>
      </c>
      <c r="G220" s="1">
        <v>34</v>
      </c>
      <c r="H220" s="1">
        <v>14</v>
      </c>
      <c r="I220" s="1">
        <v>24</v>
      </c>
      <c r="J220" s="1">
        <v>41</v>
      </c>
      <c r="K220" s="1">
        <v>51</v>
      </c>
      <c r="L220" s="1">
        <v>0</v>
      </c>
      <c r="M220" s="1">
        <v>0</v>
      </c>
      <c r="N220" s="1">
        <v>0</v>
      </c>
      <c r="O220" s="1">
        <v>0</v>
      </c>
      <c r="P220" s="1">
        <v>0</v>
      </c>
      <c r="Q220" s="1">
        <v>0</v>
      </c>
      <c r="R220" s="1" t="s">
        <v>328</v>
      </c>
      <c r="S220" s="1">
        <v>0</v>
      </c>
      <c r="T220" s="1">
        <v>0</v>
      </c>
      <c r="U220" s="1">
        <v>0</v>
      </c>
      <c r="V220" s="1">
        <v>0</v>
      </c>
      <c r="W220" s="1">
        <v>0</v>
      </c>
      <c r="X220" s="1">
        <v>0</v>
      </c>
    </row>
    <row r="221" spans="1:24" x14ac:dyDescent="0.3">
      <c r="A221" s="1">
        <v>30904</v>
      </c>
      <c r="B221" s="1">
        <v>309</v>
      </c>
      <c r="C221" s="1">
        <v>4</v>
      </c>
      <c r="D221" s="1">
        <v>1</v>
      </c>
      <c r="E221" s="1">
        <v>0</v>
      </c>
      <c r="F221" s="1">
        <v>5</v>
      </c>
      <c r="G221" s="1">
        <v>34</v>
      </c>
      <c r="H221" s="1">
        <v>14</v>
      </c>
      <c r="I221" s="1">
        <v>24</v>
      </c>
      <c r="J221" s="1">
        <v>41</v>
      </c>
      <c r="K221" s="1">
        <v>51</v>
      </c>
      <c r="L221" s="1">
        <v>0</v>
      </c>
      <c r="M221" s="1">
        <v>0</v>
      </c>
      <c r="N221" s="1">
        <v>0</v>
      </c>
      <c r="O221" s="1">
        <v>0</v>
      </c>
      <c r="P221" s="1">
        <v>0</v>
      </c>
      <c r="Q221" s="1">
        <v>0</v>
      </c>
      <c r="R221" s="1" t="s">
        <v>328</v>
      </c>
      <c r="S221" s="1">
        <v>0</v>
      </c>
      <c r="T221" s="1">
        <v>0</v>
      </c>
      <c r="U221" s="1">
        <v>0</v>
      </c>
      <c r="V221" s="1">
        <v>0</v>
      </c>
      <c r="W221" s="1">
        <v>0</v>
      </c>
      <c r="X221" s="1">
        <v>0</v>
      </c>
    </row>
    <row r="222" spans="1:24" x14ac:dyDescent="0.3">
      <c r="A222" s="1">
        <v>31000</v>
      </c>
      <c r="B222" s="1">
        <v>310</v>
      </c>
      <c r="C222" s="1">
        <v>0</v>
      </c>
      <c r="D222" s="1">
        <v>0</v>
      </c>
      <c r="E222" s="1">
        <v>0</v>
      </c>
      <c r="F222" s="1">
        <v>1</v>
      </c>
      <c r="G222" s="1">
        <v>483</v>
      </c>
      <c r="H222" s="1">
        <v>197</v>
      </c>
      <c r="I222" s="1">
        <v>22</v>
      </c>
      <c r="J222" s="1">
        <v>35</v>
      </c>
      <c r="K222" s="1">
        <v>0</v>
      </c>
      <c r="L222" s="1">
        <v>5</v>
      </c>
      <c r="M222" s="1">
        <v>0</v>
      </c>
      <c r="N222" s="1">
        <v>0</v>
      </c>
      <c r="O222" s="1">
        <v>0</v>
      </c>
      <c r="P222" s="1">
        <v>0</v>
      </c>
      <c r="Q222" s="1">
        <v>0</v>
      </c>
      <c r="R222" s="1" t="s">
        <v>328</v>
      </c>
      <c r="S222" s="1">
        <v>0</v>
      </c>
      <c r="T222" s="1">
        <v>0</v>
      </c>
      <c r="U222" s="1">
        <v>0</v>
      </c>
      <c r="V222" s="1">
        <v>0</v>
      </c>
      <c r="W222" s="1">
        <v>0</v>
      </c>
      <c r="X222" s="1">
        <v>0</v>
      </c>
    </row>
    <row r="223" spans="1:24" x14ac:dyDescent="0.3">
      <c r="A223" s="1">
        <v>31001</v>
      </c>
      <c r="B223" s="1">
        <v>310</v>
      </c>
      <c r="C223" s="1">
        <v>1</v>
      </c>
      <c r="D223" s="1">
        <v>1</v>
      </c>
      <c r="E223" s="1">
        <v>0</v>
      </c>
      <c r="F223" s="1">
        <v>1</v>
      </c>
      <c r="G223" s="1">
        <v>533</v>
      </c>
      <c r="H223" s="1">
        <v>197</v>
      </c>
      <c r="I223" s="1">
        <v>32</v>
      </c>
      <c r="J223" s="1">
        <v>35</v>
      </c>
      <c r="K223" s="1">
        <v>0</v>
      </c>
      <c r="L223" s="1">
        <v>8</v>
      </c>
      <c r="M223" s="1">
        <v>0</v>
      </c>
      <c r="N223" s="1">
        <v>0</v>
      </c>
      <c r="O223" s="1">
        <v>0</v>
      </c>
      <c r="P223" s="1">
        <v>0</v>
      </c>
      <c r="Q223" s="1">
        <v>0</v>
      </c>
      <c r="R223" s="1" t="s">
        <v>328</v>
      </c>
      <c r="S223" s="1">
        <v>0</v>
      </c>
      <c r="T223" s="1">
        <v>0</v>
      </c>
      <c r="U223" s="1">
        <v>0</v>
      </c>
      <c r="V223" s="1">
        <v>0</v>
      </c>
      <c r="W223" s="1">
        <v>0</v>
      </c>
      <c r="X223" s="1">
        <v>0</v>
      </c>
    </row>
    <row r="224" spans="1:24" x14ac:dyDescent="0.3">
      <c r="A224" s="1">
        <v>31002</v>
      </c>
      <c r="B224" s="1">
        <v>310</v>
      </c>
      <c r="C224" s="1">
        <v>2</v>
      </c>
      <c r="D224" s="1">
        <v>1</v>
      </c>
      <c r="E224" s="1">
        <v>0</v>
      </c>
      <c r="F224" s="1">
        <v>1</v>
      </c>
      <c r="G224" s="1">
        <v>583</v>
      </c>
      <c r="H224" s="1">
        <v>367</v>
      </c>
      <c r="I224" s="1">
        <v>32</v>
      </c>
      <c r="J224" s="1">
        <v>77</v>
      </c>
      <c r="K224" s="1">
        <v>0</v>
      </c>
      <c r="L224" s="1">
        <v>8</v>
      </c>
      <c r="M224" s="1">
        <v>0</v>
      </c>
      <c r="N224" s="1">
        <v>0</v>
      </c>
      <c r="O224" s="1">
        <v>0</v>
      </c>
      <c r="P224" s="1">
        <v>0</v>
      </c>
      <c r="Q224" s="1">
        <v>0</v>
      </c>
      <c r="R224" s="1" t="s">
        <v>328</v>
      </c>
      <c r="S224" s="1">
        <v>0</v>
      </c>
      <c r="T224" s="1">
        <v>0</v>
      </c>
      <c r="U224" s="1">
        <v>0</v>
      </c>
      <c r="V224" s="1">
        <v>0</v>
      </c>
      <c r="W224" s="1">
        <v>0</v>
      </c>
      <c r="X224" s="1">
        <v>0</v>
      </c>
    </row>
    <row r="225" spans="1:24" x14ac:dyDescent="0.3">
      <c r="A225" s="1">
        <v>31003</v>
      </c>
      <c r="B225" s="1">
        <v>310</v>
      </c>
      <c r="C225" s="1">
        <v>3</v>
      </c>
      <c r="D225" s="1">
        <v>1</v>
      </c>
      <c r="E225" s="1">
        <v>0</v>
      </c>
      <c r="F225" s="1">
        <v>1</v>
      </c>
      <c r="G225" s="1">
        <v>633</v>
      </c>
      <c r="H225" s="1">
        <v>367</v>
      </c>
      <c r="I225" s="1">
        <v>32</v>
      </c>
      <c r="J225" s="1">
        <v>155</v>
      </c>
      <c r="K225" s="1">
        <v>0</v>
      </c>
      <c r="L225" s="1">
        <v>13</v>
      </c>
      <c r="M225" s="1">
        <v>0</v>
      </c>
      <c r="N225" s="1">
        <v>0</v>
      </c>
      <c r="O225" s="1">
        <v>0</v>
      </c>
      <c r="P225" s="1">
        <v>0</v>
      </c>
      <c r="Q225" s="1">
        <v>0</v>
      </c>
      <c r="R225" s="1" t="s">
        <v>328</v>
      </c>
      <c r="S225" s="1">
        <v>0</v>
      </c>
      <c r="T225" s="1">
        <v>0</v>
      </c>
      <c r="U225" s="1">
        <v>0</v>
      </c>
      <c r="V225" s="1">
        <v>0</v>
      </c>
      <c r="W225" s="1">
        <v>0</v>
      </c>
      <c r="X225" s="1">
        <v>0</v>
      </c>
    </row>
    <row r="226" spans="1:24" x14ac:dyDescent="0.3">
      <c r="A226" s="1">
        <v>31004</v>
      </c>
      <c r="B226" s="1">
        <v>310</v>
      </c>
      <c r="C226" s="1">
        <v>4</v>
      </c>
      <c r="D226" s="1">
        <v>1</v>
      </c>
      <c r="E226" s="1">
        <v>0</v>
      </c>
      <c r="F226" s="1">
        <v>1</v>
      </c>
      <c r="G226" s="1">
        <v>683</v>
      </c>
      <c r="H226" s="1">
        <v>592</v>
      </c>
      <c r="I226" s="1">
        <v>47</v>
      </c>
      <c r="J226" s="1">
        <v>155</v>
      </c>
      <c r="K226" s="1">
        <v>0</v>
      </c>
      <c r="L226" s="1">
        <v>13</v>
      </c>
      <c r="M226" s="1">
        <v>0</v>
      </c>
      <c r="N226" s="1">
        <v>0</v>
      </c>
      <c r="O226" s="1">
        <v>0</v>
      </c>
      <c r="P226" s="1">
        <v>0</v>
      </c>
      <c r="Q226" s="1">
        <v>0</v>
      </c>
      <c r="R226" s="1" t="s">
        <v>328</v>
      </c>
      <c r="S226" s="1">
        <v>0</v>
      </c>
      <c r="T226" s="1">
        <v>0</v>
      </c>
      <c r="U226" s="1">
        <v>0</v>
      </c>
      <c r="V226" s="1">
        <v>0</v>
      </c>
      <c r="W226" s="1">
        <v>0</v>
      </c>
      <c r="X226" s="1">
        <v>0</v>
      </c>
    </row>
    <row r="227" spans="1:24" x14ac:dyDescent="0.3">
      <c r="A227" s="1">
        <v>80100</v>
      </c>
      <c r="B227" s="1">
        <v>801</v>
      </c>
      <c r="C227" s="1">
        <v>0</v>
      </c>
      <c r="D227" s="1">
        <v>0</v>
      </c>
      <c r="E227" s="1">
        <v>0</v>
      </c>
      <c r="F227" s="1">
        <v>1</v>
      </c>
      <c r="G227" s="1">
        <v>331</v>
      </c>
      <c r="H227" s="1">
        <v>42</v>
      </c>
      <c r="I227" s="1">
        <v>36</v>
      </c>
      <c r="J227" s="1">
        <v>19</v>
      </c>
      <c r="K227" s="1">
        <v>58</v>
      </c>
      <c r="L227" s="1">
        <v>0</v>
      </c>
      <c r="M227" s="1">
        <v>0</v>
      </c>
      <c r="N227" s="1">
        <v>0</v>
      </c>
      <c r="O227" s="1">
        <v>0</v>
      </c>
      <c r="P227" s="1">
        <v>0</v>
      </c>
      <c r="Q227" s="1">
        <v>0</v>
      </c>
      <c r="R227" s="1" t="s">
        <v>4691</v>
      </c>
      <c r="S227" s="1">
        <v>0</v>
      </c>
      <c r="T227" s="1">
        <v>0</v>
      </c>
      <c r="U227" s="1">
        <v>0</v>
      </c>
      <c r="V227" s="1">
        <v>0</v>
      </c>
      <c r="W227" s="1">
        <v>0</v>
      </c>
      <c r="X227" s="1">
        <v>0</v>
      </c>
    </row>
    <row r="228" spans="1:24" x14ac:dyDescent="0.3">
      <c r="A228" s="1">
        <v>80101</v>
      </c>
      <c r="B228" s="1">
        <v>801</v>
      </c>
      <c r="C228" s="1">
        <v>1</v>
      </c>
      <c r="D228" s="1">
        <v>1</v>
      </c>
      <c r="E228" s="1">
        <v>0</v>
      </c>
      <c r="F228" s="1">
        <v>1</v>
      </c>
      <c r="G228" s="1">
        <v>331</v>
      </c>
      <c r="H228" s="1">
        <v>42</v>
      </c>
      <c r="I228" s="1">
        <v>36</v>
      </c>
      <c r="J228" s="1">
        <v>19</v>
      </c>
      <c r="K228" s="1">
        <v>58</v>
      </c>
      <c r="L228" s="1">
        <v>0</v>
      </c>
      <c r="M228" s="1">
        <v>0</v>
      </c>
      <c r="N228" s="1">
        <v>0</v>
      </c>
      <c r="O228" s="1">
        <v>0</v>
      </c>
      <c r="P228" s="1">
        <v>0</v>
      </c>
      <c r="Q228" s="1">
        <v>200</v>
      </c>
      <c r="R228" s="1" t="s">
        <v>4592</v>
      </c>
      <c r="S228" s="1">
        <v>0</v>
      </c>
      <c r="T228" s="1">
        <v>0</v>
      </c>
      <c r="U228" s="1">
        <v>0</v>
      </c>
      <c r="V228" s="1">
        <v>0</v>
      </c>
      <c r="W228" s="1">
        <v>0</v>
      </c>
      <c r="X228" s="1">
        <v>0</v>
      </c>
    </row>
    <row r="229" spans="1:24" x14ac:dyDescent="0.3">
      <c r="A229" s="1">
        <v>80102</v>
      </c>
      <c r="B229" s="1">
        <v>801</v>
      </c>
      <c r="C229" s="1">
        <v>2</v>
      </c>
      <c r="D229" s="1">
        <v>1</v>
      </c>
      <c r="E229" s="1">
        <v>0</v>
      </c>
      <c r="F229" s="1">
        <v>1</v>
      </c>
      <c r="G229" s="1">
        <v>331</v>
      </c>
      <c r="H229" s="1">
        <v>72</v>
      </c>
      <c r="I229" s="1">
        <v>36</v>
      </c>
      <c r="J229" s="1">
        <v>29</v>
      </c>
      <c r="K229" s="1">
        <v>58</v>
      </c>
      <c r="L229" s="1">
        <v>0</v>
      </c>
      <c r="M229" s="1">
        <v>0</v>
      </c>
      <c r="N229" s="1">
        <v>0</v>
      </c>
      <c r="O229" s="1">
        <v>0</v>
      </c>
      <c r="P229" s="1">
        <v>0</v>
      </c>
      <c r="Q229" s="1">
        <v>200</v>
      </c>
      <c r="R229" s="1" t="s">
        <v>4592</v>
      </c>
      <c r="S229" s="1">
        <v>3</v>
      </c>
      <c r="T229" s="1">
        <v>0</v>
      </c>
      <c r="U229" s="1">
        <v>0</v>
      </c>
      <c r="V229" s="1">
        <v>0</v>
      </c>
      <c r="W229" s="1">
        <v>0</v>
      </c>
      <c r="X229" s="1">
        <v>0</v>
      </c>
    </row>
    <row r="230" spans="1:24" x14ac:dyDescent="0.3">
      <c r="A230" s="1">
        <v>80103</v>
      </c>
      <c r="B230" s="1">
        <v>801</v>
      </c>
      <c r="C230" s="1">
        <v>3</v>
      </c>
      <c r="D230" s="1">
        <v>1</v>
      </c>
      <c r="E230" s="1">
        <v>0</v>
      </c>
      <c r="F230" s="1">
        <v>1</v>
      </c>
      <c r="G230" s="1">
        <v>331</v>
      </c>
      <c r="H230" s="1">
        <v>72</v>
      </c>
      <c r="I230" s="1">
        <v>42</v>
      </c>
      <c r="J230" s="1">
        <v>29</v>
      </c>
      <c r="K230" s="1">
        <v>73</v>
      </c>
      <c r="L230" s="1">
        <v>0</v>
      </c>
      <c r="M230" s="1">
        <v>0</v>
      </c>
      <c r="N230" s="1">
        <v>0</v>
      </c>
      <c r="O230" s="1">
        <v>0</v>
      </c>
      <c r="P230" s="1">
        <v>0</v>
      </c>
      <c r="Q230" s="1">
        <v>200</v>
      </c>
      <c r="R230" s="1" t="s">
        <v>4592</v>
      </c>
      <c r="S230" s="1">
        <v>3</v>
      </c>
      <c r="T230" s="1">
        <v>0</v>
      </c>
      <c r="U230" s="1">
        <v>0</v>
      </c>
      <c r="V230" s="1">
        <v>0</v>
      </c>
      <c r="W230" s="1">
        <v>0</v>
      </c>
      <c r="X230" s="1">
        <v>0</v>
      </c>
    </row>
    <row r="231" spans="1:24" x14ac:dyDescent="0.3">
      <c r="A231" s="1">
        <v>80104</v>
      </c>
      <c r="B231" s="1">
        <v>801</v>
      </c>
      <c r="C231" s="1">
        <v>4</v>
      </c>
      <c r="D231" s="1">
        <v>1</v>
      </c>
      <c r="E231" s="1">
        <v>2</v>
      </c>
      <c r="F231" s="1">
        <v>1</v>
      </c>
      <c r="G231" s="1">
        <v>331</v>
      </c>
      <c r="H231" s="1">
        <v>72</v>
      </c>
      <c r="I231" s="1">
        <v>42</v>
      </c>
      <c r="J231" s="1">
        <v>29</v>
      </c>
      <c r="K231" s="1">
        <v>73</v>
      </c>
      <c r="L231" s="1">
        <v>0</v>
      </c>
      <c r="M231" s="1">
        <v>0</v>
      </c>
      <c r="N231" s="1">
        <v>0</v>
      </c>
      <c r="O231" s="1">
        <v>0</v>
      </c>
      <c r="P231" s="1">
        <v>0</v>
      </c>
      <c r="Q231" s="1">
        <v>200</v>
      </c>
      <c r="R231" s="1" t="s">
        <v>4592</v>
      </c>
      <c r="S231" s="1">
        <v>3</v>
      </c>
      <c r="T231" s="1">
        <v>0</v>
      </c>
      <c r="U231" s="1">
        <v>0</v>
      </c>
      <c r="V231" s="1">
        <v>30007</v>
      </c>
      <c r="W231" s="1">
        <v>0</v>
      </c>
      <c r="X231" s="1">
        <v>0</v>
      </c>
    </row>
    <row r="232" spans="1:24" x14ac:dyDescent="0.3">
      <c r="A232" s="1">
        <v>80200</v>
      </c>
      <c r="B232" s="1">
        <v>802</v>
      </c>
      <c r="C232" s="1">
        <v>0</v>
      </c>
      <c r="D232" s="1">
        <v>0</v>
      </c>
      <c r="E232" s="1">
        <v>0</v>
      </c>
      <c r="F232" s="1">
        <v>1</v>
      </c>
      <c r="G232" s="1">
        <v>319</v>
      </c>
      <c r="H232" s="1">
        <v>42</v>
      </c>
      <c r="I232" s="1">
        <v>32</v>
      </c>
      <c r="J232" s="1">
        <v>31</v>
      </c>
      <c r="K232" s="1">
        <v>42</v>
      </c>
      <c r="L232" s="1">
        <v>0</v>
      </c>
      <c r="M232" s="1">
        <v>0</v>
      </c>
      <c r="N232" s="1">
        <v>0</v>
      </c>
      <c r="O232" s="1">
        <v>0</v>
      </c>
      <c r="P232" s="1">
        <v>0</v>
      </c>
      <c r="Q232" s="1">
        <v>0</v>
      </c>
      <c r="R232" s="1" t="s">
        <v>4693</v>
      </c>
      <c r="S232" s="1">
        <v>0</v>
      </c>
      <c r="T232" s="1">
        <v>0</v>
      </c>
      <c r="U232" s="1">
        <v>0</v>
      </c>
      <c r="V232" s="1">
        <v>0</v>
      </c>
      <c r="W232" s="1">
        <v>0</v>
      </c>
      <c r="X232" s="1">
        <v>0</v>
      </c>
    </row>
    <row r="233" spans="1:24" x14ac:dyDescent="0.3">
      <c r="A233" s="1">
        <v>80201</v>
      </c>
      <c r="B233" s="1">
        <v>802</v>
      </c>
      <c r="C233" s="1">
        <v>1</v>
      </c>
      <c r="D233" s="1">
        <v>1</v>
      </c>
      <c r="E233" s="1">
        <v>0</v>
      </c>
      <c r="F233" s="1">
        <v>1</v>
      </c>
      <c r="G233" s="1">
        <v>319</v>
      </c>
      <c r="H233" s="1">
        <v>42</v>
      </c>
      <c r="I233" s="1">
        <v>32</v>
      </c>
      <c r="J233" s="1">
        <v>31</v>
      </c>
      <c r="K233" s="1">
        <v>42</v>
      </c>
      <c r="L233" s="1">
        <v>0</v>
      </c>
      <c r="M233" s="1">
        <v>0</v>
      </c>
      <c r="N233" s="1">
        <v>0</v>
      </c>
      <c r="O233" s="1">
        <v>0</v>
      </c>
      <c r="P233" s="1">
        <v>0</v>
      </c>
      <c r="Q233" s="1">
        <v>200</v>
      </c>
      <c r="R233" s="1" t="s">
        <v>4512</v>
      </c>
      <c r="S233" s="1">
        <v>0</v>
      </c>
      <c r="T233" s="1">
        <v>0</v>
      </c>
      <c r="U233" s="1">
        <v>0</v>
      </c>
      <c r="V233" s="1">
        <v>0</v>
      </c>
      <c r="W233" s="1">
        <v>0</v>
      </c>
      <c r="X233" s="1">
        <v>0</v>
      </c>
    </row>
    <row r="234" spans="1:24" x14ac:dyDescent="0.3">
      <c r="A234" s="1">
        <v>80202</v>
      </c>
      <c r="B234" s="1">
        <v>802</v>
      </c>
      <c r="C234" s="1">
        <v>2</v>
      </c>
      <c r="D234" s="1">
        <v>1</v>
      </c>
      <c r="E234" s="1">
        <v>0</v>
      </c>
      <c r="F234" s="1">
        <v>1</v>
      </c>
      <c r="G234" s="1">
        <v>319</v>
      </c>
      <c r="H234" s="1">
        <v>82</v>
      </c>
      <c r="I234" s="1">
        <v>32</v>
      </c>
      <c r="J234" s="1">
        <v>31</v>
      </c>
      <c r="K234" s="1">
        <v>42</v>
      </c>
      <c r="L234" s="1">
        <v>0</v>
      </c>
      <c r="M234" s="1">
        <v>0</v>
      </c>
      <c r="N234" s="1">
        <v>0</v>
      </c>
      <c r="O234" s="1">
        <v>0</v>
      </c>
      <c r="P234" s="1">
        <v>0</v>
      </c>
      <c r="Q234" s="1">
        <v>200</v>
      </c>
      <c r="R234" s="1" t="s">
        <v>4512</v>
      </c>
      <c r="S234" s="1">
        <v>0</v>
      </c>
      <c r="T234" s="1">
        <v>2</v>
      </c>
      <c r="U234" s="1">
        <v>0</v>
      </c>
      <c r="V234" s="1">
        <v>0</v>
      </c>
      <c r="W234" s="1">
        <v>0</v>
      </c>
      <c r="X234" s="1">
        <v>0</v>
      </c>
    </row>
    <row r="235" spans="1:24" x14ac:dyDescent="0.3">
      <c r="A235" s="1">
        <v>80203</v>
      </c>
      <c r="B235" s="1">
        <v>802</v>
      </c>
      <c r="C235" s="1">
        <v>3</v>
      </c>
      <c r="D235" s="1">
        <v>1</v>
      </c>
      <c r="E235" s="1">
        <v>0</v>
      </c>
      <c r="F235" s="1">
        <v>1</v>
      </c>
      <c r="G235" s="1">
        <v>439</v>
      </c>
      <c r="H235" s="1">
        <v>82</v>
      </c>
      <c r="I235" s="1">
        <v>32</v>
      </c>
      <c r="J235" s="1">
        <v>31</v>
      </c>
      <c r="K235" s="1">
        <v>57</v>
      </c>
      <c r="L235" s="1">
        <v>0</v>
      </c>
      <c r="M235" s="1">
        <v>0</v>
      </c>
      <c r="N235" s="1">
        <v>0</v>
      </c>
      <c r="O235" s="1">
        <v>0</v>
      </c>
      <c r="P235" s="1">
        <v>0</v>
      </c>
      <c r="Q235" s="1">
        <v>200</v>
      </c>
      <c r="R235" s="1" t="s">
        <v>4512</v>
      </c>
      <c r="S235" s="1">
        <v>0</v>
      </c>
      <c r="T235" s="1">
        <v>2</v>
      </c>
      <c r="U235" s="1">
        <v>0</v>
      </c>
      <c r="V235" s="1">
        <v>0</v>
      </c>
      <c r="W235" s="1">
        <v>0</v>
      </c>
      <c r="X235" s="1">
        <v>0</v>
      </c>
    </row>
    <row r="236" spans="1:24" x14ac:dyDescent="0.3">
      <c r="A236" s="1">
        <v>80204</v>
      </c>
      <c r="B236" s="1">
        <v>802</v>
      </c>
      <c r="C236" s="1">
        <v>4</v>
      </c>
      <c r="D236" s="1">
        <v>1</v>
      </c>
      <c r="E236" s="1">
        <v>3</v>
      </c>
      <c r="F236" s="1">
        <v>1</v>
      </c>
      <c r="G236" s="1">
        <v>439</v>
      </c>
      <c r="H236" s="1">
        <v>82</v>
      </c>
      <c r="I236" s="1">
        <v>32</v>
      </c>
      <c r="J236" s="1">
        <v>31</v>
      </c>
      <c r="K236" s="1">
        <v>57</v>
      </c>
      <c r="L236" s="1">
        <v>0</v>
      </c>
      <c r="M236" s="1">
        <v>0</v>
      </c>
      <c r="N236" s="1">
        <v>0</v>
      </c>
      <c r="O236" s="1">
        <v>0</v>
      </c>
      <c r="P236" s="1">
        <v>0</v>
      </c>
      <c r="Q236" s="1">
        <v>200</v>
      </c>
      <c r="R236" s="1" t="s">
        <v>4512</v>
      </c>
      <c r="S236" s="1">
        <v>0</v>
      </c>
      <c r="T236" s="1">
        <v>2</v>
      </c>
      <c r="U236" s="1">
        <v>0</v>
      </c>
      <c r="V236" s="1">
        <v>0</v>
      </c>
      <c r="W236" s="1">
        <v>600308</v>
      </c>
      <c r="X236" s="1">
        <v>0</v>
      </c>
    </row>
    <row r="237" spans="1:24" x14ac:dyDescent="0.3">
      <c r="A237" s="1">
        <v>80300</v>
      </c>
      <c r="B237" s="1">
        <v>803</v>
      </c>
      <c r="C237" s="1">
        <v>0</v>
      </c>
      <c r="D237" s="1">
        <v>0</v>
      </c>
      <c r="E237" s="1">
        <v>0</v>
      </c>
      <c r="F237" s="1">
        <v>1</v>
      </c>
      <c r="G237" s="1">
        <v>348</v>
      </c>
      <c r="H237" s="1">
        <v>57</v>
      </c>
      <c r="I237" s="1">
        <v>39</v>
      </c>
      <c r="J237" s="1">
        <v>17</v>
      </c>
      <c r="K237" s="1">
        <v>32</v>
      </c>
      <c r="L237" s="1">
        <v>0</v>
      </c>
      <c r="M237" s="1">
        <v>0</v>
      </c>
      <c r="N237" s="1">
        <v>0</v>
      </c>
      <c r="O237" s="1">
        <v>0</v>
      </c>
      <c r="P237" s="1">
        <v>0</v>
      </c>
      <c r="Q237" s="1">
        <v>0</v>
      </c>
      <c r="R237" s="1" t="s">
        <v>4694</v>
      </c>
      <c r="S237" s="1">
        <v>0</v>
      </c>
      <c r="T237" s="1">
        <v>0</v>
      </c>
      <c r="U237" s="1">
        <v>0</v>
      </c>
      <c r="V237" s="1">
        <v>0</v>
      </c>
      <c r="W237" s="1">
        <v>0</v>
      </c>
      <c r="X237" s="1">
        <v>0</v>
      </c>
    </row>
    <row r="238" spans="1:24" x14ac:dyDescent="0.3">
      <c r="A238" s="1">
        <v>80301</v>
      </c>
      <c r="B238" s="1">
        <v>803</v>
      </c>
      <c r="C238" s="1">
        <v>1</v>
      </c>
      <c r="D238" s="1">
        <v>1</v>
      </c>
      <c r="E238" s="1">
        <v>0</v>
      </c>
      <c r="F238" s="1">
        <v>1</v>
      </c>
      <c r="G238" s="1">
        <v>348</v>
      </c>
      <c r="H238" s="1">
        <v>57</v>
      </c>
      <c r="I238" s="1">
        <v>39</v>
      </c>
      <c r="J238" s="1">
        <v>17</v>
      </c>
      <c r="K238" s="1">
        <v>32</v>
      </c>
      <c r="L238" s="1">
        <v>0</v>
      </c>
      <c r="M238" s="1">
        <v>0</v>
      </c>
      <c r="N238" s="1">
        <v>0</v>
      </c>
      <c r="O238" s="1">
        <v>0</v>
      </c>
      <c r="P238" s="1">
        <v>0</v>
      </c>
      <c r="Q238" s="1">
        <v>200</v>
      </c>
      <c r="R238" s="1" t="s">
        <v>4561</v>
      </c>
      <c r="S238" s="1">
        <v>0</v>
      </c>
      <c r="T238" s="1">
        <v>0</v>
      </c>
      <c r="U238" s="1">
        <v>0</v>
      </c>
      <c r="V238" s="1">
        <v>0</v>
      </c>
      <c r="W238" s="1">
        <v>0</v>
      </c>
      <c r="X238" s="1">
        <v>0</v>
      </c>
    </row>
    <row r="239" spans="1:24" x14ac:dyDescent="0.3">
      <c r="A239" s="1">
        <v>80302</v>
      </c>
      <c r="B239" s="1">
        <v>803</v>
      </c>
      <c r="C239" s="1">
        <v>2</v>
      </c>
      <c r="D239" s="1">
        <v>1</v>
      </c>
      <c r="E239" s="1">
        <v>0</v>
      </c>
      <c r="F239" s="1">
        <v>1</v>
      </c>
      <c r="G239" s="1">
        <v>348</v>
      </c>
      <c r="H239" s="1">
        <v>77</v>
      </c>
      <c r="I239" s="1">
        <v>39</v>
      </c>
      <c r="J239" s="1">
        <v>17</v>
      </c>
      <c r="K239" s="1">
        <v>47</v>
      </c>
      <c r="L239" s="1">
        <v>0</v>
      </c>
      <c r="M239" s="1">
        <v>0</v>
      </c>
      <c r="N239" s="1">
        <v>0</v>
      </c>
      <c r="O239" s="1">
        <v>0</v>
      </c>
      <c r="P239" s="1">
        <v>0</v>
      </c>
      <c r="Q239" s="1">
        <v>200</v>
      </c>
      <c r="R239" s="1" t="s">
        <v>4561</v>
      </c>
      <c r="S239" s="1">
        <v>0</v>
      </c>
      <c r="T239" s="1">
        <v>0</v>
      </c>
      <c r="U239" s="1">
        <v>0</v>
      </c>
      <c r="V239" s="1">
        <v>0</v>
      </c>
      <c r="W239" s="1">
        <v>0</v>
      </c>
      <c r="X239" s="1">
        <v>0</v>
      </c>
    </row>
    <row r="240" spans="1:24" x14ac:dyDescent="0.3">
      <c r="A240" s="1">
        <v>80303</v>
      </c>
      <c r="B240" s="1">
        <v>803</v>
      </c>
      <c r="C240" s="1">
        <v>3</v>
      </c>
      <c r="D240" s="1">
        <v>1</v>
      </c>
      <c r="E240" s="1">
        <v>0</v>
      </c>
      <c r="F240" s="1">
        <v>1</v>
      </c>
      <c r="G240" s="1">
        <v>348</v>
      </c>
      <c r="H240" s="1">
        <v>77</v>
      </c>
      <c r="I240" s="1">
        <v>39</v>
      </c>
      <c r="J240" s="1">
        <v>33</v>
      </c>
      <c r="K240" s="1">
        <v>63</v>
      </c>
      <c r="L240" s="1">
        <v>0</v>
      </c>
      <c r="M240" s="1">
        <v>0</v>
      </c>
      <c r="N240" s="1">
        <v>0</v>
      </c>
      <c r="O240" s="1">
        <v>0</v>
      </c>
      <c r="P240" s="1">
        <v>0</v>
      </c>
      <c r="Q240" s="1">
        <v>200</v>
      </c>
      <c r="R240" s="1" t="s">
        <v>4561</v>
      </c>
      <c r="S240" s="1">
        <v>0</v>
      </c>
      <c r="T240" s="1">
        <v>0</v>
      </c>
      <c r="U240" s="1">
        <v>0</v>
      </c>
      <c r="V240" s="1">
        <v>0</v>
      </c>
      <c r="W240" s="1">
        <v>0</v>
      </c>
      <c r="X240" s="1">
        <v>0</v>
      </c>
    </row>
    <row r="241" spans="1:24" x14ac:dyDescent="0.3">
      <c r="A241" s="1">
        <v>80304</v>
      </c>
      <c r="B241" s="1">
        <v>803</v>
      </c>
      <c r="C241" s="1">
        <v>4</v>
      </c>
      <c r="D241" s="1">
        <v>1</v>
      </c>
      <c r="E241" s="1">
        <v>4</v>
      </c>
      <c r="F241" s="1">
        <v>1</v>
      </c>
      <c r="G241" s="1">
        <v>348</v>
      </c>
      <c r="H241" s="1">
        <v>77</v>
      </c>
      <c r="I241" s="1">
        <v>39</v>
      </c>
      <c r="J241" s="1">
        <v>33</v>
      </c>
      <c r="K241" s="1">
        <v>63</v>
      </c>
      <c r="L241" s="1">
        <v>0</v>
      </c>
      <c r="M241" s="1">
        <v>0</v>
      </c>
      <c r="N241" s="1">
        <v>0</v>
      </c>
      <c r="O241" s="1">
        <v>0</v>
      </c>
      <c r="P241" s="1">
        <v>0</v>
      </c>
      <c r="Q241" s="1">
        <v>200</v>
      </c>
      <c r="R241" s="1" t="s">
        <v>4561</v>
      </c>
      <c r="S241" s="1">
        <v>0</v>
      </c>
      <c r="T241" s="1">
        <v>0</v>
      </c>
      <c r="U241" s="1">
        <v>0</v>
      </c>
      <c r="V241" s="1">
        <v>0</v>
      </c>
      <c r="W241" s="1">
        <v>0</v>
      </c>
      <c r="X241" s="1">
        <v>900598</v>
      </c>
    </row>
    <row r="242" spans="1:24" x14ac:dyDescent="0.3">
      <c r="A242" s="1">
        <v>80400</v>
      </c>
      <c r="B242" s="1">
        <v>804</v>
      </c>
      <c r="C242" s="1">
        <v>0</v>
      </c>
      <c r="D242" s="1">
        <v>0</v>
      </c>
      <c r="E242" s="1">
        <v>0</v>
      </c>
      <c r="F242" s="1">
        <v>1</v>
      </c>
      <c r="G242" s="1">
        <v>44</v>
      </c>
      <c r="H242" s="1">
        <v>8</v>
      </c>
      <c r="I242" s="1">
        <v>32</v>
      </c>
      <c r="J242" s="1">
        <v>31</v>
      </c>
      <c r="K242" s="1">
        <v>46</v>
      </c>
      <c r="L242" s="1">
        <v>0</v>
      </c>
      <c r="M242" s="1">
        <v>0</v>
      </c>
      <c r="N242" s="1">
        <v>0</v>
      </c>
      <c r="O242" s="1">
        <v>0</v>
      </c>
      <c r="P242" s="1">
        <v>0</v>
      </c>
      <c r="Q242" s="1">
        <v>0</v>
      </c>
      <c r="R242" s="1" t="s">
        <v>328</v>
      </c>
      <c r="S242" s="1">
        <v>0</v>
      </c>
      <c r="T242" s="1">
        <v>0</v>
      </c>
      <c r="U242" s="1">
        <v>0</v>
      </c>
      <c r="V242" s="1">
        <v>0</v>
      </c>
      <c r="W242" s="1">
        <v>0</v>
      </c>
      <c r="X242" s="1">
        <v>0</v>
      </c>
    </row>
    <row r="243" spans="1:24" x14ac:dyDescent="0.3">
      <c r="A243" s="1">
        <v>80401</v>
      </c>
      <c r="B243" s="1">
        <v>804</v>
      </c>
      <c r="C243" s="1">
        <v>1</v>
      </c>
      <c r="D243" s="1">
        <v>1</v>
      </c>
      <c r="E243" s="1">
        <v>0</v>
      </c>
      <c r="F243" s="1">
        <v>2</v>
      </c>
      <c r="G243" s="1">
        <v>44</v>
      </c>
      <c r="H243" s="1">
        <v>8</v>
      </c>
      <c r="I243" s="1">
        <v>32</v>
      </c>
      <c r="J243" s="1">
        <v>31</v>
      </c>
      <c r="K243" s="1">
        <v>46</v>
      </c>
      <c r="L243" s="1">
        <v>0</v>
      </c>
      <c r="M243" s="1">
        <v>0</v>
      </c>
      <c r="N243" s="1">
        <v>0</v>
      </c>
      <c r="O243" s="1">
        <v>0</v>
      </c>
      <c r="P243" s="1">
        <v>0</v>
      </c>
      <c r="Q243" s="1">
        <v>0</v>
      </c>
      <c r="R243" s="1" t="s">
        <v>328</v>
      </c>
      <c r="S243" s="1">
        <v>0</v>
      </c>
      <c r="T243" s="1">
        <v>0</v>
      </c>
      <c r="U243" s="1">
        <v>0</v>
      </c>
      <c r="V243" s="1">
        <v>0</v>
      </c>
      <c r="W243" s="1">
        <v>0</v>
      </c>
      <c r="X243" s="1">
        <v>0</v>
      </c>
    </row>
    <row r="244" spans="1:24" x14ac:dyDescent="0.3">
      <c r="A244" s="1">
        <v>80402</v>
      </c>
      <c r="B244" s="1">
        <v>804</v>
      </c>
      <c r="C244" s="1">
        <v>2</v>
      </c>
      <c r="D244" s="1">
        <v>1</v>
      </c>
      <c r="E244" s="1">
        <v>0</v>
      </c>
      <c r="F244" s="1">
        <v>3</v>
      </c>
      <c r="G244" s="1">
        <v>44</v>
      </c>
      <c r="H244" s="1">
        <v>8</v>
      </c>
      <c r="I244" s="1">
        <v>32</v>
      </c>
      <c r="J244" s="1">
        <v>31</v>
      </c>
      <c r="K244" s="1">
        <v>46</v>
      </c>
      <c r="L244" s="1">
        <v>0</v>
      </c>
      <c r="M244" s="1">
        <v>0</v>
      </c>
      <c r="N244" s="1">
        <v>0</v>
      </c>
      <c r="O244" s="1">
        <v>0</v>
      </c>
      <c r="P244" s="1">
        <v>0</v>
      </c>
      <c r="Q244" s="1">
        <v>0</v>
      </c>
      <c r="R244" s="1" t="s">
        <v>328</v>
      </c>
      <c r="S244" s="1">
        <v>0</v>
      </c>
      <c r="T244" s="1">
        <v>1</v>
      </c>
      <c r="U244" s="1">
        <v>0</v>
      </c>
      <c r="V244" s="1">
        <v>0</v>
      </c>
      <c r="W244" s="1">
        <v>0</v>
      </c>
      <c r="X244" s="1">
        <v>0</v>
      </c>
    </row>
    <row r="245" spans="1:24" x14ac:dyDescent="0.3">
      <c r="A245" s="1">
        <v>80403</v>
      </c>
      <c r="B245" s="1">
        <v>804</v>
      </c>
      <c r="C245" s="1">
        <v>3</v>
      </c>
      <c r="D245" s="1">
        <v>1</v>
      </c>
      <c r="E245" s="1">
        <v>3</v>
      </c>
      <c r="F245" s="1">
        <v>4</v>
      </c>
      <c r="G245" s="1">
        <v>44</v>
      </c>
      <c r="H245" s="1">
        <v>8</v>
      </c>
      <c r="I245" s="1">
        <v>32</v>
      </c>
      <c r="J245" s="1">
        <v>31</v>
      </c>
      <c r="K245" s="1">
        <v>46</v>
      </c>
      <c r="L245" s="1">
        <v>0</v>
      </c>
      <c r="M245" s="1">
        <v>0</v>
      </c>
      <c r="N245" s="1">
        <v>0</v>
      </c>
      <c r="O245" s="1">
        <v>0</v>
      </c>
      <c r="P245" s="1">
        <v>0</v>
      </c>
      <c r="Q245" s="1">
        <v>0</v>
      </c>
      <c r="R245" s="1" t="s">
        <v>328</v>
      </c>
      <c r="S245" s="1">
        <v>0</v>
      </c>
      <c r="T245" s="1">
        <v>1</v>
      </c>
      <c r="U245" s="1">
        <v>0</v>
      </c>
      <c r="V245" s="1">
        <v>0</v>
      </c>
      <c r="W245" s="1">
        <v>900526</v>
      </c>
      <c r="X245" s="1">
        <v>0</v>
      </c>
    </row>
    <row r="246" spans="1:24" x14ac:dyDescent="0.3">
      <c r="A246" s="1">
        <v>80404</v>
      </c>
      <c r="B246" s="1">
        <v>804</v>
      </c>
      <c r="C246" s="1">
        <v>4</v>
      </c>
      <c r="D246" s="1">
        <v>1</v>
      </c>
      <c r="E246" s="1">
        <v>4</v>
      </c>
      <c r="F246" s="1">
        <v>5</v>
      </c>
      <c r="G246" s="1">
        <v>44</v>
      </c>
      <c r="H246" s="1">
        <v>8</v>
      </c>
      <c r="I246" s="1">
        <v>32</v>
      </c>
      <c r="J246" s="1">
        <v>31</v>
      </c>
      <c r="K246" s="1">
        <v>46</v>
      </c>
      <c r="L246" s="1">
        <v>0</v>
      </c>
      <c r="M246" s="1">
        <v>0</v>
      </c>
      <c r="N246" s="1">
        <v>0</v>
      </c>
      <c r="O246" s="1">
        <v>0</v>
      </c>
      <c r="P246" s="1">
        <v>0</v>
      </c>
      <c r="Q246" s="1">
        <v>0</v>
      </c>
      <c r="R246" s="1" t="s">
        <v>328</v>
      </c>
      <c r="S246" s="1">
        <v>0</v>
      </c>
      <c r="T246" s="1">
        <v>1</v>
      </c>
      <c r="U246" s="1">
        <v>0</v>
      </c>
      <c r="V246" s="1">
        <v>0</v>
      </c>
      <c r="W246" s="1">
        <v>900526</v>
      </c>
      <c r="X246" s="1">
        <v>900598</v>
      </c>
    </row>
    <row r="247" spans="1:24" x14ac:dyDescent="0.3">
      <c r="A247" s="1">
        <v>80500</v>
      </c>
      <c r="B247" s="1">
        <v>805</v>
      </c>
      <c r="C247" s="1">
        <v>0</v>
      </c>
      <c r="D247" s="1">
        <v>0</v>
      </c>
      <c r="E247" s="1">
        <v>0</v>
      </c>
      <c r="F247" s="1">
        <v>1</v>
      </c>
      <c r="G247" s="1">
        <v>58</v>
      </c>
      <c r="H247" s="1">
        <v>10</v>
      </c>
      <c r="I247" s="1">
        <v>41</v>
      </c>
      <c r="J247" s="1">
        <v>18</v>
      </c>
      <c r="K247" s="1">
        <v>68</v>
      </c>
      <c r="L247" s="1">
        <v>0</v>
      </c>
      <c r="M247" s="1">
        <v>0</v>
      </c>
      <c r="N247" s="1">
        <v>0</v>
      </c>
      <c r="O247" s="1">
        <v>0</v>
      </c>
      <c r="P247" s="1">
        <v>0</v>
      </c>
      <c r="Q247" s="1">
        <v>0</v>
      </c>
      <c r="R247" s="1" t="s">
        <v>328</v>
      </c>
      <c r="S247" s="1">
        <v>0</v>
      </c>
      <c r="T247" s="1">
        <v>0</v>
      </c>
      <c r="U247" s="1">
        <v>0</v>
      </c>
      <c r="V247" s="1">
        <v>0</v>
      </c>
      <c r="W247" s="1">
        <v>0</v>
      </c>
      <c r="X247" s="1">
        <v>0</v>
      </c>
    </row>
    <row r="248" spans="1:24" x14ac:dyDescent="0.3">
      <c r="A248" s="1">
        <v>80501</v>
      </c>
      <c r="B248" s="1">
        <v>805</v>
      </c>
      <c r="C248" s="1">
        <v>1</v>
      </c>
      <c r="D248" s="1">
        <v>1</v>
      </c>
      <c r="E248" s="1">
        <v>0</v>
      </c>
      <c r="F248" s="1">
        <v>2</v>
      </c>
      <c r="G248" s="1">
        <v>58</v>
      </c>
      <c r="H248" s="1">
        <v>10</v>
      </c>
      <c r="I248" s="1">
        <v>41</v>
      </c>
      <c r="J248" s="1">
        <v>18</v>
      </c>
      <c r="K248" s="1">
        <v>68</v>
      </c>
      <c r="L248" s="1">
        <v>0</v>
      </c>
      <c r="M248" s="1">
        <v>0</v>
      </c>
      <c r="N248" s="1">
        <v>0</v>
      </c>
      <c r="O248" s="1">
        <v>0</v>
      </c>
      <c r="P248" s="1">
        <v>0</v>
      </c>
      <c r="Q248" s="1">
        <v>0</v>
      </c>
      <c r="R248" s="1" t="s">
        <v>328</v>
      </c>
      <c r="S248" s="1">
        <v>0</v>
      </c>
      <c r="T248" s="1">
        <v>0</v>
      </c>
      <c r="U248" s="1">
        <v>0</v>
      </c>
      <c r="V248" s="1">
        <v>0</v>
      </c>
      <c r="W248" s="1">
        <v>0</v>
      </c>
      <c r="X248" s="1">
        <v>0</v>
      </c>
    </row>
    <row r="249" spans="1:24" x14ac:dyDescent="0.3">
      <c r="A249" s="1">
        <v>80502</v>
      </c>
      <c r="B249" s="1">
        <v>805</v>
      </c>
      <c r="C249" s="1">
        <v>2</v>
      </c>
      <c r="D249" s="1">
        <v>1</v>
      </c>
      <c r="E249" s="1">
        <v>0</v>
      </c>
      <c r="F249" s="1">
        <v>3</v>
      </c>
      <c r="G249" s="1">
        <v>58</v>
      </c>
      <c r="H249" s="1">
        <v>10</v>
      </c>
      <c r="I249" s="1">
        <v>41</v>
      </c>
      <c r="J249" s="1">
        <v>18</v>
      </c>
      <c r="K249" s="1">
        <v>68</v>
      </c>
      <c r="L249" s="1">
        <v>0</v>
      </c>
      <c r="M249" s="1">
        <v>0</v>
      </c>
      <c r="N249" s="1">
        <v>0</v>
      </c>
      <c r="O249" s="1">
        <v>0</v>
      </c>
      <c r="P249" s="1">
        <v>0</v>
      </c>
      <c r="Q249" s="1">
        <v>0</v>
      </c>
      <c r="R249" s="1" t="s">
        <v>328</v>
      </c>
      <c r="S249" s="1">
        <v>0</v>
      </c>
      <c r="T249" s="1">
        <v>1</v>
      </c>
      <c r="U249" s="1">
        <v>0</v>
      </c>
      <c r="V249" s="1">
        <v>0</v>
      </c>
      <c r="W249" s="1">
        <v>0</v>
      </c>
      <c r="X249" s="1">
        <v>0</v>
      </c>
    </row>
    <row r="250" spans="1:24" x14ac:dyDescent="0.3">
      <c r="A250" s="1">
        <v>80503</v>
      </c>
      <c r="B250" s="1">
        <v>805</v>
      </c>
      <c r="C250" s="1">
        <v>3</v>
      </c>
      <c r="D250" s="1">
        <v>1</v>
      </c>
      <c r="E250" s="1">
        <v>0</v>
      </c>
      <c r="F250" s="1">
        <v>4</v>
      </c>
      <c r="G250" s="1">
        <v>58</v>
      </c>
      <c r="H250" s="1">
        <v>10</v>
      </c>
      <c r="I250" s="1">
        <v>41</v>
      </c>
      <c r="J250" s="1">
        <v>18</v>
      </c>
      <c r="K250" s="1">
        <v>68</v>
      </c>
      <c r="L250" s="1">
        <v>0</v>
      </c>
      <c r="M250" s="1">
        <v>0</v>
      </c>
      <c r="N250" s="1">
        <v>0</v>
      </c>
      <c r="O250" s="1">
        <v>0</v>
      </c>
      <c r="P250" s="1">
        <v>0</v>
      </c>
      <c r="Q250" s="1">
        <v>0</v>
      </c>
      <c r="R250" s="1" t="s">
        <v>328</v>
      </c>
      <c r="S250" s="1">
        <v>0</v>
      </c>
      <c r="T250" s="1">
        <v>1</v>
      </c>
      <c r="U250" s="1">
        <v>0</v>
      </c>
      <c r="V250" s="1">
        <v>0</v>
      </c>
      <c r="W250" s="1">
        <v>0</v>
      </c>
      <c r="X250" s="1">
        <v>0</v>
      </c>
    </row>
    <row r="251" spans="1:24" x14ac:dyDescent="0.3">
      <c r="A251" s="1">
        <v>80504</v>
      </c>
      <c r="B251" s="1">
        <v>805</v>
      </c>
      <c r="C251" s="1">
        <v>4</v>
      </c>
      <c r="D251" s="1">
        <v>1</v>
      </c>
      <c r="E251" s="1">
        <v>4</v>
      </c>
      <c r="F251" s="1">
        <v>5</v>
      </c>
      <c r="G251" s="1">
        <v>58</v>
      </c>
      <c r="H251" s="1">
        <v>10</v>
      </c>
      <c r="I251" s="1">
        <v>41</v>
      </c>
      <c r="J251" s="1">
        <v>18</v>
      </c>
      <c r="K251" s="1">
        <v>68</v>
      </c>
      <c r="L251" s="1">
        <v>0</v>
      </c>
      <c r="M251" s="1">
        <v>0</v>
      </c>
      <c r="N251" s="1">
        <v>0</v>
      </c>
      <c r="O251" s="1">
        <v>0</v>
      </c>
      <c r="P251" s="1">
        <v>0</v>
      </c>
      <c r="Q251" s="1">
        <v>0</v>
      </c>
      <c r="R251" s="1" t="s">
        <v>328</v>
      </c>
      <c r="S251" s="1">
        <v>0</v>
      </c>
      <c r="T251" s="1">
        <v>1</v>
      </c>
      <c r="U251" s="1">
        <v>0</v>
      </c>
      <c r="V251" s="1">
        <v>0</v>
      </c>
      <c r="W251" s="1">
        <v>0</v>
      </c>
      <c r="X251" s="1">
        <v>600308</v>
      </c>
    </row>
    <row r="252" spans="1:24" x14ac:dyDescent="0.3">
      <c r="A252" s="1">
        <v>80600</v>
      </c>
      <c r="B252" s="1">
        <v>806</v>
      </c>
      <c r="C252" s="1">
        <v>0</v>
      </c>
      <c r="D252" s="1">
        <v>0</v>
      </c>
      <c r="E252" s="1">
        <v>0</v>
      </c>
      <c r="F252" s="1">
        <v>1</v>
      </c>
      <c r="G252" s="1">
        <v>23</v>
      </c>
      <c r="H252" s="1">
        <v>17</v>
      </c>
      <c r="I252" s="1">
        <v>44</v>
      </c>
      <c r="J252" s="1">
        <v>34</v>
      </c>
      <c r="K252" s="1">
        <v>57</v>
      </c>
      <c r="L252" s="1">
        <v>0</v>
      </c>
      <c r="M252" s="1">
        <v>0</v>
      </c>
      <c r="N252" s="1">
        <v>0</v>
      </c>
      <c r="O252" s="1">
        <v>0</v>
      </c>
      <c r="P252" s="1">
        <v>0</v>
      </c>
      <c r="Q252" s="1">
        <v>0</v>
      </c>
      <c r="R252" s="1" t="s">
        <v>328</v>
      </c>
      <c r="S252" s="1">
        <v>0</v>
      </c>
      <c r="T252" s="1">
        <v>0</v>
      </c>
      <c r="U252" s="1">
        <v>0</v>
      </c>
      <c r="V252" s="1">
        <v>0</v>
      </c>
      <c r="W252" s="1">
        <v>0</v>
      </c>
      <c r="X252" s="1">
        <v>0</v>
      </c>
    </row>
    <row r="253" spans="1:24" x14ac:dyDescent="0.3">
      <c r="A253" s="1">
        <v>80601</v>
      </c>
      <c r="B253" s="1">
        <v>806</v>
      </c>
      <c r="C253" s="1">
        <v>1</v>
      </c>
      <c r="D253" s="1">
        <v>1</v>
      </c>
      <c r="E253" s="1">
        <v>0</v>
      </c>
      <c r="F253" s="1">
        <v>2</v>
      </c>
      <c r="G253" s="1">
        <v>23</v>
      </c>
      <c r="H253" s="1">
        <v>17</v>
      </c>
      <c r="I253" s="1">
        <v>44</v>
      </c>
      <c r="J253" s="1">
        <v>34</v>
      </c>
      <c r="K253" s="1">
        <v>57</v>
      </c>
      <c r="L253" s="1">
        <v>0</v>
      </c>
      <c r="M253" s="1">
        <v>0</v>
      </c>
      <c r="N253" s="1">
        <v>0</v>
      </c>
      <c r="O253" s="1">
        <v>0</v>
      </c>
      <c r="P253" s="1">
        <v>0</v>
      </c>
      <c r="Q253" s="1">
        <v>0</v>
      </c>
      <c r="R253" s="1" t="s">
        <v>328</v>
      </c>
      <c r="S253" s="1">
        <v>0</v>
      </c>
      <c r="T253" s="1">
        <v>0</v>
      </c>
      <c r="U253" s="1">
        <v>0</v>
      </c>
      <c r="V253" s="1">
        <v>0</v>
      </c>
      <c r="W253" s="1">
        <v>0</v>
      </c>
      <c r="X253" s="1">
        <v>0</v>
      </c>
    </row>
    <row r="254" spans="1:24" x14ac:dyDescent="0.3">
      <c r="A254" s="1">
        <v>80602</v>
      </c>
      <c r="B254" s="1">
        <v>806</v>
      </c>
      <c r="C254" s="1">
        <v>2</v>
      </c>
      <c r="D254" s="1">
        <v>1</v>
      </c>
      <c r="E254" s="1">
        <v>0</v>
      </c>
      <c r="F254" s="1">
        <v>3</v>
      </c>
      <c r="G254" s="1">
        <v>23</v>
      </c>
      <c r="H254" s="1">
        <v>17</v>
      </c>
      <c r="I254" s="1">
        <v>44</v>
      </c>
      <c r="J254" s="1">
        <v>34</v>
      </c>
      <c r="K254" s="1">
        <v>57</v>
      </c>
      <c r="L254" s="1">
        <v>0</v>
      </c>
      <c r="M254" s="1">
        <v>0</v>
      </c>
      <c r="N254" s="1">
        <v>0</v>
      </c>
      <c r="O254" s="1">
        <v>0</v>
      </c>
      <c r="P254" s="1">
        <v>0</v>
      </c>
      <c r="Q254" s="1">
        <v>0</v>
      </c>
      <c r="R254" s="1" t="s">
        <v>328</v>
      </c>
      <c r="S254" s="1">
        <v>0</v>
      </c>
      <c r="T254" s="1">
        <v>0</v>
      </c>
      <c r="U254" s="1">
        <v>0</v>
      </c>
      <c r="V254" s="1">
        <v>0</v>
      </c>
      <c r="W254" s="1">
        <v>0</v>
      </c>
      <c r="X254" s="1">
        <v>0</v>
      </c>
    </row>
    <row r="255" spans="1:24" x14ac:dyDescent="0.3">
      <c r="A255" s="1">
        <v>80603</v>
      </c>
      <c r="B255" s="1">
        <v>806</v>
      </c>
      <c r="C255" s="1">
        <v>3</v>
      </c>
      <c r="D255" s="1">
        <v>1</v>
      </c>
      <c r="E255" s="1">
        <v>0</v>
      </c>
      <c r="F255" s="1">
        <v>4</v>
      </c>
      <c r="G255" s="1">
        <v>23</v>
      </c>
      <c r="H255" s="1">
        <v>17</v>
      </c>
      <c r="I255" s="1">
        <v>44</v>
      </c>
      <c r="J255" s="1">
        <v>34</v>
      </c>
      <c r="K255" s="1">
        <v>57</v>
      </c>
      <c r="L255" s="1">
        <v>0</v>
      </c>
      <c r="M255" s="1">
        <v>0</v>
      </c>
      <c r="N255" s="1">
        <v>0</v>
      </c>
      <c r="O255" s="1">
        <v>0</v>
      </c>
      <c r="P255" s="1">
        <v>0</v>
      </c>
      <c r="Q255" s="1">
        <v>0</v>
      </c>
      <c r="R255" s="1" t="s">
        <v>328</v>
      </c>
      <c r="S255" s="1">
        <v>0</v>
      </c>
      <c r="T255" s="1">
        <v>0</v>
      </c>
      <c r="U255" s="1">
        <v>0</v>
      </c>
      <c r="V255" s="1">
        <v>0</v>
      </c>
      <c r="W255" s="1">
        <v>0</v>
      </c>
      <c r="X255" s="1">
        <v>0</v>
      </c>
    </row>
    <row r="256" spans="1:24" x14ac:dyDescent="0.3">
      <c r="A256">
        <v>80604</v>
      </c>
      <c r="B256">
        <v>806</v>
      </c>
      <c r="C256">
        <v>4</v>
      </c>
      <c r="D256">
        <v>1</v>
      </c>
      <c r="E256">
        <v>0</v>
      </c>
      <c r="F256">
        <v>5</v>
      </c>
      <c r="G256">
        <v>23</v>
      </c>
      <c r="H256">
        <v>17</v>
      </c>
      <c r="I256">
        <v>44</v>
      </c>
      <c r="J256">
        <v>34</v>
      </c>
      <c r="K256">
        <v>57</v>
      </c>
      <c r="L256">
        <v>0</v>
      </c>
      <c r="M256">
        <v>0</v>
      </c>
      <c r="N256">
        <v>0</v>
      </c>
      <c r="O256">
        <v>0</v>
      </c>
      <c r="P256">
        <v>0</v>
      </c>
      <c r="Q256">
        <v>0</v>
      </c>
      <c r="R256" t="s">
        <v>328</v>
      </c>
      <c r="S256">
        <v>0</v>
      </c>
      <c r="T256">
        <v>0</v>
      </c>
      <c r="U256">
        <v>0</v>
      </c>
      <c r="V256">
        <v>0</v>
      </c>
      <c r="W256">
        <v>0</v>
      </c>
      <c r="X256">
        <v>0</v>
      </c>
    </row>
    <row r="257" spans="1:25" x14ac:dyDescent="0.3">
      <c r="A257">
        <v>80700</v>
      </c>
      <c r="B257">
        <v>807</v>
      </c>
      <c r="C257">
        <v>0</v>
      </c>
      <c r="D257">
        <v>0</v>
      </c>
      <c r="E257">
        <v>0</v>
      </c>
      <c r="F257">
        <v>1</v>
      </c>
      <c r="G257">
        <v>23</v>
      </c>
      <c r="H257">
        <v>17</v>
      </c>
      <c r="I257">
        <v>44</v>
      </c>
      <c r="J257">
        <v>34</v>
      </c>
      <c r="K257">
        <v>57</v>
      </c>
      <c r="L257">
        <v>0</v>
      </c>
      <c r="M257">
        <v>0</v>
      </c>
      <c r="N257">
        <v>0</v>
      </c>
      <c r="O257">
        <v>0</v>
      </c>
      <c r="P257">
        <v>0</v>
      </c>
      <c r="Q257">
        <v>0</v>
      </c>
      <c r="R257" t="s">
        <v>328</v>
      </c>
      <c r="S257">
        <v>0</v>
      </c>
      <c r="T257">
        <v>0</v>
      </c>
      <c r="U257">
        <v>0</v>
      </c>
      <c r="V257">
        <v>0</v>
      </c>
      <c r="W257">
        <v>0</v>
      </c>
      <c r="X257">
        <v>0</v>
      </c>
      <c r="Y257">
        <v>0</v>
      </c>
    </row>
    <row r="258" spans="1:25" x14ac:dyDescent="0.3">
      <c r="A258">
        <v>80701</v>
      </c>
      <c r="B258">
        <v>807</v>
      </c>
      <c r="C258">
        <v>1</v>
      </c>
      <c r="D258">
        <v>1</v>
      </c>
      <c r="E258">
        <v>0</v>
      </c>
      <c r="F258">
        <v>2</v>
      </c>
      <c r="G258">
        <v>23</v>
      </c>
      <c r="H258">
        <v>17</v>
      </c>
      <c r="I258">
        <v>44</v>
      </c>
      <c r="J258">
        <v>34</v>
      </c>
      <c r="K258">
        <v>57</v>
      </c>
      <c r="L258">
        <v>0</v>
      </c>
      <c r="M258">
        <v>0</v>
      </c>
      <c r="N258">
        <v>0</v>
      </c>
      <c r="O258">
        <v>0</v>
      </c>
      <c r="P258">
        <v>0</v>
      </c>
      <c r="Q258">
        <v>0</v>
      </c>
      <c r="R258" t="s">
        <v>328</v>
      </c>
      <c r="S258">
        <v>0</v>
      </c>
      <c r="T258">
        <v>0</v>
      </c>
      <c r="U258">
        <v>0</v>
      </c>
      <c r="V258">
        <v>0</v>
      </c>
      <c r="W258">
        <v>0</v>
      </c>
      <c r="X258">
        <v>0</v>
      </c>
      <c r="Y258">
        <v>0</v>
      </c>
    </row>
    <row r="259" spans="1:25" x14ac:dyDescent="0.3">
      <c r="A259">
        <v>80702</v>
      </c>
      <c r="B259">
        <v>807</v>
      </c>
      <c r="C259">
        <v>2</v>
      </c>
      <c r="D259">
        <v>1</v>
      </c>
      <c r="E259">
        <v>0</v>
      </c>
      <c r="F259">
        <v>3</v>
      </c>
      <c r="G259">
        <v>23</v>
      </c>
      <c r="H259">
        <v>17</v>
      </c>
      <c r="I259">
        <v>44</v>
      </c>
      <c r="J259">
        <v>34</v>
      </c>
      <c r="K259">
        <v>57</v>
      </c>
      <c r="L259">
        <v>0</v>
      </c>
      <c r="M259">
        <v>0</v>
      </c>
      <c r="N259">
        <v>0</v>
      </c>
      <c r="O259">
        <v>0</v>
      </c>
      <c r="P259">
        <v>0</v>
      </c>
      <c r="Q259">
        <v>0</v>
      </c>
      <c r="R259" t="s">
        <v>328</v>
      </c>
      <c r="S259">
        <v>0</v>
      </c>
      <c r="T259">
        <v>0</v>
      </c>
      <c r="U259">
        <v>0</v>
      </c>
      <c r="V259">
        <v>0</v>
      </c>
      <c r="W259">
        <v>0</v>
      </c>
      <c r="X259">
        <v>0</v>
      </c>
      <c r="Y259">
        <v>0</v>
      </c>
    </row>
    <row r="260" spans="1:25" x14ac:dyDescent="0.3">
      <c r="A260">
        <v>80703</v>
      </c>
      <c r="B260">
        <v>807</v>
      </c>
      <c r="C260">
        <v>3</v>
      </c>
      <c r="D260">
        <v>1</v>
      </c>
      <c r="E260">
        <v>0</v>
      </c>
      <c r="F260">
        <v>4</v>
      </c>
      <c r="G260">
        <v>23</v>
      </c>
      <c r="H260">
        <v>17</v>
      </c>
      <c r="I260">
        <v>44</v>
      </c>
      <c r="J260">
        <v>34</v>
      </c>
      <c r="K260">
        <v>57</v>
      </c>
      <c r="L260">
        <v>0</v>
      </c>
      <c r="M260">
        <v>0</v>
      </c>
      <c r="N260">
        <v>0</v>
      </c>
      <c r="O260">
        <v>0</v>
      </c>
      <c r="P260">
        <v>0</v>
      </c>
      <c r="Q260">
        <v>0</v>
      </c>
      <c r="R260" t="s">
        <v>328</v>
      </c>
      <c r="S260">
        <v>0</v>
      </c>
      <c r="T260">
        <v>0</v>
      </c>
      <c r="U260">
        <v>0</v>
      </c>
      <c r="V260">
        <v>0</v>
      </c>
      <c r="W260">
        <v>0</v>
      </c>
      <c r="X260">
        <v>0</v>
      </c>
      <c r="Y260">
        <v>0</v>
      </c>
    </row>
    <row r="261" spans="1:25" x14ac:dyDescent="0.3">
      <c r="A261">
        <v>80704</v>
      </c>
      <c r="B261">
        <v>807</v>
      </c>
      <c r="C261">
        <v>4</v>
      </c>
      <c r="D261">
        <v>1</v>
      </c>
      <c r="E261">
        <v>0</v>
      </c>
      <c r="F261">
        <v>5</v>
      </c>
      <c r="G261">
        <v>23</v>
      </c>
      <c r="H261">
        <v>17</v>
      </c>
      <c r="I261">
        <v>44</v>
      </c>
      <c r="J261">
        <v>34</v>
      </c>
      <c r="K261">
        <v>57</v>
      </c>
      <c r="L261">
        <v>0</v>
      </c>
      <c r="M261">
        <v>0</v>
      </c>
      <c r="N261">
        <v>0</v>
      </c>
      <c r="O261">
        <v>0</v>
      </c>
      <c r="P261">
        <v>0</v>
      </c>
      <c r="Q261">
        <v>0</v>
      </c>
      <c r="R261" t="s">
        <v>328</v>
      </c>
      <c r="S261">
        <v>0</v>
      </c>
      <c r="T261">
        <v>0</v>
      </c>
      <c r="U261">
        <v>0</v>
      </c>
      <c r="V261">
        <v>0</v>
      </c>
      <c r="W261">
        <v>0</v>
      </c>
      <c r="X261">
        <v>0</v>
      </c>
      <c r="Y261">
        <v>0</v>
      </c>
    </row>
    <row r="262" spans="1:25" x14ac:dyDescent="0.3">
      <c r="A262">
        <v>80800</v>
      </c>
      <c r="B262">
        <v>808</v>
      </c>
      <c r="C262">
        <v>0</v>
      </c>
      <c r="D262">
        <v>0</v>
      </c>
      <c r="E262">
        <v>0</v>
      </c>
      <c r="F262">
        <v>1</v>
      </c>
      <c r="G262">
        <v>23</v>
      </c>
      <c r="H262">
        <v>18</v>
      </c>
      <c r="I262">
        <v>44</v>
      </c>
      <c r="J262">
        <v>36</v>
      </c>
      <c r="K262">
        <v>30</v>
      </c>
      <c r="L262">
        <v>10</v>
      </c>
      <c r="M262">
        <v>0</v>
      </c>
      <c r="N262">
        <v>0</v>
      </c>
      <c r="O262">
        <v>0</v>
      </c>
      <c r="P262">
        <v>0</v>
      </c>
      <c r="Q262">
        <v>0</v>
      </c>
      <c r="R262" t="s">
        <v>328</v>
      </c>
      <c r="S262">
        <v>0</v>
      </c>
      <c r="T262">
        <v>0</v>
      </c>
      <c r="U262">
        <v>0</v>
      </c>
      <c r="V262">
        <v>0</v>
      </c>
      <c r="W262">
        <v>0</v>
      </c>
      <c r="X262">
        <v>0</v>
      </c>
      <c r="Y262">
        <v>0</v>
      </c>
    </row>
    <row r="263" spans="1:25" x14ac:dyDescent="0.3">
      <c r="A263">
        <v>80801</v>
      </c>
      <c r="B263">
        <v>808</v>
      </c>
      <c r="C263">
        <v>1</v>
      </c>
      <c r="D263">
        <v>1</v>
      </c>
      <c r="E263">
        <v>0</v>
      </c>
      <c r="F263">
        <v>2</v>
      </c>
      <c r="G263">
        <v>23</v>
      </c>
      <c r="H263">
        <v>18</v>
      </c>
      <c r="I263">
        <v>44</v>
      </c>
      <c r="J263">
        <v>36</v>
      </c>
      <c r="K263">
        <v>30</v>
      </c>
      <c r="L263">
        <v>10</v>
      </c>
      <c r="M263">
        <v>0</v>
      </c>
      <c r="N263">
        <v>0</v>
      </c>
      <c r="O263">
        <v>0</v>
      </c>
      <c r="P263">
        <v>0</v>
      </c>
      <c r="Q263">
        <v>0</v>
      </c>
      <c r="R263" t="s">
        <v>328</v>
      </c>
      <c r="S263">
        <v>0</v>
      </c>
      <c r="T263">
        <v>0</v>
      </c>
      <c r="U263">
        <v>0</v>
      </c>
      <c r="V263">
        <v>0</v>
      </c>
      <c r="W263">
        <v>0</v>
      </c>
      <c r="X263">
        <v>0</v>
      </c>
      <c r="Y263">
        <v>0</v>
      </c>
    </row>
    <row r="264" spans="1:25" x14ac:dyDescent="0.3">
      <c r="A264">
        <v>80802</v>
      </c>
      <c r="B264">
        <v>808</v>
      </c>
      <c r="C264">
        <v>2</v>
      </c>
      <c r="D264">
        <v>1</v>
      </c>
      <c r="E264">
        <v>0</v>
      </c>
      <c r="F264">
        <v>3</v>
      </c>
      <c r="G264">
        <v>23</v>
      </c>
      <c r="H264">
        <v>18</v>
      </c>
      <c r="I264">
        <v>44</v>
      </c>
      <c r="J264">
        <v>36</v>
      </c>
      <c r="K264">
        <v>30</v>
      </c>
      <c r="L264">
        <v>10</v>
      </c>
      <c r="M264">
        <v>0</v>
      </c>
      <c r="N264">
        <v>0</v>
      </c>
      <c r="O264">
        <v>0</v>
      </c>
      <c r="P264">
        <v>0</v>
      </c>
      <c r="Q264">
        <v>0</v>
      </c>
      <c r="R264" t="s">
        <v>328</v>
      </c>
      <c r="S264">
        <v>0</v>
      </c>
      <c r="T264">
        <v>0</v>
      </c>
      <c r="U264">
        <v>0</v>
      </c>
      <c r="V264">
        <v>0</v>
      </c>
      <c r="W264">
        <v>0</v>
      </c>
      <c r="X264">
        <v>0</v>
      </c>
      <c r="Y264">
        <v>0</v>
      </c>
    </row>
    <row r="265" spans="1:25" x14ac:dyDescent="0.3">
      <c r="A265">
        <v>80803</v>
      </c>
      <c r="B265">
        <v>808</v>
      </c>
      <c r="C265">
        <v>3</v>
      </c>
      <c r="D265">
        <v>1</v>
      </c>
      <c r="E265">
        <v>0</v>
      </c>
      <c r="F265">
        <v>4</v>
      </c>
      <c r="G265">
        <v>23</v>
      </c>
      <c r="H265">
        <v>18</v>
      </c>
      <c r="I265">
        <v>44</v>
      </c>
      <c r="J265">
        <v>36</v>
      </c>
      <c r="K265">
        <v>30</v>
      </c>
      <c r="L265">
        <v>10</v>
      </c>
      <c r="M265">
        <v>0</v>
      </c>
      <c r="N265">
        <v>0</v>
      </c>
      <c r="O265">
        <v>0</v>
      </c>
      <c r="P265">
        <v>0</v>
      </c>
      <c r="Q265">
        <v>0</v>
      </c>
      <c r="R265" t="s">
        <v>328</v>
      </c>
      <c r="S265">
        <v>0</v>
      </c>
      <c r="T265">
        <v>0</v>
      </c>
      <c r="U265">
        <v>0</v>
      </c>
      <c r="V265">
        <v>0</v>
      </c>
      <c r="W265">
        <v>0</v>
      </c>
      <c r="X265">
        <v>0</v>
      </c>
      <c r="Y265">
        <v>0</v>
      </c>
    </row>
    <row r="266" spans="1:25" x14ac:dyDescent="0.3">
      <c r="A266">
        <v>80804</v>
      </c>
      <c r="B266">
        <v>808</v>
      </c>
      <c r="C266">
        <v>4</v>
      </c>
      <c r="D266">
        <v>1</v>
      </c>
      <c r="E266">
        <v>0</v>
      </c>
      <c r="F266">
        <v>5</v>
      </c>
      <c r="G266">
        <v>23</v>
      </c>
      <c r="H266">
        <v>18</v>
      </c>
      <c r="I266">
        <v>44</v>
      </c>
      <c r="J266">
        <v>36</v>
      </c>
      <c r="K266">
        <v>30</v>
      </c>
      <c r="L266">
        <v>10</v>
      </c>
      <c r="M266">
        <v>0</v>
      </c>
      <c r="N266">
        <v>0</v>
      </c>
      <c r="O266">
        <v>0</v>
      </c>
      <c r="P266">
        <v>0</v>
      </c>
      <c r="Q266">
        <v>0</v>
      </c>
      <c r="R266" t="s">
        <v>328</v>
      </c>
      <c r="S266">
        <v>0</v>
      </c>
      <c r="T266">
        <v>0</v>
      </c>
      <c r="U266">
        <v>0</v>
      </c>
      <c r="V266">
        <v>0</v>
      </c>
      <c r="W266">
        <v>0</v>
      </c>
      <c r="X266">
        <v>0</v>
      </c>
      <c r="Y266">
        <v>0</v>
      </c>
    </row>
    <row r="267" spans="1:25" x14ac:dyDescent="0.3">
      <c r="A267">
        <v>11900</v>
      </c>
      <c r="B267">
        <v>119</v>
      </c>
      <c r="C267">
        <v>0</v>
      </c>
      <c r="D267">
        <v>0</v>
      </c>
      <c r="E267">
        <v>0</v>
      </c>
      <c r="F267">
        <v>1</v>
      </c>
      <c r="G267">
        <v>250</v>
      </c>
      <c r="H267">
        <v>90</v>
      </c>
      <c r="I267">
        <v>10</v>
      </c>
      <c r="J267">
        <v>35</v>
      </c>
      <c r="K267">
        <v>7</v>
      </c>
      <c r="L267">
        <v>7</v>
      </c>
      <c r="M267">
        <v>0</v>
      </c>
      <c r="N267">
        <v>0</v>
      </c>
      <c r="O267">
        <v>0</v>
      </c>
      <c r="P267">
        <v>0</v>
      </c>
      <c r="Q267">
        <v>0</v>
      </c>
      <c r="R267" t="s">
        <v>6457</v>
      </c>
      <c r="S267">
        <v>0</v>
      </c>
      <c r="T267">
        <v>0</v>
      </c>
      <c r="U267">
        <v>0</v>
      </c>
      <c r="V267">
        <v>0</v>
      </c>
      <c r="W267">
        <v>0</v>
      </c>
      <c r="X267">
        <v>0</v>
      </c>
      <c r="Y267">
        <v>0</v>
      </c>
    </row>
    <row r="268" spans="1:25" x14ac:dyDescent="0.3">
      <c r="A268">
        <v>11901</v>
      </c>
      <c r="B268">
        <v>119</v>
      </c>
      <c r="C268">
        <v>1</v>
      </c>
      <c r="D268">
        <v>1</v>
      </c>
      <c r="E268">
        <v>0</v>
      </c>
      <c r="F268">
        <v>1</v>
      </c>
      <c r="G268">
        <v>250</v>
      </c>
      <c r="H268">
        <v>90</v>
      </c>
      <c r="I268">
        <v>10</v>
      </c>
      <c r="J268">
        <v>35</v>
      </c>
      <c r="K268">
        <v>7</v>
      </c>
      <c r="L268">
        <v>7</v>
      </c>
      <c r="M268">
        <v>0</v>
      </c>
      <c r="N268">
        <v>0</v>
      </c>
      <c r="O268">
        <v>0</v>
      </c>
      <c r="P268">
        <v>0</v>
      </c>
      <c r="Q268">
        <v>200</v>
      </c>
      <c r="R268" t="s">
        <v>6456</v>
      </c>
      <c r="S268">
        <v>0</v>
      </c>
      <c r="T268">
        <v>0</v>
      </c>
      <c r="U268">
        <v>0</v>
      </c>
      <c r="V268">
        <v>0</v>
      </c>
      <c r="W268">
        <v>0</v>
      </c>
      <c r="X268">
        <v>0</v>
      </c>
      <c r="Y268">
        <v>0</v>
      </c>
    </row>
    <row r="269" spans="1:25" x14ac:dyDescent="0.3">
      <c r="A269">
        <v>11902</v>
      </c>
      <c r="B269">
        <v>119</v>
      </c>
      <c r="C269">
        <v>2</v>
      </c>
      <c r="D269">
        <v>1</v>
      </c>
      <c r="E269">
        <v>0</v>
      </c>
      <c r="F269">
        <v>1</v>
      </c>
      <c r="G269">
        <v>376</v>
      </c>
      <c r="H269">
        <v>90</v>
      </c>
      <c r="I269">
        <v>29</v>
      </c>
      <c r="J269">
        <v>35</v>
      </c>
      <c r="K269">
        <v>7</v>
      </c>
      <c r="L269">
        <v>7</v>
      </c>
      <c r="M269">
        <v>0</v>
      </c>
      <c r="N269">
        <v>0</v>
      </c>
      <c r="O269">
        <v>0</v>
      </c>
      <c r="P269">
        <v>0</v>
      </c>
      <c r="Q269">
        <v>200</v>
      </c>
      <c r="R269" t="s">
        <v>6456</v>
      </c>
      <c r="S269">
        <v>0</v>
      </c>
      <c r="T269">
        <v>0</v>
      </c>
      <c r="U269">
        <v>0</v>
      </c>
      <c r="V269">
        <v>0</v>
      </c>
      <c r="W269">
        <v>0</v>
      </c>
      <c r="X269">
        <v>0</v>
      </c>
      <c r="Y269">
        <v>0</v>
      </c>
    </row>
    <row r="270" spans="1:25" x14ac:dyDescent="0.3">
      <c r="A270">
        <v>11903</v>
      </c>
      <c r="B270">
        <v>119</v>
      </c>
      <c r="C270">
        <v>3</v>
      </c>
      <c r="D270">
        <v>1</v>
      </c>
      <c r="E270">
        <v>0</v>
      </c>
      <c r="F270">
        <v>1</v>
      </c>
      <c r="G270">
        <v>576</v>
      </c>
      <c r="H270">
        <v>90</v>
      </c>
      <c r="I270">
        <v>29</v>
      </c>
      <c r="J270">
        <v>35</v>
      </c>
      <c r="K270">
        <v>30</v>
      </c>
      <c r="L270">
        <v>7</v>
      </c>
      <c r="M270">
        <v>0</v>
      </c>
      <c r="N270">
        <v>0</v>
      </c>
      <c r="O270">
        <v>0</v>
      </c>
      <c r="P270">
        <v>0</v>
      </c>
      <c r="Q270">
        <v>200</v>
      </c>
      <c r="R270" t="s">
        <v>6456</v>
      </c>
      <c r="S270">
        <v>0</v>
      </c>
      <c r="T270">
        <v>0</v>
      </c>
      <c r="U270">
        <v>0</v>
      </c>
      <c r="V270">
        <v>0</v>
      </c>
      <c r="W270">
        <v>0</v>
      </c>
      <c r="X270">
        <v>0</v>
      </c>
      <c r="Y270">
        <v>0</v>
      </c>
    </row>
    <row r="271" spans="1:25" x14ac:dyDescent="0.3">
      <c r="A271">
        <v>11904</v>
      </c>
      <c r="B271">
        <v>119</v>
      </c>
      <c r="C271">
        <v>4</v>
      </c>
      <c r="D271">
        <v>1</v>
      </c>
      <c r="E271">
        <v>1</v>
      </c>
      <c r="F271">
        <v>1</v>
      </c>
      <c r="G271">
        <v>576</v>
      </c>
      <c r="H271">
        <v>90</v>
      </c>
      <c r="I271">
        <v>29</v>
      </c>
      <c r="J271">
        <v>35</v>
      </c>
      <c r="K271">
        <v>30</v>
      </c>
      <c r="L271">
        <v>7</v>
      </c>
      <c r="M271">
        <v>0</v>
      </c>
      <c r="N271">
        <v>0</v>
      </c>
      <c r="O271">
        <v>0</v>
      </c>
      <c r="P271">
        <v>0</v>
      </c>
      <c r="Q271">
        <v>200</v>
      </c>
      <c r="R271" t="s">
        <v>6456</v>
      </c>
      <c r="S271">
        <v>0</v>
      </c>
      <c r="T271">
        <v>0</v>
      </c>
      <c r="U271">
        <v>750398</v>
      </c>
      <c r="V271">
        <v>0</v>
      </c>
      <c r="W271">
        <v>0</v>
      </c>
      <c r="X271">
        <v>0</v>
      </c>
      <c r="Y271">
        <v>0</v>
      </c>
    </row>
    <row r="272" spans="1:25" x14ac:dyDescent="0.3">
      <c r="A272">
        <v>12000</v>
      </c>
      <c r="B272">
        <v>120</v>
      </c>
      <c r="C272">
        <v>0</v>
      </c>
      <c r="D272">
        <v>0</v>
      </c>
      <c r="E272">
        <v>0</v>
      </c>
      <c r="F272">
        <v>1</v>
      </c>
      <c r="G272">
        <v>160</v>
      </c>
      <c r="H272">
        <v>68</v>
      </c>
      <c r="I272">
        <v>19</v>
      </c>
      <c r="J272">
        <v>27</v>
      </c>
      <c r="K272">
        <v>36</v>
      </c>
      <c r="L272">
        <v>0</v>
      </c>
      <c r="M272">
        <v>0</v>
      </c>
      <c r="N272">
        <v>0</v>
      </c>
      <c r="O272">
        <v>0</v>
      </c>
      <c r="P272">
        <v>0</v>
      </c>
      <c r="Q272">
        <v>0</v>
      </c>
      <c r="R272" t="s">
        <v>6536</v>
      </c>
      <c r="S272">
        <v>0</v>
      </c>
      <c r="T272">
        <v>0</v>
      </c>
      <c r="U272">
        <v>0</v>
      </c>
      <c r="V272">
        <v>0</v>
      </c>
      <c r="W272">
        <v>0</v>
      </c>
      <c r="X272">
        <v>0</v>
      </c>
      <c r="Y272">
        <v>0</v>
      </c>
    </row>
    <row r="273" spans="1:25" x14ac:dyDescent="0.3">
      <c r="A273">
        <v>12001</v>
      </c>
      <c r="B273">
        <v>120</v>
      </c>
      <c r="C273">
        <v>1</v>
      </c>
      <c r="D273">
        <v>1</v>
      </c>
      <c r="E273">
        <v>0</v>
      </c>
      <c r="F273">
        <v>1</v>
      </c>
      <c r="G273">
        <v>160</v>
      </c>
      <c r="H273">
        <v>68</v>
      </c>
      <c r="I273">
        <v>19</v>
      </c>
      <c r="J273">
        <v>27</v>
      </c>
      <c r="K273">
        <v>36</v>
      </c>
      <c r="L273">
        <v>0</v>
      </c>
      <c r="M273">
        <v>0</v>
      </c>
      <c r="N273">
        <v>0</v>
      </c>
      <c r="O273">
        <v>0</v>
      </c>
      <c r="P273">
        <v>0</v>
      </c>
      <c r="Q273">
        <v>200</v>
      </c>
      <c r="R273" t="s">
        <v>6528</v>
      </c>
      <c r="S273">
        <v>0</v>
      </c>
      <c r="T273">
        <v>0</v>
      </c>
      <c r="U273">
        <v>0</v>
      </c>
      <c r="V273">
        <v>0</v>
      </c>
      <c r="W273">
        <v>0</v>
      </c>
      <c r="X273">
        <v>0</v>
      </c>
      <c r="Y273">
        <v>0</v>
      </c>
    </row>
    <row r="274" spans="1:25" x14ac:dyDescent="0.3">
      <c r="A274">
        <v>12002</v>
      </c>
      <c r="B274">
        <v>120</v>
      </c>
      <c r="C274">
        <v>2</v>
      </c>
      <c r="D274">
        <v>1</v>
      </c>
      <c r="E274">
        <v>0</v>
      </c>
      <c r="F274">
        <v>1</v>
      </c>
      <c r="G274">
        <v>308</v>
      </c>
      <c r="H274">
        <v>68</v>
      </c>
      <c r="I274">
        <v>19</v>
      </c>
      <c r="J274">
        <v>27</v>
      </c>
      <c r="K274">
        <v>57</v>
      </c>
      <c r="L274">
        <v>0</v>
      </c>
      <c r="M274">
        <v>0</v>
      </c>
      <c r="N274">
        <v>0</v>
      </c>
      <c r="O274">
        <v>0</v>
      </c>
      <c r="P274">
        <v>0</v>
      </c>
      <c r="Q274">
        <v>200</v>
      </c>
      <c r="R274" t="s">
        <v>6528</v>
      </c>
      <c r="S274">
        <v>0</v>
      </c>
      <c r="T274">
        <v>0</v>
      </c>
      <c r="U274">
        <v>0</v>
      </c>
      <c r="V274">
        <v>0</v>
      </c>
      <c r="W274">
        <v>0</v>
      </c>
      <c r="X274">
        <v>0</v>
      </c>
      <c r="Y274">
        <v>0</v>
      </c>
    </row>
    <row r="275" spans="1:25" x14ac:dyDescent="0.3">
      <c r="A275">
        <v>12003</v>
      </c>
      <c r="B275">
        <v>120</v>
      </c>
      <c r="C275">
        <v>3</v>
      </c>
      <c r="D275">
        <v>1</v>
      </c>
      <c r="E275">
        <v>0</v>
      </c>
      <c r="F275">
        <v>1</v>
      </c>
      <c r="G275">
        <v>488</v>
      </c>
      <c r="H275">
        <v>68</v>
      </c>
      <c r="I275">
        <v>19</v>
      </c>
      <c r="J275">
        <v>42</v>
      </c>
      <c r="K275">
        <v>57</v>
      </c>
      <c r="L275">
        <v>0</v>
      </c>
      <c r="M275">
        <v>0</v>
      </c>
      <c r="N275">
        <v>0</v>
      </c>
      <c r="O275">
        <v>0</v>
      </c>
      <c r="P275">
        <v>0</v>
      </c>
      <c r="Q275">
        <v>200</v>
      </c>
      <c r="R275" t="s">
        <v>6528</v>
      </c>
      <c r="S275">
        <v>0</v>
      </c>
      <c r="T275">
        <v>0</v>
      </c>
      <c r="U275">
        <v>0</v>
      </c>
      <c r="V275">
        <v>0</v>
      </c>
      <c r="W275">
        <v>0</v>
      </c>
      <c r="X275">
        <v>0</v>
      </c>
      <c r="Y275">
        <v>0</v>
      </c>
    </row>
    <row r="276" spans="1:25" x14ac:dyDescent="0.3">
      <c r="A276">
        <v>12004</v>
      </c>
      <c r="B276">
        <v>120</v>
      </c>
      <c r="C276">
        <v>4</v>
      </c>
      <c r="D276">
        <v>1</v>
      </c>
      <c r="E276">
        <v>1</v>
      </c>
      <c r="F276">
        <v>1</v>
      </c>
      <c r="G276">
        <v>488</v>
      </c>
      <c r="H276">
        <v>68</v>
      </c>
      <c r="I276">
        <v>19</v>
      </c>
      <c r="J276">
        <v>42</v>
      </c>
      <c r="K276">
        <v>57</v>
      </c>
      <c r="L276">
        <v>0</v>
      </c>
      <c r="M276">
        <v>0</v>
      </c>
      <c r="N276">
        <v>0</v>
      </c>
      <c r="O276">
        <v>0</v>
      </c>
      <c r="P276">
        <v>0</v>
      </c>
      <c r="Q276">
        <v>200</v>
      </c>
      <c r="R276" t="s">
        <v>6528</v>
      </c>
      <c r="S276">
        <v>0</v>
      </c>
      <c r="T276">
        <v>0</v>
      </c>
      <c r="U276">
        <v>750410</v>
      </c>
      <c r="V276">
        <v>0</v>
      </c>
      <c r="W276">
        <v>0</v>
      </c>
      <c r="X276">
        <v>0</v>
      </c>
      <c r="Y276">
        <v>0</v>
      </c>
    </row>
    <row r="277" spans="1:25" x14ac:dyDescent="0.3">
      <c r="A277">
        <v>21800</v>
      </c>
      <c r="B277">
        <v>218</v>
      </c>
      <c r="C277">
        <v>0</v>
      </c>
      <c r="D277">
        <v>0</v>
      </c>
      <c r="E277">
        <v>0</v>
      </c>
      <c r="F277">
        <v>1</v>
      </c>
      <c r="G277">
        <v>43</v>
      </c>
      <c r="H277">
        <v>195</v>
      </c>
      <c r="I277">
        <v>24</v>
      </c>
      <c r="J277">
        <v>9</v>
      </c>
      <c r="K277">
        <v>0</v>
      </c>
      <c r="L277">
        <v>5</v>
      </c>
      <c r="M277">
        <v>0</v>
      </c>
      <c r="N277">
        <v>0</v>
      </c>
      <c r="O277">
        <v>0</v>
      </c>
      <c r="P277">
        <v>0</v>
      </c>
      <c r="Q277">
        <v>0</v>
      </c>
      <c r="R277" t="s">
        <v>328</v>
      </c>
      <c r="S277">
        <v>0</v>
      </c>
      <c r="T277">
        <v>0</v>
      </c>
      <c r="U277">
        <v>0</v>
      </c>
      <c r="V277">
        <v>0</v>
      </c>
      <c r="W277">
        <v>0</v>
      </c>
      <c r="X277">
        <v>0</v>
      </c>
      <c r="Y277">
        <v>0</v>
      </c>
    </row>
    <row r="278" spans="1:25" x14ac:dyDescent="0.3">
      <c r="A278">
        <v>21801</v>
      </c>
      <c r="B278">
        <v>218</v>
      </c>
      <c r="C278">
        <v>1</v>
      </c>
      <c r="D278">
        <v>1</v>
      </c>
      <c r="E278">
        <v>0</v>
      </c>
      <c r="F278">
        <v>1</v>
      </c>
      <c r="G278">
        <v>143</v>
      </c>
      <c r="H278">
        <v>195</v>
      </c>
      <c r="I278">
        <v>34</v>
      </c>
      <c r="J278">
        <v>9</v>
      </c>
      <c r="K278">
        <v>0</v>
      </c>
      <c r="L278">
        <v>8</v>
      </c>
      <c r="M278">
        <v>0</v>
      </c>
      <c r="N278">
        <v>0</v>
      </c>
      <c r="O278">
        <v>0</v>
      </c>
      <c r="P278">
        <v>0</v>
      </c>
      <c r="Q278">
        <v>0</v>
      </c>
      <c r="R278" t="s">
        <v>328</v>
      </c>
      <c r="S278">
        <v>0</v>
      </c>
      <c r="T278">
        <v>0</v>
      </c>
      <c r="U278">
        <v>0</v>
      </c>
      <c r="V278">
        <v>0</v>
      </c>
      <c r="W278">
        <v>0</v>
      </c>
      <c r="X278">
        <v>0</v>
      </c>
      <c r="Y278">
        <v>0</v>
      </c>
    </row>
    <row r="279" spans="1:25" x14ac:dyDescent="0.3">
      <c r="A279">
        <v>21802</v>
      </c>
      <c r="B279">
        <v>218</v>
      </c>
      <c r="C279">
        <v>2</v>
      </c>
      <c r="D279">
        <v>1</v>
      </c>
      <c r="E279">
        <v>0</v>
      </c>
      <c r="F279">
        <v>1</v>
      </c>
      <c r="G279">
        <v>243</v>
      </c>
      <c r="H279">
        <v>369</v>
      </c>
      <c r="I279">
        <v>34</v>
      </c>
      <c r="J279">
        <v>54</v>
      </c>
      <c r="K279">
        <v>0</v>
      </c>
      <c r="L279">
        <v>8</v>
      </c>
      <c r="M279">
        <v>0</v>
      </c>
      <c r="N279">
        <v>0</v>
      </c>
      <c r="O279">
        <v>0</v>
      </c>
      <c r="P279">
        <v>0</v>
      </c>
      <c r="Q279">
        <v>0</v>
      </c>
      <c r="R279" t="s">
        <v>328</v>
      </c>
      <c r="S279">
        <v>0</v>
      </c>
      <c r="T279">
        <v>0</v>
      </c>
      <c r="U279">
        <v>0</v>
      </c>
      <c r="V279">
        <v>0</v>
      </c>
      <c r="W279">
        <v>0</v>
      </c>
      <c r="X279">
        <v>0</v>
      </c>
      <c r="Y279">
        <v>0</v>
      </c>
    </row>
    <row r="280" spans="1:25" x14ac:dyDescent="0.3">
      <c r="A280">
        <v>21803</v>
      </c>
      <c r="B280">
        <v>218</v>
      </c>
      <c r="C280">
        <v>3</v>
      </c>
      <c r="D280">
        <v>1</v>
      </c>
      <c r="E280">
        <v>0</v>
      </c>
      <c r="F280">
        <v>1</v>
      </c>
      <c r="G280">
        <v>343</v>
      </c>
      <c r="H280">
        <v>369</v>
      </c>
      <c r="I280">
        <v>34</v>
      </c>
      <c r="J280">
        <v>134</v>
      </c>
      <c r="K280">
        <v>0</v>
      </c>
      <c r="L280">
        <v>13</v>
      </c>
      <c r="M280">
        <v>0</v>
      </c>
      <c r="N280">
        <v>0</v>
      </c>
      <c r="O280">
        <v>0</v>
      </c>
      <c r="P280">
        <v>0</v>
      </c>
      <c r="Q280">
        <v>0</v>
      </c>
      <c r="R280" t="s">
        <v>328</v>
      </c>
      <c r="S280">
        <v>0</v>
      </c>
      <c r="T280">
        <v>0</v>
      </c>
      <c r="U280">
        <v>0</v>
      </c>
      <c r="V280">
        <v>0</v>
      </c>
      <c r="W280">
        <v>0</v>
      </c>
      <c r="X280">
        <v>0</v>
      </c>
      <c r="Y280">
        <v>0</v>
      </c>
    </row>
    <row r="281" spans="1:25" x14ac:dyDescent="0.3">
      <c r="A281">
        <v>21804</v>
      </c>
      <c r="B281">
        <v>218</v>
      </c>
      <c r="C281">
        <v>4</v>
      </c>
      <c r="D281">
        <v>1</v>
      </c>
      <c r="E281">
        <v>0</v>
      </c>
      <c r="F281">
        <v>1</v>
      </c>
      <c r="G281">
        <v>443</v>
      </c>
      <c r="H281">
        <v>619</v>
      </c>
      <c r="I281">
        <v>49</v>
      </c>
      <c r="J281">
        <v>134</v>
      </c>
      <c r="K281">
        <v>0</v>
      </c>
      <c r="L281">
        <v>13</v>
      </c>
      <c r="M281">
        <v>0</v>
      </c>
      <c r="N281">
        <v>0</v>
      </c>
      <c r="O281">
        <v>0</v>
      </c>
      <c r="P281">
        <v>0</v>
      </c>
      <c r="Q281">
        <v>0</v>
      </c>
      <c r="R281" t="s">
        <v>328</v>
      </c>
      <c r="S281">
        <v>0</v>
      </c>
      <c r="T281">
        <v>0</v>
      </c>
      <c r="U281">
        <v>0</v>
      </c>
      <c r="V281">
        <v>0</v>
      </c>
      <c r="W281">
        <v>0</v>
      </c>
      <c r="X281">
        <v>0</v>
      </c>
      <c r="Y281">
        <v>0</v>
      </c>
    </row>
    <row r="282" spans="1:25" x14ac:dyDescent="0.3">
      <c r="A282">
        <v>12100</v>
      </c>
      <c r="B282">
        <v>121</v>
      </c>
      <c r="C282">
        <v>0</v>
      </c>
      <c r="D282">
        <v>0</v>
      </c>
      <c r="E282">
        <v>0</v>
      </c>
      <c r="F282">
        <v>1</v>
      </c>
      <c r="G282">
        <v>221</v>
      </c>
      <c r="H282">
        <v>49</v>
      </c>
      <c r="I282">
        <v>24</v>
      </c>
      <c r="J282">
        <v>29</v>
      </c>
      <c r="K282">
        <v>41</v>
      </c>
      <c r="L282">
        <v>0</v>
      </c>
      <c r="M282">
        <v>0</v>
      </c>
      <c r="N282">
        <v>0</v>
      </c>
      <c r="O282">
        <v>0</v>
      </c>
      <c r="P282">
        <v>0</v>
      </c>
      <c r="Q282">
        <v>0</v>
      </c>
      <c r="R282" t="s">
        <v>6789</v>
      </c>
      <c r="S282">
        <v>0</v>
      </c>
      <c r="T282">
        <v>0</v>
      </c>
      <c r="U282">
        <v>0</v>
      </c>
      <c r="V282">
        <v>0</v>
      </c>
      <c r="W282">
        <v>0</v>
      </c>
      <c r="X282">
        <v>0</v>
      </c>
      <c r="Y282">
        <v>0</v>
      </c>
    </row>
    <row r="283" spans="1:25" x14ac:dyDescent="0.3">
      <c r="A283">
        <v>12101</v>
      </c>
      <c r="B283">
        <v>121</v>
      </c>
      <c r="C283">
        <v>1</v>
      </c>
      <c r="D283">
        <v>1</v>
      </c>
      <c r="E283">
        <v>0</v>
      </c>
      <c r="F283">
        <v>1</v>
      </c>
      <c r="G283">
        <v>221</v>
      </c>
      <c r="H283">
        <v>49</v>
      </c>
      <c r="I283">
        <v>24</v>
      </c>
      <c r="J283">
        <v>29</v>
      </c>
      <c r="K283">
        <v>41</v>
      </c>
      <c r="L283">
        <v>0</v>
      </c>
      <c r="M283">
        <v>0</v>
      </c>
      <c r="N283">
        <v>0</v>
      </c>
      <c r="O283">
        <v>0</v>
      </c>
      <c r="P283">
        <v>0</v>
      </c>
      <c r="Q283">
        <v>200</v>
      </c>
      <c r="R283" t="s">
        <v>6788</v>
      </c>
      <c r="S283">
        <v>0</v>
      </c>
      <c r="T283">
        <v>0</v>
      </c>
      <c r="U283">
        <v>0</v>
      </c>
      <c r="V283">
        <v>0</v>
      </c>
      <c r="W283">
        <v>0</v>
      </c>
      <c r="X283">
        <v>0</v>
      </c>
      <c r="Y283">
        <v>0</v>
      </c>
    </row>
    <row r="284" spans="1:25" x14ac:dyDescent="0.3">
      <c r="A284">
        <v>12102</v>
      </c>
      <c r="B284">
        <v>121</v>
      </c>
      <c r="C284">
        <v>2</v>
      </c>
      <c r="D284">
        <v>1</v>
      </c>
      <c r="E284">
        <v>0</v>
      </c>
      <c r="F284">
        <v>1</v>
      </c>
      <c r="G284">
        <v>353</v>
      </c>
      <c r="H284">
        <v>84</v>
      </c>
      <c r="I284">
        <v>24</v>
      </c>
      <c r="J284">
        <v>29</v>
      </c>
      <c r="K284">
        <v>41</v>
      </c>
      <c r="L284">
        <v>0</v>
      </c>
      <c r="M284">
        <v>0</v>
      </c>
      <c r="N284">
        <v>0</v>
      </c>
      <c r="O284">
        <v>0</v>
      </c>
      <c r="P284">
        <v>0</v>
      </c>
      <c r="Q284">
        <v>200</v>
      </c>
      <c r="R284" t="s">
        <v>6788</v>
      </c>
      <c r="S284">
        <v>0</v>
      </c>
      <c r="T284">
        <v>0</v>
      </c>
      <c r="U284">
        <v>0</v>
      </c>
      <c r="V284">
        <v>0</v>
      </c>
      <c r="W284">
        <v>0</v>
      </c>
      <c r="X284">
        <v>0</v>
      </c>
      <c r="Y284">
        <v>0</v>
      </c>
    </row>
    <row r="285" spans="1:25" x14ac:dyDescent="0.3">
      <c r="A285">
        <v>12103</v>
      </c>
      <c r="B285">
        <v>121</v>
      </c>
      <c r="C285">
        <v>3</v>
      </c>
      <c r="D285">
        <v>1</v>
      </c>
      <c r="E285">
        <v>0</v>
      </c>
      <c r="F285">
        <v>1</v>
      </c>
      <c r="G285">
        <v>541</v>
      </c>
      <c r="H285">
        <v>84</v>
      </c>
      <c r="I285">
        <v>24</v>
      </c>
      <c r="J285">
        <v>29</v>
      </c>
      <c r="K285">
        <v>66</v>
      </c>
      <c r="L285">
        <v>0</v>
      </c>
      <c r="M285">
        <v>0</v>
      </c>
      <c r="N285">
        <v>0</v>
      </c>
      <c r="O285">
        <v>0</v>
      </c>
      <c r="P285">
        <v>0</v>
      </c>
      <c r="Q285">
        <v>200</v>
      </c>
      <c r="R285" t="s">
        <v>6788</v>
      </c>
      <c r="S285">
        <v>0</v>
      </c>
      <c r="T285">
        <v>0</v>
      </c>
      <c r="U285">
        <v>0</v>
      </c>
      <c r="V285">
        <v>0</v>
      </c>
      <c r="W285">
        <v>0</v>
      </c>
      <c r="X285">
        <v>0</v>
      </c>
      <c r="Y285">
        <v>0</v>
      </c>
    </row>
    <row r="286" spans="1:25" x14ac:dyDescent="0.3">
      <c r="A286">
        <v>12104</v>
      </c>
      <c r="B286">
        <v>121</v>
      </c>
      <c r="C286">
        <v>4</v>
      </c>
      <c r="D286">
        <v>1</v>
      </c>
      <c r="E286">
        <v>1</v>
      </c>
      <c r="F286">
        <v>1</v>
      </c>
      <c r="G286">
        <v>541</v>
      </c>
      <c r="H286">
        <v>84</v>
      </c>
      <c r="I286">
        <v>24</v>
      </c>
      <c r="J286">
        <v>29</v>
      </c>
      <c r="K286">
        <v>66</v>
      </c>
      <c r="L286">
        <v>0</v>
      </c>
      <c r="M286">
        <v>0</v>
      </c>
      <c r="N286">
        <v>0</v>
      </c>
      <c r="O286">
        <v>0</v>
      </c>
      <c r="P286">
        <v>0</v>
      </c>
      <c r="Q286">
        <v>200</v>
      </c>
      <c r="R286" t="s">
        <v>6788</v>
      </c>
      <c r="S286">
        <v>0</v>
      </c>
      <c r="T286">
        <v>0</v>
      </c>
      <c r="U286">
        <v>750580</v>
      </c>
      <c r="V286">
        <v>0</v>
      </c>
      <c r="W286">
        <v>0</v>
      </c>
      <c r="X286">
        <v>0</v>
      </c>
      <c r="Y286">
        <v>0</v>
      </c>
    </row>
    <row r="287" spans="1:25" x14ac:dyDescent="0.3">
      <c r="A287">
        <v>12200</v>
      </c>
      <c r="B287">
        <v>122</v>
      </c>
      <c r="C287">
        <v>0</v>
      </c>
      <c r="D287">
        <v>0</v>
      </c>
      <c r="E287">
        <v>0</v>
      </c>
      <c r="F287">
        <v>1</v>
      </c>
      <c r="G287">
        <v>150</v>
      </c>
      <c r="H287">
        <v>10</v>
      </c>
      <c r="I287">
        <v>24</v>
      </c>
      <c r="J287">
        <v>48</v>
      </c>
      <c r="K287">
        <v>24</v>
      </c>
      <c r="L287">
        <v>7</v>
      </c>
      <c r="M287">
        <v>0</v>
      </c>
      <c r="N287">
        <v>0</v>
      </c>
      <c r="O287">
        <v>0</v>
      </c>
      <c r="P287">
        <v>0</v>
      </c>
      <c r="Q287">
        <v>0</v>
      </c>
      <c r="R287" t="s">
        <v>6925</v>
      </c>
      <c r="S287">
        <v>0</v>
      </c>
      <c r="T287">
        <v>0</v>
      </c>
      <c r="U287">
        <v>0</v>
      </c>
      <c r="V287">
        <v>0</v>
      </c>
      <c r="W287">
        <v>0</v>
      </c>
      <c r="X287">
        <v>0</v>
      </c>
      <c r="Y287">
        <v>0</v>
      </c>
    </row>
    <row r="288" spans="1:25" x14ac:dyDescent="0.3">
      <c r="A288">
        <v>12201</v>
      </c>
      <c r="B288">
        <v>122</v>
      </c>
      <c r="C288">
        <v>1</v>
      </c>
      <c r="D288">
        <v>1</v>
      </c>
      <c r="E288">
        <v>0</v>
      </c>
      <c r="F288">
        <v>1</v>
      </c>
      <c r="G288">
        <v>150</v>
      </c>
      <c r="H288">
        <v>10</v>
      </c>
      <c r="I288">
        <v>24</v>
      </c>
      <c r="J288">
        <v>48</v>
      </c>
      <c r="K288">
        <v>24</v>
      </c>
      <c r="L288">
        <v>7</v>
      </c>
      <c r="M288">
        <v>0</v>
      </c>
      <c r="N288">
        <v>0</v>
      </c>
      <c r="O288">
        <v>0</v>
      </c>
      <c r="P288">
        <v>0</v>
      </c>
      <c r="Q288">
        <v>200</v>
      </c>
      <c r="R288" t="s">
        <v>6924</v>
      </c>
      <c r="S288">
        <v>0</v>
      </c>
      <c r="T288">
        <v>0</v>
      </c>
      <c r="U288">
        <v>0</v>
      </c>
      <c r="V288">
        <v>0</v>
      </c>
      <c r="W288">
        <v>0</v>
      </c>
      <c r="X288">
        <v>0</v>
      </c>
      <c r="Y288">
        <v>0</v>
      </c>
    </row>
    <row r="289" spans="1:25" x14ac:dyDescent="0.3">
      <c r="A289">
        <v>12202</v>
      </c>
      <c r="B289">
        <v>122</v>
      </c>
      <c r="C289">
        <v>2</v>
      </c>
      <c r="D289">
        <v>1</v>
      </c>
      <c r="E289">
        <v>0</v>
      </c>
      <c r="F289">
        <v>1</v>
      </c>
      <c r="G289">
        <v>400</v>
      </c>
      <c r="H289">
        <v>10</v>
      </c>
      <c r="I289">
        <v>24</v>
      </c>
      <c r="J289">
        <v>48</v>
      </c>
      <c r="K289">
        <v>24</v>
      </c>
      <c r="L289">
        <v>13</v>
      </c>
      <c r="M289">
        <v>0</v>
      </c>
      <c r="N289">
        <v>0</v>
      </c>
      <c r="O289">
        <v>0</v>
      </c>
      <c r="P289">
        <v>0</v>
      </c>
      <c r="Q289">
        <v>200</v>
      </c>
      <c r="R289" t="s">
        <v>6924</v>
      </c>
      <c r="S289">
        <v>0</v>
      </c>
      <c r="T289">
        <v>0</v>
      </c>
      <c r="U289">
        <v>0</v>
      </c>
      <c r="V289">
        <v>0</v>
      </c>
      <c r="W289">
        <v>0</v>
      </c>
      <c r="X289">
        <v>0</v>
      </c>
      <c r="Y289">
        <v>0</v>
      </c>
    </row>
    <row r="290" spans="1:25" x14ac:dyDescent="0.3">
      <c r="A290">
        <v>12203</v>
      </c>
      <c r="B290">
        <v>122</v>
      </c>
      <c r="C290">
        <v>3</v>
      </c>
      <c r="D290">
        <v>1</v>
      </c>
      <c r="E290">
        <v>0</v>
      </c>
      <c r="F290">
        <v>1</v>
      </c>
      <c r="G290">
        <v>697</v>
      </c>
      <c r="H290">
        <v>49</v>
      </c>
      <c r="I290">
        <v>24</v>
      </c>
      <c r="J290">
        <v>48</v>
      </c>
      <c r="K290">
        <v>24</v>
      </c>
      <c r="L290">
        <v>13</v>
      </c>
      <c r="M290">
        <v>0</v>
      </c>
      <c r="N290">
        <v>0</v>
      </c>
      <c r="O290">
        <v>0</v>
      </c>
      <c r="P290">
        <v>0</v>
      </c>
      <c r="Q290">
        <v>200</v>
      </c>
      <c r="R290" t="s">
        <v>6924</v>
      </c>
      <c r="S290">
        <v>0</v>
      </c>
      <c r="T290">
        <v>0</v>
      </c>
      <c r="U290">
        <v>0</v>
      </c>
      <c r="V290">
        <v>0</v>
      </c>
      <c r="W290">
        <v>0</v>
      </c>
      <c r="X290">
        <v>0</v>
      </c>
      <c r="Y290">
        <v>0</v>
      </c>
    </row>
    <row r="291" spans="1:25" x14ac:dyDescent="0.3">
      <c r="A291">
        <v>12204</v>
      </c>
      <c r="B291">
        <v>122</v>
      </c>
      <c r="C291">
        <v>4</v>
      </c>
      <c r="D291">
        <v>1</v>
      </c>
      <c r="E291">
        <v>1</v>
      </c>
      <c r="F291">
        <v>1</v>
      </c>
      <c r="G291">
        <v>697</v>
      </c>
      <c r="H291">
        <v>49</v>
      </c>
      <c r="I291">
        <v>24</v>
      </c>
      <c r="J291">
        <v>48</v>
      </c>
      <c r="K291">
        <v>24</v>
      </c>
      <c r="L291">
        <v>13</v>
      </c>
      <c r="M291">
        <v>0</v>
      </c>
      <c r="N291">
        <v>0</v>
      </c>
      <c r="O291">
        <v>0</v>
      </c>
      <c r="P291">
        <v>0</v>
      </c>
      <c r="Q291">
        <v>200</v>
      </c>
      <c r="R291" t="s">
        <v>6924</v>
      </c>
      <c r="S291">
        <v>0</v>
      </c>
      <c r="T291">
        <v>0</v>
      </c>
      <c r="U291">
        <v>750623</v>
      </c>
      <c r="V291">
        <v>0</v>
      </c>
      <c r="W291">
        <v>0</v>
      </c>
      <c r="X291">
        <v>0</v>
      </c>
      <c r="Y291">
        <v>0</v>
      </c>
    </row>
    <row r="292" spans="1:25" x14ac:dyDescent="0.3">
      <c r="A292">
        <v>12300</v>
      </c>
      <c r="B292">
        <v>123</v>
      </c>
      <c r="C292">
        <v>0</v>
      </c>
      <c r="D292">
        <v>0</v>
      </c>
      <c r="E292">
        <v>0</v>
      </c>
      <c r="F292">
        <v>1</v>
      </c>
      <c r="G292">
        <v>300</v>
      </c>
      <c r="H292">
        <v>50</v>
      </c>
      <c r="I292">
        <v>30</v>
      </c>
      <c r="J292">
        <v>30</v>
      </c>
      <c r="K292">
        <v>54</v>
      </c>
      <c r="L292">
        <v>0</v>
      </c>
      <c r="M292">
        <v>0</v>
      </c>
      <c r="N292">
        <v>0</v>
      </c>
      <c r="O292">
        <v>0</v>
      </c>
      <c r="P292">
        <v>0</v>
      </c>
      <c r="Q292">
        <v>0</v>
      </c>
      <c r="R292" t="s">
        <v>6966</v>
      </c>
      <c r="S292">
        <v>0</v>
      </c>
      <c r="T292">
        <v>0</v>
      </c>
      <c r="U292">
        <v>0</v>
      </c>
      <c r="V292">
        <v>0</v>
      </c>
      <c r="W292">
        <v>0</v>
      </c>
      <c r="X292">
        <v>0</v>
      </c>
      <c r="Y292">
        <v>0</v>
      </c>
    </row>
    <row r="293" spans="1:25" x14ac:dyDescent="0.3">
      <c r="A293">
        <v>12301</v>
      </c>
      <c r="B293">
        <v>123</v>
      </c>
      <c r="C293">
        <v>1</v>
      </c>
      <c r="D293">
        <v>1</v>
      </c>
      <c r="E293">
        <v>0</v>
      </c>
      <c r="F293">
        <v>1</v>
      </c>
      <c r="G293">
        <v>300</v>
      </c>
      <c r="H293">
        <v>50</v>
      </c>
      <c r="I293">
        <v>30</v>
      </c>
      <c r="J293">
        <v>30</v>
      </c>
      <c r="K293">
        <v>54</v>
      </c>
      <c r="L293">
        <v>0</v>
      </c>
      <c r="M293">
        <v>0</v>
      </c>
      <c r="N293">
        <v>0</v>
      </c>
      <c r="O293">
        <v>0</v>
      </c>
      <c r="P293">
        <v>0</v>
      </c>
      <c r="Q293">
        <v>200</v>
      </c>
      <c r="R293" t="s">
        <v>6964</v>
      </c>
      <c r="S293">
        <v>0</v>
      </c>
      <c r="T293">
        <v>0</v>
      </c>
      <c r="U293">
        <v>0</v>
      </c>
      <c r="V293">
        <v>0</v>
      </c>
      <c r="W293">
        <v>0</v>
      </c>
      <c r="X293">
        <v>0</v>
      </c>
      <c r="Y293">
        <v>0</v>
      </c>
    </row>
    <row r="294" spans="1:25" x14ac:dyDescent="0.3">
      <c r="A294">
        <v>12302</v>
      </c>
      <c r="B294">
        <v>123</v>
      </c>
      <c r="C294">
        <v>2</v>
      </c>
      <c r="D294">
        <v>1</v>
      </c>
      <c r="E294">
        <v>0</v>
      </c>
      <c r="F294">
        <v>1</v>
      </c>
      <c r="G294">
        <v>471</v>
      </c>
      <c r="H294">
        <v>50</v>
      </c>
      <c r="I294">
        <v>30</v>
      </c>
      <c r="J294">
        <v>41</v>
      </c>
      <c r="K294">
        <v>54</v>
      </c>
      <c r="L294">
        <v>0</v>
      </c>
      <c r="M294">
        <v>0</v>
      </c>
      <c r="N294">
        <v>0</v>
      </c>
      <c r="O294">
        <v>0</v>
      </c>
      <c r="P294">
        <v>0</v>
      </c>
      <c r="Q294">
        <v>200</v>
      </c>
      <c r="R294" t="s">
        <v>6964</v>
      </c>
      <c r="S294">
        <v>0</v>
      </c>
      <c r="T294">
        <v>0</v>
      </c>
      <c r="U294">
        <v>0</v>
      </c>
      <c r="V294">
        <v>0</v>
      </c>
      <c r="W294">
        <v>0</v>
      </c>
      <c r="X294">
        <v>0</v>
      </c>
      <c r="Y294">
        <v>0</v>
      </c>
    </row>
    <row r="295" spans="1:25" x14ac:dyDescent="0.3">
      <c r="A295">
        <v>12303</v>
      </c>
      <c r="B295">
        <v>123</v>
      </c>
      <c r="C295">
        <v>3</v>
      </c>
      <c r="D295">
        <v>1</v>
      </c>
      <c r="E295">
        <v>0</v>
      </c>
      <c r="F295">
        <v>1</v>
      </c>
      <c r="G295">
        <v>471</v>
      </c>
      <c r="H295">
        <v>86</v>
      </c>
      <c r="I295">
        <v>36</v>
      </c>
      <c r="J295">
        <v>41</v>
      </c>
      <c r="K295">
        <v>54</v>
      </c>
      <c r="L295">
        <v>0</v>
      </c>
      <c r="M295">
        <v>0</v>
      </c>
      <c r="N295">
        <v>0</v>
      </c>
      <c r="O295">
        <v>0</v>
      </c>
      <c r="P295">
        <v>0</v>
      </c>
      <c r="Q295">
        <v>200</v>
      </c>
      <c r="R295" t="s">
        <v>6964</v>
      </c>
      <c r="S295">
        <v>0</v>
      </c>
      <c r="T295">
        <v>0</v>
      </c>
      <c r="U295">
        <v>0</v>
      </c>
      <c r="V295">
        <v>0</v>
      </c>
      <c r="W295">
        <v>0</v>
      </c>
      <c r="X295">
        <v>0</v>
      </c>
      <c r="Y295">
        <v>0</v>
      </c>
    </row>
    <row r="296" spans="1:25" x14ac:dyDescent="0.3">
      <c r="A296">
        <v>12304</v>
      </c>
      <c r="B296">
        <v>123</v>
      </c>
      <c r="C296">
        <v>4</v>
      </c>
      <c r="D296">
        <v>1</v>
      </c>
      <c r="E296">
        <v>1</v>
      </c>
      <c r="F296">
        <v>1</v>
      </c>
      <c r="G296">
        <v>471</v>
      </c>
      <c r="H296">
        <v>86</v>
      </c>
      <c r="I296">
        <v>36</v>
      </c>
      <c r="J296">
        <v>41</v>
      </c>
      <c r="K296">
        <v>54</v>
      </c>
      <c r="L296">
        <v>0</v>
      </c>
      <c r="M296">
        <v>0</v>
      </c>
      <c r="N296">
        <v>0</v>
      </c>
      <c r="O296">
        <v>0</v>
      </c>
      <c r="P296">
        <v>0</v>
      </c>
      <c r="Q296">
        <v>200</v>
      </c>
      <c r="R296" t="s">
        <v>6964</v>
      </c>
      <c r="S296">
        <v>0</v>
      </c>
      <c r="T296">
        <v>0</v>
      </c>
      <c r="U296">
        <v>750701</v>
      </c>
      <c r="V296">
        <v>0</v>
      </c>
      <c r="W296">
        <v>0</v>
      </c>
      <c r="X296">
        <v>0</v>
      </c>
      <c r="Y296">
        <v>0</v>
      </c>
    </row>
    <row r="297" spans="1:25" x14ac:dyDescent="0.3">
      <c r="A297">
        <v>12400</v>
      </c>
      <c r="B297">
        <v>124</v>
      </c>
      <c r="C297">
        <v>0</v>
      </c>
      <c r="D297">
        <v>0</v>
      </c>
      <c r="E297">
        <v>0</v>
      </c>
      <c r="F297">
        <v>1</v>
      </c>
      <c r="G297">
        <v>153</v>
      </c>
      <c r="H297">
        <v>60</v>
      </c>
      <c r="I297">
        <v>17</v>
      </c>
      <c r="J297">
        <v>65</v>
      </c>
      <c r="K297">
        <v>20</v>
      </c>
      <c r="L297">
        <v>7</v>
      </c>
      <c r="M297">
        <v>0</v>
      </c>
      <c r="N297">
        <v>0</v>
      </c>
      <c r="O297">
        <v>0</v>
      </c>
      <c r="P297">
        <v>0</v>
      </c>
      <c r="Q297">
        <v>0</v>
      </c>
      <c r="R297" t="s">
        <v>7995</v>
      </c>
      <c r="S297">
        <v>0</v>
      </c>
      <c r="T297">
        <v>0</v>
      </c>
      <c r="U297">
        <v>0</v>
      </c>
      <c r="V297">
        <v>0</v>
      </c>
      <c r="W297">
        <v>0</v>
      </c>
      <c r="X297">
        <v>0</v>
      </c>
      <c r="Y297">
        <v>0</v>
      </c>
    </row>
    <row r="298" spans="1:25" x14ac:dyDescent="0.3">
      <c r="A298">
        <v>12401</v>
      </c>
      <c r="B298">
        <v>124</v>
      </c>
      <c r="C298">
        <v>1</v>
      </c>
      <c r="D298">
        <v>1</v>
      </c>
      <c r="E298">
        <v>0</v>
      </c>
      <c r="F298">
        <v>1</v>
      </c>
      <c r="G298">
        <v>153</v>
      </c>
      <c r="H298">
        <v>60</v>
      </c>
      <c r="I298">
        <v>17</v>
      </c>
      <c r="J298">
        <v>65</v>
      </c>
      <c r="K298">
        <v>20</v>
      </c>
      <c r="L298">
        <v>7</v>
      </c>
      <c r="M298">
        <v>0</v>
      </c>
      <c r="N298">
        <v>0</v>
      </c>
      <c r="O298">
        <v>0</v>
      </c>
      <c r="P298">
        <v>0</v>
      </c>
      <c r="Q298">
        <v>200</v>
      </c>
      <c r="R298" t="s">
        <v>7994</v>
      </c>
      <c r="S298">
        <v>0</v>
      </c>
      <c r="T298">
        <v>0</v>
      </c>
      <c r="U298">
        <v>0</v>
      </c>
      <c r="V298">
        <v>0</v>
      </c>
      <c r="W298">
        <v>0</v>
      </c>
      <c r="X298">
        <v>0</v>
      </c>
      <c r="Y298">
        <v>0</v>
      </c>
    </row>
    <row r="299" spans="1:25" x14ac:dyDescent="0.3">
      <c r="A299">
        <v>12402</v>
      </c>
      <c r="B299">
        <v>124</v>
      </c>
      <c r="C299">
        <v>2</v>
      </c>
      <c r="D299">
        <v>1</v>
      </c>
      <c r="E299">
        <v>0</v>
      </c>
      <c r="F299">
        <v>1</v>
      </c>
      <c r="G299">
        <v>333</v>
      </c>
      <c r="H299">
        <v>60</v>
      </c>
      <c r="I299">
        <v>17</v>
      </c>
      <c r="J299">
        <v>65</v>
      </c>
      <c r="K299">
        <v>36</v>
      </c>
      <c r="L299">
        <v>7</v>
      </c>
      <c r="M299">
        <v>0</v>
      </c>
      <c r="N299">
        <v>0</v>
      </c>
      <c r="O299">
        <v>0</v>
      </c>
      <c r="P299">
        <v>0</v>
      </c>
      <c r="Q299">
        <v>200</v>
      </c>
      <c r="R299" t="s">
        <v>7994</v>
      </c>
      <c r="S299">
        <v>0</v>
      </c>
      <c r="T299">
        <v>0</v>
      </c>
      <c r="U299">
        <v>0</v>
      </c>
      <c r="V299">
        <v>0</v>
      </c>
      <c r="W299">
        <v>0</v>
      </c>
      <c r="X299">
        <v>0</v>
      </c>
      <c r="Y299">
        <v>0</v>
      </c>
    </row>
    <row r="300" spans="1:25" x14ac:dyDescent="0.3">
      <c r="A300">
        <v>12403</v>
      </c>
      <c r="B300">
        <v>124</v>
      </c>
      <c r="C300">
        <v>3</v>
      </c>
      <c r="D300">
        <v>1</v>
      </c>
      <c r="E300">
        <v>0</v>
      </c>
      <c r="F300">
        <v>1</v>
      </c>
      <c r="G300">
        <v>593</v>
      </c>
      <c r="H300">
        <v>106</v>
      </c>
      <c r="I300">
        <v>17</v>
      </c>
      <c r="J300">
        <v>65</v>
      </c>
      <c r="K300">
        <v>36</v>
      </c>
      <c r="L300">
        <v>7</v>
      </c>
      <c r="M300">
        <v>0</v>
      </c>
      <c r="N300">
        <v>0</v>
      </c>
      <c r="O300">
        <v>0</v>
      </c>
      <c r="P300">
        <v>0</v>
      </c>
      <c r="Q300">
        <v>200</v>
      </c>
      <c r="R300" t="s">
        <v>7994</v>
      </c>
      <c r="S300">
        <v>0</v>
      </c>
      <c r="T300">
        <v>0</v>
      </c>
      <c r="U300">
        <v>0</v>
      </c>
      <c r="V300">
        <v>0</v>
      </c>
      <c r="W300">
        <v>0</v>
      </c>
      <c r="X300">
        <v>0</v>
      </c>
      <c r="Y300">
        <v>0</v>
      </c>
    </row>
    <row r="301" spans="1:25" x14ac:dyDescent="0.3">
      <c r="A301">
        <v>12404</v>
      </c>
      <c r="B301">
        <v>124</v>
      </c>
      <c r="C301">
        <v>4</v>
      </c>
      <c r="D301">
        <v>1</v>
      </c>
      <c r="E301">
        <v>1</v>
      </c>
      <c r="F301">
        <v>1</v>
      </c>
      <c r="G301">
        <v>593</v>
      </c>
      <c r="H301">
        <v>106</v>
      </c>
      <c r="I301">
        <v>17</v>
      </c>
      <c r="J301">
        <v>65</v>
      </c>
      <c r="K301">
        <v>36</v>
      </c>
      <c r="L301">
        <v>7</v>
      </c>
      <c r="M301">
        <v>0</v>
      </c>
      <c r="N301">
        <v>0</v>
      </c>
      <c r="O301">
        <v>0</v>
      </c>
      <c r="P301">
        <v>0</v>
      </c>
      <c r="Q301">
        <v>200</v>
      </c>
      <c r="R301" t="s">
        <v>7994</v>
      </c>
      <c r="S301">
        <v>0</v>
      </c>
      <c r="T301">
        <v>0</v>
      </c>
      <c r="U301">
        <v>750784</v>
      </c>
      <c r="V301">
        <v>0</v>
      </c>
      <c r="W301">
        <v>0</v>
      </c>
      <c r="X301">
        <v>0</v>
      </c>
      <c r="Y301">
        <v>0</v>
      </c>
    </row>
    <row r="302" spans="1:25" x14ac:dyDescent="0.3">
      <c r="A302">
        <v>12500</v>
      </c>
      <c r="B302">
        <v>125</v>
      </c>
      <c r="C302">
        <v>0</v>
      </c>
      <c r="D302">
        <v>0</v>
      </c>
      <c r="E302">
        <v>0</v>
      </c>
      <c r="F302">
        <v>1</v>
      </c>
      <c r="G302">
        <v>200</v>
      </c>
      <c r="H302">
        <v>64</v>
      </c>
      <c r="I302">
        <v>21</v>
      </c>
      <c r="J302">
        <v>48</v>
      </c>
      <c r="K302">
        <v>60</v>
      </c>
      <c r="L302">
        <v>0</v>
      </c>
      <c r="M302">
        <v>0</v>
      </c>
      <c r="N302">
        <v>0</v>
      </c>
      <c r="O302">
        <v>0</v>
      </c>
      <c r="P302">
        <v>0</v>
      </c>
      <c r="Q302">
        <v>0</v>
      </c>
      <c r="R302" t="s">
        <v>8133</v>
      </c>
      <c r="S302">
        <v>0</v>
      </c>
      <c r="T302">
        <v>0</v>
      </c>
      <c r="U302">
        <v>0</v>
      </c>
      <c r="V302">
        <v>0</v>
      </c>
      <c r="W302">
        <v>0</v>
      </c>
      <c r="X302">
        <v>0</v>
      </c>
      <c r="Y302">
        <v>0</v>
      </c>
    </row>
    <row r="303" spans="1:25" x14ac:dyDescent="0.3">
      <c r="A303">
        <v>12501</v>
      </c>
      <c r="B303">
        <v>125</v>
      </c>
      <c r="C303">
        <v>1</v>
      </c>
      <c r="D303">
        <v>1</v>
      </c>
      <c r="E303">
        <v>0</v>
      </c>
      <c r="F303">
        <v>1</v>
      </c>
      <c r="G303">
        <v>200</v>
      </c>
      <c r="H303">
        <v>64</v>
      </c>
      <c r="I303">
        <v>21</v>
      </c>
      <c r="J303">
        <v>48</v>
      </c>
      <c r="K303">
        <v>60</v>
      </c>
      <c r="L303">
        <v>0</v>
      </c>
      <c r="M303">
        <v>0</v>
      </c>
      <c r="N303">
        <v>0</v>
      </c>
      <c r="O303">
        <v>0</v>
      </c>
      <c r="P303">
        <v>0</v>
      </c>
      <c r="Q303">
        <v>200</v>
      </c>
      <c r="R303" t="s">
        <v>8132</v>
      </c>
      <c r="S303">
        <v>0</v>
      </c>
      <c r="T303">
        <v>0</v>
      </c>
      <c r="U303">
        <v>0</v>
      </c>
      <c r="V303">
        <v>0</v>
      </c>
      <c r="W303">
        <v>0</v>
      </c>
      <c r="X303">
        <v>0</v>
      </c>
      <c r="Y303">
        <v>0</v>
      </c>
    </row>
    <row r="304" spans="1:25" x14ac:dyDescent="0.3">
      <c r="A304">
        <v>12502</v>
      </c>
      <c r="B304">
        <v>125</v>
      </c>
      <c r="C304">
        <v>2</v>
      </c>
      <c r="D304">
        <v>1</v>
      </c>
      <c r="E304">
        <v>0</v>
      </c>
      <c r="F304">
        <v>1</v>
      </c>
      <c r="G304">
        <v>200</v>
      </c>
      <c r="H304">
        <v>90</v>
      </c>
      <c r="I304">
        <v>21</v>
      </c>
      <c r="J304">
        <v>48</v>
      </c>
      <c r="K304">
        <v>79</v>
      </c>
      <c r="L304">
        <v>0</v>
      </c>
      <c r="M304">
        <v>0</v>
      </c>
      <c r="N304">
        <v>0</v>
      </c>
      <c r="O304">
        <v>0</v>
      </c>
      <c r="P304">
        <v>0</v>
      </c>
      <c r="Q304">
        <v>200</v>
      </c>
      <c r="R304" t="s">
        <v>8132</v>
      </c>
      <c r="S304">
        <v>0</v>
      </c>
      <c r="T304">
        <v>0</v>
      </c>
      <c r="U304">
        <v>0</v>
      </c>
      <c r="V304">
        <v>0</v>
      </c>
      <c r="W304">
        <v>0</v>
      </c>
      <c r="X304">
        <v>0</v>
      </c>
      <c r="Y304">
        <v>0</v>
      </c>
    </row>
    <row r="305" spans="1:25" x14ac:dyDescent="0.3">
      <c r="A305">
        <v>12503</v>
      </c>
      <c r="B305">
        <v>125</v>
      </c>
      <c r="C305">
        <v>3</v>
      </c>
      <c r="D305">
        <v>1</v>
      </c>
      <c r="E305">
        <v>0</v>
      </c>
      <c r="F305">
        <v>1</v>
      </c>
      <c r="G305">
        <v>366</v>
      </c>
      <c r="H305">
        <v>130</v>
      </c>
      <c r="I305">
        <v>21</v>
      </c>
      <c r="J305">
        <v>48</v>
      </c>
      <c r="K305">
        <v>79</v>
      </c>
      <c r="L305">
        <v>0</v>
      </c>
      <c r="M305">
        <v>0</v>
      </c>
      <c r="N305">
        <v>0</v>
      </c>
      <c r="O305">
        <v>0</v>
      </c>
      <c r="P305">
        <v>0</v>
      </c>
      <c r="Q305">
        <v>200</v>
      </c>
      <c r="R305" t="s">
        <v>8132</v>
      </c>
      <c r="S305">
        <v>0</v>
      </c>
      <c r="T305">
        <v>0</v>
      </c>
      <c r="U305">
        <v>0</v>
      </c>
      <c r="V305">
        <v>0</v>
      </c>
      <c r="W305">
        <v>0</v>
      </c>
      <c r="X305">
        <v>0</v>
      </c>
      <c r="Y305">
        <v>0</v>
      </c>
    </row>
    <row r="306" spans="1:25" x14ac:dyDescent="0.3">
      <c r="A306">
        <v>12504</v>
      </c>
      <c r="B306">
        <v>125</v>
      </c>
      <c r="C306">
        <v>4</v>
      </c>
      <c r="D306">
        <v>1</v>
      </c>
      <c r="E306">
        <v>1</v>
      </c>
      <c r="F306">
        <v>1</v>
      </c>
      <c r="G306">
        <v>366</v>
      </c>
      <c r="H306">
        <v>130</v>
      </c>
      <c r="I306">
        <v>21</v>
      </c>
      <c r="J306">
        <v>48</v>
      </c>
      <c r="K306">
        <v>79</v>
      </c>
      <c r="L306">
        <v>0</v>
      </c>
      <c r="M306">
        <v>0</v>
      </c>
      <c r="N306">
        <v>0</v>
      </c>
      <c r="O306">
        <v>0</v>
      </c>
      <c r="P306">
        <v>0</v>
      </c>
      <c r="Q306">
        <v>200</v>
      </c>
      <c r="R306" t="s">
        <v>8132</v>
      </c>
      <c r="S306">
        <v>0</v>
      </c>
      <c r="T306">
        <v>0</v>
      </c>
      <c r="U306">
        <v>750871</v>
      </c>
      <c r="V306">
        <v>0</v>
      </c>
      <c r="W306">
        <v>0</v>
      </c>
      <c r="X306">
        <v>0</v>
      </c>
      <c r="Y306">
        <v>0</v>
      </c>
    </row>
    <row r="307" spans="1:25" x14ac:dyDescent="0.3">
      <c r="A307">
        <v>12600</v>
      </c>
      <c r="B307">
        <v>126</v>
      </c>
      <c r="C307">
        <v>0</v>
      </c>
      <c r="D307">
        <v>0</v>
      </c>
      <c r="E307">
        <v>0</v>
      </c>
      <c r="F307">
        <v>1</v>
      </c>
      <c r="G307">
        <v>313</v>
      </c>
      <c r="H307">
        <v>31</v>
      </c>
      <c r="I307">
        <v>10</v>
      </c>
      <c r="J307">
        <v>40</v>
      </c>
      <c r="K307">
        <v>60</v>
      </c>
      <c r="L307">
        <v>0</v>
      </c>
      <c r="M307">
        <v>0</v>
      </c>
      <c r="N307">
        <v>0</v>
      </c>
      <c r="O307">
        <v>0</v>
      </c>
      <c r="P307">
        <v>0</v>
      </c>
      <c r="Q307">
        <v>0</v>
      </c>
      <c r="R307" t="s">
        <v>8335</v>
      </c>
      <c r="S307">
        <v>0</v>
      </c>
      <c r="T307">
        <v>0</v>
      </c>
      <c r="U307">
        <v>0</v>
      </c>
      <c r="V307">
        <v>0</v>
      </c>
      <c r="W307">
        <v>0</v>
      </c>
      <c r="X307">
        <v>0</v>
      </c>
      <c r="Y307">
        <v>0</v>
      </c>
    </row>
    <row r="308" spans="1:25" x14ac:dyDescent="0.3">
      <c r="A308">
        <v>12601</v>
      </c>
      <c r="B308">
        <v>126</v>
      </c>
      <c r="C308">
        <v>1</v>
      </c>
      <c r="D308">
        <v>1</v>
      </c>
      <c r="E308">
        <v>0</v>
      </c>
      <c r="F308">
        <v>1</v>
      </c>
      <c r="G308">
        <v>313</v>
      </c>
      <c r="H308">
        <v>31</v>
      </c>
      <c r="I308">
        <v>10</v>
      </c>
      <c r="J308">
        <v>40</v>
      </c>
      <c r="K308">
        <v>60</v>
      </c>
      <c r="L308">
        <v>0</v>
      </c>
      <c r="M308">
        <v>0</v>
      </c>
      <c r="N308">
        <v>0</v>
      </c>
      <c r="O308">
        <v>0</v>
      </c>
      <c r="P308">
        <v>0</v>
      </c>
      <c r="Q308">
        <v>200</v>
      </c>
      <c r="R308" t="s">
        <v>8334</v>
      </c>
      <c r="S308">
        <v>0</v>
      </c>
      <c r="T308">
        <v>0</v>
      </c>
      <c r="U308">
        <v>0</v>
      </c>
      <c r="V308">
        <v>0</v>
      </c>
      <c r="W308">
        <v>0</v>
      </c>
      <c r="X308">
        <v>0</v>
      </c>
      <c r="Y308">
        <v>0</v>
      </c>
    </row>
    <row r="309" spans="1:25" x14ac:dyDescent="0.3">
      <c r="A309">
        <v>12602</v>
      </c>
      <c r="B309">
        <v>126</v>
      </c>
      <c r="C309">
        <v>2</v>
      </c>
      <c r="D309">
        <v>1</v>
      </c>
      <c r="E309">
        <v>0</v>
      </c>
      <c r="F309">
        <v>1</v>
      </c>
      <c r="G309">
        <v>313</v>
      </c>
      <c r="H309">
        <v>50</v>
      </c>
      <c r="I309">
        <v>25</v>
      </c>
      <c r="J309">
        <v>40</v>
      </c>
      <c r="K309">
        <v>60</v>
      </c>
      <c r="L309">
        <v>0</v>
      </c>
      <c r="M309">
        <v>0</v>
      </c>
      <c r="N309">
        <v>0</v>
      </c>
      <c r="O309">
        <v>0</v>
      </c>
      <c r="P309">
        <v>0</v>
      </c>
      <c r="Q309">
        <v>200</v>
      </c>
      <c r="R309" t="s">
        <v>8334</v>
      </c>
      <c r="S309">
        <v>0</v>
      </c>
      <c r="T309">
        <v>0</v>
      </c>
      <c r="U309">
        <v>0</v>
      </c>
      <c r="V309">
        <v>0</v>
      </c>
      <c r="W309">
        <v>0</v>
      </c>
      <c r="X309">
        <v>0</v>
      </c>
      <c r="Y309">
        <v>0</v>
      </c>
    </row>
    <row r="310" spans="1:25" x14ac:dyDescent="0.3">
      <c r="A310">
        <v>12603</v>
      </c>
      <c r="B310">
        <v>126</v>
      </c>
      <c r="C310">
        <v>3</v>
      </c>
      <c r="D310">
        <v>1</v>
      </c>
      <c r="E310">
        <v>0</v>
      </c>
      <c r="F310">
        <v>1</v>
      </c>
      <c r="G310">
        <v>313</v>
      </c>
      <c r="H310">
        <v>100</v>
      </c>
      <c r="I310">
        <v>25</v>
      </c>
      <c r="J310">
        <v>53</v>
      </c>
      <c r="K310">
        <v>60</v>
      </c>
      <c r="L310">
        <v>0</v>
      </c>
      <c r="M310">
        <v>0</v>
      </c>
      <c r="N310">
        <v>0</v>
      </c>
      <c r="O310">
        <v>0</v>
      </c>
      <c r="P310">
        <v>0</v>
      </c>
      <c r="Q310">
        <v>200</v>
      </c>
      <c r="R310" t="s">
        <v>8334</v>
      </c>
      <c r="S310">
        <v>0</v>
      </c>
      <c r="T310">
        <v>0</v>
      </c>
      <c r="U310">
        <v>0</v>
      </c>
      <c r="V310">
        <v>0</v>
      </c>
      <c r="W310">
        <v>0</v>
      </c>
      <c r="X310">
        <v>0</v>
      </c>
      <c r="Y310">
        <v>0</v>
      </c>
    </row>
    <row r="311" spans="1:25" x14ac:dyDescent="0.3">
      <c r="A311">
        <v>12604</v>
      </c>
      <c r="B311">
        <v>126</v>
      </c>
      <c r="C311">
        <v>4</v>
      </c>
      <c r="D311">
        <v>1</v>
      </c>
      <c r="E311">
        <v>1</v>
      </c>
      <c r="F311">
        <v>1</v>
      </c>
      <c r="G311">
        <v>313</v>
      </c>
      <c r="H311">
        <v>100</v>
      </c>
      <c r="I311">
        <v>25</v>
      </c>
      <c r="J311">
        <v>53</v>
      </c>
      <c r="K311">
        <v>60</v>
      </c>
      <c r="L311">
        <v>0</v>
      </c>
      <c r="M311">
        <v>0</v>
      </c>
      <c r="N311">
        <v>0</v>
      </c>
      <c r="O311">
        <v>0</v>
      </c>
      <c r="P311">
        <v>0</v>
      </c>
      <c r="Q311">
        <v>200</v>
      </c>
      <c r="R311" t="s">
        <v>8334</v>
      </c>
      <c r="S311">
        <v>0</v>
      </c>
      <c r="T311">
        <v>0</v>
      </c>
      <c r="U311">
        <v>750886</v>
      </c>
      <c r="V311">
        <v>0</v>
      </c>
      <c r="W311">
        <v>0</v>
      </c>
      <c r="X311">
        <v>0</v>
      </c>
      <c r="Y311">
        <v>0</v>
      </c>
    </row>
    <row r="312" spans="1:25" x14ac:dyDescent="0.3">
      <c r="A312">
        <v>12800</v>
      </c>
      <c r="B312">
        <v>128</v>
      </c>
      <c r="C312">
        <v>0</v>
      </c>
      <c r="D312">
        <v>0</v>
      </c>
      <c r="E312">
        <v>0</v>
      </c>
      <c r="F312">
        <v>1</v>
      </c>
      <c r="G312">
        <v>200</v>
      </c>
      <c r="H312">
        <v>40</v>
      </c>
      <c r="I312">
        <v>29</v>
      </c>
      <c r="J312">
        <v>20</v>
      </c>
      <c r="K312">
        <v>48</v>
      </c>
      <c r="L312">
        <v>0</v>
      </c>
      <c r="M312">
        <v>0</v>
      </c>
      <c r="N312">
        <v>0</v>
      </c>
      <c r="O312">
        <v>0</v>
      </c>
      <c r="P312">
        <v>0</v>
      </c>
      <c r="Q312">
        <v>0</v>
      </c>
      <c r="R312" t="s">
        <v>9040</v>
      </c>
      <c r="S312">
        <v>0</v>
      </c>
      <c r="T312">
        <v>0</v>
      </c>
      <c r="U312">
        <v>0</v>
      </c>
      <c r="V312">
        <v>0</v>
      </c>
      <c r="W312">
        <v>0</v>
      </c>
      <c r="X312">
        <v>0</v>
      </c>
      <c r="Y312">
        <v>0</v>
      </c>
    </row>
    <row r="313" spans="1:25" x14ac:dyDescent="0.3">
      <c r="A313">
        <v>12801</v>
      </c>
      <c r="B313">
        <v>128</v>
      </c>
      <c r="C313">
        <v>1</v>
      </c>
      <c r="D313">
        <v>1</v>
      </c>
      <c r="E313">
        <v>0</v>
      </c>
      <c r="F313">
        <v>1</v>
      </c>
      <c r="G313">
        <v>200</v>
      </c>
      <c r="H313">
        <v>40</v>
      </c>
      <c r="I313">
        <v>29</v>
      </c>
      <c r="J313">
        <v>20</v>
      </c>
      <c r="K313">
        <v>48</v>
      </c>
      <c r="L313">
        <v>0</v>
      </c>
      <c r="M313">
        <v>0</v>
      </c>
      <c r="N313">
        <v>0</v>
      </c>
      <c r="O313">
        <v>0</v>
      </c>
      <c r="P313">
        <v>0</v>
      </c>
      <c r="Q313">
        <v>200</v>
      </c>
      <c r="R313" t="s">
        <v>9039</v>
      </c>
      <c r="S313">
        <v>0</v>
      </c>
      <c r="T313">
        <v>0</v>
      </c>
      <c r="U313">
        <v>0</v>
      </c>
      <c r="V313">
        <v>0</v>
      </c>
      <c r="W313">
        <v>0</v>
      </c>
      <c r="X313">
        <v>0</v>
      </c>
      <c r="Y313">
        <v>0</v>
      </c>
    </row>
    <row r="314" spans="1:25" x14ac:dyDescent="0.3">
      <c r="A314">
        <v>12802</v>
      </c>
      <c r="B314">
        <v>128</v>
      </c>
      <c r="C314">
        <v>2</v>
      </c>
      <c r="D314">
        <v>1</v>
      </c>
      <c r="E314">
        <v>0</v>
      </c>
      <c r="F314">
        <v>1</v>
      </c>
      <c r="G314">
        <v>348</v>
      </c>
      <c r="H314">
        <v>40</v>
      </c>
      <c r="I314">
        <v>46</v>
      </c>
      <c r="J314">
        <v>20</v>
      </c>
      <c r="K314">
        <v>48</v>
      </c>
      <c r="L314">
        <v>0</v>
      </c>
      <c r="M314">
        <v>0</v>
      </c>
      <c r="N314">
        <v>0</v>
      </c>
      <c r="O314">
        <v>0</v>
      </c>
      <c r="P314">
        <v>0</v>
      </c>
      <c r="Q314">
        <v>200</v>
      </c>
      <c r="R314" t="s">
        <v>9039</v>
      </c>
      <c r="S314">
        <v>0</v>
      </c>
      <c r="T314">
        <v>0</v>
      </c>
      <c r="U314">
        <v>0</v>
      </c>
      <c r="V314">
        <v>0</v>
      </c>
      <c r="W314">
        <v>0</v>
      </c>
      <c r="X314">
        <v>0</v>
      </c>
      <c r="Y314">
        <v>0</v>
      </c>
    </row>
    <row r="315" spans="1:25" x14ac:dyDescent="0.3">
      <c r="A315">
        <v>12803</v>
      </c>
      <c r="B315">
        <v>128</v>
      </c>
      <c r="C315">
        <v>3</v>
      </c>
      <c r="D315">
        <v>1</v>
      </c>
      <c r="E315">
        <v>0</v>
      </c>
      <c r="F315">
        <v>1</v>
      </c>
      <c r="G315">
        <v>348</v>
      </c>
      <c r="H315">
        <v>88</v>
      </c>
      <c r="I315">
        <v>46</v>
      </c>
      <c r="J315">
        <v>30</v>
      </c>
      <c r="K315">
        <v>48</v>
      </c>
      <c r="L315">
        <v>0</v>
      </c>
      <c r="M315">
        <v>0</v>
      </c>
      <c r="N315">
        <v>0</v>
      </c>
      <c r="O315">
        <v>0</v>
      </c>
      <c r="P315">
        <v>0</v>
      </c>
      <c r="Q315">
        <v>200</v>
      </c>
      <c r="R315" t="s">
        <v>9039</v>
      </c>
      <c r="S315">
        <v>0</v>
      </c>
      <c r="T315">
        <v>0</v>
      </c>
      <c r="U315">
        <v>0</v>
      </c>
      <c r="V315">
        <v>0</v>
      </c>
      <c r="W315">
        <v>0</v>
      </c>
      <c r="X315">
        <v>0</v>
      </c>
      <c r="Y315">
        <v>0</v>
      </c>
    </row>
    <row r="316" spans="1:25" x14ac:dyDescent="0.3">
      <c r="A316">
        <v>12804</v>
      </c>
      <c r="B316">
        <v>128</v>
      </c>
      <c r="C316">
        <v>4</v>
      </c>
      <c r="D316">
        <v>1</v>
      </c>
      <c r="E316">
        <v>1</v>
      </c>
      <c r="F316">
        <v>1</v>
      </c>
      <c r="G316">
        <v>348</v>
      </c>
      <c r="H316">
        <v>88</v>
      </c>
      <c r="I316">
        <v>46</v>
      </c>
      <c r="J316">
        <v>30</v>
      </c>
      <c r="K316">
        <v>48</v>
      </c>
      <c r="L316">
        <v>0</v>
      </c>
      <c r="M316">
        <v>0</v>
      </c>
      <c r="N316">
        <v>0</v>
      </c>
      <c r="O316">
        <v>0</v>
      </c>
      <c r="P316">
        <v>0</v>
      </c>
      <c r="Q316">
        <v>200</v>
      </c>
      <c r="R316" t="s">
        <v>9039</v>
      </c>
      <c r="S316">
        <v>0</v>
      </c>
      <c r="T316">
        <v>0</v>
      </c>
      <c r="U316">
        <v>760003</v>
      </c>
      <c r="V316">
        <v>0</v>
      </c>
      <c r="W316">
        <v>0</v>
      </c>
      <c r="X316">
        <v>0</v>
      </c>
      <c r="Y316">
        <v>0</v>
      </c>
    </row>
    <row r="317" spans="1:25" x14ac:dyDescent="0.3">
      <c r="A317">
        <v>12700</v>
      </c>
      <c r="B317">
        <v>127</v>
      </c>
      <c r="C317">
        <v>0</v>
      </c>
      <c r="D317">
        <v>0</v>
      </c>
      <c r="E317">
        <v>0</v>
      </c>
      <c r="F317">
        <v>1</v>
      </c>
      <c r="G317">
        <v>100</v>
      </c>
      <c r="H317">
        <v>77</v>
      </c>
      <c r="I317">
        <v>20</v>
      </c>
      <c r="J317">
        <v>38</v>
      </c>
      <c r="K317">
        <v>55</v>
      </c>
      <c r="L317">
        <v>0</v>
      </c>
      <c r="M317">
        <v>0</v>
      </c>
      <c r="N317">
        <v>0</v>
      </c>
      <c r="O317">
        <v>0</v>
      </c>
      <c r="P317">
        <v>0</v>
      </c>
      <c r="Q317">
        <v>0</v>
      </c>
      <c r="R317" t="s">
        <v>9148</v>
      </c>
      <c r="S317">
        <v>0</v>
      </c>
      <c r="T317">
        <v>0</v>
      </c>
      <c r="U317">
        <v>0</v>
      </c>
      <c r="V317">
        <v>0</v>
      </c>
      <c r="W317">
        <v>0</v>
      </c>
      <c r="X317">
        <v>0</v>
      </c>
      <c r="Y317">
        <v>0</v>
      </c>
    </row>
    <row r="318" spans="1:25" x14ac:dyDescent="0.3">
      <c r="A318">
        <v>12701</v>
      </c>
      <c r="B318">
        <v>127</v>
      </c>
      <c r="C318">
        <v>1</v>
      </c>
      <c r="D318">
        <v>1</v>
      </c>
      <c r="E318">
        <v>0</v>
      </c>
      <c r="F318">
        <v>1</v>
      </c>
      <c r="G318">
        <v>100</v>
      </c>
      <c r="H318">
        <v>77</v>
      </c>
      <c r="I318">
        <v>20</v>
      </c>
      <c r="J318">
        <v>38</v>
      </c>
      <c r="K318">
        <v>55</v>
      </c>
      <c r="L318">
        <v>0</v>
      </c>
      <c r="M318">
        <v>0</v>
      </c>
      <c r="N318">
        <v>0</v>
      </c>
      <c r="O318">
        <v>0</v>
      </c>
      <c r="P318">
        <v>0</v>
      </c>
      <c r="Q318">
        <v>200</v>
      </c>
      <c r="R318" t="s">
        <v>9147</v>
      </c>
      <c r="S318">
        <v>0</v>
      </c>
      <c r="T318">
        <v>0</v>
      </c>
      <c r="U318">
        <v>0</v>
      </c>
      <c r="V318">
        <v>0</v>
      </c>
      <c r="W318">
        <v>0</v>
      </c>
      <c r="X318">
        <v>0</v>
      </c>
      <c r="Y318">
        <v>0</v>
      </c>
    </row>
    <row r="319" spans="1:25" x14ac:dyDescent="0.3">
      <c r="A319">
        <v>12702</v>
      </c>
      <c r="B319">
        <v>127</v>
      </c>
      <c r="C319">
        <v>2</v>
      </c>
      <c r="D319">
        <v>1</v>
      </c>
      <c r="E319">
        <v>0</v>
      </c>
      <c r="F319">
        <v>1</v>
      </c>
      <c r="G319">
        <v>219</v>
      </c>
      <c r="H319">
        <v>77</v>
      </c>
      <c r="I319">
        <v>20</v>
      </c>
      <c r="J319">
        <v>38</v>
      </c>
      <c r="K319">
        <v>81</v>
      </c>
      <c r="L319">
        <v>0</v>
      </c>
      <c r="M319">
        <v>0</v>
      </c>
      <c r="N319">
        <v>0</v>
      </c>
      <c r="O319">
        <v>0</v>
      </c>
      <c r="P319">
        <v>0</v>
      </c>
      <c r="Q319">
        <v>200</v>
      </c>
      <c r="R319" t="s">
        <v>9147</v>
      </c>
      <c r="S319">
        <v>0</v>
      </c>
      <c r="T319">
        <v>0</v>
      </c>
      <c r="U319">
        <v>0</v>
      </c>
      <c r="V319">
        <v>0</v>
      </c>
      <c r="W319">
        <v>0</v>
      </c>
      <c r="X319">
        <v>0</v>
      </c>
      <c r="Y319">
        <v>0</v>
      </c>
    </row>
    <row r="320" spans="1:25" x14ac:dyDescent="0.3">
      <c r="A320">
        <v>12703</v>
      </c>
      <c r="B320">
        <v>127</v>
      </c>
      <c r="C320">
        <v>3</v>
      </c>
      <c r="D320">
        <v>1</v>
      </c>
      <c r="E320">
        <v>0</v>
      </c>
      <c r="F320">
        <v>1</v>
      </c>
      <c r="G320">
        <v>419</v>
      </c>
      <c r="H320">
        <v>77</v>
      </c>
      <c r="I320">
        <v>36</v>
      </c>
      <c r="J320">
        <v>38</v>
      </c>
      <c r="K320">
        <v>81</v>
      </c>
      <c r="L320">
        <v>0</v>
      </c>
      <c r="M320">
        <v>0</v>
      </c>
      <c r="N320">
        <v>0</v>
      </c>
      <c r="O320">
        <v>0</v>
      </c>
      <c r="P320">
        <v>0</v>
      </c>
      <c r="Q320">
        <v>200</v>
      </c>
      <c r="R320" t="s">
        <v>9147</v>
      </c>
      <c r="S320">
        <v>0</v>
      </c>
      <c r="T320">
        <v>0</v>
      </c>
      <c r="U320">
        <v>0</v>
      </c>
      <c r="V320">
        <v>0</v>
      </c>
      <c r="W320">
        <v>0</v>
      </c>
      <c r="X320">
        <v>0</v>
      </c>
      <c r="Y320">
        <v>0</v>
      </c>
    </row>
    <row r="321" spans="1:25" x14ac:dyDescent="0.3">
      <c r="A321">
        <v>12704</v>
      </c>
      <c r="B321">
        <v>127</v>
      </c>
      <c r="C321">
        <v>4</v>
      </c>
      <c r="D321">
        <v>1</v>
      </c>
      <c r="E321">
        <v>1</v>
      </c>
      <c r="F321">
        <v>1</v>
      </c>
      <c r="G321">
        <v>419</v>
      </c>
      <c r="H321">
        <v>77</v>
      </c>
      <c r="I321">
        <v>36</v>
      </c>
      <c r="J321">
        <v>38</v>
      </c>
      <c r="K321">
        <v>81</v>
      </c>
      <c r="L321">
        <v>0</v>
      </c>
      <c r="M321">
        <v>0</v>
      </c>
      <c r="N321">
        <v>0</v>
      </c>
      <c r="O321">
        <v>0</v>
      </c>
      <c r="P321">
        <v>0</v>
      </c>
      <c r="Q321">
        <v>200</v>
      </c>
      <c r="R321" t="s">
        <v>9147</v>
      </c>
      <c r="S321">
        <v>0</v>
      </c>
      <c r="T321">
        <v>0</v>
      </c>
      <c r="U321">
        <v>750961</v>
      </c>
      <c r="V321">
        <v>0</v>
      </c>
      <c r="W321">
        <v>0</v>
      </c>
      <c r="X321">
        <v>0</v>
      </c>
      <c r="Y321">
        <v>0</v>
      </c>
    </row>
    <row r="322" spans="1:25" x14ac:dyDescent="0.3">
      <c r="A322">
        <v>12900</v>
      </c>
      <c r="B322">
        <v>129</v>
      </c>
      <c r="C322">
        <v>0</v>
      </c>
      <c r="D322">
        <v>0</v>
      </c>
      <c r="E322">
        <v>0</v>
      </c>
      <c r="F322">
        <v>1</v>
      </c>
      <c r="G322">
        <v>200</v>
      </c>
      <c r="H322">
        <v>80</v>
      </c>
      <c r="I322">
        <v>20</v>
      </c>
      <c r="J322">
        <v>20</v>
      </c>
      <c r="K322">
        <v>60</v>
      </c>
      <c r="L322">
        <v>0</v>
      </c>
      <c r="M322">
        <v>0</v>
      </c>
      <c r="N322">
        <v>0</v>
      </c>
      <c r="O322">
        <v>0</v>
      </c>
      <c r="P322">
        <v>0</v>
      </c>
      <c r="Q322">
        <v>0</v>
      </c>
      <c r="R322" t="s">
        <v>9217</v>
      </c>
      <c r="S322">
        <v>0</v>
      </c>
      <c r="T322">
        <v>0</v>
      </c>
      <c r="U322">
        <v>0</v>
      </c>
      <c r="V322">
        <v>0</v>
      </c>
      <c r="W322">
        <v>0</v>
      </c>
      <c r="X322">
        <v>0</v>
      </c>
      <c r="Y322">
        <v>0</v>
      </c>
    </row>
    <row r="323" spans="1:25" x14ac:dyDescent="0.3">
      <c r="A323">
        <v>12901</v>
      </c>
      <c r="B323">
        <v>129</v>
      </c>
      <c r="C323">
        <v>1</v>
      </c>
      <c r="D323">
        <v>1</v>
      </c>
      <c r="E323">
        <v>0</v>
      </c>
      <c r="F323">
        <v>1</v>
      </c>
      <c r="G323">
        <v>200</v>
      </c>
      <c r="H323">
        <v>80</v>
      </c>
      <c r="I323">
        <v>20</v>
      </c>
      <c r="J323">
        <v>20</v>
      </c>
      <c r="K323">
        <v>60</v>
      </c>
      <c r="L323">
        <v>0</v>
      </c>
      <c r="M323">
        <v>0</v>
      </c>
      <c r="N323">
        <v>0</v>
      </c>
      <c r="O323">
        <v>0</v>
      </c>
      <c r="P323">
        <v>0</v>
      </c>
      <c r="Q323">
        <v>200</v>
      </c>
      <c r="R323" t="s">
        <v>9216</v>
      </c>
      <c r="S323">
        <v>0</v>
      </c>
      <c r="T323">
        <v>0</v>
      </c>
      <c r="U323">
        <v>0</v>
      </c>
      <c r="V323">
        <v>0</v>
      </c>
      <c r="W323">
        <v>0</v>
      </c>
      <c r="X323">
        <v>0</v>
      </c>
      <c r="Y323">
        <v>0</v>
      </c>
    </row>
    <row r="324" spans="1:25" x14ac:dyDescent="0.3">
      <c r="A324">
        <v>12902</v>
      </c>
      <c r="B324">
        <v>129</v>
      </c>
      <c r="C324">
        <v>2</v>
      </c>
      <c r="D324">
        <v>1</v>
      </c>
      <c r="E324">
        <v>0</v>
      </c>
      <c r="F324">
        <v>1</v>
      </c>
      <c r="G324">
        <v>384</v>
      </c>
      <c r="H324">
        <v>80</v>
      </c>
      <c r="I324">
        <v>36</v>
      </c>
      <c r="J324">
        <v>20</v>
      </c>
      <c r="K324">
        <v>60</v>
      </c>
      <c r="L324">
        <v>0</v>
      </c>
      <c r="M324">
        <v>0</v>
      </c>
      <c r="N324">
        <v>0</v>
      </c>
      <c r="O324">
        <v>0</v>
      </c>
      <c r="P324">
        <v>0</v>
      </c>
      <c r="Q324">
        <v>200</v>
      </c>
      <c r="R324" t="s">
        <v>9216</v>
      </c>
      <c r="S324">
        <v>0</v>
      </c>
      <c r="T324">
        <v>0</v>
      </c>
      <c r="U324">
        <v>0</v>
      </c>
      <c r="V324">
        <v>0</v>
      </c>
      <c r="W324">
        <v>0</v>
      </c>
      <c r="X324">
        <v>0</v>
      </c>
      <c r="Y324">
        <v>0</v>
      </c>
    </row>
    <row r="325" spans="1:25" x14ac:dyDescent="0.3">
      <c r="A325">
        <v>12903</v>
      </c>
      <c r="B325">
        <v>129</v>
      </c>
      <c r="C325">
        <v>3</v>
      </c>
      <c r="D325">
        <v>1</v>
      </c>
      <c r="E325">
        <v>0</v>
      </c>
      <c r="F325">
        <v>1</v>
      </c>
      <c r="G325">
        <v>384</v>
      </c>
      <c r="H325">
        <v>111</v>
      </c>
      <c r="I325">
        <v>36</v>
      </c>
      <c r="J325">
        <v>53</v>
      </c>
      <c r="K325">
        <v>60</v>
      </c>
      <c r="L325">
        <v>0</v>
      </c>
      <c r="M325">
        <v>0</v>
      </c>
      <c r="N325">
        <v>0</v>
      </c>
      <c r="O325">
        <v>0</v>
      </c>
      <c r="P325">
        <v>0</v>
      </c>
      <c r="Q325">
        <v>200</v>
      </c>
      <c r="R325" t="s">
        <v>9216</v>
      </c>
      <c r="S325">
        <v>0</v>
      </c>
      <c r="T325">
        <v>0</v>
      </c>
      <c r="U325">
        <v>0</v>
      </c>
      <c r="V325">
        <v>0</v>
      </c>
      <c r="W325">
        <v>0</v>
      </c>
      <c r="X325">
        <v>0</v>
      </c>
      <c r="Y325">
        <v>0</v>
      </c>
    </row>
    <row r="326" spans="1:25" x14ac:dyDescent="0.3">
      <c r="A326">
        <v>12904</v>
      </c>
      <c r="B326">
        <v>129</v>
      </c>
      <c r="C326">
        <v>4</v>
      </c>
      <c r="D326">
        <v>1</v>
      </c>
      <c r="E326">
        <v>1</v>
      </c>
      <c r="F326">
        <v>1</v>
      </c>
      <c r="G326">
        <v>384</v>
      </c>
      <c r="H326">
        <v>111</v>
      </c>
      <c r="I326">
        <v>36</v>
      </c>
      <c r="J326">
        <v>53</v>
      </c>
      <c r="K326">
        <v>60</v>
      </c>
      <c r="L326">
        <v>0</v>
      </c>
      <c r="M326">
        <v>0</v>
      </c>
      <c r="N326">
        <v>0</v>
      </c>
      <c r="O326">
        <v>0</v>
      </c>
      <c r="P326">
        <v>0</v>
      </c>
      <c r="Q326">
        <v>200</v>
      </c>
      <c r="R326" t="s">
        <v>9216</v>
      </c>
      <c r="S326">
        <v>0</v>
      </c>
      <c r="T326">
        <v>0</v>
      </c>
      <c r="U326">
        <v>760011</v>
      </c>
      <c r="V326">
        <v>0</v>
      </c>
      <c r="W326">
        <v>0</v>
      </c>
      <c r="X326">
        <v>0</v>
      </c>
      <c r="Y326">
        <v>0</v>
      </c>
    </row>
  </sheetData>
  <autoFilter ref="A1:X246" xr:uid="{8FF13B79-9497-42BB-B50C-F41909FFCFDA}">
    <sortState xmlns:xlrd2="http://schemas.microsoft.com/office/spreadsheetml/2017/richdata2" ref="A2:X266">
      <sortCondition ref="A1:A246"/>
    </sortState>
  </autoFilter>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ABBB0-2C8E-4B2F-BDCA-01106EE35D97}">
  <sheetPr codeName="Sheet31" filterMode="1">
    <tabColor theme="8" tint="0.79998168889431442"/>
  </sheetPr>
  <dimension ref="A1:Z31"/>
  <sheetViews>
    <sheetView workbookViewId="0">
      <pane ySplit="1" topLeftCell="A2" activePane="bottomLeft" state="frozen"/>
      <selection pane="bottomLeft"/>
    </sheetView>
  </sheetViews>
  <sheetFormatPr defaultRowHeight="14.4" x14ac:dyDescent="0.3"/>
  <cols>
    <col min="1" max="1" width="7.33203125" bestFit="1" customWidth="1"/>
    <col min="2" max="2" width="14.6640625" bestFit="1" customWidth="1"/>
    <col min="3" max="3" width="17" bestFit="1" customWidth="1"/>
    <col min="4" max="4" width="17.44140625" bestFit="1" customWidth="1"/>
    <col min="5" max="5" width="15.6640625" bestFit="1" customWidth="1"/>
    <col min="6" max="6" width="16" bestFit="1" customWidth="1"/>
    <col min="7" max="7" width="15.109375" bestFit="1" customWidth="1"/>
    <col min="8" max="8" width="11.5546875" bestFit="1" customWidth="1"/>
    <col min="9" max="9" width="22.33203125" bestFit="1" customWidth="1"/>
    <col min="10" max="10" width="11.88671875" bestFit="1" customWidth="1"/>
    <col min="11" max="11" width="60.109375" bestFit="1" customWidth="1"/>
    <col min="12" max="12" width="16.33203125" bestFit="1" customWidth="1"/>
    <col min="13" max="13" width="7.88671875" bestFit="1" customWidth="1"/>
    <col min="14" max="14" width="10.88671875" bestFit="1" customWidth="1"/>
    <col min="15" max="15" width="11.109375" bestFit="1" customWidth="1"/>
    <col min="16" max="16" width="19" bestFit="1" customWidth="1"/>
    <col min="17" max="17" width="17.6640625" bestFit="1" customWidth="1"/>
    <col min="18" max="18" width="11.33203125" bestFit="1" customWidth="1"/>
    <col min="19" max="19" width="14.6640625" bestFit="1" customWidth="1"/>
    <col min="20" max="20" width="13.6640625" bestFit="1" customWidth="1"/>
    <col min="21" max="21" width="8" bestFit="1" customWidth="1"/>
    <col min="22" max="22" width="8.44140625" bestFit="1" customWidth="1"/>
    <col min="23" max="23" width="13.33203125" bestFit="1" customWidth="1"/>
    <col min="24" max="24" width="21.44140625" bestFit="1" customWidth="1"/>
  </cols>
  <sheetData>
    <row r="1" spans="1:26" x14ac:dyDescent="0.3">
      <c r="A1" s="38" t="s">
        <v>25</v>
      </c>
      <c r="B1" s="38" t="s">
        <v>8171</v>
      </c>
      <c r="C1" s="38" t="s">
        <v>8188</v>
      </c>
      <c r="D1" s="38" t="s">
        <v>8189</v>
      </c>
      <c r="E1" s="38" t="s">
        <v>8190</v>
      </c>
      <c r="F1" s="38" t="s">
        <v>8191</v>
      </c>
      <c r="G1" s="38" t="s">
        <v>8192</v>
      </c>
      <c r="H1" s="38" t="s">
        <v>8193</v>
      </c>
      <c r="I1" s="38" t="s">
        <v>8194</v>
      </c>
      <c r="J1" s="38" t="s">
        <v>580</v>
      </c>
      <c r="K1" s="38" t="s">
        <v>629</v>
      </c>
      <c r="L1" s="38" t="s">
        <v>8180</v>
      </c>
      <c r="M1" s="38" t="s">
        <v>8181</v>
      </c>
      <c r="N1" s="38" t="s">
        <v>277</v>
      </c>
      <c r="O1" s="38" t="s">
        <v>39</v>
      </c>
      <c r="P1" s="38" t="s">
        <v>8182</v>
      </c>
      <c r="Q1" s="38" t="s">
        <v>8183</v>
      </c>
      <c r="R1" s="38" t="s">
        <v>8184</v>
      </c>
      <c r="S1" s="38" t="s">
        <v>877</v>
      </c>
      <c r="T1" s="38" t="s">
        <v>7733</v>
      </c>
      <c r="U1" s="38" t="s">
        <v>38</v>
      </c>
      <c r="V1" s="38" t="s">
        <v>2618</v>
      </c>
      <c r="W1" s="38" t="s">
        <v>4470</v>
      </c>
      <c r="X1" s="38" t="s">
        <v>8185</v>
      </c>
      <c r="Y1" t="s">
        <v>8186</v>
      </c>
      <c r="Z1" t="s">
        <v>8187</v>
      </c>
    </row>
    <row r="2" spans="1:26" hidden="1" x14ac:dyDescent="0.3">
      <c r="A2" s="1">
        <v>10001</v>
      </c>
      <c r="B2" s="1">
        <v>1</v>
      </c>
      <c r="C2" s="1" t="s">
        <v>1806</v>
      </c>
      <c r="D2" s="1" t="s">
        <v>328</v>
      </c>
      <c r="E2" s="1">
        <v>14800</v>
      </c>
      <c r="F2" s="1" t="s">
        <v>8195</v>
      </c>
      <c r="G2" s="1">
        <v>1</v>
      </c>
      <c r="H2" s="1">
        <v>0</v>
      </c>
      <c r="I2" s="1">
        <v>0</v>
      </c>
      <c r="J2" s="1" t="s">
        <v>328</v>
      </c>
      <c r="K2" s="1" t="s">
        <v>328</v>
      </c>
      <c r="L2" s="1">
        <v>1000</v>
      </c>
      <c r="M2" s="1">
        <v>200</v>
      </c>
      <c r="N2" s="1">
        <v>0</v>
      </c>
      <c r="O2" s="1">
        <v>4</v>
      </c>
      <c r="P2" s="1">
        <v>0</v>
      </c>
      <c r="Q2" s="1">
        <v>0</v>
      </c>
      <c r="R2" s="1">
        <v>0</v>
      </c>
      <c r="S2" s="1">
        <v>0</v>
      </c>
      <c r="T2" s="1">
        <v>0</v>
      </c>
      <c r="U2" s="1">
        <v>0</v>
      </c>
      <c r="V2" s="1">
        <v>0</v>
      </c>
      <c r="W2" s="1">
        <v>0</v>
      </c>
      <c r="X2" s="1">
        <v>0</v>
      </c>
      <c r="Y2">
        <v>0</v>
      </c>
      <c r="Z2">
        <v>0</v>
      </c>
    </row>
    <row r="3" spans="1:26" hidden="1" x14ac:dyDescent="0.3">
      <c r="A3" s="1">
        <v>10002</v>
      </c>
      <c r="B3" s="1">
        <v>1</v>
      </c>
      <c r="C3" s="1" t="s">
        <v>8196</v>
      </c>
      <c r="D3" s="1" t="s">
        <v>328</v>
      </c>
      <c r="E3" s="1">
        <v>16700</v>
      </c>
      <c r="F3" s="1" t="s">
        <v>8195</v>
      </c>
      <c r="G3" s="1">
        <v>1</v>
      </c>
      <c r="H3" s="1">
        <v>0</v>
      </c>
      <c r="I3" s="1">
        <v>0</v>
      </c>
      <c r="J3" s="1" t="s">
        <v>328</v>
      </c>
      <c r="K3" s="1" t="s">
        <v>328</v>
      </c>
      <c r="L3" s="1">
        <v>1000</v>
      </c>
      <c r="M3" s="1">
        <v>0</v>
      </c>
      <c r="N3" s="1">
        <v>0</v>
      </c>
      <c r="O3" s="1">
        <v>0</v>
      </c>
      <c r="P3" s="1">
        <v>60</v>
      </c>
      <c r="Q3" s="1">
        <v>0</v>
      </c>
      <c r="R3" s="1">
        <v>0</v>
      </c>
      <c r="S3" s="1">
        <v>0</v>
      </c>
      <c r="T3" s="1">
        <v>0</v>
      </c>
      <c r="U3" s="1">
        <v>0</v>
      </c>
      <c r="V3" s="1">
        <v>0</v>
      </c>
      <c r="W3" s="1">
        <v>0</v>
      </c>
      <c r="X3" s="1">
        <v>0</v>
      </c>
      <c r="Y3">
        <v>0</v>
      </c>
      <c r="Z3">
        <v>0</v>
      </c>
    </row>
    <row r="4" spans="1:26" hidden="1" x14ac:dyDescent="0.3">
      <c r="A4" s="1">
        <v>10003</v>
      </c>
      <c r="B4" s="1">
        <v>1</v>
      </c>
      <c r="C4" s="1" t="s">
        <v>1806</v>
      </c>
      <c r="D4" s="1" t="s">
        <v>328</v>
      </c>
      <c r="E4" s="1">
        <v>20400</v>
      </c>
      <c r="F4" s="1" t="s">
        <v>8195</v>
      </c>
      <c r="G4" s="1">
        <v>2</v>
      </c>
      <c r="H4" s="1">
        <v>0</v>
      </c>
      <c r="I4" s="1">
        <v>0</v>
      </c>
      <c r="J4" s="1" t="s">
        <v>8197</v>
      </c>
      <c r="K4" s="1" t="s">
        <v>328</v>
      </c>
      <c r="L4" s="1">
        <v>1000</v>
      </c>
      <c r="M4" s="1">
        <v>0</v>
      </c>
      <c r="N4" s="1">
        <v>0</v>
      </c>
      <c r="O4" s="1">
        <v>0</v>
      </c>
      <c r="P4" s="1">
        <v>0</v>
      </c>
      <c r="Q4" s="1">
        <v>0</v>
      </c>
      <c r="R4" s="1">
        <v>0</v>
      </c>
      <c r="S4" s="1">
        <v>0</v>
      </c>
      <c r="T4" s="1">
        <v>0</v>
      </c>
      <c r="U4" s="1">
        <v>0</v>
      </c>
      <c r="V4" s="1">
        <v>0</v>
      </c>
      <c r="W4" s="1">
        <v>0</v>
      </c>
      <c r="X4" s="1">
        <v>0</v>
      </c>
      <c r="Y4">
        <v>0</v>
      </c>
      <c r="Z4">
        <v>0</v>
      </c>
    </row>
    <row r="5" spans="1:26" hidden="1" x14ac:dyDescent="0.3">
      <c r="A5" s="1">
        <v>10004</v>
      </c>
      <c r="B5" s="1">
        <v>1</v>
      </c>
      <c r="C5" s="1" t="s">
        <v>8198</v>
      </c>
      <c r="D5" s="1" t="s">
        <v>328</v>
      </c>
      <c r="E5" s="1">
        <v>25900</v>
      </c>
      <c r="F5" s="1" t="s">
        <v>8195</v>
      </c>
      <c r="G5" s="1">
        <v>1</v>
      </c>
      <c r="H5" s="1">
        <v>0</v>
      </c>
      <c r="I5" s="1">
        <v>0</v>
      </c>
      <c r="J5" s="1" t="s">
        <v>328</v>
      </c>
      <c r="K5" s="1" t="s">
        <v>328</v>
      </c>
      <c r="L5" s="1">
        <v>1000</v>
      </c>
      <c r="M5" s="1">
        <v>0</v>
      </c>
      <c r="N5" s="1">
        <v>0</v>
      </c>
      <c r="O5" s="1">
        <v>0</v>
      </c>
      <c r="P5" s="1">
        <v>0</v>
      </c>
      <c r="Q5" s="1">
        <v>45</v>
      </c>
      <c r="R5" s="1">
        <v>0</v>
      </c>
      <c r="S5" s="1">
        <v>0</v>
      </c>
      <c r="T5" s="1">
        <v>0</v>
      </c>
      <c r="U5" s="1">
        <v>0</v>
      </c>
      <c r="V5" s="1">
        <v>0</v>
      </c>
      <c r="W5" s="1">
        <v>0</v>
      </c>
      <c r="X5" s="1">
        <v>0</v>
      </c>
      <c r="Y5">
        <v>0</v>
      </c>
      <c r="Z5">
        <v>0</v>
      </c>
    </row>
    <row r="6" spans="1:26" hidden="1" x14ac:dyDescent="0.3">
      <c r="A6" s="1">
        <v>10005</v>
      </c>
      <c r="B6" s="1">
        <v>1</v>
      </c>
      <c r="C6" s="1" t="s">
        <v>8199</v>
      </c>
      <c r="D6" s="1" t="s">
        <v>328</v>
      </c>
      <c r="E6" s="1">
        <v>33400</v>
      </c>
      <c r="F6" s="1" t="s">
        <v>8195</v>
      </c>
      <c r="G6" s="1">
        <v>1</v>
      </c>
      <c r="H6" s="1">
        <v>0</v>
      </c>
      <c r="I6" s="1">
        <v>0</v>
      </c>
      <c r="J6" s="1" t="s">
        <v>328</v>
      </c>
      <c r="K6" s="1" t="s">
        <v>328</v>
      </c>
      <c r="L6" s="1">
        <v>1000</v>
      </c>
      <c r="M6" s="1">
        <v>0</v>
      </c>
      <c r="N6" s="1">
        <v>0</v>
      </c>
      <c r="O6" s="1">
        <v>0</v>
      </c>
      <c r="P6" s="1">
        <v>0</v>
      </c>
      <c r="Q6" s="1">
        <v>0</v>
      </c>
      <c r="R6" s="1">
        <v>0</v>
      </c>
      <c r="S6" s="1">
        <v>0</v>
      </c>
      <c r="T6" s="1">
        <v>34</v>
      </c>
      <c r="U6" s="1">
        <v>0</v>
      </c>
      <c r="V6" s="1">
        <v>0</v>
      </c>
      <c r="W6" s="1">
        <v>0</v>
      </c>
      <c r="X6" s="1">
        <v>0</v>
      </c>
      <c r="Y6">
        <v>0</v>
      </c>
      <c r="Z6">
        <v>0</v>
      </c>
    </row>
    <row r="7" spans="1:26" hidden="1" x14ac:dyDescent="0.3">
      <c r="A7" s="1">
        <v>10006</v>
      </c>
      <c r="B7" s="1">
        <v>1</v>
      </c>
      <c r="C7" s="1" t="s">
        <v>8200</v>
      </c>
      <c r="D7" s="1" t="s">
        <v>328</v>
      </c>
      <c r="E7" s="1">
        <v>42600</v>
      </c>
      <c r="F7" s="1" t="s">
        <v>8201</v>
      </c>
      <c r="G7" s="1">
        <v>2</v>
      </c>
      <c r="H7" s="1">
        <v>0</v>
      </c>
      <c r="I7" s="1">
        <v>0</v>
      </c>
      <c r="J7" s="1" t="s">
        <v>8202</v>
      </c>
      <c r="K7" s="1" t="s">
        <v>8203</v>
      </c>
      <c r="L7" s="1">
        <v>1000</v>
      </c>
      <c r="M7" s="1">
        <v>0</v>
      </c>
      <c r="N7" s="1">
        <v>0</v>
      </c>
      <c r="O7" s="1">
        <v>0</v>
      </c>
      <c r="P7" s="1">
        <v>0</v>
      </c>
      <c r="Q7" s="1">
        <v>0</v>
      </c>
      <c r="R7" s="1">
        <v>0</v>
      </c>
      <c r="S7" s="1">
        <v>0</v>
      </c>
      <c r="T7" s="1">
        <v>0</v>
      </c>
      <c r="U7" s="1">
        <v>0</v>
      </c>
      <c r="V7" s="1">
        <v>0</v>
      </c>
      <c r="W7" s="1">
        <v>0</v>
      </c>
      <c r="X7" s="1">
        <v>0</v>
      </c>
      <c r="Y7">
        <v>0</v>
      </c>
      <c r="Z7">
        <v>0</v>
      </c>
    </row>
    <row r="8" spans="1:26" x14ac:dyDescent="0.3">
      <c r="A8" s="1">
        <v>10007</v>
      </c>
      <c r="B8" s="1">
        <v>1</v>
      </c>
      <c r="C8" s="1" t="s">
        <v>8204</v>
      </c>
      <c r="D8" s="1" t="s">
        <v>328</v>
      </c>
      <c r="E8" s="1">
        <v>53700</v>
      </c>
      <c r="F8" s="1" t="s">
        <v>8201</v>
      </c>
      <c r="G8" s="1">
        <v>3</v>
      </c>
      <c r="H8" s="1">
        <v>4</v>
      </c>
      <c r="I8" s="1">
        <v>0</v>
      </c>
      <c r="J8" s="1" t="s">
        <v>328</v>
      </c>
      <c r="K8" s="1" t="s">
        <v>328</v>
      </c>
      <c r="L8" s="1">
        <v>1000</v>
      </c>
      <c r="M8" s="1">
        <v>0</v>
      </c>
      <c r="N8" s="1">
        <v>0</v>
      </c>
      <c r="O8" s="1">
        <v>0</v>
      </c>
      <c r="P8" s="1">
        <v>0</v>
      </c>
      <c r="Q8" s="1">
        <v>0</v>
      </c>
      <c r="R8" s="1">
        <v>0</v>
      </c>
      <c r="S8" s="1">
        <v>0</v>
      </c>
      <c r="T8" s="1">
        <v>0</v>
      </c>
      <c r="U8" s="1">
        <v>0</v>
      </c>
      <c r="V8" s="1">
        <v>0</v>
      </c>
      <c r="W8" s="1">
        <v>0</v>
      </c>
      <c r="X8" s="1">
        <v>0</v>
      </c>
      <c r="Y8">
        <v>0</v>
      </c>
      <c r="Z8">
        <v>0</v>
      </c>
    </row>
    <row r="9" spans="1:26" hidden="1" x14ac:dyDescent="0.3">
      <c r="A9" s="1">
        <v>10008</v>
      </c>
      <c r="B9" s="1">
        <v>1</v>
      </c>
      <c r="C9" s="1" t="s">
        <v>8205</v>
      </c>
      <c r="D9" s="1" t="s">
        <v>328</v>
      </c>
      <c r="E9" s="1">
        <v>66700</v>
      </c>
      <c r="F9" s="1" t="s">
        <v>8201</v>
      </c>
      <c r="G9" s="1">
        <v>1</v>
      </c>
      <c r="H9" s="1">
        <v>0</v>
      </c>
      <c r="I9" s="1">
        <v>0</v>
      </c>
      <c r="J9" s="1" t="s">
        <v>328</v>
      </c>
      <c r="K9" s="1" t="s">
        <v>328</v>
      </c>
      <c r="L9" s="1">
        <v>1000</v>
      </c>
      <c r="M9" s="1">
        <v>0</v>
      </c>
      <c r="N9" s="1">
        <v>0</v>
      </c>
      <c r="O9" s="1">
        <v>0</v>
      </c>
      <c r="P9" s="1">
        <v>0</v>
      </c>
      <c r="Q9" s="1">
        <v>0</v>
      </c>
      <c r="R9" s="1">
        <v>0</v>
      </c>
      <c r="S9" s="1">
        <v>0</v>
      </c>
      <c r="T9" s="1">
        <v>0</v>
      </c>
      <c r="U9" s="1">
        <v>8</v>
      </c>
      <c r="V9" s="1">
        <v>0</v>
      </c>
      <c r="W9" s="1">
        <v>0</v>
      </c>
      <c r="X9" s="1">
        <v>0</v>
      </c>
      <c r="Y9">
        <v>0</v>
      </c>
      <c r="Z9">
        <v>0</v>
      </c>
    </row>
    <row r="10" spans="1:26" hidden="1" x14ac:dyDescent="0.3">
      <c r="A10" s="1">
        <v>10009</v>
      </c>
      <c r="B10" s="1">
        <v>1</v>
      </c>
      <c r="C10" s="1" t="s">
        <v>8206</v>
      </c>
      <c r="D10" s="1" t="s">
        <v>328</v>
      </c>
      <c r="E10" s="1">
        <v>81500</v>
      </c>
      <c r="F10" s="1" t="s">
        <v>8201</v>
      </c>
      <c r="G10" s="1">
        <v>2</v>
      </c>
      <c r="H10" s="1">
        <v>0</v>
      </c>
      <c r="I10" s="1">
        <v>0</v>
      </c>
      <c r="J10" s="1" t="s">
        <v>8207</v>
      </c>
      <c r="K10" s="1" t="s">
        <v>328</v>
      </c>
      <c r="L10" s="1">
        <v>1000</v>
      </c>
      <c r="M10" s="1">
        <v>0</v>
      </c>
      <c r="N10" s="1">
        <v>0</v>
      </c>
      <c r="O10" s="1">
        <v>0</v>
      </c>
      <c r="P10" s="1">
        <v>0</v>
      </c>
      <c r="Q10" s="1">
        <v>0</v>
      </c>
      <c r="R10" s="1">
        <v>0</v>
      </c>
      <c r="S10" s="1">
        <v>0</v>
      </c>
      <c r="T10" s="1">
        <v>0</v>
      </c>
      <c r="U10" s="1">
        <v>0</v>
      </c>
      <c r="V10" s="1">
        <v>0</v>
      </c>
      <c r="W10" s="1">
        <v>0</v>
      </c>
      <c r="X10" s="1">
        <v>0</v>
      </c>
      <c r="Y10">
        <v>0</v>
      </c>
      <c r="Z10">
        <v>0</v>
      </c>
    </row>
    <row r="11" spans="1:26" hidden="1" x14ac:dyDescent="0.3">
      <c r="A11" s="1">
        <v>10010</v>
      </c>
      <c r="B11" s="1">
        <v>1</v>
      </c>
      <c r="C11" s="1" t="s">
        <v>8204</v>
      </c>
      <c r="D11" s="1" t="s">
        <v>328</v>
      </c>
      <c r="E11" s="1">
        <v>98200</v>
      </c>
      <c r="F11" s="1" t="s">
        <v>8201</v>
      </c>
      <c r="G11" s="1">
        <v>1</v>
      </c>
      <c r="H11" s="1">
        <v>0</v>
      </c>
      <c r="I11" s="1">
        <v>0</v>
      </c>
      <c r="J11" s="1" t="s">
        <v>328</v>
      </c>
      <c r="K11" s="1" t="s">
        <v>328</v>
      </c>
      <c r="L11" s="1">
        <v>1000</v>
      </c>
      <c r="M11" s="1">
        <v>0</v>
      </c>
      <c r="N11" s="1">
        <v>0</v>
      </c>
      <c r="O11" s="1">
        <v>0</v>
      </c>
      <c r="P11" s="1">
        <v>0</v>
      </c>
      <c r="Q11" s="1">
        <v>0</v>
      </c>
      <c r="R11" s="1">
        <v>23</v>
      </c>
      <c r="S11" s="1">
        <v>0</v>
      </c>
      <c r="T11" s="1">
        <v>0</v>
      </c>
      <c r="U11" s="1">
        <v>0</v>
      </c>
      <c r="V11" s="1">
        <v>0</v>
      </c>
      <c r="W11" s="1">
        <v>0</v>
      </c>
      <c r="X11" s="1">
        <v>0</v>
      </c>
      <c r="Y11">
        <v>0</v>
      </c>
      <c r="Z11">
        <v>0</v>
      </c>
    </row>
    <row r="12" spans="1:26" hidden="1" x14ac:dyDescent="0.3">
      <c r="A12" s="1">
        <v>10011</v>
      </c>
      <c r="B12" s="1">
        <v>1</v>
      </c>
      <c r="C12" s="1" t="s">
        <v>8208</v>
      </c>
      <c r="D12" s="1" t="s">
        <v>328</v>
      </c>
      <c r="E12" s="1">
        <v>116700</v>
      </c>
      <c r="F12" s="1" t="s">
        <v>8209</v>
      </c>
      <c r="G12" s="1">
        <v>1</v>
      </c>
      <c r="H12" s="1">
        <v>0</v>
      </c>
      <c r="I12" s="1">
        <v>0</v>
      </c>
      <c r="J12" s="1" t="s">
        <v>328</v>
      </c>
      <c r="K12" s="1" t="s">
        <v>328</v>
      </c>
      <c r="L12" s="1">
        <v>1000</v>
      </c>
      <c r="M12" s="1">
        <v>0</v>
      </c>
      <c r="N12" s="1">
        <v>0</v>
      </c>
      <c r="O12" s="1">
        <v>0</v>
      </c>
      <c r="P12" s="1">
        <v>0</v>
      </c>
      <c r="Q12" s="1">
        <v>0</v>
      </c>
      <c r="R12" s="1">
        <v>0</v>
      </c>
      <c r="S12" s="1">
        <v>11</v>
      </c>
      <c r="T12" s="1">
        <v>0</v>
      </c>
      <c r="U12" s="1">
        <v>0</v>
      </c>
      <c r="V12" s="1">
        <v>0</v>
      </c>
      <c r="W12" s="1">
        <v>0</v>
      </c>
      <c r="X12" s="1">
        <v>0</v>
      </c>
      <c r="Y12">
        <v>0</v>
      </c>
      <c r="Z12">
        <v>0</v>
      </c>
    </row>
    <row r="13" spans="1:26" x14ac:dyDescent="0.3">
      <c r="A13" s="1">
        <v>10012</v>
      </c>
      <c r="B13" s="1">
        <v>1</v>
      </c>
      <c r="C13" s="1" t="s">
        <v>8210</v>
      </c>
      <c r="D13" s="1" t="s">
        <v>328</v>
      </c>
      <c r="E13" s="1">
        <v>137100</v>
      </c>
      <c r="F13" s="1" t="s">
        <v>8209</v>
      </c>
      <c r="G13" s="1">
        <v>3</v>
      </c>
      <c r="H13" s="1">
        <v>5</v>
      </c>
      <c r="I13" s="1">
        <v>0</v>
      </c>
      <c r="J13" s="1" t="s">
        <v>328</v>
      </c>
      <c r="K13" s="1" t="s">
        <v>328</v>
      </c>
      <c r="L13" s="1">
        <v>1000</v>
      </c>
      <c r="M13" s="1">
        <v>0</v>
      </c>
      <c r="N13" s="1">
        <v>0</v>
      </c>
      <c r="O13" s="1">
        <v>0</v>
      </c>
      <c r="P13" s="1">
        <v>0</v>
      </c>
      <c r="Q13" s="1">
        <v>0</v>
      </c>
      <c r="R13" s="1">
        <v>0</v>
      </c>
      <c r="S13" s="1">
        <v>0</v>
      </c>
      <c r="T13" s="1">
        <v>0</v>
      </c>
      <c r="U13" s="1">
        <v>0</v>
      </c>
      <c r="V13" s="1">
        <v>0</v>
      </c>
      <c r="W13" s="1">
        <v>0</v>
      </c>
      <c r="X13" s="1">
        <v>0</v>
      </c>
      <c r="Y13">
        <v>0</v>
      </c>
      <c r="Z13">
        <v>0</v>
      </c>
    </row>
    <row r="14" spans="1:26" hidden="1" x14ac:dyDescent="0.3">
      <c r="A14" s="1">
        <v>10013</v>
      </c>
      <c r="B14" s="1">
        <v>1</v>
      </c>
      <c r="C14" s="1" t="s">
        <v>8211</v>
      </c>
      <c r="D14" s="1" t="s">
        <v>328</v>
      </c>
      <c r="E14" s="1">
        <v>159400</v>
      </c>
      <c r="F14" s="1" t="s">
        <v>8209</v>
      </c>
      <c r="G14" s="1">
        <v>2</v>
      </c>
      <c r="H14" s="1">
        <v>0</v>
      </c>
      <c r="I14" s="1">
        <v>0</v>
      </c>
      <c r="J14" s="1" t="s">
        <v>8212</v>
      </c>
      <c r="K14" s="1" t="s">
        <v>8213</v>
      </c>
      <c r="L14" s="1">
        <v>1000</v>
      </c>
      <c r="M14" s="1">
        <v>0</v>
      </c>
      <c r="N14" s="1">
        <v>0</v>
      </c>
      <c r="O14" s="1">
        <v>0</v>
      </c>
      <c r="P14" s="1">
        <v>0</v>
      </c>
      <c r="Q14" s="1">
        <v>0</v>
      </c>
      <c r="R14" s="1">
        <v>0</v>
      </c>
      <c r="S14" s="1">
        <v>0</v>
      </c>
      <c r="T14" s="1">
        <v>0</v>
      </c>
      <c r="U14" s="1">
        <v>0</v>
      </c>
      <c r="V14" s="1">
        <v>0</v>
      </c>
      <c r="W14" s="1">
        <v>0</v>
      </c>
      <c r="X14" s="1">
        <v>0</v>
      </c>
      <c r="Y14">
        <v>0</v>
      </c>
      <c r="Z14">
        <v>0</v>
      </c>
    </row>
    <row r="15" spans="1:26" hidden="1" x14ac:dyDescent="0.3">
      <c r="A15" s="1">
        <v>10014</v>
      </c>
      <c r="B15" s="1">
        <v>1</v>
      </c>
      <c r="C15" s="1" t="s">
        <v>8214</v>
      </c>
      <c r="D15" s="1" t="s">
        <v>328</v>
      </c>
      <c r="E15" s="1">
        <v>183400</v>
      </c>
      <c r="F15" s="1" t="s">
        <v>8209</v>
      </c>
      <c r="G15" s="1">
        <v>1</v>
      </c>
      <c r="H15" s="1">
        <v>0</v>
      </c>
      <c r="I15" s="1">
        <v>0</v>
      </c>
      <c r="J15" s="1" t="s">
        <v>328</v>
      </c>
      <c r="K15" s="1" t="s">
        <v>328</v>
      </c>
      <c r="L15" s="1">
        <v>1000</v>
      </c>
      <c r="M15" s="1">
        <v>0</v>
      </c>
      <c r="N15" s="1">
        <v>0</v>
      </c>
      <c r="O15" s="1">
        <v>0</v>
      </c>
      <c r="P15" s="1">
        <v>0</v>
      </c>
      <c r="Q15" s="1">
        <v>0</v>
      </c>
      <c r="R15" s="1">
        <v>0</v>
      </c>
      <c r="S15" s="1">
        <v>0</v>
      </c>
      <c r="T15" s="1">
        <v>0</v>
      </c>
      <c r="U15" s="1">
        <v>0</v>
      </c>
      <c r="V15" s="1">
        <v>0</v>
      </c>
      <c r="W15" s="1">
        <v>0</v>
      </c>
      <c r="X15" s="1">
        <v>20</v>
      </c>
      <c r="Y15">
        <v>10</v>
      </c>
      <c r="Z15">
        <v>0</v>
      </c>
    </row>
    <row r="16" spans="1:26" hidden="1" x14ac:dyDescent="0.3">
      <c r="A16" s="1">
        <v>10015</v>
      </c>
      <c r="B16" s="1">
        <v>1</v>
      </c>
      <c r="C16" s="1" t="s">
        <v>8215</v>
      </c>
      <c r="D16" s="1" t="s">
        <v>328</v>
      </c>
      <c r="E16" s="1">
        <v>209500</v>
      </c>
      <c r="F16" s="1" t="s">
        <v>8209</v>
      </c>
      <c r="G16" s="1">
        <v>1</v>
      </c>
      <c r="H16" s="1">
        <v>0</v>
      </c>
      <c r="I16" s="1">
        <v>0</v>
      </c>
      <c r="J16" s="1" t="s">
        <v>328</v>
      </c>
      <c r="K16" s="1" t="s">
        <v>328</v>
      </c>
      <c r="L16" s="1">
        <v>1000</v>
      </c>
      <c r="M16" s="1">
        <v>250</v>
      </c>
      <c r="N16" s="1">
        <v>0</v>
      </c>
      <c r="O16" s="1">
        <v>0</v>
      </c>
      <c r="P16" s="1">
        <v>0</v>
      </c>
      <c r="Q16" s="1">
        <v>0</v>
      </c>
      <c r="R16" s="1">
        <v>0</v>
      </c>
      <c r="S16" s="1">
        <v>0</v>
      </c>
      <c r="T16" s="1">
        <v>0</v>
      </c>
      <c r="U16" s="1">
        <v>0</v>
      </c>
      <c r="V16" s="1">
        <v>0</v>
      </c>
      <c r="W16" s="1">
        <v>0</v>
      </c>
      <c r="X16" s="1">
        <v>0</v>
      </c>
      <c r="Y16">
        <v>0</v>
      </c>
      <c r="Z16">
        <v>35</v>
      </c>
    </row>
    <row r="17" spans="1:26" hidden="1" x14ac:dyDescent="0.3">
      <c r="A17" s="1">
        <v>11001</v>
      </c>
      <c r="B17" s="1">
        <v>2</v>
      </c>
      <c r="C17" s="1" t="s">
        <v>1806</v>
      </c>
      <c r="D17" s="1" t="s">
        <v>328</v>
      </c>
      <c r="E17" s="1">
        <v>14800</v>
      </c>
      <c r="F17" s="1" t="s">
        <v>8195</v>
      </c>
      <c r="G17" s="1">
        <v>1</v>
      </c>
      <c r="H17" s="1">
        <v>0</v>
      </c>
      <c r="I17" s="1">
        <v>0</v>
      </c>
      <c r="J17" s="1" t="s">
        <v>328</v>
      </c>
      <c r="K17" s="1" t="s">
        <v>328</v>
      </c>
      <c r="L17" s="1">
        <v>1000</v>
      </c>
      <c r="M17" s="1">
        <v>250</v>
      </c>
      <c r="N17" s="1">
        <v>0</v>
      </c>
      <c r="O17" s="1">
        <v>3</v>
      </c>
      <c r="P17" s="1">
        <v>0</v>
      </c>
      <c r="Q17" s="1">
        <v>0</v>
      </c>
      <c r="R17" s="1">
        <v>0</v>
      </c>
      <c r="S17" s="1">
        <v>0</v>
      </c>
      <c r="T17" s="1">
        <v>0</v>
      </c>
      <c r="U17" s="1">
        <v>0</v>
      </c>
      <c r="V17" s="1">
        <v>0</v>
      </c>
      <c r="W17" s="1">
        <v>0</v>
      </c>
      <c r="X17" s="1">
        <v>0</v>
      </c>
      <c r="Y17">
        <v>0</v>
      </c>
      <c r="Z17">
        <v>0</v>
      </c>
    </row>
    <row r="18" spans="1:26" hidden="1" x14ac:dyDescent="0.3">
      <c r="A18" s="1">
        <v>11002</v>
      </c>
      <c r="B18" s="1">
        <v>2</v>
      </c>
      <c r="C18" s="1" t="s">
        <v>8216</v>
      </c>
      <c r="D18" s="1" t="s">
        <v>328</v>
      </c>
      <c r="E18" s="1">
        <v>16700</v>
      </c>
      <c r="F18" s="1" t="s">
        <v>8195</v>
      </c>
      <c r="G18" s="1">
        <v>1</v>
      </c>
      <c r="H18" s="1">
        <v>0</v>
      </c>
      <c r="I18" s="1">
        <v>0</v>
      </c>
      <c r="J18" s="1" t="s">
        <v>328</v>
      </c>
      <c r="K18" s="1" t="s">
        <v>328</v>
      </c>
      <c r="L18" s="1">
        <v>1000</v>
      </c>
      <c r="M18" s="1">
        <v>0</v>
      </c>
      <c r="N18" s="1">
        <v>0</v>
      </c>
      <c r="O18" s="1">
        <v>0</v>
      </c>
      <c r="P18" s="1">
        <v>45</v>
      </c>
      <c r="Q18" s="1">
        <v>0</v>
      </c>
      <c r="R18" s="1">
        <v>0</v>
      </c>
      <c r="S18" s="1">
        <v>0</v>
      </c>
      <c r="T18" s="1">
        <v>0</v>
      </c>
      <c r="U18" s="1">
        <v>0</v>
      </c>
      <c r="V18" s="1">
        <v>0</v>
      </c>
      <c r="W18" s="1">
        <v>0</v>
      </c>
      <c r="X18" s="1">
        <v>0</v>
      </c>
      <c r="Y18">
        <v>0</v>
      </c>
      <c r="Z18">
        <v>0</v>
      </c>
    </row>
    <row r="19" spans="1:26" hidden="1" x14ac:dyDescent="0.3">
      <c r="A19" s="1">
        <v>11003</v>
      </c>
      <c r="B19" s="1">
        <v>2</v>
      </c>
      <c r="C19" s="1" t="s">
        <v>8217</v>
      </c>
      <c r="D19" s="1" t="s">
        <v>328</v>
      </c>
      <c r="E19" s="1">
        <v>20400</v>
      </c>
      <c r="F19" s="1" t="s">
        <v>8195</v>
      </c>
      <c r="G19" s="1">
        <v>2</v>
      </c>
      <c r="H19" s="1">
        <v>0</v>
      </c>
      <c r="I19" s="1">
        <v>0</v>
      </c>
      <c r="J19" s="1" t="s">
        <v>8218</v>
      </c>
      <c r="K19" s="1" t="s">
        <v>8219</v>
      </c>
      <c r="L19" s="1">
        <v>1000</v>
      </c>
      <c r="M19" s="1">
        <v>0</v>
      </c>
      <c r="N19" s="1">
        <v>0</v>
      </c>
      <c r="O19" s="1">
        <v>0</v>
      </c>
      <c r="P19" s="1">
        <v>0</v>
      </c>
      <c r="Q19" s="1">
        <v>0</v>
      </c>
      <c r="R19" s="1">
        <v>0</v>
      </c>
      <c r="S19" s="1">
        <v>0</v>
      </c>
      <c r="T19" s="1">
        <v>0</v>
      </c>
      <c r="U19" s="1">
        <v>0</v>
      </c>
      <c r="V19" s="1">
        <v>0</v>
      </c>
      <c r="W19" s="1">
        <v>0</v>
      </c>
      <c r="X19" s="1">
        <v>0</v>
      </c>
      <c r="Y19">
        <v>0</v>
      </c>
      <c r="Z19">
        <v>0</v>
      </c>
    </row>
    <row r="20" spans="1:26" hidden="1" x14ac:dyDescent="0.3">
      <c r="A20" s="1">
        <v>11004</v>
      </c>
      <c r="B20" s="1">
        <v>2</v>
      </c>
      <c r="C20" s="1" t="s">
        <v>8220</v>
      </c>
      <c r="D20" s="1" t="s">
        <v>328</v>
      </c>
      <c r="E20" s="1">
        <v>25900</v>
      </c>
      <c r="F20" s="1" t="s">
        <v>8195</v>
      </c>
      <c r="G20" s="1">
        <v>1</v>
      </c>
      <c r="H20" s="1">
        <v>0</v>
      </c>
      <c r="I20" s="1">
        <v>0</v>
      </c>
      <c r="J20" s="1" t="s">
        <v>328</v>
      </c>
      <c r="K20" s="1" t="s">
        <v>328</v>
      </c>
      <c r="L20" s="1">
        <v>1000</v>
      </c>
      <c r="M20" s="1">
        <v>0</v>
      </c>
      <c r="N20" s="1">
        <v>0</v>
      </c>
      <c r="O20" s="1">
        <v>0</v>
      </c>
      <c r="P20" s="1">
        <v>0</v>
      </c>
      <c r="Q20" s="1">
        <v>60</v>
      </c>
      <c r="R20" s="1">
        <v>0</v>
      </c>
      <c r="S20" s="1">
        <v>0</v>
      </c>
      <c r="T20" s="1">
        <v>0</v>
      </c>
      <c r="U20" s="1">
        <v>0</v>
      </c>
      <c r="V20" s="1">
        <v>0</v>
      </c>
      <c r="W20" s="1">
        <v>0</v>
      </c>
      <c r="X20" s="1">
        <v>0</v>
      </c>
      <c r="Y20">
        <v>0</v>
      </c>
      <c r="Z20">
        <v>0</v>
      </c>
    </row>
    <row r="21" spans="1:26" hidden="1" x14ac:dyDescent="0.3">
      <c r="A21" s="1">
        <v>11005</v>
      </c>
      <c r="B21" s="1">
        <v>2</v>
      </c>
      <c r="C21" s="1" t="s">
        <v>8221</v>
      </c>
      <c r="D21" s="1" t="s">
        <v>328</v>
      </c>
      <c r="E21" s="1">
        <v>33400</v>
      </c>
      <c r="F21" s="1" t="s">
        <v>8195</v>
      </c>
      <c r="G21" s="1">
        <v>1</v>
      </c>
      <c r="H21" s="1">
        <v>0</v>
      </c>
      <c r="I21" s="1">
        <v>0</v>
      </c>
      <c r="J21" s="1" t="s">
        <v>328</v>
      </c>
      <c r="K21" s="1" t="s">
        <v>328</v>
      </c>
      <c r="L21" s="1">
        <v>1000</v>
      </c>
      <c r="M21" s="1">
        <v>0</v>
      </c>
      <c r="N21" s="1">
        <v>0</v>
      </c>
      <c r="O21" s="1">
        <v>0</v>
      </c>
      <c r="P21" s="1">
        <v>0</v>
      </c>
      <c r="Q21" s="1">
        <v>0</v>
      </c>
      <c r="R21" s="1">
        <v>0</v>
      </c>
      <c r="S21" s="1">
        <v>0</v>
      </c>
      <c r="T21" s="1">
        <v>27</v>
      </c>
      <c r="U21" s="1">
        <v>0</v>
      </c>
      <c r="V21" s="1">
        <v>0</v>
      </c>
      <c r="W21" s="1">
        <v>0</v>
      </c>
      <c r="X21" s="1">
        <v>0</v>
      </c>
      <c r="Y21">
        <v>0</v>
      </c>
      <c r="Z21">
        <v>0</v>
      </c>
    </row>
    <row r="22" spans="1:26" hidden="1" x14ac:dyDescent="0.3">
      <c r="A22" s="1">
        <v>11006</v>
      </c>
      <c r="B22" s="1">
        <v>2</v>
      </c>
      <c r="C22" s="1" t="s">
        <v>8222</v>
      </c>
      <c r="D22" s="1" t="s">
        <v>328</v>
      </c>
      <c r="E22" s="1">
        <v>42600</v>
      </c>
      <c r="F22" s="1" t="s">
        <v>8201</v>
      </c>
      <c r="G22" s="1">
        <v>2</v>
      </c>
      <c r="H22" s="1">
        <v>0</v>
      </c>
      <c r="I22" s="1">
        <v>0</v>
      </c>
      <c r="J22" s="1" t="s">
        <v>8223</v>
      </c>
      <c r="K22" s="1" t="s">
        <v>328</v>
      </c>
      <c r="L22" s="1">
        <v>1000</v>
      </c>
      <c r="M22" s="1">
        <v>0</v>
      </c>
      <c r="N22" s="1">
        <v>0</v>
      </c>
      <c r="O22" s="1">
        <v>0</v>
      </c>
      <c r="P22" s="1">
        <v>0</v>
      </c>
      <c r="Q22" s="1">
        <v>0</v>
      </c>
      <c r="R22" s="1">
        <v>0</v>
      </c>
      <c r="S22" s="1">
        <v>0</v>
      </c>
      <c r="T22" s="1">
        <v>0</v>
      </c>
      <c r="U22" s="1">
        <v>0</v>
      </c>
      <c r="V22" s="1">
        <v>0</v>
      </c>
      <c r="W22" s="1">
        <v>0</v>
      </c>
      <c r="X22" s="1">
        <v>0</v>
      </c>
      <c r="Y22">
        <v>0</v>
      </c>
      <c r="Z22">
        <v>0</v>
      </c>
    </row>
    <row r="23" spans="1:26" x14ac:dyDescent="0.3">
      <c r="A23" s="1">
        <v>11007</v>
      </c>
      <c r="B23" s="1">
        <v>2</v>
      </c>
      <c r="C23" s="1" t="s">
        <v>8224</v>
      </c>
      <c r="D23" s="1" t="s">
        <v>328</v>
      </c>
      <c r="E23" s="1">
        <v>53700</v>
      </c>
      <c r="F23" s="1" t="s">
        <v>8201</v>
      </c>
      <c r="G23" s="1">
        <v>3</v>
      </c>
      <c r="H23" s="1">
        <v>4</v>
      </c>
      <c r="I23" s="1">
        <v>0</v>
      </c>
      <c r="J23" s="1" t="s">
        <v>328</v>
      </c>
      <c r="K23" s="1" t="s">
        <v>328</v>
      </c>
      <c r="L23" s="1">
        <v>1000</v>
      </c>
      <c r="M23" s="1">
        <v>0</v>
      </c>
      <c r="N23" s="1">
        <v>0</v>
      </c>
      <c r="O23" s="1">
        <v>0</v>
      </c>
      <c r="P23" s="1">
        <v>0</v>
      </c>
      <c r="Q23" s="1">
        <v>0</v>
      </c>
      <c r="R23" s="1">
        <v>0</v>
      </c>
      <c r="S23" s="1">
        <v>0</v>
      </c>
      <c r="T23" s="1">
        <v>0</v>
      </c>
      <c r="U23" s="1">
        <v>0</v>
      </c>
      <c r="V23" s="1">
        <v>0</v>
      </c>
      <c r="W23" s="1">
        <v>0</v>
      </c>
      <c r="X23" s="1">
        <v>0</v>
      </c>
      <c r="Y23">
        <v>0</v>
      </c>
      <c r="Z23">
        <v>0</v>
      </c>
    </row>
    <row r="24" spans="1:26" hidden="1" x14ac:dyDescent="0.3">
      <c r="A24" s="1">
        <v>11008</v>
      </c>
      <c r="B24" s="1">
        <v>2</v>
      </c>
      <c r="C24" s="1" t="s">
        <v>8224</v>
      </c>
      <c r="D24" s="1" t="s">
        <v>328</v>
      </c>
      <c r="E24" s="1">
        <v>66700</v>
      </c>
      <c r="F24" s="1" t="s">
        <v>8201</v>
      </c>
      <c r="G24" s="1">
        <v>1</v>
      </c>
      <c r="H24" s="1">
        <v>0</v>
      </c>
      <c r="I24" s="1">
        <v>0</v>
      </c>
      <c r="J24" s="1" t="s">
        <v>328</v>
      </c>
      <c r="K24" s="1" t="s">
        <v>328</v>
      </c>
      <c r="L24" s="1">
        <v>1000</v>
      </c>
      <c r="M24" s="1">
        <v>0</v>
      </c>
      <c r="N24" s="1">
        <v>0</v>
      </c>
      <c r="O24" s="1">
        <v>0</v>
      </c>
      <c r="P24" s="1">
        <v>0</v>
      </c>
      <c r="Q24" s="1">
        <v>0</v>
      </c>
      <c r="R24" s="1">
        <v>0</v>
      </c>
      <c r="S24" s="1">
        <v>0</v>
      </c>
      <c r="T24" s="1">
        <v>0</v>
      </c>
      <c r="U24" s="1">
        <v>10</v>
      </c>
      <c r="V24" s="1">
        <v>0</v>
      </c>
      <c r="W24" s="1">
        <v>0</v>
      </c>
      <c r="X24" s="1">
        <v>0</v>
      </c>
      <c r="Y24">
        <v>0</v>
      </c>
      <c r="Z24">
        <v>0</v>
      </c>
    </row>
    <row r="25" spans="1:26" hidden="1" x14ac:dyDescent="0.3">
      <c r="A25" s="1">
        <v>11009</v>
      </c>
      <c r="B25" s="1">
        <v>2</v>
      </c>
      <c r="C25" s="1" t="s">
        <v>8225</v>
      </c>
      <c r="D25" s="1" t="s">
        <v>328</v>
      </c>
      <c r="E25" s="1">
        <v>81500</v>
      </c>
      <c r="F25" s="1" t="s">
        <v>8201</v>
      </c>
      <c r="G25" s="1">
        <v>2</v>
      </c>
      <c r="H25" s="1">
        <v>0</v>
      </c>
      <c r="I25" s="1">
        <v>0</v>
      </c>
      <c r="J25" s="1" t="s">
        <v>8226</v>
      </c>
      <c r="K25" s="1" t="s">
        <v>8227</v>
      </c>
      <c r="L25" s="1">
        <v>1000</v>
      </c>
      <c r="M25" s="1">
        <v>0</v>
      </c>
      <c r="N25" s="1">
        <v>0</v>
      </c>
      <c r="O25" s="1">
        <v>0</v>
      </c>
      <c r="P25" s="1">
        <v>0</v>
      </c>
      <c r="Q25" s="1">
        <v>0</v>
      </c>
      <c r="R25" s="1">
        <v>0</v>
      </c>
      <c r="S25" s="1">
        <v>0</v>
      </c>
      <c r="T25" s="1">
        <v>0</v>
      </c>
      <c r="U25" s="1">
        <v>0</v>
      </c>
      <c r="V25" s="1">
        <v>0</v>
      </c>
      <c r="W25" s="1">
        <v>0</v>
      </c>
      <c r="X25" s="1">
        <v>0</v>
      </c>
      <c r="Y25">
        <v>0</v>
      </c>
      <c r="Z25">
        <v>0</v>
      </c>
    </row>
    <row r="26" spans="1:26" hidden="1" x14ac:dyDescent="0.3">
      <c r="A26" s="1">
        <v>11010</v>
      </c>
      <c r="B26" s="1">
        <v>2</v>
      </c>
      <c r="C26" s="1" t="s">
        <v>8228</v>
      </c>
      <c r="D26" s="1" t="s">
        <v>328</v>
      </c>
      <c r="E26" s="1">
        <v>98200</v>
      </c>
      <c r="F26" s="1" t="s">
        <v>8201</v>
      </c>
      <c r="G26" s="1">
        <v>1</v>
      </c>
      <c r="H26" s="1">
        <v>0</v>
      </c>
      <c r="I26" s="1">
        <v>0</v>
      </c>
      <c r="J26" s="1" t="s">
        <v>328</v>
      </c>
      <c r="K26" s="1" t="s">
        <v>328</v>
      </c>
      <c r="L26" s="1">
        <v>1000</v>
      </c>
      <c r="M26" s="1">
        <v>0</v>
      </c>
      <c r="N26" s="1">
        <v>0</v>
      </c>
      <c r="O26" s="1">
        <v>0</v>
      </c>
      <c r="P26" s="1">
        <v>0</v>
      </c>
      <c r="Q26" s="1">
        <v>0</v>
      </c>
      <c r="R26" s="1">
        <v>18</v>
      </c>
      <c r="S26" s="1">
        <v>0</v>
      </c>
      <c r="T26" s="1">
        <v>0</v>
      </c>
      <c r="U26" s="1">
        <v>0</v>
      </c>
      <c r="V26" s="1">
        <v>0</v>
      </c>
      <c r="W26" s="1">
        <v>0</v>
      </c>
      <c r="X26" s="1">
        <v>0</v>
      </c>
      <c r="Y26">
        <v>0</v>
      </c>
      <c r="Z26">
        <v>0</v>
      </c>
    </row>
    <row r="27" spans="1:26" hidden="1" x14ac:dyDescent="0.3">
      <c r="A27" s="1">
        <v>11011</v>
      </c>
      <c r="B27" s="1">
        <v>2</v>
      </c>
      <c r="C27" s="1" t="s">
        <v>8229</v>
      </c>
      <c r="D27" s="1" t="s">
        <v>328</v>
      </c>
      <c r="E27" s="1">
        <v>116700</v>
      </c>
      <c r="F27" s="1" t="s">
        <v>8209</v>
      </c>
      <c r="G27" s="1">
        <v>1</v>
      </c>
      <c r="H27" s="1">
        <v>0</v>
      </c>
      <c r="I27" s="1">
        <v>0</v>
      </c>
      <c r="J27" s="1" t="s">
        <v>328</v>
      </c>
      <c r="K27" s="1" t="s">
        <v>328</v>
      </c>
      <c r="L27" s="1">
        <v>1000</v>
      </c>
      <c r="M27" s="1">
        <v>0</v>
      </c>
      <c r="N27" s="1">
        <v>0</v>
      </c>
      <c r="O27" s="1">
        <v>0</v>
      </c>
      <c r="P27" s="1">
        <v>0</v>
      </c>
      <c r="Q27" s="1">
        <v>0</v>
      </c>
      <c r="R27" s="1">
        <v>0</v>
      </c>
      <c r="S27" s="1">
        <v>14</v>
      </c>
      <c r="T27" s="1">
        <v>0</v>
      </c>
      <c r="U27" s="1">
        <v>0</v>
      </c>
      <c r="V27" s="1">
        <v>0</v>
      </c>
      <c r="W27" s="1">
        <v>0</v>
      </c>
      <c r="X27" s="1">
        <v>0</v>
      </c>
      <c r="Y27">
        <v>0</v>
      </c>
      <c r="Z27">
        <v>0</v>
      </c>
    </row>
    <row r="28" spans="1:26" x14ac:dyDescent="0.3">
      <c r="A28" s="1">
        <v>11012</v>
      </c>
      <c r="B28" s="1">
        <v>2</v>
      </c>
      <c r="C28" s="1" t="s">
        <v>8230</v>
      </c>
      <c r="D28" s="1" t="s">
        <v>328</v>
      </c>
      <c r="E28" s="1">
        <v>137100</v>
      </c>
      <c r="F28" s="1" t="s">
        <v>8209</v>
      </c>
      <c r="G28" s="1">
        <v>3</v>
      </c>
      <c r="H28" s="1">
        <v>5</v>
      </c>
      <c r="I28" s="1">
        <v>0</v>
      </c>
      <c r="J28" s="1" t="s">
        <v>328</v>
      </c>
      <c r="K28" s="1" t="s">
        <v>328</v>
      </c>
      <c r="L28" s="1">
        <v>1000</v>
      </c>
      <c r="M28" s="1">
        <v>0</v>
      </c>
      <c r="N28" s="1">
        <v>0</v>
      </c>
      <c r="O28" s="1">
        <v>0</v>
      </c>
      <c r="P28" s="1">
        <v>0</v>
      </c>
      <c r="Q28" s="1">
        <v>0</v>
      </c>
      <c r="R28" s="1">
        <v>0</v>
      </c>
      <c r="S28" s="1">
        <v>0</v>
      </c>
      <c r="T28" s="1">
        <v>0</v>
      </c>
      <c r="U28" s="1">
        <v>0</v>
      </c>
      <c r="V28" s="1">
        <v>0</v>
      </c>
      <c r="W28" s="1">
        <v>0</v>
      </c>
      <c r="X28" s="1">
        <v>0</v>
      </c>
      <c r="Y28">
        <v>0</v>
      </c>
      <c r="Z28">
        <v>0</v>
      </c>
    </row>
    <row r="29" spans="1:26" hidden="1" x14ac:dyDescent="0.3">
      <c r="A29" s="1">
        <v>11013</v>
      </c>
      <c r="B29" s="1">
        <v>2</v>
      </c>
      <c r="C29" s="1" t="s">
        <v>8231</v>
      </c>
      <c r="D29" s="1" t="s">
        <v>328</v>
      </c>
      <c r="E29" s="1">
        <v>159400</v>
      </c>
      <c r="F29" s="1" t="s">
        <v>8209</v>
      </c>
      <c r="G29" s="1">
        <v>2</v>
      </c>
      <c r="H29" s="1">
        <v>0</v>
      </c>
      <c r="I29" s="1">
        <v>0</v>
      </c>
      <c r="J29" s="1" t="s">
        <v>8232</v>
      </c>
      <c r="K29" s="1" t="s">
        <v>328</v>
      </c>
      <c r="L29" s="1">
        <v>1000</v>
      </c>
      <c r="M29" s="1">
        <v>0</v>
      </c>
      <c r="N29" s="1">
        <v>0</v>
      </c>
      <c r="O29" s="1">
        <v>0</v>
      </c>
      <c r="P29" s="1">
        <v>0</v>
      </c>
      <c r="Q29" s="1">
        <v>0</v>
      </c>
      <c r="R29" s="1">
        <v>0</v>
      </c>
      <c r="S29" s="1">
        <v>0</v>
      </c>
      <c r="T29" s="1">
        <v>0</v>
      </c>
      <c r="U29" s="1">
        <v>0</v>
      </c>
      <c r="V29" s="1">
        <v>0</v>
      </c>
      <c r="W29" s="1">
        <v>0</v>
      </c>
      <c r="X29" s="1">
        <v>0</v>
      </c>
      <c r="Y29">
        <v>0</v>
      </c>
      <c r="Z29">
        <v>0</v>
      </c>
    </row>
    <row r="30" spans="1:26" hidden="1" x14ac:dyDescent="0.3">
      <c r="A30" s="1">
        <v>11014</v>
      </c>
      <c r="B30" s="1">
        <v>2</v>
      </c>
      <c r="C30" s="1" t="s">
        <v>8233</v>
      </c>
      <c r="D30" s="1" t="s">
        <v>328</v>
      </c>
      <c r="E30" s="1">
        <v>183400</v>
      </c>
      <c r="F30" s="1" t="s">
        <v>8209</v>
      </c>
      <c r="G30" s="1">
        <v>1</v>
      </c>
      <c r="H30" s="1">
        <v>0</v>
      </c>
      <c r="I30" s="1">
        <v>0</v>
      </c>
      <c r="J30" s="1" t="s">
        <v>328</v>
      </c>
      <c r="K30" s="1" t="s">
        <v>328</v>
      </c>
      <c r="L30" s="1">
        <v>1000</v>
      </c>
      <c r="M30" s="1">
        <v>0</v>
      </c>
      <c r="N30" s="1">
        <v>0</v>
      </c>
      <c r="O30" s="1">
        <v>0</v>
      </c>
      <c r="P30" s="1">
        <v>0</v>
      </c>
      <c r="Q30" s="1">
        <v>0</v>
      </c>
      <c r="R30" s="1">
        <v>0</v>
      </c>
      <c r="S30" s="1">
        <v>0</v>
      </c>
      <c r="T30" s="1">
        <v>0</v>
      </c>
      <c r="U30" s="1">
        <v>0</v>
      </c>
      <c r="V30" s="1">
        <v>0</v>
      </c>
      <c r="W30" s="1">
        <v>0</v>
      </c>
      <c r="X30" s="1">
        <v>15</v>
      </c>
      <c r="Y30">
        <v>15</v>
      </c>
      <c r="Z30">
        <v>0</v>
      </c>
    </row>
    <row r="31" spans="1:26" hidden="1" x14ac:dyDescent="0.3">
      <c r="A31" s="1">
        <v>11015</v>
      </c>
      <c r="B31" s="1">
        <v>2</v>
      </c>
      <c r="C31" s="1" t="s">
        <v>8234</v>
      </c>
      <c r="D31" s="1" t="s">
        <v>328</v>
      </c>
      <c r="E31" s="1">
        <v>209500</v>
      </c>
      <c r="F31" s="1" t="s">
        <v>8209</v>
      </c>
      <c r="G31" s="1">
        <v>1</v>
      </c>
      <c r="H31" s="1">
        <v>0</v>
      </c>
      <c r="I31" s="1">
        <v>0</v>
      </c>
      <c r="J31" s="1" t="s">
        <v>328</v>
      </c>
      <c r="K31" s="1" t="s">
        <v>328</v>
      </c>
      <c r="L31" s="1">
        <v>1000</v>
      </c>
      <c r="M31" s="1">
        <v>300</v>
      </c>
      <c r="N31" s="1">
        <v>0</v>
      </c>
      <c r="O31" s="1">
        <v>0</v>
      </c>
      <c r="P31" s="1">
        <v>0</v>
      </c>
      <c r="Q31" s="1">
        <v>0</v>
      </c>
      <c r="R31" s="1">
        <v>0</v>
      </c>
      <c r="S31" s="1">
        <v>0</v>
      </c>
      <c r="T31" s="1">
        <v>0</v>
      </c>
      <c r="U31" s="1">
        <v>0</v>
      </c>
      <c r="V31" s="1">
        <v>0</v>
      </c>
      <c r="W31" s="1">
        <v>0</v>
      </c>
      <c r="X31" s="1">
        <v>0</v>
      </c>
      <c r="Y31">
        <v>0</v>
      </c>
      <c r="Z31">
        <v>30</v>
      </c>
    </row>
  </sheetData>
  <autoFilter ref="A1:X31" xr:uid="{A4B2759A-C7F5-4253-903B-B2A079C0B175}">
    <filterColumn colId="7">
      <filters>
        <filter val="4"/>
        <filter val="5"/>
      </filters>
    </filterColumn>
  </autoFilter>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AD2FD-700D-4F19-B6F7-5EC76A13B7F1}">
  <sheetPr codeName="Sheet6">
    <tabColor theme="8" tint="0.79998168889431442"/>
  </sheetPr>
  <dimension ref="A1:DO181"/>
  <sheetViews>
    <sheetView topLeftCell="H1" workbookViewId="0">
      <pane ySplit="2" topLeftCell="A3" activePane="bottomLeft" state="frozen"/>
      <selection activeCell="AV2" sqref="AV2:AV280"/>
      <selection pane="bottomLeft" activeCell="AV2" sqref="AV2:AV280"/>
    </sheetView>
  </sheetViews>
  <sheetFormatPr defaultColWidth="9.109375" defaultRowHeight="14.4" x14ac:dyDescent="0.3"/>
  <cols>
    <col min="1" max="3" width="11.6640625" style="35" bestFit="1" customWidth="1"/>
    <col min="4" max="4" width="9.109375" style="35"/>
    <col min="5" max="7" width="11.6640625" style="35" bestFit="1" customWidth="1"/>
    <col min="8" max="8" width="9.109375" style="35"/>
    <col min="9" max="11" width="11.6640625" style="35" bestFit="1" customWidth="1"/>
    <col min="12" max="12" width="9.109375" style="35"/>
    <col min="13" max="15" width="11.6640625" style="35" bestFit="1" customWidth="1"/>
    <col min="16" max="24" width="9.109375" style="35"/>
    <col min="25" max="25" width="11.6640625" style="35" bestFit="1" customWidth="1"/>
    <col min="26" max="27" width="9.109375" style="35"/>
    <col min="28" max="28" width="14.33203125" style="35" bestFit="1" customWidth="1"/>
    <col min="29" max="16384" width="9.109375" style="35"/>
  </cols>
  <sheetData>
    <row r="1" spans="1:40" x14ac:dyDescent="0.3">
      <c r="A1" s="195" t="s">
        <v>764</v>
      </c>
      <c r="B1" s="195"/>
      <c r="C1" s="195"/>
      <c r="E1" s="195" t="s">
        <v>765</v>
      </c>
      <c r="F1" s="195"/>
      <c r="G1" s="195"/>
      <c r="I1" s="195" t="s">
        <v>863</v>
      </c>
      <c r="J1" s="195"/>
      <c r="K1" s="195"/>
      <c r="M1" s="195" t="s">
        <v>1036</v>
      </c>
      <c r="N1" s="195"/>
      <c r="O1" s="195"/>
      <c r="Q1" s="196" t="s">
        <v>766</v>
      </c>
      <c r="R1" s="196"/>
      <c r="S1" s="196"/>
      <c r="T1" s="196"/>
      <c r="U1" s="196"/>
      <c r="V1" s="196"/>
      <c r="X1" s="259" t="s">
        <v>8265</v>
      </c>
      <c r="Y1" s="259"/>
      <c r="Z1" s="259"/>
      <c r="AB1" s="132"/>
      <c r="AC1" s="259" t="s">
        <v>8474</v>
      </c>
      <c r="AD1" s="276"/>
      <c r="AE1" s="276"/>
      <c r="AF1" s="276"/>
      <c r="AG1" s="276"/>
      <c r="AH1" s="276"/>
      <c r="AI1" s="259" t="s">
        <v>8475</v>
      </c>
      <c r="AJ1" s="276"/>
      <c r="AK1" s="276"/>
      <c r="AL1" s="276"/>
      <c r="AM1" s="276"/>
      <c r="AN1" s="276"/>
    </row>
    <row r="2" spans="1:40" x14ac:dyDescent="0.3">
      <c r="A2" s="41" t="s">
        <v>18</v>
      </c>
      <c r="B2" s="44" t="s">
        <v>20</v>
      </c>
      <c r="C2" s="44" t="s">
        <v>21</v>
      </c>
      <c r="E2" s="41" t="s">
        <v>18</v>
      </c>
      <c r="F2" s="44" t="s">
        <v>20</v>
      </c>
      <c r="G2" s="44" t="s">
        <v>21</v>
      </c>
      <c r="I2" s="41" t="s">
        <v>18</v>
      </c>
      <c r="J2" s="44" t="s">
        <v>20</v>
      </c>
      <c r="K2" s="44" t="s">
        <v>21</v>
      </c>
      <c r="M2" s="41" t="s">
        <v>18</v>
      </c>
      <c r="N2" s="44" t="s">
        <v>20</v>
      </c>
      <c r="O2" s="44" t="s">
        <v>21</v>
      </c>
      <c r="Q2" s="41" t="s">
        <v>761</v>
      </c>
      <c r="R2" s="44">
        <v>2</v>
      </c>
      <c r="S2" s="44">
        <v>3</v>
      </c>
      <c r="T2" s="44">
        <v>4</v>
      </c>
      <c r="U2" s="44">
        <v>5</v>
      </c>
      <c r="V2" s="44" t="s">
        <v>701</v>
      </c>
      <c r="X2" s="264" t="s">
        <v>18</v>
      </c>
      <c r="Y2" s="264" t="s">
        <v>20</v>
      </c>
      <c r="Z2" s="117" t="s">
        <v>21</v>
      </c>
      <c r="AB2" s="264" t="s">
        <v>8476</v>
      </c>
      <c r="AC2" s="116">
        <v>2</v>
      </c>
      <c r="AD2" s="277">
        <v>3</v>
      </c>
      <c r="AE2" s="277">
        <v>4</v>
      </c>
      <c r="AF2" s="277">
        <v>5</v>
      </c>
      <c r="AG2" s="277">
        <v>6</v>
      </c>
      <c r="AH2" s="117">
        <v>8</v>
      </c>
      <c r="AI2" s="277">
        <v>2</v>
      </c>
      <c r="AJ2" s="277">
        <v>3</v>
      </c>
      <c r="AK2" s="277">
        <v>4</v>
      </c>
      <c r="AL2" s="277">
        <v>5</v>
      </c>
      <c r="AM2" s="277">
        <v>6</v>
      </c>
      <c r="AN2" s="117">
        <v>8</v>
      </c>
    </row>
    <row r="3" spans="1:40" x14ac:dyDescent="0.3">
      <c r="A3" s="42">
        <v>1</v>
      </c>
      <c r="B3" s="39">
        <v>0</v>
      </c>
      <c r="C3" s="90">
        <v>0</v>
      </c>
      <c r="E3" s="42">
        <v>1</v>
      </c>
      <c r="F3" s="39">
        <v>0</v>
      </c>
      <c r="G3" s="90">
        <v>0</v>
      </c>
      <c r="I3" s="42">
        <v>1</v>
      </c>
      <c r="J3" s="39">
        <v>0</v>
      </c>
      <c r="K3" s="90">
        <v>0</v>
      </c>
      <c r="M3" s="42">
        <v>1</v>
      </c>
      <c r="N3" s="39">
        <v>0</v>
      </c>
      <c r="O3" s="90">
        <v>0</v>
      </c>
      <c r="Q3" s="42">
        <v>0</v>
      </c>
      <c r="R3" s="39">
        <v>0</v>
      </c>
      <c r="S3" s="39">
        <v>0</v>
      </c>
      <c r="T3" s="39">
        <v>0</v>
      </c>
      <c r="U3" s="39">
        <v>0</v>
      </c>
      <c r="V3" s="39">
        <v>0</v>
      </c>
      <c r="X3" s="261">
        <v>0</v>
      </c>
      <c r="Y3" s="261">
        <f>Z3</f>
        <v>0</v>
      </c>
      <c r="Z3" s="39">
        <v>0</v>
      </c>
      <c r="AB3" s="261">
        <v>1</v>
      </c>
      <c r="AC3" s="118">
        <v>20</v>
      </c>
      <c r="AD3" s="132">
        <v>30</v>
      </c>
      <c r="AE3" s="132">
        <v>40</v>
      </c>
      <c r="AF3" s="132">
        <v>50</v>
      </c>
      <c r="AG3" s="132">
        <v>60</v>
      </c>
      <c r="AH3" s="119">
        <v>80</v>
      </c>
      <c r="AI3" s="132">
        <v>20</v>
      </c>
      <c r="AJ3" s="132">
        <v>30</v>
      </c>
      <c r="AK3" s="132">
        <v>40</v>
      </c>
      <c r="AL3" s="132">
        <v>50</v>
      </c>
      <c r="AM3" s="132">
        <v>60</v>
      </c>
      <c r="AN3" s="119">
        <v>80</v>
      </c>
    </row>
    <row r="4" spans="1:40" x14ac:dyDescent="0.3">
      <c r="A4" s="42">
        <v>2</v>
      </c>
      <c r="B4" s="39">
        <v>100</v>
      </c>
      <c r="C4" s="90">
        <f>B4+C3</f>
        <v>100</v>
      </c>
      <c r="E4" s="42">
        <v>2</v>
      </c>
      <c r="F4" s="39">
        <v>300</v>
      </c>
      <c r="G4" s="90">
        <f>F4+G3</f>
        <v>300</v>
      </c>
      <c r="I4" s="42">
        <v>2</v>
      </c>
      <c r="J4" s="39">
        <v>500</v>
      </c>
      <c r="K4" s="90">
        <f>J4+K3</f>
        <v>500</v>
      </c>
      <c r="M4" s="42">
        <v>2</v>
      </c>
      <c r="N4" s="39">
        <v>100</v>
      </c>
      <c r="O4" s="90">
        <f>N4+O3</f>
        <v>100</v>
      </c>
      <c r="Q4" s="42">
        <v>1</v>
      </c>
      <c r="R4" s="39">
        <v>0</v>
      </c>
      <c r="S4" s="39">
        <v>50</v>
      </c>
      <c r="T4" s="39">
        <v>100</v>
      </c>
      <c r="U4" s="39">
        <v>200</v>
      </c>
      <c r="V4" s="39">
        <v>600</v>
      </c>
      <c r="X4" s="262">
        <v>1</v>
      </c>
      <c r="Y4" s="262">
        <f t="shared" ref="Y4:Y13" si="0">Z4-Z3</f>
        <v>600</v>
      </c>
      <c r="Z4" s="260">
        <v>600</v>
      </c>
      <c r="AB4" s="261">
        <v>2</v>
      </c>
      <c r="AC4" s="118">
        <v>20</v>
      </c>
      <c r="AD4" s="132">
        <v>30</v>
      </c>
      <c r="AE4" s="132">
        <v>40</v>
      </c>
      <c r="AF4" s="132">
        <v>50</v>
      </c>
      <c r="AG4" s="132">
        <v>60</v>
      </c>
      <c r="AH4" s="119">
        <v>80</v>
      </c>
      <c r="AI4" s="132">
        <v>40</v>
      </c>
      <c r="AJ4" s="132">
        <v>60</v>
      </c>
      <c r="AK4" s="132">
        <v>80</v>
      </c>
      <c r="AL4" s="132">
        <v>100</v>
      </c>
      <c r="AM4" s="132">
        <v>120</v>
      </c>
      <c r="AN4" s="119">
        <v>160</v>
      </c>
    </row>
    <row r="5" spans="1:40" x14ac:dyDescent="0.3">
      <c r="A5" s="42">
        <v>3</v>
      </c>
      <c r="B5" s="39">
        <v>200</v>
      </c>
      <c r="C5" s="90">
        <f t="shared" ref="C5:C68" si="1">B5+C4</f>
        <v>300</v>
      </c>
      <c r="E5" s="42">
        <v>3</v>
      </c>
      <c r="F5" s="39">
        <v>600</v>
      </c>
      <c r="G5" s="90">
        <f t="shared" ref="G5:G68" si="2">F5+G4</f>
        <v>900</v>
      </c>
      <c r="I5" s="42">
        <v>3</v>
      </c>
      <c r="J5" s="39">
        <v>900</v>
      </c>
      <c r="K5" s="90">
        <f t="shared" ref="K5:K68" si="3">J5+K4</f>
        <v>1400</v>
      </c>
      <c r="M5" s="42">
        <v>3</v>
      </c>
      <c r="N5" s="39">
        <v>100</v>
      </c>
      <c r="O5" s="90">
        <f t="shared" ref="O5:O68" si="4">N5+O4</f>
        <v>200</v>
      </c>
      <c r="Q5" s="42">
        <v>2</v>
      </c>
      <c r="R5" s="39">
        <v>0</v>
      </c>
      <c r="S5" s="39">
        <v>110</v>
      </c>
      <c r="T5" s="39">
        <v>220</v>
      </c>
      <c r="U5" s="39">
        <v>440</v>
      </c>
      <c r="V5" s="39">
        <v>1320</v>
      </c>
      <c r="X5" s="261">
        <v>2</v>
      </c>
      <c r="Y5" s="261">
        <f t="shared" si="0"/>
        <v>1130</v>
      </c>
      <c r="Z5" s="39">
        <v>1730</v>
      </c>
      <c r="AB5" s="261">
        <v>3</v>
      </c>
      <c r="AC5" s="118">
        <v>30</v>
      </c>
      <c r="AD5" s="132">
        <v>45</v>
      </c>
      <c r="AE5" s="132">
        <v>60</v>
      </c>
      <c r="AF5" s="132">
        <v>75</v>
      </c>
      <c r="AG5" s="132">
        <v>90</v>
      </c>
      <c r="AH5" s="119">
        <v>120</v>
      </c>
      <c r="AI5" s="132">
        <v>70</v>
      </c>
      <c r="AJ5" s="132">
        <v>105</v>
      </c>
      <c r="AK5" s="132">
        <v>140</v>
      </c>
      <c r="AL5" s="132">
        <v>175</v>
      </c>
      <c r="AM5" s="132">
        <v>210</v>
      </c>
      <c r="AN5" s="119">
        <v>280</v>
      </c>
    </row>
    <row r="6" spans="1:40" x14ac:dyDescent="0.3">
      <c r="A6" s="42">
        <v>4</v>
      </c>
      <c r="B6" s="39">
        <v>300</v>
      </c>
      <c r="C6" s="90">
        <f t="shared" si="1"/>
        <v>600</v>
      </c>
      <c r="E6" s="42">
        <v>4</v>
      </c>
      <c r="F6" s="39">
        <v>900</v>
      </c>
      <c r="G6" s="90">
        <f t="shared" si="2"/>
        <v>1800</v>
      </c>
      <c r="I6" s="42">
        <v>4</v>
      </c>
      <c r="J6" s="39">
        <v>1300</v>
      </c>
      <c r="K6" s="90">
        <f t="shared" si="3"/>
        <v>2700</v>
      </c>
      <c r="M6" s="42">
        <v>4</v>
      </c>
      <c r="N6" s="39">
        <v>200</v>
      </c>
      <c r="O6" s="90">
        <f t="shared" si="4"/>
        <v>400</v>
      </c>
      <c r="Q6" s="42">
        <v>3</v>
      </c>
      <c r="R6" s="39">
        <v>0</v>
      </c>
      <c r="S6" s="39">
        <v>190</v>
      </c>
      <c r="T6" s="39">
        <v>380</v>
      </c>
      <c r="U6" s="39">
        <v>760</v>
      </c>
      <c r="V6" s="39">
        <v>2280</v>
      </c>
      <c r="X6" s="261">
        <v>3</v>
      </c>
      <c r="Y6" s="261">
        <f t="shared" si="0"/>
        <v>1680</v>
      </c>
      <c r="Z6" s="39">
        <v>3410</v>
      </c>
      <c r="AB6" s="261">
        <v>4</v>
      </c>
      <c r="AC6" s="118">
        <v>30</v>
      </c>
      <c r="AD6" s="132">
        <v>45</v>
      </c>
      <c r="AE6" s="132">
        <v>60</v>
      </c>
      <c r="AF6" s="132">
        <v>75</v>
      </c>
      <c r="AG6" s="132">
        <v>90</v>
      </c>
      <c r="AH6" s="119">
        <v>120</v>
      </c>
      <c r="AI6" s="132">
        <v>100</v>
      </c>
      <c r="AJ6" s="132">
        <v>150</v>
      </c>
      <c r="AK6" s="132">
        <v>200</v>
      </c>
      <c r="AL6" s="132">
        <v>250</v>
      </c>
      <c r="AM6" s="132">
        <v>300</v>
      </c>
      <c r="AN6" s="119">
        <v>400</v>
      </c>
    </row>
    <row r="7" spans="1:40" x14ac:dyDescent="0.3">
      <c r="A7" s="42">
        <v>5</v>
      </c>
      <c r="B7" s="39">
        <v>400</v>
      </c>
      <c r="C7" s="90">
        <f t="shared" si="1"/>
        <v>1000</v>
      </c>
      <c r="E7" s="42">
        <v>5</v>
      </c>
      <c r="F7" s="39">
        <v>1200</v>
      </c>
      <c r="G7" s="90">
        <f t="shared" si="2"/>
        <v>3000</v>
      </c>
      <c r="I7" s="42">
        <v>5</v>
      </c>
      <c r="J7" s="39">
        <v>1800</v>
      </c>
      <c r="K7" s="90">
        <f t="shared" si="3"/>
        <v>4500</v>
      </c>
      <c r="M7" s="42">
        <v>5</v>
      </c>
      <c r="N7" s="39">
        <v>300</v>
      </c>
      <c r="O7" s="90">
        <f t="shared" si="4"/>
        <v>700</v>
      </c>
      <c r="Q7" s="42">
        <v>4</v>
      </c>
      <c r="R7" s="39">
        <v>0</v>
      </c>
      <c r="S7" s="39">
        <v>305</v>
      </c>
      <c r="T7" s="39">
        <v>610</v>
      </c>
      <c r="U7" s="39">
        <v>1220</v>
      </c>
      <c r="V7" s="39">
        <v>3660</v>
      </c>
      <c r="X7" s="261">
        <v>4</v>
      </c>
      <c r="Y7" s="261">
        <f t="shared" si="0"/>
        <v>2260</v>
      </c>
      <c r="Z7" s="39">
        <v>5670</v>
      </c>
      <c r="AB7" s="261">
        <v>5</v>
      </c>
      <c r="AC7" s="118">
        <v>40</v>
      </c>
      <c r="AD7" s="132">
        <v>60</v>
      </c>
      <c r="AE7" s="132">
        <v>80</v>
      </c>
      <c r="AF7" s="132">
        <v>100</v>
      </c>
      <c r="AG7" s="132">
        <v>120</v>
      </c>
      <c r="AH7" s="119">
        <v>160</v>
      </c>
      <c r="AI7" s="132">
        <v>140</v>
      </c>
      <c r="AJ7" s="132">
        <v>210</v>
      </c>
      <c r="AK7" s="132">
        <v>280</v>
      </c>
      <c r="AL7" s="132">
        <v>350</v>
      </c>
      <c r="AM7" s="132">
        <v>420</v>
      </c>
      <c r="AN7" s="119">
        <v>560</v>
      </c>
    </row>
    <row r="8" spans="1:40" x14ac:dyDescent="0.3">
      <c r="A8" s="42">
        <v>6</v>
      </c>
      <c r="B8" s="39">
        <v>500</v>
      </c>
      <c r="C8" s="90">
        <f t="shared" si="1"/>
        <v>1500</v>
      </c>
      <c r="E8" s="42">
        <v>6</v>
      </c>
      <c r="F8" s="39">
        <v>1500</v>
      </c>
      <c r="G8" s="90">
        <f t="shared" si="2"/>
        <v>4500</v>
      </c>
      <c r="I8" s="42">
        <v>6</v>
      </c>
      <c r="J8" s="39">
        <v>2200</v>
      </c>
      <c r="K8" s="90">
        <f t="shared" si="3"/>
        <v>6700</v>
      </c>
      <c r="M8" s="42">
        <v>6</v>
      </c>
      <c r="N8" s="39">
        <v>400</v>
      </c>
      <c r="O8" s="90">
        <f t="shared" si="4"/>
        <v>1100</v>
      </c>
      <c r="Q8" s="42">
        <v>5</v>
      </c>
      <c r="R8" s="39">
        <v>0</v>
      </c>
      <c r="S8" s="39">
        <v>470</v>
      </c>
      <c r="T8" s="39">
        <v>940</v>
      </c>
      <c r="U8" s="39">
        <v>1880</v>
      </c>
      <c r="V8" s="39">
        <v>5640</v>
      </c>
      <c r="X8" s="261">
        <v>5</v>
      </c>
      <c r="Y8" s="261">
        <f t="shared" si="0"/>
        <v>2860</v>
      </c>
      <c r="Z8" s="39">
        <v>8530</v>
      </c>
      <c r="AB8" s="261">
        <v>6</v>
      </c>
      <c r="AC8" s="118">
        <v>50</v>
      </c>
      <c r="AD8" s="132">
        <v>75</v>
      </c>
      <c r="AE8" s="132">
        <v>100</v>
      </c>
      <c r="AF8" s="132">
        <v>125</v>
      </c>
      <c r="AG8" s="132">
        <v>150</v>
      </c>
      <c r="AH8" s="119">
        <v>200</v>
      </c>
      <c r="AI8" s="132">
        <v>190</v>
      </c>
      <c r="AJ8" s="132">
        <v>285</v>
      </c>
      <c r="AK8" s="132">
        <v>380</v>
      </c>
      <c r="AL8" s="132">
        <v>475</v>
      </c>
      <c r="AM8" s="132">
        <v>570</v>
      </c>
      <c r="AN8" s="119">
        <v>760</v>
      </c>
    </row>
    <row r="9" spans="1:40" x14ac:dyDescent="0.3">
      <c r="A9" s="42">
        <v>7</v>
      </c>
      <c r="B9" s="39">
        <v>600</v>
      </c>
      <c r="C9" s="90">
        <f t="shared" si="1"/>
        <v>2100</v>
      </c>
      <c r="E9" s="42">
        <v>7</v>
      </c>
      <c r="F9" s="39">
        <v>1800</v>
      </c>
      <c r="G9" s="90">
        <f t="shared" si="2"/>
        <v>6300</v>
      </c>
      <c r="I9" s="42">
        <v>7</v>
      </c>
      <c r="J9" s="39">
        <v>2700</v>
      </c>
      <c r="K9" s="90">
        <f t="shared" si="3"/>
        <v>9400</v>
      </c>
      <c r="M9" s="42">
        <v>7</v>
      </c>
      <c r="N9" s="39">
        <v>500</v>
      </c>
      <c r="O9" s="90">
        <f t="shared" si="4"/>
        <v>1600</v>
      </c>
      <c r="Q9" s="42">
        <v>6</v>
      </c>
      <c r="R9" s="39">
        <v>0</v>
      </c>
      <c r="S9" s="39">
        <v>700</v>
      </c>
      <c r="T9" s="39">
        <v>1400</v>
      </c>
      <c r="U9" s="39">
        <v>2800</v>
      </c>
      <c r="V9" s="39">
        <v>8400</v>
      </c>
      <c r="X9" s="261">
        <v>6</v>
      </c>
      <c r="Y9" s="261">
        <f t="shared" si="0"/>
        <v>3480</v>
      </c>
      <c r="Z9" s="39">
        <v>12010</v>
      </c>
      <c r="AB9" s="261">
        <v>7</v>
      </c>
      <c r="AC9" s="118">
        <v>50</v>
      </c>
      <c r="AD9" s="132">
        <v>75</v>
      </c>
      <c r="AE9" s="132">
        <v>100</v>
      </c>
      <c r="AF9" s="132">
        <v>125</v>
      </c>
      <c r="AG9" s="132">
        <v>150</v>
      </c>
      <c r="AH9" s="119">
        <v>200</v>
      </c>
      <c r="AI9" s="132">
        <v>240</v>
      </c>
      <c r="AJ9" s="132">
        <v>360</v>
      </c>
      <c r="AK9" s="132">
        <v>480</v>
      </c>
      <c r="AL9" s="132">
        <v>600</v>
      </c>
      <c r="AM9" s="132">
        <v>720</v>
      </c>
      <c r="AN9" s="119">
        <v>960</v>
      </c>
    </row>
    <row r="10" spans="1:40" x14ac:dyDescent="0.3">
      <c r="A10" s="42">
        <v>8</v>
      </c>
      <c r="B10" s="39">
        <v>700</v>
      </c>
      <c r="C10" s="90">
        <f t="shared" si="1"/>
        <v>2800</v>
      </c>
      <c r="E10" s="42">
        <v>8</v>
      </c>
      <c r="F10" s="39">
        <v>2100</v>
      </c>
      <c r="G10" s="90">
        <f t="shared" si="2"/>
        <v>8400</v>
      </c>
      <c r="I10" s="42">
        <v>8</v>
      </c>
      <c r="J10" s="39">
        <v>3200</v>
      </c>
      <c r="K10" s="90">
        <f t="shared" si="3"/>
        <v>12600</v>
      </c>
      <c r="M10" s="42">
        <v>8</v>
      </c>
      <c r="N10" s="39">
        <v>500</v>
      </c>
      <c r="O10" s="90">
        <f t="shared" si="4"/>
        <v>2100</v>
      </c>
      <c r="Q10" s="42">
        <v>7</v>
      </c>
      <c r="R10" s="39">
        <v>0</v>
      </c>
      <c r="S10" s="39">
        <v>1005</v>
      </c>
      <c r="T10" s="39">
        <v>2010</v>
      </c>
      <c r="U10" s="39">
        <v>4020</v>
      </c>
      <c r="V10" s="39">
        <v>12060</v>
      </c>
      <c r="X10" s="261">
        <v>7</v>
      </c>
      <c r="Y10" s="261">
        <f t="shared" si="0"/>
        <v>4130</v>
      </c>
      <c r="Z10" s="39">
        <v>16140</v>
      </c>
      <c r="AB10" s="261">
        <v>8</v>
      </c>
      <c r="AC10" s="118">
        <v>60</v>
      </c>
      <c r="AD10" s="132">
        <v>90</v>
      </c>
      <c r="AE10" s="132">
        <v>120</v>
      </c>
      <c r="AF10" s="132">
        <v>150</v>
      </c>
      <c r="AG10" s="132">
        <v>180</v>
      </c>
      <c r="AH10" s="119">
        <v>240</v>
      </c>
      <c r="AI10" s="132">
        <v>300</v>
      </c>
      <c r="AJ10" s="132">
        <v>450</v>
      </c>
      <c r="AK10" s="132">
        <v>600</v>
      </c>
      <c r="AL10" s="132">
        <v>750</v>
      </c>
      <c r="AM10" s="132">
        <v>900</v>
      </c>
      <c r="AN10" s="119">
        <v>1200</v>
      </c>
    </row>
    <row r="11" spans="1:40" x14ac:dyDescent="0.3">
      <c r="A11" s="42">
        <v>9</v>
      </c>
      <c r="B11" s="39">
        <v>800</v>
      </c>
      <c r="C11" s="90">
        <f t="shared" si="1"/>
        <v>3600</v>
      </c>
      <c r="E11" s="42">
        <v>9</v>
      </c>
      <c r="F11" s="39">
        <v>2400</v>
      </c>
      <c r="G11" s="90">
        <f t="shared" si="2"/>
        <v>10800</v>
      </c>
      <c r="I11" s="42">
        <v>9</v>
      </c>
      <c r="J11" s="39">
        <v>3600</v>
      </c>
      <c r="K11" s="90">
        <f t="shared" si="3"/>
        <v>16200</v>
      </c>
      <c r="M11" s="42">
        <v>9</v>
      </c>
      <c r="N11" s="39">
        <v>600</v>
      </c>
      <c r="O11" s="90">
        <f t="shared" si="4"/>
        <v>2700</v>
      </c>
      <c r="Q11" s="42">
        <v>8</v>
      </c>
      <c r="R11" s="39">
        <v>0</v>
      </c>
      <c r="S11" s="39">
        <v>1400</v>
      </c>
      <c r="T11" s="39">
        <v>2800</v>
      </c>
      <c r="U11" s="39">
        <v>5600</v>
      </c>
      <c r="V11" s="39">
        <v>16800</v>
      </c>
      <c r="X11" s="261">
        <v>8</v>
      </c>
      <c r="Y11" s="261">
        <f t="shared" si="0"/>
        <v>4800</v>
      </c>
      <c r="Z11" s="39">
        <v>20940</v>
      </c>
      <c r="AB11" s="261">
        <v>9</v>
      </c>
      <c r="AC11" s="118">
        <v>80</v>
      </c>
      <c r="AD11" s="132">
        <v>120</v>
      </c>
      <c r="AE11" s="132">
        <v>160</v>
      </c>
      <c r="AF11" s="132">
        <v>200</v>
      </c>
      <c r="AG11" s="132">
        <v>240</v>
      </c>
      <c r="AH11" s="119">
        <v>320</v>
      </c>
      <c r="AI11" s="132">
        <v>380</v>
      </c>
      <c r="AJ11" s="132">
        <v>570</v>
      </c>
      <c r="AK11" s="132">
        <v>760</v>
      </c>
      <c r="AL11" s="132">
        <v>950</v>
      </c>
      <c r="AM11" s="132">
        <v>1140</v>
      </c>
      <c r="AN11" s="119">
        <v>1520</v>
      </c>
    </row>
    <row r="12" spans="1:40" x14ac:dyDescent="0.3">
      <c r="A12" s="42">
        <v>10</v>
      </c>
      <c r="B12" s="39">
        <v>900</v>
      </c>
      <c r="C12" s="90">
        <f t="shared" si="1"/>
        <v>4500</v>
      </c>
      <c r="E12" s="42">
        <v>10</v>
      </c>
      <c r="F12" s="39">
        <v>2700</v>
      </c>
      <c r="G12" s="90">
        <f t="shared" si="2"/>
        <v>13500</v>
      </c>
      <c r="I12" s="42">
        <v>10</v>
      </c>
      <c r="J12" s="39">
        <v>4000</v>
      </c>
      <c r="K12" s="90">
        <f t="shared" si="3"/>
        <v>20200</v>
      </c>
      <c r="M12" s="42">
        <v>10</v>
      </c>
      <c r="N12" s="39">
        <v>700</v>
      </c>
      <c r="O12" s="90">
        <f t="shared" si="4"/>
        <v>3400</v>
      </c>
      <c r="Q12" s="42">
        <v>9</v>
      </c>
      <c r="R12" s="39">
        <v>0</v>
      </c>
      <c r="S12" s="39">
        <v>1895</v>
      </c>
      <c r="T12" s="39">
        <v>3790</v>
      </c>
      <c r="U12" s="39">
        <v>7580</v>
      </c>
      <c r="V12" s="39">
        <v>22740</v>
      </c>
      <c r="X12" s="261">
        <v>9</v>
      </c>
      <c r="Y12" s="261">
        <f t="shared" si="0"/>
        <v>5500</v>
      </c>
      <c r="Z12" s="39">
        <v>26440</v>
      </c>
      <c r="AB12" s="261">
        <v>10</v>
      </c>
      <c r="AC12" s="118">
        <v>90</v>
      </c>
      <c r="AD12" s="132">
        <v>135</v>
      </c>
      <c r="AE12" s="132">
        <v>180</v>
      </c>
      <c r="AF12" s="132">
        <v>225</v>
      </c>
      <c r="AG12" s="132">
        <v>270</v>
      </c>
      <c r="AH12" s="119">
        <v>360</v>
      </c>
      <c r="AI12" s="132">
        <v>470</v>
      </c>
      <c r="AJ12" s="132">
        <v>705</v>
      </c>
      <c r="AK12" s="132">
        <v>940</v>
      </c>
      <c r="AL12" s="132">
        <v>1175</v>
      </c>
      <c r="AM12" s="132">
        <v>1410</v>
      </c>
      <c r="AN12" s="119">
        <v>1880</v>
      </c>
    </row>
    <row r="13" spans="1:40" x14ac:dyDescent="0.3">
      <c r="A13" s="42">
        <v>11</v>
      </c>
      <c r="B13" s="39">
        <v>1000</v>
      </c>
      <c r="C13" s="90">
        <f t="shared" si="1"/>
        <v>5500</v>
      </c>
      <c r="E13" s="42">
        <v>11</v>
      </c>
      <c r="F13" s="39">
        <v>3000</v>
      </c>
      <c r="G13" s="90">
        <f t="shared" si="2"/>
        <v>16500</v>
      </c>
      <c r="I13" s="42">
        <v>11</v>
      </c>
      <c r="J13" s="39">
        <v>4500</v>
      </c>
      <c r="K13" s="90">
        <f t="shared" si="3"/>
        <v>24700</v>
      </c>
      <c r="M13" s="42">
        <v>11</v>
      </c>
      <c r="N13" s="39">
        <v>700</v>
      </c>
      <c r="O13" s="90">
        <f t="shared" si="4"/>
        <v>4100</v>
      </c>
      <c r="Q13" s="43">
        <v>10</v>
      </c>
      <c r="R13" s="40">
        <v>0</v>
      </c>
      <c r="S13" s="40">
        <v>2500</v>
      </c>
      <c r="T13" s="40">
        <v>5000</v>
      </c>
      <c r="U13" s="40">
        <v>10000</v>
      </c>
      <c r="V13" s="40">
        <v>30000</v>
      </c>
      <c r="X13" s="263">
        <v>10</v>
      </c>
      <c r="Y13" s="263">
        <f t="shared" si="0"/>
        <v>6220</v>
      </c>
      <c r="Z13" s="40">
        <v>32660</v>
      </c>
      <c r="AB13" s="261">
        <v>11</v>
      </c>
      <c r="AC13" s="118">
        <v>100</v>
      </c>
      <c r="AD13" s="132">
        <v>150</v>
      </c>
      <c r="AE13" s="132">
        <v>200</v>
      </c>
      <c r="AF13" s="132">
        <v>250</v>
      </c>
      <c r="AG13" s="132">
        <v>300</v>
      </c>
      <c r="AH13" s="119">
        <v>400</v>
      </c>
      <c r="AI13" s="132">
        <v>570</v>
      </c>
      <c r="AJ13" s="132">
        <v>855</v>
      </c>
      <c r="AK13" s="132">
        <v>1140</v>
      </c>
      <c r="AL13" s="132">
        <v>1425</v>
      </c>
      <c r="AM13" s="132">
        <v>1710</v>
      </c>
      <c r="AN13" s="119">
        <v>2280</v>
      </c>
    </row>
    <row r="14" spans="1:40" x14ac:dyDescent="0.3">
      <c r="A14" s="42">
        <v>12</v>
      </c>
      <c r="B14" s="39">
        <v>1100</v>
      </c>
      <c r="C14" s="90">
        <f t="shared" si="1"/>
        <v>6600</v>
      </c>
      <c r="E14" s="42">
        <v>12</v>
      </c>
      <c r="F14" s="39">
        <v>3300</v>
      </c>
      <c r="G14" s="90">
        <f t="shared" si="2"/>
        <v>19800</v>
      </c>
      <c r="I14" s="42">
        <v>12</v>
      </c>
      <c r="J14" s="39">
        <v>5000</v>
      </c>
      <c r="K14" s="90">
        <f t="shared" si="3"/>
        <v>29700</v>
      </c>
      <c r="M14" s="42">
        <v>12</v>
      </c>
      <c r="N14" s="39">
        <v>800</v>
      </c>
      <c r="O14" s="90">
        <f t="shared" si="4"/>
        <v>4900</v>
      </c>
      <c r="AB14" s="261">
        <v>12</v>
      </c>
      <c r="AC14" s="118">
        <v>120</v>
      </c>
      <c r="AD14" s="132">
        <v>180</v>
      </c>
      <c r="AE14" s="132">
        <v>240</v>
      </c>
      <c r="AF14" s="132">
        <v>300</v>
      </c>
      <c r="AG14" s="132">
        <v>360</v>
      </c>
      <c r="AH14" s="119">
        <v>480</v>
      </c>
      <c r="AI14" s="132">
        <v>690</v>
      </c>
      <c r="AJ14" s="132">
        <v>1035</v>
      </c>
      <c r="AK14" s="132">
        <v>1380</v>
      </c>
      <c r="AL14" s="132">
        <v>1725</v>
      </c>
      <c r="AM14" s="132">
        <v>2070</v>
      </c>
      <c r="AN14" s="119">
        <v>2760</v>
      </c>
    </row>
    <row r="15" spans="1:40" x14ac:dyDescent="0.3">
      <c r="A15" s="42">
        <v>13</v>
      </c>
      <c r="B15" s="39">
        <v>1200</v>
      </c>
      <c r="C15" s="90">
        <f t="shared" si="1"/>
        <v>7800</v>
      </c>
      <c r="E15" s="42">
        <v>13</v>
      </c>
      <c r="F15" s="39">
        <v>3600</v>
      </c>
      <c r="G15" s="90">
        <f t="shared" si="2"/>
        <v>23400</v>
      </c>
      <c r="I15" s="42">
        <v>13</v>
      </c>
      <c r="J15" s="39">
        <v>5400</v>
      </c>
      <c r="K15" s="90">
        <f t="shared" si="3"/>
        <v>35100</v>
      </c>
      <c r="M15" s="42">
        <v>13</v>
      </c>
      <c r="N15" s="39">
        <v>900</v>
      </c>
      <c r="O15" s="90">
        <f t="shared" si="4"/>
        <v>5800</v>
      </c>
      <c r="AB15" s="261">
        <v>13</v>
      </c>
      <c r="AC15" s="118">
        <v>140</v>
      </c>
      <c r="AD15" s="132">
        <v>210</v>
      </c>
      <c r="AE15" s="132">
        <v>280</v>
      </c>
      <c r="AF15" s="132">
        <v>350</v>
      </c>
      <c r="AG15" s="132">
        <v>420</v>
      </c>
      <c r="AH15" s="119">
        <v>560</v>
      </c>
      <c r="AI15" s="132">
        <v>830</v>
      </c>
      <c r="AJ15" s="132">
        <v>1245</v>
      </c>
      <c r="AK15" s="132">
        <v>1660</v>
      </c>
      <c r="AL15" s="132">
        <v>2075</v>
      </c>
      <c r="AM15" s="132">
        <v>2490</v>
      </c>
      <c r="AN15" s="119">
        <v>3320</v>
      </c>
    </row>
    <row r="16" spans="1:40" x14ac:dyDescent="0.3">
      <c r="A16" s="42">
        <v>14</v>
      </c>
      <c r="B16" s="39">
        <v>1300</v>
      </c>
      <c r="C16" s="90">
        <f t="shared" si="1"/>
        <v>9100</v>
      </c>
      <c r="E16" s="42">
        <v>14</v>
      </c>
      <c r="F16" s="39">
        <v>3900</v>
      </c>
      <c r="G16" s="90">
        <f t="shared" si="2"/>
        <v>27300</v>
      </c>
      <c r="I16" s="42">
        <v>14</v>
      </c>
      <c r="J16" s="39">
        <v>5800</v>
      </c>
      <c r="K16" s="90">
        <f t="shared" si="3"/>
        <v>40900</v>
      </c>
      <c r="M16" s="42">
        <v>14</v>
      </c>
      <c r="N16" s="39">
        <v>1000</v>
      </c>
      <c r="O16" s="90">
        <f t="shared" si="4"/>
        <v>6800</v>
      </c>
      <c r="AB16" s="261">
        <v>14</v>
      </c>
      <c r="AC16" s="118">
        <v>160</v>
      </c>
      <c r="AD16" s="132">
        <v>240</v>
      </c>
      <c r="AE16" s="132">
        <v>320</v>
      </c>
      <c r="AF16" s="132">
        <v>400</v>
      </c>
      <c r="AG16" s="132">
        <v>480</v>
      </c>
      <c r="AH16" s="119">
        <v>640</v>
      </c>
      <c r="AI16" s="132">
        <v>990</v>
      </c>
      <c r="AJ16" s="132">
        <v>1485</v>
      </c>
      <c r="AK16" s="132">
        <v>1980</v>
      </c>
      <c r="AL16" s="132">
        <v>2475</v>
      </c>
      <c r="AM16" s="132">
        <v>2970</v>
      </c>
      <c r="AN16" s="119">
        <v>3960</v>
      </c>
    </row>
    <row r="17" spans="1:40" x14ac:dyDescent="0.3">
      <c r="A17" s="42">
        <v>15</v>
      </c>
      <c r="B17" s="39">
        <v>1400</v>
      </c>
      <c r="C17" s="90">
        <f t="shared" si="1"/>
        <v>10500</v>
      </c>
      <c r="E17" s="42">
        <v>15</v>
      </c>
      <c r="F17" s="39">
        <v>4200</v>
      </c>
      <c r="G17" s="90">
        <f t="shared" si="2"/>
        <v>31500</v>
      </c>
      <c r="I17" s="42">
        <v>15</v>
      </c>
      <c r="J17" s="39">
        <v>6300</v>
      </c>
      <c r="K17" s="90">
        <f t="shared" si="3"/>
        <v>47200</v>
      </c>
      <c r="M17" s="42">
        <v>15</v>
      </c>
      <c r="N17" s="39">
        <v>1000</v>
      </c>
      <c r="O17" s="90">
        <f t="shared" si="4"/>
        <v>7800</v>
      </c>
      <c r="AB17" s="261">
        <v>15</v>
      </c>
      <c r="AC17" s="118">
        <v>180</v>
      </c>
      <c r="AD17" s="132">
        <v>270</v>
      </c>
      <c r="AE17" s="132">
        <v>360</v>
      </c>
      <c r="AF17" s="132">
        <v>450</v>
      </c>
      <c r="AG17" s="132">
        <v>540</v>
      </c>
      <c r="AH17" s="119">
        <v>720</v>
      </c>
      <c r="AI17" s="132">
        <v>1170</v>
      </c>
      <c r="AJ17" s="132">
        <v>1755</v>
      </c>
      <c r="AK17" s="132">
        <v>2340</v>
      </c>
      <c r="AL17" s="132">
        <v>2925</v>
      </c>
      <c r="AM17" s="132">
        <v>3510</v>
      </c>
      <c r="AN17" s="119">
        <v>4680</v>
      </c>
    </row>
    <row r="18" spans="1:40" x14ac:dyDescent="0.3">
      <c r="A18" s="42">
        <v>16</v>
      </c>
      <c r="B18" s="39">
        <v>1500</v>
      </c>
      <c r="C18" s="90">
        <f t="shared" si="1"/>
        <v>12000</v>
      </c>
      <c r="E18" s="42">
        <v>16</v>
      </c>
      <c r="F18" s="39">
        <v>4500</v>
      </c>
      <c r="G18" s="90">
        <f t="shared" si="2"/>
        <v>36000</v>
      </c>
      <c r="I18" s="42">
        <v>16</v>
      </c>
      <c r="J18" s="39">
        <v>6800</v>
      </c>
      <c r="K18" s="90">
        <f t="shared" si="3"/>
        <v>54000</v>
      </c>
      <c r="M18" s="42">
        <v>16</v>
      </c>
      <c r="N18" s="39">
        <v>1100</v>
      </c>
      <c r="O18" s="90">
        <f t="shared" si="4"/>
        <v>8900</v>
      </c>
      <c r="AB18" s="261">
        <v>16</v>
      </c>
      <c r="AC18" s="118">
        <v>200</v>
      </c>
      <c r="AD18" s="132">
        <v>300</v>
      </c>
      <c r="AE18" s="132">
        <v>400</v>
      </c>
      <c r="AF18" s="132">
        <v>500</v>
      </c>
      <c r="AG18" s="132">
        <v>600</v>
      </c>
      <c r="AH18" s="119">
        <v>800</v>
      </c>
      <c r="AI18" s="132">
        <v>1370</v>
      </c>
      <c r="AJ18" s="132">
        <v>2055</v>
      </c>
      <c r="AK18" s="132">
        <v>2740</v>
      </c>
      <c r="AL18" s="132">
        <v>3425</v>
      </c>
      <c r="AM18" s="132">
        <v>4110</v>
      </c>
      <c r="AN18" s="119">
        <v>5480</v>
      </c>
    </row>
    <row r="19" spans="1:40" x14ac:dyDescent="0.3">
      <c r="A19" s="42">
        <v>17</v>
      </c>
      <c r="B19" s="39">
        <v>1600</v>
      </c>
      <c r="C19" s="90">
        <f t="shared" si="1"/>
        <v>13600</v>
      </c>
      <c r="E19" s="42">
        <v>17</v>
      </c>
      <c r="F19" s="39">
        <v>4800</v>
      </c>
      <c r="G19" s="90">
        <f t="shared" si="2"/>
        <v>40800</v>
      </c>
      <c r="I19" s="42">
        <v>17</v>
      </c>
      <c r="J19" s="39">
        <v>7200</v>
      </c>
      <c r="K19" s="90">
        <f t="shared" si="3"/>
        <v>61200</v>
      </c>
      <c r="M19" s="42">
        <v>17</v>
      </c>
      <c r="N19" s="39">
        <v>1200</v>
      </c>
      <c r="O19" s="90">
        <f t="shared" si="4"/>
        <v>10100</v>
      </c>
      <c r="AB19" s="261">
        <v>17</v>
      </c>
      <c r="AC19" s="118">
        <v>220</v>
      </c>
      <c r="AD19" s="132">
        <v>330</v>
      </c>
      <c r="AE19" s="132">
        <v>440</v>
      </c>
      <c r="AF19" s="132">
        <v>550</v>
      </c>
      <c r="AG19" s="132">
        <v>660</v>
      </c>
      <c r="AH19" s="119">
        <v>880</v>
      </c>
      <c r="AI19" s="132">
        <v>1590</v>
      </c>
      <c r="AJ19" s="132">
        <v>2385</v>
      </c>
      <c r="AK19" s="132">
        <v>3180</v>
      </c>
      <c r="AL19" s="132">
        <v>3975</v>
      </c>
      <c r="AM19" s="132">
        <v>4770</v>
      </c>
      <c r="AN19" s="119">
        <v>6360</v>
      </c>
    </row>
    <row r="20" spans="1:40" x14ac:dyDescent="0.3">
      <c r="A20" s="42">
        <v>18</v>
      </c>
      <c r="B20" s="39">
        <v>1700</v>
      </c>
      <c r="C20" s="90">
        <f t="shared" si="1"/>
        <v>15300</v>
      </c>
      <c r="E20" s="42">
        <v>18</v>
      </c>
      <c r="F20" s="39">
        <v>5100</v>
      </c>
      <c r="G20" s="90">
        <f t="shared" si="2"/>
        <v>45900</v>
      </c>
      <c r="I20" s="42">
        <v>18</v>
      </c>
      <c r="J20" s="39">
        <v>7600</v>
      </c>
      <c r="K20" s="90">
        <f t="shared" si="3"/>
        <v>68800</v>
      </c>
      <c r="M20" s="42">
        <v>18</v>
      </c>
      <c r="N20" s="39">
        <v>1200</v>
      </c>
      <c r="O20" s="90">
        <f t="shared" si="4"/>
        <v>11300</v>
      </c>
      <c r="AB20" s="261">
        <v>18</v>
      </c>
      <c r="AC20" s="118">
        <v>240</v>
      </c>
      <c r="AD20" s="132">
        <v>360</v>
      </c>
      <c r="AE20" s="132">
        <v>480</v>
      </c>
      <c r="AF20" s="132">
        <v>600</v>
      </c>
      <c r="AG20" s="132">
        <v>720</v>
      </c>
      <c r="AH20" s="119">
        <v>960</v>
      </c>
      <c r="AI20" s="132">
        <v>1830</v>
      </c>
      <c r="AJ20" s="132">
        <v>2745</v>
      </c>
      <c r="AK20" s="132">
        <v>3660</v>
      </c>
      <c r="AL20" s="132">
        <v>4575</v>
      </c>
      <c r="AM20" s="132">
        <v>5490</v>
      </c>
      <c r="AN20" s="119">
        <v>7320</v>
      </c>
    </row>
    <row r="21" spans="1:40" x14ac:dyDescent="0.3">
      <c r="A21" s="42">
        <v>19</v>
      </c>
      <c r="B21" s="39">
        <v>1800</v>
      </c>
      <c r="C21" s="90">
        <f t="shared" si="1"/>
        <v>17100</v>
      </c>
      <c r="E21" s="42">
        <v>19</v>
      </c>
      <c r="F21" s="39">
        <v>5500</v>
      </c>
      <c r="G21" s="90">
        <f t="shared" si="2"/>
        <v>51400</v>
      </c>
      <c r="I21" s="42">
        <v>19</v>
      </c>
      <c r="J21" s="39">
        <v>8300</v>
      </c>
      <c r="K21" s="90">
        <f t="shared" si="3"/>
        <v>77100</v>
      </c>
      <c r="M21" s="42">
        <v>19</v>
      </c>
      <c r="N21" s="39">
        <v>1300</v>
      </c>
      <c r="O21" s="90">
        <f t="shared" si="4"/>
        <v>12600</v>
      </c>
      <c r="AB21" s="261">
        <v>19</v>
      </c>
      <c r="AC21" s="118">
        <v>270</v>
      </c>
      <c r="AD21" s="132">
        <v>405</v>
      </c>
      <c r="AE21" s="132">
        <v>540</v>
      </c>
      <c r="AF21" s="132">
        <v>675</v>
      </c>
      <c r="AG21" s="132">
        <v>810</v>
      </c>
      <c r="AH21" s="119">
        <v>1080</v>
      </c>
      <c r="AI21" s="132">
        <v>2100</v>
      </c>
      <c r="AJ21" s="132">
        <v>3150</v>
      </c>
      <c r="AK21" s="132">
        <v>4200</v>
      </c>
      <c r="AL21" s="132">
        <v>5250</v>
      </c>
      <c r="AM21" s="132">
        <v>6300</v>
      </c>
      <c r="AN21" s="119">
        <v>8400</v>
      </c>
    </row>
    <row r="22" spans="1:40" x14ac:dyDescent="0.3">
      <c r="A22" s="42">
        <v>20</v>
      </c>
      <c r="B22" s="39">
        <v>1900</v>
      </c>
      <c r="C22" s="90">
        <f t="shared" si="1"/>
        <v>19000</v>
      </c>
      <c r="E22" s="42">
        <v>20</v>
      </c>
      <c r="F22" s="39">
        <v>6000</v>
      </c>
      <c r="G22" s="90">
        <f t="shared" si="2"/>
        <v>57400</v>
      </c>
      <c r="I22" s="42">
        <v>20</v>
      </c>
      <c r="J22" s="39">
        <v>9000</v>
      </c>
      <c r="K22" s="90">
        <f t="shared" si="3"/>
        <v>86100</v>
      </c>
      <c r="M22" s="42">
        <v>20</v>
      </c>
      <c r="N22" s="39">
        <v>1400</v>
      </c>
      <c r="O22" s="90">
        <f t="shared" si="4"/>
        <v>14000</v>
      </c>
      <c r="AB22" s="263">
        <v>20</v>
      </c>
      <c r="AC22" s="120">
        <v>300</v>
      </c>
      <c r="AD22" s="278">
        <v>450</v>
      </c>
      <c r="AE22" s="278">
        <v>600</v>
      </c>
      <c r="AF22" s="278">
        <v>750</v>
      </c>
      <c r="AG22" s="278">
        <v>900</v>
      </c>
      <c r="AH22" s="121">
        <v>1200</v>
      </c>
      <c r="AI22" s="278">
        <v>2400</v>
      </c>
      <c r="AJ22" s="278">
        <v>3600</v>
      </c>
      <c r="AK22" s="278">
        <v>4800</v>
      </c>
      <c r="AL22" s="278">
        <v>6000</v>
      </c>
      <c r="AM22" s="278">
        <v>7200</v>
      </c>
      <c r="AN22" s="121">
        <v>9600</v>
      </c>
    </row>
    <row r="23" spans="1:40" x14ac:dyDescent="0.3">
      <c r="A23" s="42">
        <v>21</v>
      </c>
      <c r="B23" s="39">
        <v>2000</v>
      </c>
      <c r="C23" s="90">
        <f t="shared" si="1"/>
        <v>21000</v>
      </c>
      <c r="E23" s="42">
        <v>21</v>
      </c>
      <c r="F23" s="39">
        <v>6500</v>
      </c>
      <c r="G23" s="90">
        <f t="shared" si="2"/>
        <v>63900</v>
      </c>
      <c r="I23" s="42">
        <v>21</v>
      </c>
      <c r="J23" s="39">
        <v>9800</v>
      </c>
      <c r="K23" s="90">
        <f t="shared" si="3"/>
        <v>95900</v>
      </c>
      <c r="M23" s="42">
        <v>21</v>
      </c>
      <c r="N23" s="39">
        <v>1400</v>
      </c>
      <c r="O23" s="90">
        <f t="shared" si="4"/>
        <v>15400</v>
      </c>
    </row>
    <row r="24" spans="1:40" x14ac:dyDescent="0.3">
      <c r="A24" s="42">
        <v>22</v>
      </c>
      <c r="B24" s="39">
        <v>2100</v>
      </c>
      <c r="C24" s="90">
        <f t="shared" si="1"/>
        <v>23100</v>
      </c>
      <c r="E24" s="42">
        <v>22</v>
      </c>
      <c r="F24" s="39">
        <v>7100</v>
      </c>
      <c r="G24" s="90">
        <f t="shared" si="2"/>
        <v>71000</v>
      </c>
      <c r="I24" s="42">
        <v>22</v>
      </c>
      <c r="J24" s="39">
        <v>10600</v>
      </c>
      <c r="K24" s="90">
        <f t="shared" si="3"/>
        <v>106500</v>
      </c>
      <c r="M24" s="42">
        <v>22</v>
      </c>
      <c r="N24" s="39">
        <v>1500</v>
      </c>
      <c r="O24" s="90">
        <f t="shared" si="4"/>
        <v>16900</v>
      </c>
    </row>
    <row r="25" spans="1:40" x14ac:dyDescent="0.3">
      <c r="A25" s="42">
        <v>23</v>
      </c>
      <c r="B25" s="39">
        <v>2200</v>
      </c>
      <c r="C25" s="90">
        <f t="shared" si="1"/>
        <v>25300</v>
      </c>
      <c r="E25" s="42">
        <v>23</v>
      </c>
      <c r="F25" s="39">
        <v>8000</v>
      </c>
      <c r="G25" s="90">
        <f t="shared" si="2"/>
        <v>79000</v>
      </c>
      <c r="I25" s="42">
        <v>23</v>
      </c>
      <c r="J25" s="39">
        <v>12000</v>
      </c>
      <c r="K25" s="90">
        <f t="shared" si="3"/>
        <v>118500</v>
      </c>
      <c r="M25" s="42">
        <v>23</v>
      </c>
      <c r="N25" s="39">
        <v>1600</v>
      </c>
      <c r="O25" s="90">
        <f t="shared" si="4"/>
        <v>18500</v>
      </c>
    </row>
    <row r="26" spans="1:40" x14ac:dyDescent="0.3">
      <c r="A26" s="42">
        <v>24</v>
      </c>
      <c r="B26" s="39">
        <v>2300</v>
      </c>
      <c r="C26" s="90">
        <f t="shared" si="1"/>
        <v>27600</v>
      </c>
      <c r="E26" s="42">
        <v>24</v>
      </c>
      <c r="F26" s="39">
        <v>9000</v>
      </c>
      <c r="G26" s="90">
        <f t="shared" si="2"/>
        <v>88000</v>
      </c>
      <c r="I26" s="42">
        <v>24</v>
      </c>
      <c r="J26" s="39">
        <v>13500</v>
      </c>
      <c r="K26" s="90">
        <f t="shared" si="3"/>
        <v>132000</v>
      </c>
      <c r="M26" s="42">
        <v>24</v>
      </c>
      <c r="N26" s="39">
        <v>1600</v>
      </c>
      <c r="O26" s="90">
        <f t="shared" si="4"/>
        <v>20100</v>
      </c>
    </row>
    <row r="27" spans="1:40" x14ac:dyDescent="0.3">
      <c r="A27" s="42">
        <v>25</v>
      </c>
      <c r="B27" s="39">
        <v>2400</v>
      </c>
      <c r="C27" s="90">
        <f t="shared" si="1"/>
        <v>30000</v>
      </c>
      <c r="E27" s="42">
        <v>25</v>
      </c>
      <c r="F27" s="39">
        <v>10000</v>
      </c>
      <c r="G27" s="90">
        <f t="shared" si="2"/>
        <v>98000</v>
      </c>
      <c r="I27" s="42">
        <v>25</v>
      </c>
      <c r="J27" s="39">
        <v>15000</v>
      </c>
      <c r="K27" s="90">
        <f t="shared" si="3"/>
        <v>147000</v>
      </c>
      <c r="M27" s="42">
        <v>25</v>
      </c>
      <c r="N27" s="39">
        <v>1700</v>
      </c>
      <c r="O27" s="90">
        <f t="shared" si="4"/>
        <v>21800</v>
      </c>
    </row>
    <row r="28" spans="1:40" x14ac:dyDescent="0.3">
      <c r="A28" s="42">
        <v>26</v>
      </c>
      <c r="B28" s="39">
        <v>2500</v>
      </c>
      <c r="C28" s="90">
        <f t="shared" si="1"/>
        <v>32500</v>
      </c>
      <c r="E28" s="42">
        <v>26</v>
      </c>
      <c r="F28" s="39">
        <v>11000</v>
      </c>
      <c r="G28" s="90">
        <f t="shared" si="2"/>
        <v>109000</v>
      </c>
      <c r="I28" s="42">
        <v>26</v>
      </c>
      <c r="J28" s="39">
        <v>16500</v>
      </c>
      <c r="K28" s="90">
        <f t="shared" si="3"/>
        <v>163500</v>
      </c>
      <c r="M28" s="42">
        <v>26</v>
      </c>
      <c r="N28" s="39">
        <v>1800</v>
      </c>
      <c r="O28" s="90">
        <f t="shared" si="4"/>
        <v>23600</v>
      </c>
    </row>
    <row r="29" spans="1:40" x14ac:dyDescent="0.3">
      <c r="A29" s="42">
        <v>27</v>
      </c>
      <c r="B29" s="39">
        <v>2600</v>
      </c>
      <c r="C29" s="90">
        <f t="shared" si="1"/>
        <v>35100</v>
      </c>
      <c r="E29" s="42">
        <v>27</v>
      </c>
      <c r="F29" s="39">
        <v>12200</v>
      </c>
      <c r="G29" s="90">
        <f t="shared" si="2"/>
        <v>121200</v>
      </c>
      <c r="I29" s="42">
        <v>27</v>
      </c>
      <c r="J29" s="39">
        <v>18300</v>
      </c>
      <c r="K29" s="90">
        <f t="shared" si="3"/>
        <v>181800</v>
      </c>
      <c r="M29" s="42">
        <v>27</v>
      </c>
      <c r="N29" s="39">
        <v>1900</v>
      </c>
      <c r="O29" s="90">
        <f t="shared" si="4"/>
        <v>25500</v>
      </c>
    </row>
    <row r="30" spans="1:40" x14ac:dyDescent="0.3">
      <c r="A30" s="42">
        <v>28</v>
      </c>
      <c r="B30" s="39">
        <v>2800</v>
      </c>
      <c r="C30" s="90">
        <f t="shared" si="1"/>
        <v>37900</v>
      </c>
      <c r="E30" s="42">
        <v>28</v>
      </c>
      <c r="F30" s="39">
        <v>13400</v>
      </c>
      <c r="G30" s="90">
        <f t="shared" si="2"/>
        <v>134600</v>
      </c>
      <c r="I30" s="42">
        <v>28</v>
      </c>
      <c r="J30" s="39">
        <v>20100</v>
      </c>
      <c r="K30" s="90">
        <f t="shared" si="3"/>
        <v>201900</v>
      </c>
      <c r="M30" s="42">
        <v>28</v>
      </c>
      <c r="N30" s="39">
        <v>2100</v>
      </c>
      <c r="O30" s="90">
        <f t="shared" si="4"/>
        <v>27600</v>
      </c>
    </row>
    <row r="31" spans="1:40" x14ac:dyDescent="0.3">
      <c r="A31" s="42">
        <v>29</v>
      </c>
      <c r="B31" s="39">
        <v>3100</v>
      </c>
      <c r="C31" s="90">
        <f t="shared" si="1"/>
        <v>41000</v>
      </c>
      <c r="E31" s="42">
        <v>29</v>
      </c>
      <c r="F31" s="39">
        <v>14700</v>
      </c>
      <c r="G31" s="90">
        <f t="shared" si="2"/>
        <v>149300</v>
      </c>
      <c r="I31" s="42">
        <v>29</v>
      </c>
      <c r="J31" s="39">
        <v>22000</v>
      </c>
      <c r="K31" s="90">
        <f t="shared" si="3"/>
        <v>223900</v>
      </c>
      <c r="M31" s="42">
        <v>29</v>
      </c>
      <c r="N31" s="39">
        <v>2300</v>
      </c>
      <c r="O31" s="90">
        <f t="shared" si="4"/>
        <v>29900</v>
      </c>
    </row>
    <row r="32" spans="1:40" x14ac:dyDescent="0.3">
      <c r="A32" s="42">
        <v>30</v>
      </c>
      <c r="B32" s="39">
        <v>3400</v>
      </c>
      <c r="C32" s="90">
        <f t="shared" si="1"/>
        <v>44400</v>
      </c>
      <c r="E32" s="42">
        <v>30</v>
      </c>
      <c r="F32" s="39">
        <v>16000</v>
      </c>
      <c r="G32" s="90">
        <f t="shared" si="2"/>
        <v>165300</v>
      </c>
      <c r="I32" s="42">
        <v>30</v>
      </c>
      <c r="J32" s="39">
        <v>24000</v>
      </c>
      <c r="K32" s="90">
        <f t="shared" si="3"/>
        <v>247900</v>
      </c>
      <c r="M32" s="42">
        <v>30</v>
      </c>
      <c r="N32" s="39">
        <v>2500</v>
      </c>
      <c r="O32" s="90">
        <f t="shared" si="4"/>
        <v>32400</v>
      </c>
    </row>
    <row r="33" spans="1:15" x14ac:dyDescent="0.3">
      <c r="A33" s="42">
        <v>31</v>
      </c>
      <c r="B33" s="39">
        <v>4200</v>
      </c>
      <c r="C33" s="90">
        <f t="shared" si="1"/>
        <v>48600</v>
      </c>
      <c r="E33" s="42">
        <v>31</v>
      </c>
      <c r="F33" s="39">
        <v>17500</v>
      </c>
      <c r="G33" s="90">
        <f t="shared" si="2"/>
        <v>182800</v>
      </c>
      <c r="I33" s="42">
        <v>31</v>
      </c>
      <c r="J33" s="39">
        <v>26300</v>
      </c>
      <c r="K33" s="90">
        <f t="shared" si="3"/>
        <v>274200</v>
      </c>
      <c r="M33" s="42">
        <v>31</v>
      </c>
      <c r="N33" s="39">
        <v>3300</v>
      </c>
      <c r="O33" s="90">
        <f t="shared" si="4"/>
        <v>35700</v>
      </c>
    </row>
    <row r="34" spans="1:15" x14ac:dyDescent="0.3">
      <c r="A34" s="42">
        <v>32</v>
      </c>
      <c r="B34" s="39">
        <v>4600</v>
      </c>
      <c r="C34" s="90">
        <f t="shared" si="1"/>
        <v>53200</v>
      </c>
      <c r="E34" s="42">
        <v>32</v>
      </c>
      <c r="F34" s="39">
        <v>18900</v>
      </c>
      <c r="G34" s="90">
        <f t="shared" si="2"/>
        <v>201700</v>
      </c>
      <c r="I34" s="42">
        <v>32</v>
      </c>
      <c r="J34" s="39">
        <v>28300</v>
      </c>
      <c r="K34" s="90">
        <f t="shared" si="3"/>
        <v>302500</v>
      </c>
      <c r="M34" s="42">
        <v>32</v>
      </c>
      <c r="N34" s="39">
        <v>3600</v>
      </c>
      <c r="O34" s="90">
        <f t="shared" si="4"/>
        <v>39300</v>
      </c>
    </row>
    <row r="35" spans="1:15" x14ac:dyDescent="0.3">
      <c r="A35" s="42">
        <v>33</v>
      </c>
      <c r="B35" s="39">
        <v>5000</v>
      </c>
      <c r="C35" s="90">
        <f t="shared" si="1"/>
        <v>58200</v>
      </c>
      <c r="E35" s="42">
        <v>33</v>
      </c>
      <c r="F35" s="39">
        <v>20500</v>
      </c>
      <c r="G35" s="90">
        <f t="shared" si="2"/>
        <v>222200</v>
      </c>
      <c r="I35" s="42">
        <v>33</v>
      </c>
      <c r="J35" s="39">
        <v>30800</v>
      </c>
      <c r="K35" s="90">
        <f t="shared" si="3"/>
        <v>333300</v>
      </c>
      <c r="M35" s="42">
        <v>33</v>
      </c>
      <c r="N35" s="39">
        <v>3900</v>
      </c>
      <c r="O35" s="90">
        <f t="shared" si="4"/>
        <v>43200</v>
      </c>
    </row>
    <row r="36" spans="1:15" x14ac:dyDescent="0.3">
      <c r="A36" s="42">
        <v>34</v>
      </c>
      <c r="B36" s="39">
        <v>5400</v>
      </c>
      <c r="C36" s="90">
        <f t="shared" si="1"/>
        <v>63600</v>
      </c>
      <c r="E36" s="42">
        <v>34</v>
      </c>
      <c r="F36" s="39">
        <v>22200</v>
      </c>
      <c r="G36" s="90">
        <f t="shared" si="2"/>
        <v>244400</v>
      </c>
      <c r="I36" s="42">
        <v>34</v>
      </c>
      <c r="J36" s="39">
        <v>33300</v>
      </c>
      <c r="K36" s="90">
        <f t="shared" si="3"/>
        <v>366600</v>
      </c>
      <c r="M36" s="42">
        <v>34</v>
      </c>
      <c r="N36" s="39">
        <v>4200</v>
      </c>
      <c r="O36" s="90">
        <f t="shared" si="4"/>
        <v>47400</v>
      </c>
    </row>
    <row r="37" spans="1:15" x14ac:dyDescent="0.3">
      <c r="A37" s="42">
        <v>35</v>
      </c>
      <c r="B37" s="39">
        <v>5800</v>
      </c>
      <c r="C37" s="90">
        <f t="shared" si="1"/>
        <v>69400</v>
      </c>
      <c r="E37" s="42">
        <v>35</v>
      </c>
      <c r="F37" s="39">
        <v>23900</v>
      </c>
      <c r="G37" s="90">
        <f t="shared" si="2"/>
        <v>268300</v>
      </c>
      <c r="I37" s="42">
        <v>35</v>
      </c>
      <c r="J37" s="39">
        <v>35800</v>
      </c>
      <c r="K37" s="90">
        <f t="shared" si="3"/>
        <v>402400</v>
      </c>
      <c r="M37" s="42">
        <v>35</v>
      </c>
      <c r="N37" s="39">
        <v>4500</v>
      </c>
      <c r="O37" s="90">
        <f t="shared" si="4"/>
        <v>51900</v>
      </c>
    </row>
    <row r="38" spans="1:15" x14ac:dyDescent="0.3">
      <c r="A38" s="42">
        <v>36</v>
      </c>
      <c r="B38" s="39">
        <v>6300</v>
      </c>
      <c r="C38" s="90">
        <f t="shared" si="1"/>
        <v>75700</v>
      </c>
      <c r="E38" s="42">
        <v>36</v>
      </c>
      <c r="F38" s="39">
        <v>25700</v>
      </c>
      <c r="G38" s="90">
        <f t="shared" si="2"/>
        <v>294000</v>
      </c>
      <c r="I38" s="42">
        <v>36</v>
      </c>
      <c r="J38" s="39">
        <v>38600</v>
      </c>
      <c r="K38" s="90">
        <f t="shared" si="3"/>
        <v>441000</v>
      </c>
      <c r="M38" s="42">
        <v>36</v>
      </c>
      <c r="N38" s="39">
        <v>4800</v>
      </c>
      <c r="O38" s="90">
        <f t="shared" si="4"/>
        <v>56700</v>
      </c>
    </row>
    <row r="39" spans="1:15" x14ac:dyDescent="0.3">
      <c r="A39" s="42">
        <v>37</v>
      </c>
      <c r="B39" s="39">
        <v>6700</v>
      </c>
      <c r="C39" s="90">
        <f t="shared" si="1"/>
        <v>82400</v>
      </c>
      <c r="E39" s="42">
        <v>37</v>
      </c>
      <c r="F39" s="39">
        <v>27600</v>
      </c>
      <c r="G39" s="90">
        <f t="shared" si="2"/>
        <v>321600</v>
      </c>
      <c r="I39" s="42">
        <v>37</v>
      </c>
      <c r="J39" s="39">
        <v>41400</v>
      </c>
      <c r="K39" s="90">
        <f t="shared" si="3"/>
        <v>482400</v>
      </c>
      <c r="M39" s="42">
        <v>37</v>
      </c>
      <c r="N39" s="39">
        <v>5100</v>
      </c>
      <c r="O39" s="90">
        <f t="shared" si="4"/>
        <v>61800</v>
      </c>
    </row>
    <row r="40" spans="1:15" x14ac:dyDescent="0.3">
      <c r="A40" s="42">
        <v>38</v>
      </c>
      <c r="B40" s="39">
        <v>7200</v>
      </c>
      <c r="C40" s="90">
        <f t="shared" si="1"/>
        <v>89600</v>
      </c>
      <c r="E40" s="42">
        <v>38</v>
      </c>
      <c r="F40" s="39">
        <v>29500</v>
      </c>
      <c r="G40" s="90">
        <f t="shared" si="2"/>
        <v>351100</v>
      </c>
      <c r="I40" s="42">
        <v>38</v>
      </c>
      <c r="J40" s="39">
        <v>44200</v>
      </c>
      <c r="K40" s="90">
        <f t="shared" si="3"/>
        <v>526600</v>
      </c>
      <c r="M40" s="42">
        <v>38</v>
      </c>
      <c r="N40" s="39">
        <v>5500</v>
      </c>
      <c r="O40" s="90">
        <f t="shared" si="4"/>
        <v>67300</v>
      </c>
    </row>
    <row r="41" spans="1:15" x14ac:dyDescent="0.3">
      <c r="A41" s="42">
        <v>39</v>
      </c>
      <c r="B41" s="39">
        <v>7700</v>
      </c>
      <c r="C41" s="90">
        <f t="shared" si="1"/>
        <v>97300</v>
      </c>
      <c r="E41" s="42">
        <v>39</v>
      </c>
      <c r="F41" s="39">
        <v>31600</v>
      </c>
      <c r="G41" s="90">
        <f t="shared" si="2"/>
        <v>382700</v>
      </c>
      <c r="I41" s="42">
        <v>39</v>
      </c>
      <c r="J41" s="39">
        <v>47400</v>
      </c>
      <c r="K41" s="90">
        <f t="shared" si="3"/>
        <v>574000</v>
      </c>
      <c r="M41" s="42">
        <v>39</v>
      </c>
      <c r="N41" s="39">
        <v>5800</v>
      </c>
      <c r="O41" s="90">
        <f t="shared" si="4"/>
        <v>73100</v>
      </c>
    </row>
    <row r="42" spans="1:15" x14ac:dyDescent="0.3">
      <c r="A42" s="42">
        <v>40</v>
      </c>
      <c r="B42" s="39">
        <v>8200</v>
      </c>
      <c r="C42" s="90">
        <f t="shared" si="1"/>
        <v>105500</v>
      </c>
      <c r="E42" s="42">
        <v>40</v>
      </c>
      <c r="F42" s="39">
        <v>33700</v>
      </c>
      <c r="G42" s="90">
        <f t="shared" si="2"/>
        <v>416400</v>
      </c>
      <c r="I42" s="42">
        <v>40</v>
      </c>
      <c r="J42" s="39">
        <v>50600</v>
      </c>
      <c r="K42" s="90">
        <f t="shared" si="3"/>
        <v>624600</v>
      </c>
      <c r="M42" s="42">
        <v>40</v>
      </c>
      <c r="N42" s="39">
        <v>6200</v>
      </c>
      <c r="O42" s="90">
        <f t="shared" si="4"/>
        <v>79300</v>
      </c>
    </row>
    <row r="43" spans="1:15" x14ac:dyDescent="0.3">
      <c r="A43" s="42">
        <v>41</v>
      </c>
      <c r="B43" s="39">
        <v>8800</v>
      </c>
      <c r="C43" s="90">
        <f t="shared" si="1"/>
        <v>114300</v>
      </c>
      <c r="E43" s="42">
        <v>41</v>
      </c>
      <c r="F43" s="39">
        <v>35900</v>
      </c>
      <c r="G43" s="90">
        <f t="shared" si="2"/>
        <v>452300</v>
      </c>
      <c r="I43" s="42">
        <v>41</v>
      </c>
      <c r="J43" s="39">
        <v>53800</v>
      </c>
      <c r="K43" s="90">
        <f t="shared" si="3"/>
        <v>678400</v>
      </c>
      <c r="M43" s="42">
        <v>41</v>
      </c>
      <c r="N43" s="39">
        <v>6600</v>
      </c>
      <c r="O43" s="90">
        <f t="shared" si="4"/>
        <v>85900</v>
      </c>
    </row>
    <row r="44" spans="1:15" x14ac:dyDescent="0.3">
      <c r="A44" s="42">
        <v>42</v>
      </c>
      <c r="B44" s="39">
        <v>9300</v>
      </c>
      <c r="C44" s="90">
        <f t="shared" si="1"/>
        <v>123600</v>
      </c>
      <c r="E44" s="42">
        <v>42</v>
      </c>
      <c r="F44" s="39">
        <v>38200</v>
      </c>
      <c r="G44" s="90">
        <f t="shared" si="2"/>
        <v>490500</v>
      </c>
      <c r="I44" s="42">
        <v>42</v>
      </c>
      <c r="J44" s="39">
        <v>57300</v>
      </c>
      <c r="K44" s="90">
        <f t="shared" si="3"/>
        <v>735700</v>
      </c>
      <c r="M44" s="42">
        <v>42</v>
      </c>
      <c r="N44" s="39">
        <v>7000</v>
      </c>
      <c r="O44" s="90">
        <f t="shared" si="4"/>
        <v>92900</v>
      </c>
    </row>
    <row r="45" spans="1:15" x14ac:dyDescent="0.3">
      <c r="A45" s="42">
        <v>43</v>
      </c>
      <c r="B45" s="39">
        <v>9900</v>
      </c>
      <c r="C45" s="90">
        <f t="shared" si="1"/>
        <v>133500</v>
      </c>
      <c r="E45" s="42">
        <v>43</v>
      </c>
      <c r="F45" s="39">
        <v>40500</v>
      </c>
      <c r="G45" s="90">
        <f t="shared" si="2"/>
        <v>531000</v>
      </c>
      <c r="I45" s="42">
        <v>43</v>
      </c>
      <c r="J45" s="39">
        <v>60800</v>
      </c>
      <c r="K45" s="90">
        <f t="shared" si="3"/>
        <v>796500</v>
      </c>
      <c r="M45" s="42">
        <v>43</v>
      </c>
      <c r="N45" s="39">
        <v>7400</v>
      </c>
      <c r="O45" s="90">
        <f t="shared" si="4"/>
        <v>100300</v>
      </c>
    </row>
    <row r="46" spans="1:15" x14ac:dyDescent="0.3">
      <c r="A46" s="42">
        <v>44</v>
      </c>
      <c r="B46" s="39">
        <v>10500</v>
      </c>
      <c r="C46" s="90">
        <f t="shared" si="1"/>
        <v>144000</v>
      </c>
      <c r="E46" s="42">
        <v>44</v>
      </c>
      <c r="F46" s="39">
        <v>43000</v>
      </c>
      <c r="G46" s="90">
        <f t="shared" si="2"/>
        <v>574000</v>
      </c>
      <c r="I46" s="42">
        <v>44</v>
      </c>
      <c r="J46" s="39">
        <v>64500</v>
      </c>
      <c r="K46" s="90">
        <f t="shared" si="3"/>
        <v>861000</v>
      </c>
      <c r="M46" s="42">
        <v>44</v>
      </c>
      <c r="N46" s="39">
        <v>7800</v>
      </c>
      <c r="O46" s="90">
        <f t="shared" si="4"/>
        <v>108100</v>
      </c>
    </row>
    <row r="47" spans="1:15" x14ac:dyDescent="0.3">
      <c r="A47" s="42">
        <v>45</v>
      </c>
      <c r="B47" s="39">
        <v>11100</v>
      </c>
      <c r="C47" s="90">
        <f t="shared" si="1"/>
        <v>155100</v>
      </c>
      <c r="E47" s="42">
        <v>45</v>
      </c>
      <c r="F47" s="39">
        <v>45500</v>
      </c>
      <c r="G47" s="90">
        <f t="shared" si="2"/>
        <v>619500</v>
      </c>
      <c r="I47" s="42">
        <v>45</v>
      </c>
      <c r="J47" s="39">
        <v>68200</v>
      </c>
      <c r="K47" s="90">
        <f t="shared" si="3"/>
        <v>929200</v>
      </c>
      <c r="M47" s="42">
        <v>45</v>
      </c>
      <c r="N47" s="39">
        <v>8200</v>
      </c>
      <c r="O47" s="90">
        <f t="shared" si="4"/>
        <v>116300</v>
      </c>
    </row>
    <row r="48" spans="1:15" x14ac:dyDescent="0.3">
      <c r="A48" s="42">
        <v>46</v>
      </c>
      <c r="B48" s="39">
        <v>11800</v>
      </c>
      <c r="C48" s="90">
        <f t="shared" si="1"/>
        <v>166900</v>
      </c>
      <c r="E48" s="42">
        <v>46</v>
      </c>
      <c r="F48" s="39">
        <v>48200</v>
      </c>
      <c r="G48" s="90">
        <f t="shared" si="2"/>
        <v>667700</v>
      </c>
      <c r="I48" s="42">
        <v>46</v>
      </c>
      <c r="J48" s="39">
        <v>72300</v>
      </c>
      <c r="K48" s="90">
        <f t="shared" si="3"/>
        <v>1001500</v>
      </c>
      <c r="M48" s="42">
        <v>46</v>
      </c>
      <c r="N48" s="39">
        <v>8700</v>
      </c>
      <c r="O48" s="90">
        <f t="shared" si="4"/>
        <v>125000</v>
      </c>
    </row>
    <row r="49" spans="1:15" x14ac:dyDescent="0.3">
      <c r="A49" s="42">
        <v>47</v>
      </c>
      <c r="B49" s="39">
        <v>12500</v>
      </c>
      <c r="C49" s="90">
        <f t="shared" si="1"/>
        <v>179400</v>
      </c>
      <c r="E49" s="42">
        <v>47</v>
      </c>
      <c r="F49" s="39">
        <v>50900</v>
      </c>
      <c r="G49" s="90">
        <f t="shared" si="2"/>
        <v>718600</v>
      </c>
      <c r="I49" s="42">
        <v>47</v>
      </c>
      <c r="J49" s="39">
        <v>76400</v>
      </c>
      <c r="K49" s="90">
        <f t="shared" si="3"/>
        <v>1077900</v>
      </c>
      <c r="M49" s="42">
        <v>47</v>
      </c>
      <c r="N49" s="39">
        <v>9100</v>
      </c>
      <c r="O49" s="90">
        <f t="shared" si="4"/>
        <v>134100</v>
      </c>
    </row>
    <row r="50" spans="1:15" x14ac:dyDescent="0.3">
      <c r="A50" s="42">
        <v>48</v>
      </c>
      <c r="B50" s="39">
        <v>13100</v>
      </c>
      <c r="C50" s="90">
        <f t="shared" si="1"/>
        <v>192500</v>
      </c>
      <c r="E50" s="42">
        <v>48</v>
      </c>
      <c r="F50" s="39">
        <v>53700</v>
      </c>
      <c r="G50" s="90">
        <f t="shared" si="2"/>
        <v>772300</v>
      </c>
      <c r="I50" s="42">
        <v>48</v>
      </c>
      <c r="J50" s="39">
        <v>80500</v>
      </c>
      <c r="K50" s="90">
        <f t="shared" si="3"/>
        <v>1158400</v>
      </c>
      <c r="M50" s="42">
        <v>48</v>
      </c>
      <c r="N50" s="39">
        <v>9600</v>
      </c>
      <c r="O50" s="90">
        <f t="shared" si="4"/>
        <v>143700</v>
      </c>
    </row>
    <row r="51" spans="1:15" x14ac:dyDescent="0.3">
      <c r="A51" s="42">
        <v>49</v>
      </c>
      <c r="B51" s="39">
        <v>13900</v>
      </c>
      <c r="C51" s="90">
        <f t="shared" si="1"/>
        <v>206400</v>
      </c>
      <c r="E51" s="42">
        <v>49</v>
      </c>
      <c r="F51" s="39">
        <v>56600</v>
      </c>
      <c r="G51" s="90">
        <f t="shared" si="2"/>
        <v>828900</v>
      </c>
      <c r="I51" s="42">
        <v>49</v>
      </c>
      <c r="J51" s="39">
        <v>84900</v>
      </c>
      <c r="K51" s="90">
        <f t="shared" si="3"/>
        <v>1243300</v>
      </c>
      <c r="M51" s="42">
        <v>49</v>
      </c>
      <c r="N51" s="39">
        <v>10100</v>
      </c>
      <c r="O51" s="90">
        <f t="shared" si="4"/>
        <v>153800</v>
      </c>
    </row>
    <row r="52" spans="1:15" x14ac:dyDescent="0.3">
      <c r="A52" s="42">
        <v>50</v>
      </c>
      <c r="B52" s="39">
        <v>14600</v>
      </c>
      <c r="C52" s="90">
        <f t="shared" si="1"/>
        <v>221000</v>
      </c>
      <c r="E52" s="42">
        <v>50</v>
      </c>
      <c r="F52" s="39">
        <v>59600</v>
      </c>
      <c r="G52" s="90">
        <f t="shared" si="2"/>
        <v>888500</v>
      </c>
      <c r="I52" s="42">
        <v>50</v>
      </c>
      <c r="J52" s="39">
        <v>89400</v>
      </c>
      <c r="K52" s="90">
        <f t="shared" si="3"/>
        <v>1332700</v>
      </c>
      <c r="M52" s="42">
        <v>50</v>
      </c>
      <c r="N52" s="39">
        <v>10600</v>
      </c>
      <c r="O52" s="90">
        <f t="shared" si="4"/>
        <v>164400</v>
      </c>
    </row>
    <row r="53" spans="1:15" x14ac:dyDescent="0.3">
      <c r="A53" s="42">
        <v>51</v>
      </c>
      <c r="B53" s="39">
        <v>15400</v>
      </c>
      <c r="C53" s="90">
        <f t="shared" si="1"/>
        <v>236400</v>
      </c>
      <c r="E53" s="42">
        <v>51</v>
      </c>
      <c r="F53" s="39">
        <v>62700</v>
      </c>
      <c r="G53" s="90">
        <f t="shared" si="2"/>
        <v>951200</v>
      </c>
      <c r="I53" s="42">
        <v>51</v>
      </c>
      <c r="J53" s="39">
        <v>94100</v>
      </c>
      <c r="K53" s="90">
        <f t="shared" si="3"/>
        <v>1426800</v>
      </c>
      <c r="M53" s="42">
        <v>51</v>
      </c>
      <c r="N53" s="39">
        <v>15400</v>
      </c>
      <c r="O53" s="90">
        <f t="shared" si="4"/>
        <v>179800</v>
      </c>
    </row>
    <row r="54" spans="1:15" x14ac:dyDescent="0.3">
      <c r="A54" s="42">
        <v>52</v>
      </c>
      <c r="B54" s="39">
        <v>16100</v>
      </c>
      <c r="C54" s="90">
        <f t="shared" si="1"/>
        <v>252500</v>
      </c>
      <c r="E54" s="42">
        <v>52</v>
      </c>
      <c r="F54" s="39">
        <v>65900</v>
      </c>
      <c r="G54" s="90">
        <f t="shared" si="2"/>
        <v>1017100</v>
      </c>
      <c r="I54" s="42">
        <v>52</v>
      </c>
      <c r="J54" s="39">
        <v>98800</v>
      </c>
      <c r="K54" s="90">
        <f t="shared" si="3"/>
        <v>1525600</v>
      </c>
      <c r="M54" s="42">
        <v>52</v>
      </c>
      <c r="N54" s="39">
        <v>16100</v>
      </c>
      <c r="O54" s="90">
        <f t="shared" si="4"/>
        <v>195900</v>
      </c>
    </row>
    <row r="55" spans="1:15" x14ac:dyDescent="0.3">
      <c r="A55" s="42">
        <v>53</v>
      </c>
      <c r="B55" s="39">
        <v>16900</v>
      </c>
      <c r="C55" s="90">
        <f t="shared" si="1"/>
        <v>269400</v>
      </c>
      <c r="E55" s="42">
        <v>53</v>
      </c>
      <c r="F55" s="39">
        <v>69200</v>
      </c>
      <c r="G55" s="90">
        <f t="shared" si="2"/>
        <v>1086300</v>
      </c>
      <c r="I55" s="42">
        <v>53</v>
      </c>
      <c r="J55" s="39">
        <v>103800</v>
      </c>
      <c r="K55" s="90">
        <f t="shared" si="3"/>
        <v>1629400</v>
      </c>
      <c r="M55" s="42">
        <v>53</v>
      </c>
      <c r="N55" s="39">
        <v>16900</v>
      </c>
      <c r="O55" s="90">
        <f t="shared" si="4"/>
        <v>212800</v>
      </c>
    </row>
    <row r="56" spans="1:15" x14ac:dyDescent="0.3">
      <c r="A56" s="42">
        <v>54</v>
      </c>
      <c r="B56" s="39">
        <v>17800</v>
      </c>
      <c r="C56" s="90">
        <f t="shared" si="1"/>
        <v>287200</v>
      </c>
      <c r="E56" s="42">
        <v>54</v>
      </c>
      <c r="F56" s="39">
        <v>72600</v>
      </c>
      <c r="G56" s="90">
        <f t="shared" si="2"/>
        <v>1158900</v>
      </c>
      <c r="I56" s="42">
        <v>54</v>
      </c>
      <c r="J56" s="39">
        <v>108900</v>
      </c>
      <c r="K56" s="90">
        <f t="shared" si="3"/>
        <v>1738300</v>
      </c>
      <c r="M56" s="42">
        <v>54</v>
      </c>
      <c r="N56" s="39">
        <v>17700</v>
      </c>
      <c r="O56" s="90">
        <f t="shared" si="4"/>
        <v>230500</v>
      </c>
    </row>
    <row r="57" spans="1:15" x14ac:dyDescent="0.3">
      <c r="A57" s="42">
        <v>55</v>
      </c>
      <c r="B57" s="39">
        <v>18600</v>
      </c>
      <c r="C57" s="90">
        <f t="shared" si="1"/>
        <v>305800</v>
      </c>
      <c r="E57" s="42">
        <v>55</v>
      </c>
      <c r="F57" s="39">
        <v>76000</v>
      </c>
      <c r="G57" s="90">
        <f t="shared" si="2"/>
        <v>1234900</v>
      </c>
      <c r="I57" s="42">
        <v>55</v>
      </c>
      <c r="J57" s="39">
        <v>114000</v>
      </c>
      <c r="K57" s="90">
        <f t="shared" si="3"/>
        <v>1852300</v>
      </c>
      <c r="M57" s="42">
        <v>55</v>
      </c>
      <c r="N57" s="39">
        <v>18600</v>
      </c>
      <c r="O57" s="90">
        <f t="shared" si="4"/>
        <v>249100</v>
      </c>
    </row>
    <row r="58" spans="1:15" x14ac:dyDescent="0.3">
      <c r="A58" s="42">
        <v>56</v>
      </c>
      <c r="B58" s="39">
        <v>19500</v>
      </c>
      <c r="C58" s="90">
        <f t="shared" si="1"/>
        <v>325300</v>
      </c>
      <c r="E58" s="42">
        <v>56</v>
      </c>
      <c r="F58" s="39">
        <v>79600</v>
      </c>
      <c r="G58" s="90">
        <f t="shared" si="2"/>
        <v>1314500</v>
      </c>
      <c r="I58" s="42">
        <v>56</v>
      </c>
      <c r="J58" s="39">
        <v>119500</v>
      </c>
      <c r="K58" s="90">
        <f t="shared" si="3"/>
        <v>1971800</v>
      </c>
      <c r="M58" s="42">
        <v>56</v>
      </c>
      <c r="N58" s="39">
        <v>19400</v>
      </c>
      <c r="O58" s="90">
        <f t="shared" si="4"/>
        <v>268500</v>
      </c>
    </row>
    <row r="59" spans="1:15" x14ac:dyDescent="0.3">
      <c r="A59" s="42">
        <v>57</v>
      </c>
      <c r="B59" s="39">
        <v>20400</v>
      </c>
      <c r="C59" s="90">
        <f t="shared" si="1"/>
        <v>345700</v>
      </c>
      <c r="E59" s="42">
        <v>57</v>
      </c>
      <c r="F59" s="39">
        <v>83300</v>
      </c>
      <c r="G59" s="90">
        <f t="shared" si="2"/>
        <v>1397800</v>
      </c>
      <c r="I59" s="42">
        <v>57</v>
      </c>
      <c r="J59" s="39">
        <v>124900</v>
      </c>
      <c r="K59" s="90">
        <f t="shared" si="3"/>
        <v>2096700</v>
      </c>
      <c r="M59" s="42">
        <v>57</v>
      </c>
      <c r="N59" s="39">
        <v>20300</v>
      </c>
      <c r="O59" s="90">
        <f t="shared" si="4"/>
        <v>288800</v>
      </c>
    </row>
    <row r="60" spans="1:15" x14ac:dyDescent="0.3">
      <c r="A60" s="42">
        <v>58</v>
      </c>
      <c r="B60" s="39">
        <v>21300</v>
      </c>
      <c r="C60" s="90">
        <f t="shared" si="1"/>
        <v>367000</v>
      </c>
      <c r="E60" s="42">
        <v>58</v>
      </c>
      <c r="F60" s="39">
        <v>87000</v>
      </c>
      <c r="G60" s="90">
        <f t="shared" si="2"/>
        <v>1484800</v>
      </c>
      <c r="I60" s="42">
        <v>58</v>
      </c>
      <c r="J60" s="39">
        <v>130500</v>
      </c>
      <c r="K60" s="90">
        <f t="shared" si="3"/>
        <v>2227200</v>
      </c>
      <c r="M60" s="42">
        <v>58</v>
      </c>
      <c r="N60" s="39">
        <v>21200</v>
      </c>
      <c r="O60" s="90">
        <f t="shared" si="4"/>
        <v>310000</v>
      </c>
    </row>
    <row r="61" spans="1:15" x14ac:dyDescent="0.3">
      <c r="A61" s="42">
        <v>59</v>
      </c>
      <c r="B61" s="39">
        <v>22300</v>
      </c>
      <c r="C61" s="90">
        <f t="shared" si="1"/>
        <v>389300</v>
      </c>
      <c r="E61" s="42">
        <v>59</v>
      </c>
      <c r="F61" s="39">
        <v>90900</v>
      </c>
      <c r="G61" s="90">
        <f t="shared" si="2"/>
        <v>1575700</v>
      </c>
      <c r="I61" s="42">
        <v>59</v>
      </c>
      <c r="J61" s="39">
        <v>136300</v>
      </c>
      <c r="K61" s="90">
        <f t="shared" si="3"/>
        <v>2363500</v>
      </c>
      <c r="M61" s="42">
        <v>59</v>
      </c>
      <c r="N61" s="39">
        <v>22100</v>
      </c>
      <c r="O61" s="90">
        <f t="shared" si="4"/>
        <v>332100</v>
      </c>
    </row>
    <row r="62" spans="1:15" x14ac:dyDescent="0.3">
      <c r="A62" s="42">
        <v>60</v>
      </c>
      <c r="B62" s="39">
        <v>23300</v>
      </c>
      <c r="C62" s="90">
        <f t="shared" si="1"/>
        <v>412600</v>
      </c>
      <c r="E62" s="42">
        <v>60</v>
      </c>
      <c r="F62" s="39">
        <v>94900</v>
      </c>
      <c r="G62" s="90">
        <f t="shared" si="2"/>
        <v>1670600</v>
      </c>
      <c r="I62" s="42">
        <v>60</v>
      </c>
      <c r="J62" s="39">
        <v>142400</v>
      </c>
      <c r="K62" s="90">
        <f t="shared" si="3"/>
        <v>2505900</v>
      </c>
      <c r="M62" s="42">
        <v>60</v>
      </c>
      <c r="N62" s="39">
        <v>23100</v>
      </c>
      <c r="O62" s="90">
        <f t="shared" si="4"/>
        <v>355200</v>
      </c>
    </row>
    <row r="63" spans="1:15" x14ac:dyDescent="0.3">
      <c r="A63" s="42">
        <v>61</v>
      </c>
      <c r="B63" s="39">
        <v>24300</v>
      </c>
      <c r="C63" s="90">
        <f t="shared" si="1"/>
        <v>436900</v>
      </c>
      <c r="E63" s="42">
        <v>61</v>
      </c>
      <c r="F63" s="39">
        <v>99000</v>
      </c>
      <c r="G63" s="90">
        <f t="shared" si="2"/>
        <v>1769600</v>
      </c>
      <c r="I63" s="42">
        <v>61</v>
      </c>
      <c r="J63" s="39">
        <v>148500</v>
      </c>
      <c r="K63" s="90">
        <f t="shared" si="3"/>
        <v>2654400</v>
      </c>
      <c r="M63" s="42">
        <v>61</v>
      </c>
      <c r="N63" s="39">
        <v>24100</v>
      </c>
      <c r="O63" s="90">
        <f t="shared" si="4"/>
        <v>379300</v>
      </c>
    </row>
    <row r="64" spans="1:15" x14ac:dyDescent="0.3">
      <c r="A64" s="42">
        <v>62</v>
      </c>
      <c r="B64" s="39">
        <v>25300</v>
      </c>
      <c r="C64" s="90">
        <f t="shared" si="1"/>
        <v>462200</v>
      </c>
      <c r="E64" s="42">
        <v>62</v>
      </c>
      <c r="F64" s="39">
        <v>103100</v>
      </c>
      <c r="G64" s="90">
        <f t="shared" si="2"/>
        <v>1872700</v>
      </c>
      <c r="I64" s="42">
        <v>62</v>
      </c>
      <c r="J64" s="39">
        <v>154600</v>
      </c>
      <c r="K64" s="90">
        <f t="shared" si="3"/>
        <v>2809000</v>
      </c>
      <c r="M64" s="42">
        <v>62</v>
      </c>
      <c r="N64" s="39">
        <v>25100</v>
      </c>
      <c r="O64" s="90">
        <f t="shared" si="4"/>
        <v>404400</v>
      </c>
    </row>
    <row r="65" spans="1:15" x14ac:dyDescent="0.3">
      <c r="A65" s="42">
        <v>63</v>
      </c>
      <c r="B65" s="39">
        <v>26300</v>
      </c>
      <c r="C65" s="90">
        <f t="shared" si="1"/>
        <v>488500</v>
      </c>
      <c r="E65" s="42">
        <v>63</v>
      </c>
      <c r="F65" s="39">
        <v>107400</v>
      </c>
      <c r="G65" s="90">
        <f t="shared" si="2"/>
        <v>1980100</v>
      </c>
      <c r="I65" s="42">
        <v>63</v>
      </c>
      <c r="J65" s="39">
        <v>161100</v>
      </c>
      <c r="K65" s="90">
        <f t="shared" si="3"/>
        <v>2970100</v>
      </c>
      <c r="M65" s="42">
        <v>63</v>
      </c>
      <c r="N65" s="39">
        <v>26100</v>
      </c>
      <c r="O65" s="90">
        <f t="shared" si="4"/>
        <v>430500</v>
      </c>
    </row>
    <row r="66" spans="1:15" x14ac:dyDescent="0.3">
      <c r="A66" s="42">
        <v>64</v>
      </c>
      <c r="B66" s="39">
        <v>27400</v>
      </c>
      <c r="C66" s="90">
        <f t="shared" si="1"/>
        <v>515900</v>
      </c>
      <c r="E66" s="42">
        <v>64</v>
      </c>
      <c r="F66" s="39">
        <v>111800</v>
      </c>
      <c r="G66" s="90">
        <f t="shared" si="2"/>
        <v>2091900</v>
      </c>
      <c r="I66" s="42">
        <v>64</v>
      </c>
      <c r="J66" s="39">
        <v>167700</v>
      </c>
      <c r="K66" s="90">
        <f t="shared" si="3"/>
        <v>3137800</v>
      </c>
      <c r="M66" s="42">
        <v>64</v>
      </c>
      <c r="N66" s="39">
        <v>27200</v>
      </c>
      <c r="O66" s="90">
        <f t="shared" si="4"/>
        <v>457700</v>
      </c>
    </row>
    <row r="67" spans="1:15" x14ac:dyDescent="0.3">
      <c r="A67" s="42">
        <v>65</v>
      </c>
      <c r="B67" s="39">
        <v>28500</v>
      </c>
      <c r="C67" s="90">
        <f t="shared" si="1"/>
        <v>544400</v>
      </c>
      <c r="E67" s="42">
        <v>65</v>
      </c>
      <c r="F67" s="39">
        <v>116300</v>
      </c>
      <c r="G67" s="90">
        <f t="shared" si="2"/>
        <v>2208200</v>
      </c>
      <c r="I67" s="42">
        <v>65</v>
      </c>
      <c r="J67" s="39">
        <v>174500</v>
      </c>
      <c r="K67" s="90">
        <f t="shared" si="3"/>
        <v>3312300</v>
      </c>
      <c r="M67" s="42">
        <v>65</v>
      </c>
      <c r="N67" s="39">
        <v>28200</v>
      </c>
      <c r="O67" s="90">
        <f t="shared" si="4"/>
        <v>485900</v>
      </c>
    </row>
    <row r="68" spans="1:15" x14ac:dyDescent="0.3">
      <c r="A68" s="42">
        <v>66</v>
      </c>
      <c r="B68" s="39">
        <v>29600</v>
      </c>
      <c r="C68" s="90">
        <f t="shared" si="1"/>
        <v>574000</v>
      </c>
      <c r="E68" s="42">
        <v>66</v>
      </c>
      <c r="F68" s="39">
        <v>120900</v>
      </c>
      <c r="G68" s="90">
        <f t="shared" si="2"/>
        <v>2329100</v>
      </c>
      <c r="I68" s="42">
        <v>66</v>
      </c>
      <c r="J68" s="39">
        <v>181500</v>
      </c>
      <c r="K68" s="90">
        <f t="shared" si="3"/>
        <v>3493800</v>
      </c>
      <c r="M68" s="42">
        <v>66</v>
      </c>
      <c r="N68" s="39">
        <v>29300</v>
      </c>
      <c r="O68" s="90">
        <f t="shared" si="4"/>
        <v>515200</v>
      </c>
    </row>
    <row r="69" spans="1:15" x14ac:dyDescent="0.3">
      <c r="A69" s="42">
        <v>67</v>
      </c>
      <c r="B69" s="39">
        <v>30800</v>
      </c>
      <c r="C69" s="90">
        <f t="shared" ref="C69:C122" si="5">B69+C68</f>
        <v>604800</v>
      </c>
      <c r="E69" s="42">
        <v>67</v>
      </c>
      <c r="F69" s="39">
        <v>125600</v>
      </c>
      <c r="G69" s="90">
        <f t="shared" ref="G69:G102" si="6">F69+G68</f>
        <v>2454700</v>
      </c>
      <c r="I69" s="42">
        <v>67</v>
      </c>
      <c r="J69" s="39">
        <v>188500</v>
      </c>
      <c r="K69" s="90">
        <f t="shared" ref="K69:K102" si="7">J69+K68</f>
        <v>3682300</v>
      </c>
      <c r="M69" s="42">
        <v>67</v>
      </c>
      <c r="N69" s="39">
        <v>30400</v>
      </c>
      <c r="O69" s="90">
        <f t="shared" ref="O69:O102" si="8">N69+O68</f>
        <v>545600</v>
      </c>
    </row>
    <row r="70" spans="1:15" x14ac:dyDescent="0.3">
      <c r="A70" s="42">
        <v>68</v>
      </c>
      <c r="B70" s="39">
        <v>32000</v>
      </c>
      <c r="C70" s="90">
        <f t="shared" si="5"/>
        <v>636800</v>
      </c>
      <c r="E70" s="42">
        <v>68</v>
      </c>
      <c r="F70" s="39">
        <v>130400</v>
      </c>
      <c r="G70" s="90">
        <f t="shared" si="6"/>
        <v>2585100</v>
      </c>
      <c r="I70" s="42">
        <v>68</v>
      </c>
      <c r="J70" s="39">
        <v>195500</v>
      </c>
      <c r="K70" s="90">
        <f t="shared" si="7"/>
        <v>3877800</v>
      </c>
      <c r="M70" s="42">
        <v>68</v>
      </c>
      <c r="N70" s="39">
        <v>31600</v>
      </c>
      <c r="O70" s="90">
        <f t="shared" si="8"/>
        <v>577200</v>
      </c>
    </row>
    <row r="71" spans="1:15" x14ac:dyDescent="0.3">
      <c r="A71" s="42">
        <v>69</v>
      </c>
      <c r="B71" s="39">
        <v>33200</v>
      </c>
      <c r="C71" s="90">
        <f t="shared" si="5"/>
        <v>670000</v>
      </c>
      <c r="E71" s="42">
        <v>69</v>
      </c>
      <c r="F71" s="39">
        <v>135300</v>
      </c>
      <c r="G71" s="90">
        <f t="shared" si="6"/>
        <v>2720400</v>
      </c>
      <c r="I71" s="42">
        <v>69</v>
      </c>
      <c r="J71" s="39">
        <v>203000</v>
      </c>
      <c r="K71" s="90">
        <f t="shared" si="7"/>
        <v>4080800</v>
      </c>
      <c r="M71" s="42">
        <v>69</v>
      </c>
      <c r="N71" s="39">
        <v>32800</v>
      </c>
      <c r="O71" s="90">
        <f t="shared" si="8"/>
        <v>610000</v>
      </c>
    </row>
    <row r="72" spans="1:15" x14ac:dyDescent="0.3">
      <c r="A72" s="42">
        <v>70</v>
      </c>
      <c r="B72" s="39">
        <v>34400</v>
      </c>
      <c r="C72" s="90">
        <f t="shared" si="5"/>
        <v>704400</v>
      </c>
      <c r="E72" s="42">
        <v>70</v>
      </c>
      <c r="F72" s="39">
        <v>140400</v>
      </c>
      <c r="G72" s="90">
        <f t="shared" si="6"/>
        <v>2860800</v>
      </c>
      <c r="I72" s="42">
        <v>70</v>
      </c>
      <c r="J72" s="39">
        <v>210600</v>
      </c>
      <c r="K72" s="90">
        <f t="shared" si="7"/>
        <v>4291400</v>
      </c>
      <c r="M72" s="42">
        <v>70</v>
      </c>
      <c r="N72" s="39">
        <v>34000</v>
      </c>
      <c r="O72" s="90">
        <f t="shared" si="8"/>
        <v>644000</v>
      </c>
    </row>
    <row r="73" spans="1:15" x14ac:dyDescent="0.3">
      <c r="A73" s="42">
        <v>71</v>
      </c>
      <c r="B73" s="39">
        <v>45100</v>
      </c>
      <c r="C73" s="90">
        <f t="shared" si="5"/>
        <v>749500</v>
      </c>
      <c r="E73" s="42">
        <v>71</v>
      </c>
      <c r="F73" s="39">
        <v>145500</v>
      </c>
      <c r="G73" s="90">
        <f t="shared" si="6"/>
        <v>3006300</v>
      </c>
      <c r="I73" s="42">
        <v>71</v>
      </c>
      <c r="J73" s="39">
        <v>218200</v>
      </c>
      <c r="K73" s="90">
        <f t="shared" si="7"/>
        <v>4509600</v>
      </c>
      <c r="M73" s="42">
        <v>71</v>
      </c>
      <c r="N73" s="39">
        <v>47300</v>
      </c>
      <c r="O73" s="90">
        <f t="shared" si="8"/>
        <v>691300</v>
      </c>
    </row>
    <row r="74" spans="1:15" x14ac:dyDescent="0.3">
      <c r="A74" s="42">
        <v>72</v>
      </c>
      <c r="B74" s="39">
        <v>46800</v>
      </c>
      <c r="C74" s="90">
        <f t="shared" si="5"/>
        <v>796300</v>
      </c>
      <c r="E74" s="42">
        <v>72</v>
      </c>
      <c r="F74" s="39">
        <v>150800</v>
      </c>
      <c r="G74" s="90">
        <f t="shared" si="6"/>
        <v>3157100</v>
      </c>
      <c r="I74" s="42">
        <v>72</v>
      </c>
      <c r="J74" s="39">
        <v>226200</v>
      </c>
      <c r="K74" s="90">
        <f t="shared" si="7"/>
        <v>4735800</v>
      </c>
      <c r="M74" s="42">
        <v>72</v>
      </c>
      <c r="N74" s="39">
        <v>49100</v>
      </c>
      <c r="O74" s="90">
        <f t="shared" si="8"/>
        <v>740400</v>
      </c>
    </row>
    <row r="75" spans="1:15" x14ac:dyDescent="0.3">
      <c r="A75" s="42">
        <v>73</v>
      </c>
      <c r="B75" s="39">
        <v>48600</v>
      </c>
      <c r="C75" s="90">
        <f t="shared" si="5"/>
        <v>844900</v>
      </c>
      <c r="E75" s="42">
        <v>73</v>
      </c>
      <c r="F75" s="39">
        <v>156100</v>
      </c>
      <c r="G75" s="90">
        <f t="shared" si="6"/>
        <v>3313200</v>
      </c>
      <c r="I75" s="42">
        <v>73</v>
      </c>
      <c r="J75" s="39">
        <v>234200</v>
      </c>
      <c r="K75" s="90">
        <f t="shared" si="7"/>
        <v>4970000</v>
      </c>
      <c r="M75" s="42">
        <v>73</v>
      </c>
      <c r="N75" s="39">
        <v>50800</v>
      </c>
      <c r="O75" s="90">
        <f t="shared" si="8"/>
        <v>791200</v>
      </c>
    </row>
    <row r="76" spans="1:15" x14ac:dyDescent="0.3">
      <c r="A76" s="42">
        <v>74</v>
      </c>
      <c r="B76" s="39">
        <v>50400</v>
      </c>
      <c r="C76" s="90">
        <f t="shared" si="5"/>
        <v>895300</v>
      </c>
      <c r="E76" s="42">
        <v>74</v>
      </c>
      <c r="F76" s="39">
        <v>161600</v>
      </c>
      <c r="G76" s="90">
        <f t="shared" si="6"/>
        <v>3474800</v>
      </c>
      <c r="I76" s="42">
        <v>74</v>
      </c>
      <c r="J76" s="39">
        <v>242500</v>
      </c>
      <c r="K76" s="90">
        <f t="shared" si="7"/>
        <v>5212500</v>
      </c>
      <c r="M76" s="42">
        <v>74</v>
      </c>
      <c r="N76" s="39">
        <v>52700</v>
      </c>
      <c r="O76" s="90">
        <f t="shared" si="8"/>
        <v>843900</v>
      </c>
    </row>
    <row r="77" spans="1:15" x14ac:dyDescent="0.3">
      <c r="A77" s="42">
        <v>75</v>
      </c>
      <c r="B77" s="39">
        <v>52200</v>
      </c>
      <c r="C77" s="90">
        <f t="shared" si="5"/>
        <v>947500</v>
      </c>
      <c r="E77" s="42">
        <v>75</v>
      </c>
      <c r="F77" s="39">
        <v>167200</v>
      </c>
      <c r="G77" s="90">
        <f t="shared" si="6"/>
        <v>3642000</v>
      </c>
      <c r="I77" s="42">
        <v>75</v>
      </c>
      <c r="J77" s="39">
        <v>250800</v>
      </c>
      <c r="K77" s="90">
        <f t="shared" si="7"/>
        <v>5463300</v>
      </c>
      <c r="M77" s="42">
        <v>75</v>
      </c>
      <c r="N77" s="39">
        <v>54500</v>
      </c>
      <c r="O77" s="90">
        <f t="shared" si="8"/>
        <v>898400</v>
      </c>
    </row>
    <row r="78" spans="1:15" x14ac:dyDescent="0.3">
      <c r="A78" s="42">
        <v>76</v>
      </c>
      <c r="B78" s="39">
        <v>54000</v>
      </c>
      <c r="C78" s="90">
        <f t="shared" si="5"/>
        <v>1001500</v>
      </c>
      <c r="E78" s="42">
        <v>76</v>
      </c>
      <c r="F78" s="39">
        <v>172900</v>
      </c>
      <c r="G78" s="90">
        <f t="shared" si="6"/>
        <v>3814900</v>
      </c>
      <c r="I78" s="42">
        <v>76</v>
      </c>
      <c r="J78" s="39">
        <v>259500</v>
      </c>
      <c r="K78" s="90">
        <f t="shared" si="7"/>
        <v>5722800</v>
      </c>
      <c r="M78" s="42">
        <v>76</v>
      </c>
      <c r="N78" s="39">
        <v>56400</v>
      </c>
      <c r="O78" s="90">
        <f t="shared" si="8"/>
        <v>954800</v>
      </c>
    </row>
    <row r="79" spans="1:15" x14ac:dyDescent="0.3">
      <c r="A79" s="42">
        <v>77</v>
      </c>
      <c r="B79" s="39">
        <v>55900</v>
      </c>
      <c r="C79" s="90">
        <f t="shared" si="5"/>
        <v>1057400</v>
      </c>
      <c r="E79" s="42">
        <v>77</v>
      </c>
      <c r="F79" s="39">
        <v>178700</v>
      </c>
      <c r="G79" s="90">
        <f t="shared" si="6"/>
        <v>3993600</v>
      </c>
      <c r="I79" s="42">
        <v>77</v>
      </c>
      <c r="J79" s="39">
        <v>268000</v>
      </c>
      <c r="K79" s="90">
        <f t="shared" si="7"/>
        <v>5990800</v>
      </c>
      <c r="M79" s="42">
        <v>77</v>
      </c>
      <c r="N79" s="39">
        <v>58400</v>
      </c>
      <c r="O79" s="90">
        <f t="shared" si="8"/>
        <v>1013200</v>
      </c>
    </row>
    <row r="80" spans="1:15" x14ac:dyDescent="0.3">
      <c r="A80" s="42">
        <v>78</v>
      </c>
      <c r="B80" s="39">
        <v>57900</v>
      </c>
      <c r="C80" s="90">
        <f t="shared" si="5"/>
        <v>1115300</v>
      </c>
      <c r="E80" s="42">
        <v>78</v>
      </c>
      <c r="F80" s="39">
        <v>184700</v>
      </c>
      <c r="G80" s="90">
        <f t="shared" si="6"/>
        <v>4178300</v>
      </c>
      <c r="I80" s="42">
        <v>78</v>
      </c>
      <c r="J80" s="39">
        <v>277000</v>
      </c>
      <c r="K80" s="90">
        <f t="shared" si="7"/>
        <v>6267800</v>
      </c>
      <c r="M80" s="42">
        <v>78</v>
      </c>
      <c r="N80" s="39">
        <v>60400</v>
      </c>
      <c r="O80" s="90">
        <f t="shared" si="8"/>
        <v>1073600</v>
      </c>
    </row>
    <row r="81" spans="1:15" x14ac:dyDescent="0.3">
      <c r="A81" s="42">
        <v>79</v>
      </c>
      <c r="B81" s="39">
        <v>59800</v>
      </c>
      <c r="C81" s="90">
        <f t="shared" si="5"/>
        <v>1175100</v>
      </c>
      <c r="E81" s="42">
        <v>79</v>
      </c>
      <c r="F81" s="39">
        <v>190700</v>
      </c>
      <c r="G81" s="90">
        <f t="shared" si="6"/>
        <v>4369000</v>
      </c>
      <c r="I81" s="42">
        <v>79</v>
      </c>
      <c r="J81" s="39">
        <v>286000</v>
      </c>
      <c r="K81" s="90">
        <f t="shared" si="7"/>
        <v>6553800</v>
      </c>
      <c r="M81" s="42">
        <v>79</v>
      </c>
      <c r="N81" s="39">
        <v>62400</v>
      </c>
      <c r="O81" s="90">
        <f t="shared" si="8"/>
        <v>1136000</v>
      </c>
    </row>
    <row r="82" spans="1:15" x14ac:dyDescent="0.3">
      <c r="A82" s="42">
        <v>80</v>
      </c>
      <c r="B82" s="39">
        <v>61800</v>
      </c>
      <c r="C82" s="90">
        <f t="shared" si="5"/>
        <v>1236900</v>
      </c>
      <c r="E82" s="42">
        <v>80</v>
      </c>
      <c r="F82" s="39">
        <v>196900</v>
      </c>
      <c r="G82" s="90">
        <f t="shared" si="6"/>
        <v>4565900</v>
      </c>
      <c r="I82" s="42">
        <v>80</v>
      </c>
      <c r="J82" s="39">
        <v>295500</v>
      </c>
      <c r="K82" s="90">
        <f t="shared" si="7"/>
        <v>6849300</v>
      </c>
      <c r="M82" s="42">
        <v>80</v>
      </c>
      <c r="N82" s="39">
        <v>64400</v>
      </c>
      <c r="O82" s="90">
        <f t="shared" si="8"/>
        <v>1200400</v>
      </c>
    </row>
    <row r="83" spans="1:15" x14ac:dyDescent="0.3">
      <c r="A83" s="42">
        <v>81</v>
      </c>
      <c r="B83" s="39">
        <v>63900</v>
      </c>
      <c r="C83" s="90">
        <f t="shared" si="5"/>
        <v>1300800</v>
      </c>
      <c r="E83" s="42">
        <v>81</v>
      </c>
      <c r="F83" s="39">
        <v>203200</v>
      </c>
      <c r="G83" s="90">
        <f t="shared" si="6"/>
        <v>4769100</v>
      </c>
      <c r="I83" s="42">
        <v>81</v>
      </c>
      <c r="J83" s="39">
        <v>304700</v>
      </c>
      <c r="K83" s="90">
        <f t="shared" si="7"/>
        <v>7154000</v>
      </c>
      <c r="M83" s="42">
        <v>81</v>
      </c>
      <c r="N83" s="39">
        <v>66500</v>
      </c>
      <c r="O83" s="90">
        <f t="shared" si="8"/>
        <v>1266900</v>
      </c>
    </row>
    <row r="84" spans="1:15" x14ac:dyDescent="0.3">
      <c r="A84" s="42">
        <v>82</v>
      </c>
      <c r="B84" s="39">
        <v>66000</v>
      </c>
      <c r="C84" s="90">
        <f t="shared" si="5"/>
        <v>1366800</v>
      </c>
      <c r="E84" s="42">
        <v>82</v>
      </c>
      <c r="F84" s="39">
        <v>209600</v>
      </c>
      <c r="G84" s="90">
        <f t="shared" si="6"/>
        <v>4978700</v>
      </c>
      <c r="I84" s="42">
        <v>82</v>
      </c>
      <c r="J84" s="39">
        <v>314500</v>
      </c>
      <c r="K84" s="90">
        <f t="shared" si="7"/>
        <v>7468500</v>
      </c>
      <c r="M84" s="42">
        <v>82</v>
      </c>
      <c r="N84" s="39">
        <v>68700</v>
      </c>
      <c r="O84" s="90">
        <f t="shared" si="8"/>
        <v>1335600</v>
      </c>
    </row>
    <row r="85" spans="1:15" x14ac:dyDescent="0.3">
      <c r="A85" s="42">
        <v>83</v>
      </c>
      <c r="B85" s="39">
        <v>68100</v>
      </c>
      <c r="C85" s="90">
        <f t="shared" si="5"/>
        <v>1434900</v>
      </c>
      <c r="E85" s="42">
        <v>83</v>
      </c>
      <c r="F85" s="39">
        <v>216100</v>
      </c>
      <c r="G85" s="90">
        <f t="shared" si="6"/>
        <v>5194800</v>
      </c>
      <c r="I85" s="42">
        <v>83</v>
      </c>
      <c r="J85" s="39">
        <v>324000</v>
      </c>
      <c r="K85" s="90">
        <f t="shared" si="7"/>
        <v>7792500</v>
      </c>
      <c r="M85" s="42">
        <v>83</v>
      </c>
      <c r="N85" s="39">
        <v>70900</v>
      </c>
      <c r="O85" s="90">
        <f t="shared" si="8"/>
        <v>1406500</v>
      </c>
    </row>
    <row r="86" spans="1:15" x14ac:dyDescent="0.3">
      <c r="A86" s="42">
        <v>84</v>
      </c>
      <c r="B86" s="39">
        <v>70300</v>
      </c>
      <c r="C86" s="90">
        <f t="shared" si="5"/>
        <v>1505200</v>
      </c>
      <c r="E86" s="42">
        <v>84</v>
      </c>
      <c r="F86" s="39">
        <v>222800</v>
      </c>
      <c r="G86" s="90">
        <f t="shared" si="6"/>
        <v>5417600</v>
      </c>
      <c r="I86" s="42">
        <v>84</v>
      </c>
      <c r="J86" s="39">
        <v>334500</v>
      </c>
      <c r="K86" s="90">
        <f t="shared" si="7"/>
        <v>8127000</v>
      </c>
      <c r="M86" s="42">
        <v>84</v>
      </c>
      <c r="N86" s="39">
        <v>73100</v>
      </c>
      <c r="O86" s="90">
        <f t="shared" si="8"/>
        <v>1479600</v>
      </c>
    </row>
    <row r="87" spans="1:15" x14ac:dyDescent="0.3">
      <c r="A87" s="42">
        <v>85</v>
      </c>
      <c r="B87" s="39">
        <v>72600</v>
      </c>
      <c r="C87" s="90">
        <f t="shared" si="5"/>
        <v>1577800</v>
      </c>
      <c r="E87" s="42">
        <v>85</v>
      </c>
      <c r="F87" s="39">
        <v>229600</v>
      </c>
      <c r="G87" s="90">
        <f t="shared" si="6"/>
        <v>5647200</v>
      </c>
      <c r="I87" s="42">
        <v>85</v>
      </c>
      <c r="J87" s="39">
        <v>344000</v>
      </c>
      <c r="K87" s="90">
        <f t="shared" si="7"/>
        <v>8471000</v>
      </c>
      <c r="M87" s="42">
        <v>85</v>
      </c>
      <c r="N87" s="39">
        <v>75400</v>
      </c>
      <c r="O87" s="90">
        <f t="shared" si="8"/>
        <v>1555000</v>
      </c>
    </row>
    <row r="88" spans="1:15" x14ac:dyDescent="0.3">
      <c r="A88" s="42">
        <v>86</v>
      </c>
      <c r="B88" s="39">
        <v>74800</v>
      </c>
      <c r="C88" s="90">
        <f t="shared" si="5"/>
        <v>1652600</v>
      </c>
      <c r="E88" s="42">
        <v>86</v>
      </c>
      <c r="F88" s="39">
        <v>236500</v>
      </c>
      <c r="G88" s="90">
        <f t="shared" si="6"/>
        <v>5883700</v>
      </c>
      <c r="I88" s="42">
        <v>86</v>
      </c>
      <c r="J88" s="39">
        <v>355000</v>
      </c>
      <c r="K88" s="90">
        <f t="shared" si="7"/>
        <v>8826000</v>
      </c>
      <c r="M88" s="42">
        <v>86</v>
      </c>
      <c r="N88" s="39">
        <v>77700</v>
      </c>
      <c r="O88" s="90">
        <f t="shared" si="8"/>
        <v>1632700</v>
      </c>
    </row>
    <row r="89" spans="1:15" x14ac:dyDescent="0.3">
      <c r="A89" s="42">
        <v>87</v>
      </c>
      <c r="B89" s="39">
        <v>77100</v>
      </c>
      <c r="C89" s="90">
        <f t="shared" si="5"/>
        <v>1729700</v>
      </c>
      <c r="E89" s="42">
        <v>87</v>
      </c>
      <c r="F89" s="39">
        <v>243500</v>
      </c>
      <c r="G89" s="90">
        <f t="shared" si="6"/>
        <v>6127200</v>
      </c>
      <c r="I89" s="42">
        <v>87</v>
      </c>
      <c r="J89" s="39">
        <v>365000</v>
      </c>
      <c r="K89" s="90">
        <f t="shared" si="7"/>
        <v>9191000</v>
      </c>
      <c r="M89" s="42">
        <v>87</v>
      </c>
      <c r="N89" s="39">
        <v>80000</v>
      </c>
      <c r="O89" s="90">
        <f t="shared" si="8"/>
        <v>1712700</v>
      </c>
    </row>
    <row r="90" spans="1:15" x14ac:dyDescent="0.3">
      <c r="A90" s="42">
        <v>88</v>
      </c>
      <c r="B90" s="39">
        <v>79500</v>
      </c>
      <c r="C90" s="90">
        <f t="shared" si="5"/>
        <v>1809200</v>
      </c>
      <c r="E90" s="42">
        <v>88</v>
      </c>
      <c r="F90" s="39">
        <v>250600</v>
      </c>
      <c r="G90" s="90">
        <f t="shared" si="6"/>
        <v>6377800</v>
      </c>
      <c r="I90" s="42">
        <v>88</v>
      </c>
      <c r="J90" s="39">
        <v>376000</v>
      </c>
      <c r="K90" s="90">
        <f t="shared" si="7"/>
        <v>9567000</v>
      </c>
      <c r="M90" s="42">
        <v>88</v>
      </c>
      <c r="N90" s="39">
        <v>82400</v>
      </c>
      <c r="O90" s="90">
        <f t="shared" si="8"/>
        <v>1795100</v>
      </c>
    </row>
    <row r="91" spans="1:15" x14ac:dyDescent="0.3">
      <c r="A91" s="42">
        <v>89</v>
      </c>
      <c r="B91" s="39">
        <v>81900</v>
      </c>
      <c r="C91" s="90">
        <f t="shared" si="5"/>
        <v>1891100</v>
      </c>
      <c r="E91" s="42">
        <v>89</v>
      </c>
      <c r="F91" s="39">
        <v>257900</v>
      </c>
      <c r="G91" s="90">
        <f t="shared" si="6"/>
        <v>6635700</v>
      </c>
      <c r="I91" s="42">
        <v>89</v>
      </c>
      <c r="J91" s="39">
        <v>387000</v>
      </c>
      <c r="K91" s="90">
        <f t="shared" si="7"/>
        <v>9954000</v>
      </c>
      <c r="M91" s="42">
        <v>89</v>
      </c>
      <c r="N91" s="39">
        <v>84900</v>
      </c>
      <c r="O91" s="90">
        <f t="shared" si="8"/>
        <v>1880000</v>
      </c>
    </row>
    <row r="92" spans="1:15" x14ac:dyDescent="0.3">
      <c r="A92" s="42">
        <v>90</v>
      </c>
      <c r="B92" s="39">
        <v>84300</v>
      </c>
      <c r="C92" s="90">
        <f t="shared" si="5"/>
        <v>1975400</v>
      </c>
      <c r="E92" s="42">
        <v>90</v>
      </c>
      <c r="F92" s="39">
        <v>265300</v>
      </c>
      <c r="G92" s="90">
        <f t="shared" si="6"/>
        <v>6901000</v>
      </c>
      <c r="I92" s="42">
        <v>90</v>
      </c>
      <c r="J92" s="39">
        <v>398000</v>
      </c>
      <c r="K92" s="90">
        <f t="shared" si="7"/>
        <v>10352000</v>
      </c>
      <c r="M92" s="42">
        <v>90</v>
      </c>
      <c r="N92" s="39">
        <v>87300</v>
      </c>
      <c r="O92" s="90">
        <f t="shared" si="8"/>
        <v>1967300</v>
      </c>
    </row>
    <row r="93" spans="1:15" x14ac:dyDescent="0.3">
      <c r="A93" s="42">
        <v>91</v>
      </c>
      <c r="B93" s="39">
        <v>112600</v>
      </c>
      <c r="C93" s="90">
        <f t="shared" si="5"/>
        <v>2088000</v>
      </c>
      <c r="E93" s="42">
        <v>91</v>
      </c>
      <c r="F93" s="39">
        <v>272800</v>
      </c>
      <c r="G93" s="90">
        <f t="shared" si="6"/>
        <v>7173800</v>
      </c>
      <c r="I93" s="42">
        <v>91</v>
      </c>
      <c r="J93" s="39">
        <v>409000</v>
      </c>
      <c r="K93" s="90">
        <f t="shared" si="7"/>
        <v>10761000</v>
      </c>
      <c r="M93" s="42">
        <v>91</v>
      </c>
      <c r="N93" s="39">
        <v>113000</v>
      </c>
      <c r="O93" s="90">
        <f t="shared" si="8"/>
        <v>2080300</v>
      </c>
    </row>
    <row r="94" spans="1:15" x14ac:dyDescent="0.3">
      <c r="A94" s="42">
        <v>92</v>
      </c>
      <c r="B94" s="39">
        <v>116100</v>
      </c>
      <c r="C94" s="90">
        <f t="shared" si="5"/>
        <v>2204100</v>
      </c>
      <c r="E94" s="42">
        <v>92</v>
      </c>
      <c r="F94" s="39">
        <v>280400</v>
      </c>
      <c r="G94" s="90">
        <f t="shared" si="6"/>
        <v>7454200</v>
      </c>
      <c r="I94" s="42">
        <v>92</v>
      </c>
      <c r="J94" s="39">
        <v>421000</v>
      </c>
      <c r="K94" s="90">
        <f t="shared" si="7"/>
        <v>11182000</v>
      </c>
      <c r="M94" s="42">
        <v>92</v>
      </c>
      <c r="N94" s="39">
        <v>116400</v>
      </c>
      <c r="O94" s="90">
        <f t="shared" si="8"/>
        <v>2196700</v>
      </c>
    </row>
    <row r="95" spans="1:15" x14ac:dyDescent="0.3">
      <c r="A95" s="42">
        <v>93</v>
      </c>
      <c r="B95" s="39">
        <v>119500</v>
      </c>
      <c r="C95" s="90">
        <f t="shared" si="5"/>
        <v>2323600</v>
      </c>
      <c r="E95" s="42">
        <v>93</v>
      </c>
      <c r="F95" s="39">
        <v>288200</v>
      </c>
      <c r="G95" s="90">
        <f t="shared" si="6"/>
        <v>7742400</v>
      </c>
      <c r="I95" s="42">
        <v>93</v>
      </c>
      <c r="J95" s="39">
        <v>432000</v>
      </c>
      <c r="K95" s="90">
        <f t="shared" si="7"/>
        <v>11614000</v>
      </c>
      <c r="M95" s="42">
        <v>93</v>
      </c>
      <c r="N95" s="39">
        <v>119800</v>
      </c>
      <c r="O95" s="90">
        <f t="shared" si="8"/>
        <v>2316500</v>
      </c>
    </row>
    <row r="96" spans="1:15" x14ac:dyDescent="0.3">
      <c r="A96" s="42">
        <v>94</v>
      </c>
      <c r="B96" s="39">
        <v>123100</v>
      </c>
      <c r="C96" s="90">
        <f t="shared" si="5"/>
        <v>2446700</v>
      </c>
      <c r="E96" s="42">
        <v>94</v>
      </c>
      <c r="F96" s="39">
        <v>296100</v>
      </c>
      <c r="G96" s="90">
        <f t="shared" si="6"/>
        <v>8038500</v>
      </c>
      <c r="I96" s="42">
        <v>94</v>
      </c>
      <c r="J96" s="39">
        <v>444000</v>
      </c>
      <c r="K96" s="90">
        <f t="shared" si="7"/>
        <v>12058000</v>
      </c>
      <c r="M96" s="42">
        <v>94</v>
      </c>
      <c r="N96" s="39">
        <v>123300</v>
      </c>
      <c r="O96" s="90">
        <f t="shared" si="8"/>
        <v>2439800</v>
      </c>
    </row>
    <row r="97" spans="1:119" x14ac:dyDescent="0.3">
      <c r="A97" s="42">
        <v>95</v>
      </c>
      <c r="B97" s="39">
        <v>126700</v>
      </c>
      <c r="C97" s="90">
        <f t="shared" si="5"/>
        <v>2573400</v>
      </c>
      <c r="E97" s="42">
        <v>95</v>
      </c>
      <c r="F97" s="39">
        <v>304100</v>
      </c>
      <c r="G97" s="90">
        <f t="shared" si="6"/>
        <v>8342600</v>
      </c>
      <c r="I97" s="42">
        <v>95</v>
      </c>
      <c r="J97" s="39">
        <v>456000</v>
      </c>
      <c r="K97" s="90">
        <f t="shared" si="7"/>
        <v>12514000</v>
      </c>
      <c r="M97" s="42">
        <v>95</v>
      </c>
      <c r="N97" s="39">
        <v>126800</v>
      </c>
      <c r="O97" s="90">
        <f t="shared" si="8"/>
        <v>2566600</v>
      </c>
    </row>
    <row r="98" spans="1:119" x14ac:dyDescent="0.3">
      <c r="A98" s="42">
        <v>96</v>
      </c>
      <c r="B98" s="39">
        <v>130400</v>
      </c>
      <c r="C98" s="90">
        <f t="shared" si="5"/>
        <v>2703800</v>
      </c>
      <c r="E98" s="42">
        <v>96</v>
      </c>
      <c r="F98" s="39">
        <v>312300</v>
      </c>
      <c r="G98" s="90">
        <f t="shared" si="6"/>
        <v>8654900</v>
      </c>
      <c r="I98" s="42">
        <v>96</v>
      </c>
      <c r="J98" s="39">
        <v>469000</v>
      </c>
      <c r="K98" s="90">
        <f t="shared" si="7"/>
        <v>12983000</v>
      </c>
      <c r="M98" s="42">
        <v>96</v>
      </c>
      <c r="N98" s="39">
        <v>130400</v>
      </c>
      <c r="O98" s="90">
        <f t="shared" si="8"/>
        <v>2697000</v>
      </c>
    </row>
    <row r="99" spans="1:119" x14ac:dyDescent="0.3">
      <c r="A99" s="42">
        <v>97</v>
      </c>
      <c r="B99" s="39">
        <v>134100</v>
      </c>
      <c r="C99" s="90">
        <f t="shared" si="5"/>
        <v>2837900</v>
      </c>
      <c r="E99" s="42">
        <v>97</v>
      </c>
      <c r="F99" s="39">
        <v>320600</v>
      </c>
      <c r="G99" s="90">
        <f t="shared" si="6"/>
        <v>8975500</v>
      </c>
      <c r="I99" s="42">
        <v>97</v>
      </c>
      <c r="J99" s="39">
        <v>481000</v>
      </c>
      <c r="K99" s="90">
        <f t="shared" si="7"/>
        <v>13464000</v>
      </c>
      <c r="M99" s="42">
        <v>97</v>
      </c>
      <c r="N99" s="39">
        <v>134000</v>
      </c>
      <c r="O99" s="90">
        <f t="shared" si="8"/>
        <v>2831000</v>
      </c>
    </row>
    <row r="100" spans="1:119" x14ac:dyDescent="0.3">
      <c r="A100" s="42">
        <v>98</v>
      </c>
      <c r="B100" s="39">
        <v>137900</v>
      </c>
      <c r="C100" s="90">
        <f t="shared" si="5"/>
        <v>2975800</v>
      </c>
      <c r="E100" s="42">
        <v>98</v>
      </c>
      <c r="F100" s="39">
        <v>329000</v>
      </c>
      <c r="G100" s="90">
        <f t="shared" si="6"/>
        <v>9304500</v>
      </c>
      <c r="I100" s="42">
        <v>98</v>
      </c>
      <c r="J100" s="39">
        <v>493000</v>
      </c>
      <c r="K100" s="90">
        <f t="shared" si="7"/>
        <v>13957000</v>
      </c>
      <c r="M100" s="42">
        <v>98</v>
      </c>
      <c r="N100" s="39">
        <v>137700</v>
      </c>
      <c r="O100" s="90">
        <f t="shared" si="8"/>
        <v>2968700</v>
      </c>
    </row>
    <row r="101" spans="1:119" x14ac:dyDescent="0.3">
      <c r="A101" s="42">
        <v>99</v>
      </c>
      <c r="B101" s="39">
        <v>141800</v>
      </c>
      <c r="C101" s="90">
        <f t="shared" si="5"/>
        <v>3117600</v>
      </c>
      <c r="E101" s="42">
        <v>99</v>
      </c>
      <c r="F101" s="39">
        <v>337500</v>
      </c>
      <c r="G101" s="90">
        <f t="shared" si="6"/>
        <v>9642000</v>
      </c>
      <c r="I101" s="42">
        <v>99</v>
      </c>
      <c r="J101" s="39">
        <v>506000</v>
      </c>
      <c r="K101" s="90">
        <f t="shared" si="7"/>
        <v>14463000</v>
      </c>
      <c r="M101" s="42">
        <v>99</v>
      </c>
      <c r="N101" s="39">
        <v>141500</v>
      </c>
      <c r="O101" s="90">
        <f t="shared" si="8"/>
        <v>3110200</v>
      </c>
    </row>
    <row r="102" spans="1:119" x14ac:dyDescent="0.3">
      <c r="A102" s="42">
        <v>100</v>
      </c>
      <c r="B102" s="39">
        <v>145700</v>
      </c>
      <c r="C102" s="90">
        <f t="shared" si="5"/>
        <v>3263300</v>
      </c>
      <c r="E102" s="43">
        <v>100</v>
      </c>
      <c r="F102" s="40">
        <v>357000</v>
      </c>
      <c r="G102" s="49">
        <f t="shared" si="6"/>
        <v>9999000</v>
      </c>
      <c r="I102" s="43">
        <v>100</v>
      </c>
      <c r="J102" s="40">
        <v>537000</v>
      </c>
      <c r="K102" s="49">
        <f t="shared" si="7"/>
        <v>15000000</v>
      </c>
      <c r="M102" s="43">
        <v>100</v>
      </c>
      <c r="N102" s="40">
        <v>145300</v>
      </c>
      <c r="O102" s="49">
        <f t="shared" si="8"/>
        <v>3255500</v>
      </c>
    </row>
    <row r="103" spans="1:119" x14ac:dyDescent="0.3">
      <c r="A103" s="42">
        <v>101</v>
      </c>
      <c r="B103" s="39">
        <v>100000</v>
      </c>
      <c r="C103" s="90">
        <f t="shared" si="5"/>
        <v>3363300</v>
      </c>
    </row>
    <row r="104" spans="1:119" x14ac:dyDescent="0.3">
      <c r="A104" s="42">
        <v>102</v>
      </c>
      <c r="B104" s="39">
        <v>120000</v>
      </c>
      <c r="C104" s="90">
        <f t="shared" si="5"/>
        <v>3483300</v>
      </c>
    </row>
    <row r="105" spans="1:119" x14ac:dyDescent="0.3">
      <c r="A105" s="42">
        <v>103</v>
      </c>
      <c r="B105" s="39">
        <v>140000</v>
      </c>
      <c r="C105" s="90">
        <f t="shared" si="5"/>
        <v>3623300</v>
      </c>
    </row>
    <row r="106" spans="1:119" x14ac:dyDescent="0.3">
      <c r="A106" s="42">
        <v>104</v>
      </c>
      <c r="B106" s="39">
        <v>160000</v>
      </c>
      <c r="C106" s="90">
        <f t="shared" si="5"/>
        <v>3783300</v>
      </c>
    </row>
    <row r="107" spans="1:119" x14ac:dyDescent="0.3">
      <c r="A107" s="42">
        <v>105</v>
      </c>
      <c r="B107" s="39">
        <v>180000</v>
      </c>
      <c r="C107" s="90">
        <f t="shared" si="5"/>
        <v>3963300</v>
      </c>
    </row>
    <row r="108" spans="1:119" x14ac:dyDescent="0.3">
      <c r="A108" s="42">
        <v>106</v>
      </c>
      <c r="B108" s="39">
        <v>200000</v>
      </c>
      <c r="C108" s="90">
        <f t="shared" si="5"/>
        <v>4163300</v>
      </c>
      <c r="T108" s="83"/>
    </row>
    <row r="109" spans="1:119" x14ac:dyDescent="0.3">
      <c r="A109" s="42">
        <v>107</v>
      </c>
      <c r="B109" s="39">
        <v>220000</v>
      </c>
      <c r="C109" s="90">
        <f t="shared" si="5"/>
        <v>4383300</v>
      </c>
    </row>
    <row r="110" spans="1:119" x14ac:dyDescent="0.3">
      <c r="A110" s="42">
        <v>108</v>
      </c>
      <c r="B110" s="39">
        <v>240000</v>
      </c>
      <c r="C110" s="90">
        <f t="shared" si="5"/>
        <v>4623300</v>
      </c>
      <c r="T110" s="83"/>
      <c r="DO110" s="35" t="s">
        <v>772</v>
      </c>
    </row>
    <row r="111" spans="1:119" x14ac:dyDescent="0.3">
      <c r="A111" s="42">
        <v>109</v>
      </c>
      <c r="B111" s="39">
        <v>280000</v>
      </c>
      <c r="C111" s="90">
        <f t="shared" si="5"/>
        <v>4903300</v>
      </c>
    </row>
    <row r="112" spans="1:119" x14ac:dyDescent="0.3">
      <c r="A112" s="42">
        <v>110</v>
      </c>
      <c r="B112" s="39">
        <v>360000</v>
      </c>
      <c r="C112" s="90">
        <f t="shared" si="5"/>
        <v>5263300</v>
      </c>
    </row>
    <row r="113" spans="1:3" x14ac:dyDescent="0.3">
      <c r="A113" s="42">
        <v>111</v>
      </c>
      <c r="B113" s="39">
        <v>480000</v>
      </c>
      <c r="C113" s="90">
        <f t="shared" si="5"/>
        <v>5743300</v>
      </c>
    </row>
    <row r="114" spans="1:3" x14ac:dyDescent="0.3">
      <c r="A114" s="42">
        <v>112</v>
      </c>
      <c r="B114" s="39">
        <v>640000</v>
      </c>
      <c r="C114" s="90">
        <f t="shared" si="5"/>
        <v>6383300</v>
      </c>
    </row>
    <row r="115" spans="1:3" x14ac:dyDescent="0.3">
      <c r="A115" s="42">
        <v>113</v>
      </c>
      <c r="B115" s="39">
        <v>900000</v>
      </c>
      <c r="C115" s="90">
        <f t="shared" si="5"/>
        <v>7283300</v>
      </c>
    </row>
    <row r="116" spans="1:3" x14ac:dyDescent="0.3">
      <c r="A116" s="42">
        <v>114</v>
      </c>
      <c r="B116" s="39">
        <v>1200000</v>
      </c>
      <c r="C116" s="90">
        <f t="shared" si="5"/>
        <v>8483300</v>
      </c>
    </row>
    <row r="117" spans="1:3" x14ac:dyDescent="0.3">
      <c r="A117" s="42">
        <v>115</v>
      </c>
      <c r="B117" s="39">
        <v>1600000</v>
      </c>
      <c r="C117" s="90">
        <f t="shared" si="5"/>
        <v>10083300</v>
      </c>
    </row>
    <row r="118" spans="1:3" x14ac:dyDescent="0.3">
      <c r="A118" s="42">
        <v>116</v>
      </c>
      <c r="B118" s="39">
        <v>2200000</v>
      </c>
      <c r="C118" s="90">
        <f t="shared" si="5"/>
        <v>12283300</v>
      </c>
    </row>
    <row r="119" spans="1:3" x14ac:dyDescent="0.3">
      <c r="A119" s="42">
        <v>117</v>
      </c>
      <c r="B119" s="39">
        <v>3000000</v>
      </c>
      <c r="C119" s="90">
        <f t="shared" si="5"/>
        <v>15283300</v>
      </c>
    </row>
    <row r="120" spans="1:3" x14ac:dyDescent="0.3">
      <c r="A120" s="42">
        <v>118</v>
      </c>
      <c r="B120" s="39">
        <v>4000000</v>
      </c>
      <c r="C120" s="90">
        <f t="shared" si="5"/>
        <v>19283300</v>
      </c>
    </row>
    <row r="121" spans="1:3" x14ac:dyDescent="0.3">
      <c r="A121" s="42">
        <v>119</v>
      </c>
      <c r="B121" s="39">
        <v>5000000</v>
      </c>
      <c r="C121" s="90">
        <f t="shared" si="5"/>
        <v>24283300</v>
      </c>
    </row>
    <row r="122" spans="1:3" x14ac:dyDescent="0.3">
      <c r="A122" s="43">
        <v>120</v>
      </c>
      <c r="B122" s="40">
        <v>6000000</v>
      </c>
      <c r="C122" s="43">
        <f t="shared" si="5"/>
        <v>30283300</v>
      </c>
    </row>
    <row r="123" spans="1:3" x14ac:dyDescent="0.3">
      <c r="A123" s="36"/>
    </row>
    <row r="126" spans="1:3" x14ac:dyDescent="0.3">
      <c r="A126" s="36"/>
    </row>
    <row r="127" spans="1:3" x14ac:dyDescent="0.3">
      <c r="A127" s="36"/>
    </row>
    <row r="130" spans="1:1" x14ac:dyDescent="0.3">
      <c r="A130" s="36"/>
    </row>
    <row r="131" spans="1:1" x14ac:dyDescent="0.3">
      <c r="A131" s="36"/>
    </row>
    <row r="134" spans="1:1" x14ac:dyDescent="0.3">
      <c r="A134" s="36"/>
    </row>
    <row r="135" spans="1:1" x14ac:dyDescent="0.3">
      <c r="A135" s="36"/>
    </row>
    <row r="138" spans="1:1" x14ac:dyDescent="0.3">
      <c r="A138" s="36"/>
    </row>
    <row r="139" spans="1:1" x14ac:dyDescent="0.3">
      <c r="A139" s="36"/>
    </row>
    <row r="143" spans="1:1" x14ac:dyDescent="0.3">
      <c r="A143" s="36"/>
    </row>
    <row r="144" spans="1:1" x14ac:dyDescent="0.3">
      <c r="A144" s="36"/>
    </row>
    <row r="147" spans="1:1" x14ac:dyDescent="0.3">
      <c r="A147" s="36"/>
    </row>
    <row r="148" spans="1:1" x14ac:dyDescent="0.3">
      <c r="A148" s="36"/>
    </row>
    <row r="151" spans="1:1" x14ac:dyDescent="0.3">
      <c r="A151" s="36"/>
    </row>
    <row r="152" spans="1:1" x14ac:dyDescent="0.3">
      <c r="A152" s="36"/>
    </row>
    <row r="155" spans="1:1" x14ac:dyDescent="0.3">
      <c r="A155" s="36"/>
    </row>
    <row r="156" spans="1:1" x14ac:dyDescent="0.3">
      <c r="A156" s="36"/>
    </row>
    <row r="159" spans="1:1" x14ac:dyDescent="0.3">
      <c r="A159" s="36"/>
    </row>
    <row r="160" spans="1:1" x14ac:dyDescent="0.3">
      <c r="A160" s="36"/>
    </row>
    <row r="164" spans="1:1" x14ac:dyDescent="0.3">
      <c r="A164" s="36"/>
    </row>
    <row r="165" spans="1:1" x14ac:dyDescent="0.3">
      <c r="A165" s="36"/>
    </row>
    <row r="168" spans="1:1" x14ac:dyDescent="0.3">
      <c r="A168" s="36"/>
    </row>
    <row r="169" spans="1:1" x14ac:dyDescent="0.3">
      <c r="A169" s="36"/>
    </row>
    <row r="172" spans="1:1" x14ac:dyDescent="0.3">
      <c r="A172" s="36"/>
    </row>
    <row r="173" spans="1:1" x14ac:dyDescent="0.3">
      <c r="A173" s="36"/>
    </row>
    <row r="176" spans="1:1" x14ac:dyDescent="0.3">
      <c r="A176" s="36"/>
    </row>
    <row r="177" spans="1:1" x14ac:dyDescent="0.3">
      <c r="A177" s="36"/>
    </row>
    <row r="180" spans="1:1" x14ac:dyDescent="0.3">
      <c r="A180" s="36"/>
    </row>
    <row r="181" spans="1:1" x14ac:dyDescent="0.3">
      <c r="A181" s="36"/>
    </row>
  </sheetData>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A14C6-76E6-4447-8D7B-C1E3883FEC37}">
  <sheetPr codeName="Sheet12">
    <tabColor theme="8" tint="0.79998168889431442"/>
  </sheetPr>
  <dimension ref="B2:M64"/>
  <sheetViews>
    <sheetView topLeftCell="A50" workbookViewId="0">
      <selection activeCell="C61" sqref="C61:C64"/>
    </sheetView>
  </sheetViews>
  <sheetFormatPr defaultRowHeight="14.4" x14ac:dyDescent="0.3"/>
  <cols>
    <col min="2" max="2" width="12.109375" customWidth="1"/>
  </cols>
  <sheetData>
    <row r="2" spans="2:13" x14ac:dyDescent="0.3">
      <c r="B2" s="10" t="s">
        <v>781</v>
      </c>
    </row>
    <row r="3" spans="2:13" x14ac:dyDescent="0.3">
      <c r="B3" s="41">
        <v>9</v>
      </c>
      <c r="C3" s="41">
        <v>14</v>
      </c>
      <c r="D3" s="50">
        <v>19</v>
      </c>
    </row>
    <row r="4" spans="2:13" x14ac:dyDescent="0.3">
      <c r="B4" s="41">
        <v>8</v>
      </c>
      <c r="C4" s="41">
        <v>13</v>
      </c>
      <c r="D4" s="50">
        <v>18</v>
      </c>
    </row>
    <row r="5" spans="2:13" x14ac:dyDescent="0.3">
      <c r="B5" s="41">
        <v>7</v>
      </c>
      <c r="C5" s="41">
        <v>12</v>
      </c>
      <c r="D5" s="50">
        <v>17</v>
      </c>
    </row>
    <row r="7" spans="2:13" x14ac:dyDescent="0.3">
      <c r="B7" s="10" t="s">
        <v>6591</v>
      </c>
    </row>
    <row r="8" spans="2:13" x14ac:dyDescent="0.3">
      <c r="B8" t="s">
        <v>951</v>
      </c>
      <c r="C8" t="s">
        <v>952</v>
      </c>
      <c r="G8" s="116" t="s">
        <v>938</v>
      </c>
      <c r="H8" s="117" t="s">
        <v>939</v>
      </c>
      <c r="J8" t="s">
        <v>6594</v>
      </c>
      <c r="L8" s="116" t="s">
        <v>6585</v>
      </c>
      <c r="M8" s="117" t="s">
        <v>939</v>
      </c>
    </row>
    <row r="9" spans="2:13" x14ac:dyDescent="0.3">
      <c r="B9" t="s">
        <v>946</v>
      </c>
      <c r="C9" t="s">
        <v>6334</v>
      </c>
      <c r="G9" s="118" t="str">
        <f>IFERROR(INDEX('Strat Buff Data'!B:B,MATCH(Main!$B126,'Strat Buff Data'!$A:$A,0)),"N/A")</f>
        <v>N/A</v>
      </c>
      <c r="H9" s="119" t="str">
        <f>IFERROR(INDEX('Strat Buff Data'!C:C,MATCH(Main!$B126,'Strat Buff Data'!$A:$A,0)),"N/A")</f>
        <v>N/A</v>
      </c>
      <c r="J9" t="s">
        <v>6595</v>
      </c>
      <c r="K9" s="1"/>
      <c r="L9" s="118" t="str">
        <f>IFERROR(INDEX('Strat Buff Data'!F:F,MATCH(Main!$D126,'Strat Buff Data'!$E:$E,0)),"N/A")</f>
        <v>N/A</v>
      </c>
      <c r="M9" s="119" t="str">
        <f>IFERROR(INDEX('Strat Buff Data'!G:G,MATCH(Main!$D126,'Strat Buff Data'!$E:$E,0)),"N/A")</f>
        <v>N/A</v>
      </c>
    </row>
    <row r="10" spans="2:13" x14ac:dyDescent="0.3">
      <c r="B10" t="s">
        <v>947</v>
      </c>
      <c r="C10" t="s">
        <v>6335</v>
      </c>
      <c r="G10" s="118" t="str">
        <f>IFERROR(INDEX('Strat Buff Data'!B:B,MATCH(Main!$B127,'Strat Buff Data'!$A:$A,0)),"N/A")</f>
        <v>N/A</v>
      </c>
      <c r="H10" s="119" t="str">
        <f>IFERROR(INDEX('Strat Buff Data'!C:C,MATCH(Main!$B127,'Strat Buff Data'!$A:$A,0)),"N/A")</f>
        <v>N/A</v>
      </c>
      <c r="J10" t="s">
        <v>6596</v>
      </c>
      <c r="K10" s="1"/>
      <c r="L10" s="118" t="str">
        <f>IFERROR(INDEX('Strat Buff Data'!F:F,MATCH(Main!$D127,'Strat Buff Data'!$E:$E,0)),"N/A")</f>
        <v>N/A</v>
      </c>
      <c r="M10" s="119" t="str">
        <f>IFERROR(INDEX('Strat Buff Data'!G:G,MATCH(Main!$D127,'Strat Buff Data'!$E:$E,0)),"N/A")</f>
        <v>N/A</v>
      </c>
    </row>
    <row r="11" spans="2:13" x14ac:dyDescent="0.3">
      <c r="B11" t="s">
        <v>948</v>
      </c>
      <c r="C11" t="s">
        <v>6336</v>
      </c>
      <c r="G11" s="120" t="str">
        <f>IFERROR(INDEX('Strat Buff Data'!B:B,MATCH(Main!$B128,'Strat Buff Data'!$A:$A,0)),"N/A")</f>
        <v>N/A</v>
      </c>
      <c r="H11" s="121" t="str">
        <f>IFERROR(INDEX('Strat Buff Data'!C:C,MATCH(Main!$B128,'Strat Buff Data'!$A:$A,0)),"N/A")</f>
        <v>N/A</v>
      </c>
      <c r="J11" t="s">
        <v>6597</v>
      </c>
      <c r="L11" s="120" t="str">
        <f>IFERROR(INDEX('Strat Buff Data'!F:F,MATCH(Main!$D128,'Strat Buff Data'!$E:$E,0)),"N/A")</f>
        <v>N/A</v>
      </c>
      <c r="M11" s="121" t="str">
        <f>IFERROR(INDEX('Strat Buff Data'!G:G,MATCH(Main!$D128,'Strat Buff Data'!$E:$E,0)),"N/A")</f>
        <v>N/A</v>
      </c>
    </row>
    <row r="13" spans="2:13" x14ac:dyDescent="0.3">
      <c r="B13" s="10" t="s">
        <v>6592</v>
      </c>
    </row>
    <row r="14" spans="2:13" x14ac:dyDescent="0.3">
      <c r="B14" t="s">
        <v>949</v>
      </c>
      <c r="C14" t="str">
        <f>INDEX($C$8:$C$11,COUNTA(Main!$B$126:$B$128)+1)</f>
        <v>"fairy_skill_on_team": "[]",</v>
      </c>
      <c r="K14" s="1"/>
    </row>
    <row r="15" spans="2:13" x14ac:dyDescent="0.3">
      <c r="B15" t="s">
        <v>943</v>
      </c>
      <c r="C15" t="str">
        <f>SUBSTITUTE(SUBSTITUTE(SUBSTITUTE(C14,"buff1",StratBuff1),"buff2",StratBuff2),"buff3",StratBuff3)</f>
        <v>"fairy_skill_on_team": "[]",</v>
      </c>
      <c r="K15" s="1"/>
    </row>
    <row r="16" spans="2:13" x14ac:dyDescent="0.3">
      <c r="B16" t="s">
        <v>944</v>
      </c>
      <c r="C16" t="str">
        <f>SUBSTITUTE(SUBSTITUTE(SUBSTITUTE(C15,"config1",StratConfig1),"config2",StratConfig2),"config3",StratConfig3)</f>
        <v>"fairy_skill_on_team": "[]",</v>
      </c>
      <c r="I16" s="9"/>
      <c r="J16" s="9"/>
      <c r="K16" s="1"/>
    </row>
    <row r="17" spans="2:11" x14ac:dyDescent="0.3">
      <c r="B17" s="9" t="s">
        <v>950</v>
      </c>
      <c r="C17" t="str">
        <f>SUBSTITUTE(SUBSTITUTE(SUBSTITUTE(C16,"skill1",IF(ISBLANK(StratSL1),"",TEXT(StratSL1,"00"))),"skill2",IF(ISBLANK(StratSL2),"",TEXT(StratSL2,"00"))),"skill3",IF(ISBLANK(StratSL3),"",TEXT(StratSL3,"00")))</f>
        <v>"fairy_skill_on_team": "[]",</v>
      </c>
      <c r="I17" s="9"/>
      <c r="J17" s="1"/>
      <c r="K17" s="1"/>
    </row>
    <row r="18" spans="2:11" x14ac:dyDescent="0.3">
      <c r="B18" s="9" t="s">
        <v>773</v>
      </c>
      <c r="C18" s="9" t="str">
        <f>SUBSTITUTE(C17,"turnnum",TurnNum)</f>
        <v>"fairy_skill_on_team": "[]",</v>
      </c>
    </row>
    <row r="20" spans="2:11" x14ac:dyDescent="0.3">
      <c r="B20" s="84" t="s">
        <v>6593</v>
      </c>
    </row>
    <row r="21" spans="2:11" x14ac:dyDescent="0.3">
      <c r="B21" t="s">
        <v>949</v>
      </c>
      <c r="C21" t="str">
        <f>INDEX($J$8:$J$11,COUNTA(Main!$D$126:$D$128)+1)</f>
        <v>"fairy_skill_on_enemy":"[]",</v>
      </c>
    </row>
    <row r="22" spans="2:11" x14ac:dyDescent="0.3">
      <c r="B22" t="s">
        <v>943</v>
      </c>
      <c r="C22" t="str">
        <f>SUBSTITUTE(SUBSTITUTE(SUBSTITUTE(C21,"buff1",Debuff1),"buff2",Debuff2),"buff3",Debuff3)</f>
        <v>"fairy_skill_on_enemy":"[]",</v>
      </c>
    </row>
    <row r="23" spans="2:11" x14ac:dyDescent="0.3">
      <c r="B23" t="s">
        <v>944</v>
      </c>
      <c r="C23" t="str">
        <f>SUBSTITUTE(SUBSTITUTE(SUBSTITUTE(C22,"config1",DebuffConfig1),"config2",DebuffConfig2),"config3",DebuffConfig3)</f>
        <v>"fairy_skill_on_enemy":"[]",</v>
      </c>
    </row>
    <row r="24" spans="2:11" x14ac:dyDescent="0.3">
      <c r="B24" s="9" t="s">
        <v>950</v>
      </c>
      <c r="C24" t="str">
        <f>SUBSTITUTE(SUBSTITUTE(SUBSTITUTE(C23,"skill1",IF(ISBLANK(DebuffSL1),"",TEXT(DebuffSL1,"00"))),"skill2",IF(ISBLANK(DebuffSL2),"",TEXT(DebufftSL2,"00"))),"skill3",IF(ISBLANK(DebuffSL3),"",TEXT(DebuffSL3,"00")))</f>
        <v>"fairy_skill_on_enemy":"[]",</v>
      </c>
    </row>
    <row r="25" spans="2:11" x14ac:dyDescent="0.3">
      <c r="B25" s="9" t="s">
        <v>773</v>
      </c>
      <c r="C25" s="9" t="str">
        <f>SUBSTITUTE(C24,"turnnum",TurnNum)</f>
        <v>"fairy_skill_on_enemy":"[]",</v>
      </c>
    </row>
    <row r="26" spans="2:11" x14ac:dyDescent="0.3">
      <c r="B26" s="9"/>
      <c r="C26" s="9"/>
    </row>
    <row r="27" spans="2:11" x14ac:dyDescent="0.3">
      <c r="B27" s="84" t="s">
        <v>7089</v>
      </c>
      <c r="C27" s="9"/>
    </row>
    <row r="28" spans="2:11" x14ac:dyDescent="0.3">
      <c r="B28" s="9" t="s">
        <v>949</v>
      </c>
      <c r="C28" t="str">
        <f>INDEX($F$28:$F$31,COUNTA(Main!$F$126:$F$128)+1)</f>
        <v>"building_info": "{}",</v>
      </c>
      <c r="F28" t="s">
        <v>7091</v>
      </c>
    </row>
    <row r="29" spans="2:11" x14ac:dyDescent="0.3">
      <c r="B29" s="9" t="s">
        <v>7092</v>
      </c>
      <c r="C29" t="str">
        <f>SUBSTITUTE(SUBSTITUTE(C28,"building1",Main!F126),"spot1",Main!G126)</f>
        <v>"building_info": "{}",</v>
      </c>
      <c r="F29" s="9" t="s">
        <v>7095</v>
      </c>
    </row>
    <row r="30" spans="2:11" x14ac:dyDescent="0.3">
      <c r="B30" s="9" t="s">
        <v>7093</v>
      </c>
      <c r="C30" t="str">
        <f>SUBSTITUTE(SUBSTITUTE(C29,"building2",Main!F127),"spot2",Main!G127)</f>
        <v>"building_info": "{}",</v>
      </c>
      <c r="F30" s="9" t="s">
        <v>7096</v>
      </c>
    </row>
    <row r="31" spans="2:11" x14ac:dyDescent="0.3">
      <c r="B31" s="9" t="s">
        <v>7094</v>
      </c>
      <c r="C31" t="str">
        <f>SUBSTITUTE(SUBSTITUTE(C30,"building3",Main!F128),"spot3",Main!G128)</f>
        <v>"building_info": "{}",</v>
      </c>
      <c r="F31" s="9" t="s">
        <v>7097</v>
      </c>
    </row>
    <row r="33" spans="2:6" x14ac:dyDescent="0.3">
      <c r="B33" s="84" t="s">
        <v>8545</v>
      </c>
    </row>
    <row r="34" spans="2:6" x14ac:dyDescent="0.3">
      <c r="B34" s="9" t="s">
        <v>949</v>
      </c>
      <c r="C34" t="str">
        <f>INDEX($F$34:$F$37,COUNTA(Main!$H$126:$H$128)+1)</f>
        <v>"ally_instance_info": "[]",</v>
      </c>
      <c r="F34" t="s">
        <v>8549</v>
      </c>
    </row>
    <row r="35" spans="2:6" x14ac:dyDescent="0.3">
      <c r="B35" s="9" t="s">
        <v>8546</v>
      </c>
      <c r="C35" t="str">
        <f>SUBSTITUTE(C34,"ally1",Main!H126)</f>
        <v>"ally_instance_info": "[]",</v>
      </c>
      <c r="F35" t="s">
        <v>8550</v>
      </c>
    </row>
    <row r="36" spans="2:6" x14ac:dyDescent="0.3">
      <c r="B36" s="9" t="s">
        <v>8547</v>
      </c>
      <c r="C36" t="str">
        <f>SUBSTITUTE(C35,"ally2",Main!H127)</f>
        <v>"ally_instance_info": "[]",</v>
      </c>
      <c r="F36" t="s">
        <v>8551</v>
      </c>
    </row>
    <row r="37" spans="2:6" x14ac:dyDescent="0.3">
      <c r="B37" s="9" t="s">
        <v>8548</v>
      </c>
      <c r="C37" t="str">
        <f>SUBSTITUTE(C36,"ally3",Main!H128)</f>
        <v>"ally_instance_info": "[]",</v>
      </c>
      <c r="F37" t="s">
        <v>8552</v>
      </c>
    </row>
    <row r="38" spans="2:6" x14ac:dyDescent="0.3">
      <c r="B38" s="9"/>
    </row>
    <row r="39" spans="2:6" x14ac:dyDescent="0.3">
      <c r="B39" s="131" t="s">
        <v>854</v>
      </c>
      <c r="C39" s="132"/>
    </row>
    <row r="40" spans="2:6" x14ac:dyDescent="0.3">
      <c r="B40" s="35" t="s">
        <v>6441</v>
      </c>
      <c r="C40" s="130" t="str">
        <f ca="1">LEFT(CELL("filename",Main!$A$1),FIND("[",CELL("filename",Main!$A$1))-1)</f>
        <v>C:\Users\danny\Documents\GitHub\GFLBattleSim-JSONGenerator\</v>
      </c>
    </row>
    <row r="41" spans="2:6" x14ac:dyDescent="0.3">
      <c r="B41" s="35" t="s">
        <v>6442</v>
      </c>
      <c r="C41" s="132" t="e">
        <f>RIGHT(D41,LEN(D41)-LEN("file:///")-1)</f>
        <v>#VALUE!</v>
      </c>
      <c r="D41" s="1" t="e">
        <f>LEFT(E41,FIND("@",SUBSTITUTE(E41,"/","@",LEN(E41)-LEN(SUBSTITUTE(E41,"/",""))),1))</f>
        <v>#VALUE!</v>
      </c>
      <c r="E41" s="1"/>
    </row>
    <row r="42" spans="2:6" x14ac:dyDescent="0.3">
      <c r="B42" s="35" t="s">
        <v>8336</v>
      </c>
      <c r="C42" s="132" t="str">
        <f ca="1">RIGHT(D42,LEN(D42)-LEN("file:///"))</f>
        <v>\danny\Documents\GitHub\GFLBattleSim-JSONGenerator\</v>
      </c>
      <c r="D42" s="130" t="str">
        <f ca="1">LEFT(CELL("filename",Main!$A$1),FIND("[",CELL("filename",Main!$A$1))-1)</f>
        <v>C:\Users\danny\Documents\GitHub\GFLBattleSim-JSONGenerator\</v>
      </c>
      <c r="E42" s="1"/>
    </row>
    <row r="43" spans="2:6" x14ac:dyDescent="0.3">
      <c r="B43" s="35"/>
      <c r="C43" s="132"/>
      <c r="D43" s="1"/>
      <c r="E43" s="1"/>
    </row>
    <row r="44" spans="2:6" x14ac:dyDescent="0.3">
      <c r="B44" s="35" t="s">
        <v>769</v>
      </c>
      <c r="C44" s="130" t="str">
        <f ca="1">IF(LEFT($C$40,4)="file",IFERROR($C$41,$C$42)&amp;SUBSTITUTE(E44,"\","/"),$C$40&amp;E44)</f>
        <v>C:\Users\danny\Documents\GitHub\GFLBattleSim-JSONGenerator\Preset\gun_with_user_info.json</v>
      </c>
      <c r="D44" t="s">
        <v>6559</v>
      </c>
      <c r="E44" s="130" t="str">
        <f>"Preset\gun_with_user_info.json"</f>
        <v>Preset\gun_with_user_info.json</v>
      </c>
      <c r="F44" s="130"/>
    </row>
    <row r="45" spans="2:6" x14ac:dyDescent="0.3">
      <c r="B45" s="35" t="s">
        <v>770</v>
      </c>
      <c r="C45" s="130" t="str">
        <f t="shared" ref="C45:C58" ca="1" si="0">IF(LEFT($C$40,4)="file",IFERROR($C$41,$C$42)&amp;SUBSTITUTE(E45,"\","/"),$C$40&amp;E45)</f>
        <v>C:\Users\danny\Documents\GitHub\GFLBattleSim-JSONGenerator\Preset\equip_with_user_info.json</v>
      </c>
      <c r="D45" t="s">
        <v>6559</v>
      </c>
      <c r="E45" s="130" t="str">
        <f>"Preset\equip_with_user_info.json"</f>
        <v>Preset\equip_with_user_info.json</v>
      </c>
    </row>
    <row r="46" spans="2:6" x14ac:dyDescent="0.3">
      <c r="B46" s="35" t="s">
        <v>881</v>
      </c>
      <c r="C46" s="130" t="str">
        <f t="shared" ca="1" si="0"/>
        <v>C:\Users\danny\Documents\GitHub\GFLBattleSim-JSONGenerator\Preset\squad_with_user_info.json</v>
      </c>
      <c r="D46" t="s">
        <v>6559</v>
      </c>
      <c r="E46" s="130" t="str">
        <f>"Preset\squad_with_user_info.json"</f>
        <v>Preset\squad_with_user_info.json</v>
      </c>
    </row>
    <row r="47" spans="2:6" x14ac:dyDescent="0.3">
      <c r="B47" s="35" t="s">
        <v>882</v>
      </c>
      <c r="C47" s="130" t="str">
        <f t="shared" ca="1" si="0"/>
        <v>C:\Users\danny\Documents\GitHub\GFLBattleSim-JSONGenerator\Preset\chip_with_user_info.json</v>
      </c>
      <c r="D47" t="s">
        <v>6559</v>
      </c>
      <c r="E47" s="130" t="str">
        <f>"Preset\chip_with_user_info.json"</f>
        <v>Preset\chip_with_user_info.json</v>
      </c>
    </row>
    <row r="48" spans="2:6" x14ac:dyDescent="0.3">
      <c r="B48" s="35" t="s">
        <v>771</v>
      </c>
      <c r="C48" s="130" t="str">
        <f t="shared" ca="1" si="0"/>
        <v>C:\Users\danny\Documents\GitHub\GFLBattleSim-JSONGenerator\Preset\fairy_with_user_info.json</v>
      </c>
      <c r="D48" t="s">
        <v>6559</v>
      </c>
      <c r="E48" s="130" t="str">
        <f>"Preset\fairy_with_user_info.json"</f>
        <v>Preset\fairy_with_user_info.json</v>
      </c>
    </row>
    <row r="49" spans="2:5" x14ac:dyDescent="0.3">
      <c r="B49" s="35" t="s">
        <v>774</v>
      </c>
      <c r="C49" s="130" t="str">
        <f t="shared" ca="1" si="0"/>
        <v>C:\Users\danny\Documents\GitHub\GFLBattleSim-JSONGenerator\Preset\battle_night_new\mission_act_info.json</v>
      </c>
      <c r="D49" t="s">
        <v>6559</v>
      </c>
      <c r="E49" s="130" t="str">
        <f>"Preset\"&amp;IF(DayNight="Day","battle_day\","battle_night_new\")&amp;"mission_act_info.json"</f>
        <v>Preset\battle_night_new\mission_act_info.json</v>
      </c>
    </row>
    <row r="50" spans="2:5" x14ac:dyDescent="0.3">
      <c r="B50" s="35" t="s">
        <v>1098</v>
      </c>
      <c r="C50" s="130" t="str">
        <f t="shared" ca="1" si="0"/>
        <v>C:\Users\danny\Documents\GitHub\GFLBattleSim-JSONGenerator\Preset\sangvis_with_user_info.json</v>
      </c>
      <c r="D50" t="s">
        <v>6559</v>
      </c>
      <c r="E50" s="130" t="str">
        <f>"Preset\sangvis_with_user_info.json"</f>
        <v>Preset\sangvis_with_user_info.json</v>
      </c>
    </row>
    <row r="51" spans="2:5" x14ac:dyDescent="0.3">
      <c r="B51" s="35" t="s">
        <v>1099</v>
      </c>
      <c r="C51" s="130" t="str">
        <f t="shared" ca="1" si="0"/>
        <v>C:\Users\danny\Documents\GitHub\GFLBattleSim-JSONGenerator\Preset\sangvis_team_with_user_info.json</v>
      </c>
      <c r="D51" t="s">
        <v>6559</v>
      </c>
      <c r="E51" s="130" t="str">
        <f>"Preset\sangvis_team_with_user_info.json"</f>
        <v>Preset\sangvis_team_with_user_info.json</v>
      </c>
    </row>
    <row r="52" spans="2:5" x14ac:dyDescent="0.3">
      <c r="B52" s="35" t="s">
        <v>1100</v>
      </c>
      <c r="C52" s="130" t="str">
        <f t="shared" ca="1" si="0"/>
        <v>C:\Users\danny\Documents\GitHub\GFLBattleSim-JSONGenerator\Preset\sangvis_chip_with_user_info.json</v>
      </c>
      <c r="D52" t="s">
        <v>6559</v>
      </c>
      <c r="E52" s="130" t="str">
        <f>"Preset\sangvis_chip_with_user_info.json"</f>
        <v>Preset\sangvis_chip_with_user_info.json</v>
      </c>
    </row>
    <row r="53" spans="2:5" x14ac:dyDescent="0.3">
      <c r="B53" s="35" t="s">
        <v>783</v>
      </c>
      <c r="C53" s="130" t="str">
        <f t="shared" ca="1" si="0"/>
        <v>C:\Users\danny\Documents\GitHub\GFLBattleSim-JSONGenerator\GFBattleSimulator.json</v>
      </c>
      <c r="D53" t="s">
        <v>6559</v>
      </c>
      <c r="E53" s="130" t="str">
        <f>"GFBattleSimulator.json"</f>
        <v>GFBattleSimulator.json</v>
      </c>
    </row>
    <row r="54" spans="2:5" x14ac:dyDescent="0.3">
      <c r="B54" t="s">
        <v>1774</v>
      </c>
      <c r="C54" s="130" t="str">
        <f t="shared" ca="1" si="0"/>
        <v>C:\Users\danny\Documents\GitHub\GFLBattleSim-JSONGenerator\Preset\battle_day\spot_act_info.json</v>
      </c>
      <c r="D54" t="s">
        <v>6559</v>
      </c>
      <c r="E54" s="130" t="str">
        <f>"Preset\battle_day\spot_act_info.json"</f>
        <v>Preset\battle_day\spot_act_info.json</v>
      </c>
    </row>
    <row r="55" spans="2:5" x14ac:dyDescent="0.3">
      <c r="B55" t="s">
        <v>1775</v>
      </c>
      <c r="C55" s="130" t="str">
        <f t="shared" ca="1" si="0"/>
        <v>C:\Users\danny\Documents\GitHub\GFLBattleSim-JSONGenerator\Preset\battle_night_new\spot_act_info.json</v>
      </c>
      <c r="D55" t="s">
        <v>6559</v>
      </c>
      <c r="E55" s="130" t="str">
        <f>"Preset\battle_night_new\spot_act_info.json"</f>
        <v>Preset\battle_night_new\spot_act_info.json</v>
      </c>
    </row>
    <row r="56" spans="2:5" x14ac:dyDescent="0.3">
      <c r="B56" s="35" t="s">
        <v>8235</v>
      </c>
      <c r="C56" s="130" t="str">
        <f t="shared" ca="1" si="0"/>
        <v>C:\Users\danny\Documents\GitHub\GFLBattleSim-JSONGenerator\Preset\vehicle_with_user_info.json</v>
      </c>
      <c r="D56" t="s">
        <v>6559</v>
      </c>
      <c r="E56" s="130" t="str">
        <f>"Preset\vehicle_with_user_info.json"</f>
        <v>Preset\vehicle_with_user_info.json</v>
      </c>
    </row>
    <row r="57" spans="2:5" x14ac:dyDescent="0.3">
      <c r="B57" s="35" t="s">
        <v>8266</v>
      </c>
      <c r="C57" s="130" t="str">
        <f t="shared" ca="1" si="0"/>
        <v>C:\Users\danny\Documents\GitHub\GFLBattleSim-JSONGenerator\Preset\vehicle_component_with_user_info.json</v>
      </c>
      <c r="D57" t="s">
        <v>6559</v>
      </c>
      <c r="E57" s="130" t="str">
        <f>"Preset\vehicle_component_with_user_info.json"</f>
        <v>Preset\vehicle_component_with_user_info.json</v>
      </c>
    </row>
    <row r="58" spans="2:5" x14ac:dyDescent="0.3">
      <c r="B58" s="35" t="s">
        <v>8273</v>
      </c>
      <c r="C58" s="130" t="str">
        <f t="shared" ca="1" si="0"/>
        <v>C:\Users\danny\Documents\GitHub\GFLBattleSim-JSONGenerator\Preset\responses\Mission\vehicleRangeAtk.json</v>
      </c>
      <c r="D58" t="s">
        <v>6559</v>
      </c>
      <c r="E58" s="130" t="str">
        <f>"Preset\responses\Mission\vehicleRangeAtk.json"</f>
        <v>Preset\responses\Mission\vehicleRangeAtk.json</v>
      </c>
    </row>
    <row r="60" spans="2:5" x14ac:dyDescent="0.3">
      <c r="B60" s="10" t="s">
        <v>5508</v>
      </c>
    </row>
    <row r="61" spans="2:5" x14ac:dyDescent="0.3">
      <c r="B61" t="s">
        <v>769</v>
      </c>
      <c r="C61" s="216" t="s">
        <v>9256</v>
      </c>
    </row>
    <row r="62" spans="2:5" x14ac:dyDescent="0.3">
      <c r="B62" t="s">
        <v>770</v>
      </c>
      <c r="C62" s="216" t="s">
        <v>9257</v>
      </c>
    </row>
    <row r="63" spans="2:5" x14ac:dyDescent="0.3">
      <c r="B63" t="s">
        <v>6339</v>
      </c>
      <c r="C63" s="216" t="s">
        <v>9258</v>
      </c>
    </row>
    <row r="64" spans="2:5" x14ac:dyDescent="0.3">
      <c r="B64" t="s">
        <v>6340</v>
      </c>
      <c r="C64" s="216" t="s">
        <v>9259</v>
      </c>
    </row>
  </sheetData>
  <pageMargins left="0.7" right="0.7" top="0.75" bottom="0.75" header="0.3" footer="0.3"/>
  <pageSetup orientation="portrait" horizontalDpi="0"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D4A42-6EE8-4C4F-8200-4700668A403B}">
  <sheetPr codeName="Sheet7">
    <tabColor theme="4" tint="0.79998168889431442"/>
  </sheetPr>
  <dimension ref="A1:BU377"/>
  <sheetViews>
    <sheetView topLeftCell="AH1" workbookViewId="0">
      <pane ySplit="1" topLeftCell="A306" activePane="bottomLeft" state="frozen"/>
      <selection activeCell="AV2" sqref="AV2:AV331"/>
      <selection pane="bottomLeft" activeCell="AV2" sqref="AV2:AV331"/>
    </sheetView>
  </sheetViews>
  <sheetFormatPr defaultRowHeight="14.4" x14ac:dyDescent="0.3"/>
  <cols>
    <col min="1" max="1" width="9.5546875" bestFit="1" customWidth="1"/>
    <col min="10" max="10" width="13.88671875" bestFit="1" customWidth="1"/>
    <col min="33" max="33" width="2.88671875" style="37" customWidth="1"/>
    <col min="49" max="49" width="2.88671875" style="37" customWidth="1"/>
    <col min="72" max="72" width="2.88671875" style="37" customWidth="1"/>
  </cols>
  <sheetData>
    <row r="1" spans="1:73" x14ac:dyDescent="0.3">
      <c r="A1" s="10" t="s">
        <v>281</v>
      </c>
      <c r="B1" s="10" t="s">
        <v>267</v>
      </c>
      <c r="C1" s="38" t="s">
        <v>282</v>
      </c>
      <c r="D1" s="38" t="s">
        <v>283</v>
      </c>
      <c r="E1" s="38" t="s">
        <v>284</v>
      </c>
      <c r="F1" s="38" t="s">
        <v>285</v>
      </c>
      <c r="G1" s="38" t="s">
        <v>305</v>
      </c>
      <c r="H1" s="38" t="s">
        <v>286</v>
      </c>
      <c r="I1" s="38" t="s">
        <v>287</v>
      </c>
      <c r="J1" s="38" t="s">
        <v>288</v>
      </c>
      <c r="K1" s="38" t="s">
        <v>289</v>
      </c>
      <c r="L1" s="38" t="s">
        <v>306</v>
      </c>
      <c r="M1" s="38" t="s">
        <v>290</v>
      </c>
      <c r="N1" s="38" t="s">
        <v>291</v>
      </c>
      <c r="O1" s="38" t="s">
        <v>292</v>
      </c>
      <c r="P1" s="38" t="s">
        <v>293</v>
      </c>
      <c r="Q1" s="38" t="s">
        <v>307</v>
      </c>
      <c r="R1" s="38" t="s">
        <v>294</v>
      </c>
      <c r="S1" s="38" t="s">
        <v>295</v>
      </c>
      <c r="T1" s="38" t="s">
        <v>296</v>
      </c>
      <c r="U1" s="38" t="s">
        <v>297</v>
      </c>
      <c r="V1" s="38" t="s">
        <v>308</v>
      </c>
      <c r="W1" s="38" t="s">
        <v>298</v>
      </c>
      <c r="X1" s="38" t="s">
        <v>114</v>
      </c>
      <c r="Y1" s="38" t="s">
        <v>299</v>
      </c>
      <c r="Z1" s="38" t="s">
        <v>300</v>
      </c>
      <c r="AA1" s="38" t="s">
        <v>309</v>
      </c>
      <c r="AB1" s="38" t="s">
        <v>301</v>
      </c>
      <c r="AC1" s="38" t="s">
        <v>302</v>
      </c>
      <c r="AD1" s="38" t="s">
        <v>303</v>
      </c>
      <c r="AE1" s="38" t="s">
        <v>304</v>
      </c>
      <c r="AF1" s="38" t="s">
        <v>310</v>
      </c>
      <c r="AG1" s="86"/>
      <c r="AH1" s="38" t="s">
        <v>712</v>
      </c>
      <c r="AI1" s="38" t="s">
        <v>713</v>
      </c>
      <c r="AJ1" s="38" t="s">
        <v>6364</v>
      </c>
      <c r="AK1" s="38" t="s">
        <v>753</v>
      </c>
      <c r="AL1" s="38" t="s">
        <v>719</v>
      </c>
      <c r="AM1" s="38" t="s">
        <v>720</v>
      </c>
      <c r="AN1" s="38" t="s">
        <v>9</v>
      </c>
      <c r="AO1" s="38" t="s">
        <v>727</v>
      </c>
      <c r="AP1" s="38" t="s">
        <v>752</v>
      </c>
      <c r="AQ1" s="38" t="s">
        <v>732</v>
      </c>
      <c r="AR1" s="38" t="s">
        <v>637</v>
      </c>
      <c r="AS1" s="38" t="s">
        <v>741</v>
      </c>
      <c r="AT1" s="38" t="s">
        <v>742</v>
      </c>
      <c r="AU1" s="38" t="s">
        <v>914</v>
      </c>
      <c r="AV1" s="38" t="s">
        <v>701</v>
      </c>
      <c r="AW1" s="86"/>
      <c r="AX1" s="84" t="s">
        <v>6437</v>
      </c>
      <c r="AZ1" s="38" t="s">
        <v>6420</v>
      </c>
      <c r="BA1" s="38" t="s">
        <v>6421</v>
      </c>
      <c r="BB1" s="38" t="s">
        <v>6438</v>
      </c>
      <c r="BC1" s="38" t="s">
        <v>6439</v>
      </c>
      <c r="BD1" s="38" t="s">
        <v>6440</v>
      </c>
      <c r="BE1" s="38" t="s">
        <v>6422</v>
      </c>
      <c r="BF1" s="38" t="s">
        <v>6425</v>
      </c>
      <c r="BG1" s="38" t="s">
        <v>6428</v>
      </c>
      <c r="BH1" s="38" t="s">
        <v>6431</v>
      </c>
      <c r="BI1" s="38" t="s">
        <v>6434</v>
      </c>
      <c r="BJ1" s="38" t="s">
        <v>6423</v>
      </c>
      <c r="BK1" s="38" t="s">
        <v>6426</v>
      </c>
      <c r="BL1" s="38" t="s">
        <v>6429</v>
      </c>
      <c r="BM1" s="38" t="s">
        <v>6432</v>
      </c>
      <c r="BN1" s="38" t="s">
        <v>6435</v>
      </c>
      <c r="BO1" s="38" t="s">
        <v>6424</v>
      </c>
      <c r="BP1" s="38" t="s">
        <v>6427</v>
      </c>
      <c r="BQ1" s="38" t="s">
        <v>6430</v>
      </c>
      <c r="BR1" s="38" t="s">
        <v>6433</v>
      </c>
      <c r="BS1" s="38" t="s">
        <v>6436</v>
      </c>
      <c r="BT1" s="86"/>
      <c r="BU1" s="38" t="s">
        <v>8337</v>
      </c>
    </row>
    <row r="2" spans="1:73" x14ac:dyDescent="0.3">
      <c r="A2" s="9">
        <v>2</v>
      </c>
      <c r="B2" t="s">
        <v>3</v>
      </c>
      <c r="C2" s="9" t="s">
        <v>139</v>
      </c>
      <c r="D2" s="9" t="s">
        <v>74</v>
      </c>
      <c r="E2" s="9" t="s">
        <v>745</v>
      </c>
      <c r="F2" s="9" t="s">
        <v>1659</v>
      </c>
      <c r="G2" s="9" t="s">
        <v>262</v>
      </c>
      <c r="H2" s="9" t="s">
        <v>117</v>
      </c>
      <c r="I2" s="9" t="s">
        <v>750</v>
      </c>
      <c r="J2" s="9" t="s">
        <v>7112</v>
      </c>
      <c r="K2" s="9" t="s">
        <v>751</v>
      </c>
      <c r="L2" t="s">
        <v>7192</v>
      </c>
      <c r="M2" s="9" t="s">
        <v>1152</v>
      </c>
      <c r="N2" s="9" t="s">
        <v>800</v>
      </c>
      <c r="O2" t="s">
        <v>8590</v>
      </c>
      <c r="P2" s="9" t="s">
        <v>174</v>
      </c>
      <c r="Q2" t="s">
        <v>6755</v>
      </c>
      <c r="R2" s="9" t="s">
        <v>1183</v>
      </c>
      <c r="S2" s="9" t="s">
        <v>138</v>
      </c>
      <c r="T2" s="9" t="s">
        <v>716</v>
      </c>
      <c r="U2" s="9" t="s">
        <v>837</v>
      </c>
      <c r="V2" s="9" t="s">
        <v>8989</v>
      </c>
      <c r="W2" s="9" t="s">
        <v>1621</v>
      </c>
      <c r="X2" s="9" t="s">
        <v>115</v>
      </c>
      <c r="Y2" s="9" t="s">
        <v>1631</v>
      </c>
      <c r="Z2" s="9" t="s">
        <v>737</v>
      </c>
      <c r="AA2" s="9" t="s">
        <v>926</v>
      </c>
      <c r="AC2" s="9" t="s">
        <v>246</v>
      </c>
      <c r="AD2" s="9" t="s">
        <v>1604</v>
      </c>
      <c r="AE2" s="9" t="s">
        <v>723</v>
      </c>
      <c r="AF2" s="9" t="s">
        <v>7163</v>
      </c>
      <c r="AH2" t="s">
        <v>519</v>
      </c>
      <c r="AI2" t="s">
        <v>523</v>
      </c>
      <c r="AJ2" t="s">
        <v>6365</v>
      </c>
      <c r="AK2" t="s">
        <v>550</v>
      </c>
      <c r="AL2" t="s">
        <v>527</v>
      </c>
      <c r="AM2" t="s">
        <v>531</v>
      </c>
      <c r="AN2" t="s">
        <v>556</v>
      </c>
      <c r="AO2" t="s">
        <v>535</v>
      </c>
      <c r="AP2" t="s">
        <v>560</v>
      </c>
      <c r="AQ2" t="s">
        <v>539</v>
      </c>
      <c r="AR2" t="s">
        <v>543</v>
      </c>
      <c r="AS2" t="s">
        <v>554</v>
      </c>
      <c r="AT2" t="s">
        <v>568</v>
      </c>
      <c r="AU2" t="s">
        <v>910</v>
      </c>
      <c r="AV2" t="s">
        <v>751</v>
      </c>
      <c r="AZ2" s="38" t="str">
        <f>Main!$C$21&amp;Main!$B$21</f>
        <v>AR5</v>
      </c>
      <c r="BA2" s="38" t="str">
        <f>Main!$C$22&amp;Main!$B$22</f>
        <v>HG5</v>
      </c>
      <c r="BB2" s="38" t="str">
        <f>Main!$C$23&amp;Main!$B$23</f>
        <v>HG6</v>
      </c>
      <c r="BC2" s="38" t="str">
        <f>Main!$C$24&amp;Main!$B$24</f>
        <v>HG5</v>
      </c>
      <c r="BD2" s="38" t="str">
        <f>Main!$C$25&amp;Main!$B$25</f>
        <v>SG5</v>
      </c>
      <c r="BE2" s="38" t="str">
        <f>Main!$L$21</f>
        <v>VFL</v>
      </c>
      <c r="BF2" s="38" t="str">
        <f>Main!$L$22</f>
        <v>SPP</v>
      </c>
      <c r="BG2" s="38" t="str">
        <f>Main!$L$23</f>
        <v>SPP</v>
      </c>
      <c r="BH2" s="38" t="str">
        <f>Main!$L$24</f>
        <v>SPP</v>
      </c>
      <c r="BI2" s="38" t="str">
        <f>Main!$L$25</f>
        <v>Armor</v>
      </c>
      <c r="BJ2" s="38" t="str">
        <f>Main!$P$21</f>
        <v>HV</v>
      </c>
      <c r="BK2" s="38" t="str">
        <f>Main!$P$22</f>
        <v>HP</v>
      </c>
      <c r="BL2" s="38" t="str">
        <f>Main!$P$23</f>
        <v>HP</v>
      </c>
      <c r="BM2" s="38" t="str">
        <f>Main!$P$24</f>
        <v>HP</v>
      </c>
      <c r="BN2" s="38" t="str">
        <f>Main!$P$25</f>
        <v>New</v>
      </c>
      <c r="BO2" s="38" t="str">
        <f>Main!$T$21</f>
        <v>SPEQ</v>
      </c>
      <c r="BP2" s="38" t="str">
        <f>Main!$T$22</f>
        <v>Exo</v>
      </c>
      <c r="BQ2" s="38" t="str">
        <f>Main!$T$23</f>
        <v>Exo</v>
      </c>
      <c r="BR2" s="38" t="str">
        <f>Main!$T$24</f>
        <v>Exo</v>
      </c>
      <c r="BS2" s="38" t="str">
        <f>Main!$T$25</f>
        <v>ITI</v>
      </c>
      <c r="BU2">
        <f>IF(DayNight="Day",IF(AND(Spot_Act_Info_Day!A2&lt;&gt;"",Spot_Act_Info_Day!D2&lt;&gt;"seed"),Spot_Act_Info_Day!A2,""),IF(AND(Spot_Act_Info_Night!A2&lt;&gt;"",Spot_Act_Info_Night!D2&lt;&gt;"seed"),Spot_Act_Info_Night!A2,""))</f>
        <v>7117</v>
      </c>
    </row>
    <row r="3" spans="1:73" x14ac:dyDescent="0.3">
      <c r="A3" s="9">
        <v>3</v>
      </c>
      <c r="B3" t="s">
        <v>7</v>
      </c>
      <c r="C3" s="9" t="s">
        <v>1173</v>
      </c>
      <c r="D3" s="9" t="s">
        <v>72</v>
      </c>
      <c r="E3" s="9" t="s">
        <v>1726</v>
      </c>
      <c r="F3" s="9" t="s">
        <v>195</v>
      </c>
      <c r="G3" t="s">
        <v>8622</v>
      </c>
      <c r="H3" s="9" t="s">
        <v>77</v>
      </c>
      <c r="I3" s="9" t="s">
        <v>1687</v>
      </c>
      <c r="J3" s="9" t="s">
        <v>1674</v>
      </c>
      <c r="K3" s="9" t="s">
        <v>1688</v>
      </c>
      <c r="L3" t="s">
        <v>1748</v>
      </c>
      <c r="M3" s="9" t="s">
        <v>94</v>
      </c>
      <c r="N3" s="9" t="s">
        <v>202</v>
      </c>
      <c r="O3" s="9" t="s">
        <v>1417</v>
      </c>
      <c r="P3" t="s">
        <v>8008</v>
      </c>
      <c r="Q3" t="s">
        <v>6756</v>
      </c>
      <c r="R3" s="9" t="s">
        <v>1161</v>
      </c>
      <c r="S3" s="9" t="s">
        <v>1616</v>
      </c>
      <c r="T3" s="9" t="s">
        <v>1646</v>
      </c>
      <c r="U3" t="s">
        <v>5484</v>
      </c>
      <c r="V3" t="s">
        <v>5744</v>
      </c>
      <c r="W3" s="9" t="s">
        <v>109</v>
      </c>
      <c r="X3" s="9" t="s">
        <v>797</v>
      </c>
      <c r="Y3" s="9" t="s">
        <v>162</v>
      </c>
      <c r="Z3" s="9" t="s">
        <v>250</v>
      </c>
      <c r="AC3" s="9" t="s">
        <v>722</v>
      </c>
      <c r="AD3" s="9" t="s">
        <v>812</v>
      </c>
      <c r="AE3" s="9" t="s">
        <v>244</v>
      </c>
      <c r="AH3" t="s">
        <v>520</v>
      </c>
      <c r="AI3" t="s">
        <v>524</v>
      </c>
      <c r="AJ3" t="s">
        <v>6366</v>
      </c>
      <c r="AK3" t="s">
        <v>551</v>
      </c>
      <c r="AL3" t="s">
        <v>528</v>
      </c>
      <c r="AM3" t="s">
        <v>532</v>
      </c>
      <c r="AN3" t="s">
        <v>557</v>
      </c>
      <c r="AO3" t="s">
        <v>536</v>
      </c>
      <c r="AP3" t="s">
        <v>561</v>
      </c>
      <c r="AQ3" t="s">
        <v>540</v>
      </c>
      <c r="AR3" t="s">
        <v>544</v>
      </c>
      <c r="AS3" t="s">
        <v>555</v>
      </c>
      <c r="AT3" t="s">
        <v>569</v>
      </c>
      <c r="AU3" t="s">
        <v>909</v>
      </c>
      <c r="AV3" t="s">
        <v>7192</v>
      </c>
      <c r="AZ3" s="1" t="str">
        <f>IF(INDEX($C2:$AF2,MATCH(AZ$2,$C$1:$AF$1,0))="","",INDEX($C2:$AF2,MATCH(AZ$2,$C$1:$AF$1,0)))</f>
        <v>64Shiki</v>
      </c>
      <c r="BA3" s="1" t="str">
        <f t="shared" ref="BA3:BD3" si="0">IF(INDEX($C2:$AF2,MATCH(BA$2,$C$1:$AF$1,0))="","",INDEX($C2:$AF2,MATCH(BA$2,$C$1:$AF$1,0)))</f>
        <v>C93</v>
      </c>
      <c r="BB3" s="1" t="str">
        <f t="shared" si="0"/>
        <v>M950AMod</v>
      </c>
      <c r="BC3" s="1" t="str">
        <f t="shared" si="0"/>
        <v>C93</v>
      </c>
      <c r="BD3" s="1" t="str">
        <f t="shared" si="0"/>
        <v>AA12</v>
      </c>
      <c r="BE3" s="1" t="str">
        <f>IF(INDEX($AH2:$AV2,MATCH(BE$2,$AH$1:$AV$1,0))="","",INDEX($AH2:$AV2,MATCH(BE$2,$AH$1:$AV$1,0)))</f>
        <v>VFL2</v>
      </c>
      <c r="BF3" s="1" t="str">
        <f t="shared" ref="BF3:BS3" si="1">IF(INDEX($AH2:$AV2,MATCH(BF$2,$AH$1:$AV$1,0))="","",INDEX($AH2:$AV2,MATCH(BF$2,$AH$1:$AV$1,0)))</f>
        <v>SPP2</v>
      </c>
      <c r="BG3" s="1" t="str">
        <f t="shared" si="1"/>
        <v>SPP2</v>
      </c>
      <c r="BH3" s="1" t="str">
        <f t="shared" si="1"/>
        <v>SPP2</v>
      </c>
      <c r="BI3" s="1" t="str">
        <f t="shared" si="1"/>
        <v>Armor3</v>
      </c>
      <c r="BJ3" s="1" t="str">
        <f t="shared" si="1"/>
        <v>HV2</v>
      </c>
      <c r="BK3" s="1" t="str">
        <f t="shared" si="1"/>
        <v>HP2</v>
      </c>
      <c r="BL3" s="1" t="str">
        <f t="shared" si="1"/>
        <v>HP2</v>
      </c>
      <c r="BM3" s="1" t="str">
        <f t="shared" si="1"/>
        <v>HP2</v>
      </c>
      <c r="BN3" s="1" t="str">
        <f t="shared" si="1"/>
        <v>Birdshot4</v>
      </c>
      <c r="BO3" s="1" t="str">
        <f t="shared" si="1"/>
        <v>100Shiki</v>
      </c>
      <c r="BP3" s="1" t="str">
        <f t="shared" si="1"/>
        <v>TExo2</v>
      </c>
      <c r="BQ3" s="1" t="str">
        <f t="shared" si="1"/>
        <v>TExo2</v>
      </c>
      <c r="BR3" s="1" t="str">
        <f t="shared" si="1"/>
        <v>TExo2</v>
      </c>
      <c r="BS3" s="1" t="str">
        <f t="shared" si="1"/>
        <v>ITI2</v>
      </c>
      <c r="BU3">
        <f>IF(DayNight="Day",IF(AND(Spot_Act_Info_Day!A3&lt;&gt;"",Spot_Act_Info_Day!D3&lt;&gt;"seed"),Spot_Act_Info_Day!A3,""),IF(AND(Spot_Act_Info_Night!A3&lt;&gt;"",Spot_Act_Info_Night!D3&lt;&gt;"seed"),Spot_Act_Info_Night!A3,""))</f>
        <v>7118</v>
      </c>
    </row>
    <row r="4" spans="1:73" x14ac:dyDescent="0.3">
      <c r="A4" s="9">
        <v>4</v>
      </c>
      <c r="B4" t="s">
        <v>6</v>
      </c>
      <c r="C4" s="9" t="s">
        <v>65</v>
      </c>
      <c r="D4" s="9" t="s">
        <v>177</v>
      </c>
      <c r="E4" s="9" t="s">
        <v>815</v>
      </c>
      <c r="F4" t="s">
        <v>8892</v>
      </c>
      <c r="G4" s="9" t="s">
        <v>834</v>
      </c>
      <c r="H4" s="9" t="s">
        <v>83</v>
      </c>
      <c r="I4" s="9" t="s">
        <v>135</v>
      </c>
      <c r="J4" s="9" t="s">
        <v>793</v>
      </c>
      <c r="K4" s="9" t="s">
        <v>1617</v>
      </c>
      <c r="L4" s="9" t="s">
        <v>825</v>
      </c>
      <c r="M4" s="9" t="s">
        <v>90</v>
      </c>
      <c r="N4" s="9" t="s">
        <v>173</v>
      </c>
      <c r="O4" s="9" t="s">
        <v>226</v>
      </c>
      <c r="P4" s="9" t="s">
        <v>821</v>
      </c>
      <c r="Q4" s="9" t="s">
        <v>1681</v>
      </c>
      <c r="R4" s="9" t="s">
        <v>839</v>
      </c>
      <c r="S4" s="9" t="s">
        <v>137</v>
      </c>
      <c r="T4" s="9" t="s">
        <v>230</v>
      </c>
      <c r="U4" s="9" t="s">
        <v>213</v>
      </c>
      <c r="V4" t="s">
        <v>5728</v>
      </c>
      <c r="W4" s="9" t="s">
        <v>125</v>
      </c>
      <c r="X4" s="9" t="s">
        <v>231</v>
      </c>
      <c r="Y4" s="9" t="s">
        <v>743</v>
      </c>
      <c r="Z4" t="s">
        <v>8480</v>
      </c>
      <c r="AC4" s="9" t="s">
        <v>146</v>
      </c>
      <c r="AD4" s="9" t="s">
        <v>217</v>
      </c>
      <c r="AE4" s="9" t="s">
        <v>735</v>
      </c>
      <c r="AH4" t="s">
        <v>521</v>
      </c>
      <c r="AI4" t="s">
        <v>525</v>
      </c>
      <c r="AJ4" t="s">
        <v>6367</v>
      </c>
      <c r="AK4" t="s">
        <v>552</v>
      </c>
      <c r="AL4" t="s">
        <v>529</v>
      </c>
      <c r="AM4" t="s">
        <v>533</v>
      </c>
      <c r="AN4" t="s">
        <v>558</v>
      </c>
      <c r="AO4" t="s">
        <v>537</v>
      </c>
      <c r="AP4" t="s">
        <v>562</v>
      </c>
      <c r="AQ4" t="s">
        <v>541</v>
      </c>
      <c r="AR4" t="s">
        <v>545</v>
      </c>
      <c r="AT4" t="s">
        <v>570</v>
      </c>
      <c r="AU4" t="s">
        <v>908</v>
      </c>
      <c r="AV4" t="s">
        <v>837</v>
      </c>
      <c r="AZ4" s="1" t="str">
        <f t="shared" ref="AZ4:AZ67" si="2">IF(INDEX($C3:$AF3,MATCH(AZ$2,$C$1:$AF$1,0))="","",INDEX($C3:$AF3,MATCH(AZ$2,$C$1:$AF$1,0)))</f>
        <v>A545</v>
      </c>
      <c r="BA4" s="1" t="str">
        <f t="shared" ref="BA4:BA67" si="3">IF(INDEX($C3:$AF3,MATCH(BA$2,$C$1:$AF$1,0))="","",INDEX($C3:$AF3,MATCH(BA$2,$C$1:$AF$1,0)))</f>
        <v>CLEAR</v>
      </c>
      <c r="BB4" s="1" t="str">
        <f t="shared" ref="BB4:BB67" si="4">IF(INDEX($C3:$AF3,MATCH(BB$2,$C$1:$AF$1,0))="","",INDEX($C3:$AF3,MATCH(BB$2,$C$1:$AF$1,0)))</f>
        <v>Px4 StormMod</v>
      </c>
      <c r="BC4" s="1" t="str">
        <f t="shared" ref="BC4:BC67" si="5">IF(INDEX($C3:$AF3,MATCH(BC$2,$C$1:$AF$1,0))="","",INDEX($C3:$AF3,MATCH(BC$2,$C$1:$AF$1,0)))</f>
        <v>CLEAR</v>
      </c>
      <c r="BD4" s="1" t="str">
        <f t="shared" ref="BD4:BD67" si="6">IF(INDEX($C3:$AF3,MATCH(BD$2,$C$1:$AF$1,0))="","",INDEX($C3:$AF3,MATCH(BD$2,$C$1:$AF$1,0)))</f>
        <v>CAWS</v>
      </c>
      <c r="BE4" s="1" t="str">
        <f t="shared" ref="BE4:BE67" si="7">IF(INDEX($AH3:$AV3,MATCH(BE$2,$AH$1:$AV$1,0))="","",INDEX($AH3:$AV3,MATCH(BE$2,$AH$1:$AV$1,0)))</f>
        <v>VFL3</v>
      </c>
      <c r="BF4" s="1" t="str">
        <f t="shared" ref="BF4:BF67" si="8">IF(INDEX($AH3:$AV3,MATCH(BF$2,$AH$1:$AV$1,0))="","",INDEX($AH3:$AV3,MATCH(BF$2,$AH$1:$AV$1,0)))</f>
        <v>SPP3</v>
      </c>
      <c r="BG4" s="1" t="str">
        <f t="shared" ref="BG4:BG67" si="9">IF(INDEX($AH3:$AV3,MATCH(BG$2,$AH$1:$AV$1,0))="","",INDEX($AH3:$AV3,MATCH(BG$2,$AH$1:$AV$1,0)))</f>
        <v>SPP3</v>
      </c>
      <c r="BH4" s="1" t="str">
        <f t="shared" ref="BH4:BH67" si="10">IF(INDEX($AH3:$AV3,MATCH(BH$2,$AH$1:$AV$1,0))="","",INDEX($AH3:$AV3,MATCH(BH$2,$AH$1:$AV$1,0)))</f>
        <v>SPP3</v>
      </c>
      <c r="BI4" s="1" t="str">
        <f t="shared" ref="BI4:BI67" si="11">IF(INDEX($AH3:$AV3,MATCH(BI$2,$AH$1:$AV$1,0))="","",INDEX($AH3:$AV3,MATCH(BI$2,$AH$1:$AV$1,0)))</f>
        <v>Armor4</v>
      </c>
      <c r="BJ4" s="1" t="str">
        <f t="shared" ref="BJ4:BJ67" si="12">IF(INDEX($AH3:$AV3,MATCH(BJ$2,$AH$1:$AV$1,0))="","",INDEX($AH3:$AV3,MATCH(BJ$2,$AH$1:$AV$1,0)))</f>
        <v>HV3</v>
      </c>
      <c r="BK4" s="1" t="str">
        <f t="shared" ref="BK4:BK67" si="13">IF(INDEX($AH3:$AV3,MATCH(BK$2,$AH$1:$AV$1,0))="","",INDEX($AH3:$AV3,MATCH(BK$2,$AH$1:$AV$1,0)))</f>
        <v>HP3</v>
      </c>
      <c r="BL4" s="1" t="str">
        <f t="shared" ref="BL4:BL67" si="14">IF(INDEX($AH3:$AV3,MATCH(BL$2,$AH$1:$AV$1,0))="","",INDEX($AH3:$AV3,MATCH(BL$2,$AH$1:$AV$1,0)))</f>
        <v>HP3</v>
      </c>
      <c r="BM4" s="1" t="str">
        <f t="shared" ref="BM4:BM67" si="15">IF(INDEX($AH3:$AV3,MATCH(BM$2,$AH$1:$AV$1,0))="","",INDEX($AH3:$AV3,MATCH(BM$2,$AH$1:$AV$1,0)))</f>
        <v>HP3</v>
      </c>
      <c r="BN4" s="1" t="str">
        <f t="shared" ref="BN4:BN67" si="16">IF(INDEX($AH3:$AV3,MATCH(BN$2,$AH$1:$AV$1,0))="","",INDEX($AH3:$AV3,MATCH(BN$2,$AH$1:$AV$1,0)))</f>
        <v>Birdshot5</v>
      </c>
      <c r="BO4" s="1" t="str">
        <f t="shared" ref="BO4:BO67" si="17">IF(INDEX($AH3:$AV3,MATCH(BO$2,$AH$1:$AV$1,0))="","",INDEX($AH3:$AV3,MATCH(BO$2,$AH$1:$AV$1,0)))</f>
        <v>100ShikiMod</v>
      </c>
      <c r="BP4" s="1" t="str">
        <f t="shared" ref="BP4:BP67" si="18">IF(INDEX($AH3:$AV3,MATCH(BP$2,$AH$1:$AV$1,0))="","",INDEX($AH3:$AV3,MATCH(BP$2,$AH$1:$AV$1,0)))</f>
        <v>TExo3</v>
      </c>
      <c r="BQ4" s="1" t="str">
        <f t="shared" ref="BQ4:BQ67" si="19">IF(INDEX($AH3:$AV3,MATCH(BQ$2,$AH$1:$AV$1,0))="","",INDEX($AH3:$AV3,MATCH(BQ$2,$AH$1:$AV$1,0)))</f>
        <v>TExo3</v>
      </c>
      <c r="BR4" s="1" t="str">
        <f t="shared" ref="BR4:BR67" si="20">IF(INDEX($AH3:$AV3,MATCH(BR$2,$AH$1:$AV$1,0))="","",INDEX($AH3:$AV3,MATCH(BR$2,$AH$1:$AV$1,0)))</f>
        <v>TExo3</v>
      </c>
      <c r="BS4" s="1" t="str">
        <f t="shared" ref="BS4:BS67" si="21">IF(INDEX($AH3:$AV3,MATCH(BS$2,$AH$1:$AV$1,0))="","",INDEX($AH3:$AV3,MATCH(BS$2,$AH$1:$AV$1,0)))</f>
        <v>ITI3</v>
      </c>
      <c r="BU4">
        <f>IF(DayNight="Day",IF(AND(Spot_Act_Info_Day!A4&lt;&gt;"",Spot_Act_Info_Day!D4&lt;&gt;"seed"),Spot_Act_Info_Day!A4,""),IF(AND(Spot_Act_Info_Night!A4&lt;&gt;"",Spot_Act_Info_Night!D4&lt;&gt;"seed"),Spot_Act_Info_Night!A4,""))</f>
        <v>7119</v>
      </c>
    </row>
    <row r="5" spans="1:73" x14ac:dyDescent="0.3">
      <c r="A5" s="9">
        <v>5</v>
      </c>
      <c r="B5" t="s">
        <v>2</v>
      </c>
      <c r="C5" s="9" t="s">
        <v>62</v>
      </c>
      <c r="D5" s="9" t="s">
        <v>75</v>
      </c>
      <c r="E5" s="9" t="s">
        <v>1685</v>
      </c>
      <c r="F5" s="9" t="s">
        <v>6874</v>
      </c>
      <c r="H5" s="9" t="s">
        <v>85</v>
      </c>
      <c r="I5" s="9" t="s">
        <v>158</v>
      </c>
      <c r="J5" s="9" t="s">
        <v>183</v>
      </c>
      <c r="K5" s="9" t="s">
        <v>840</v>
      </c>
      <c r="L5" s="9" t="s">
        <v>6508</v>
      </c>
      <c r="M5" s="9" t="s">
        <v>1612</v>
      </c>
      <c r="N5" s="9" t="s">
        <v>808</v>
      </c>
      <c r="O5" t="s">
        <v>1755</v>
      </c>
      <c r="P5" s="9" t="s">
        <v>170</v>
      </c>
      <c r="R5" s="9" t="s">
        <v>103</v>
      </c>
      <c r="S5" s="9" t="s">
        <v>1625</v>
      </c>
      <c r="T5" s="9" t="s">
        <v>1734</v>
      </c>
      <c r="U5" s="9" t="s">
        <v>210</v>
      </c>
      <c r="V5" s="9" t="s">
        <v>1447</v>
      </c>
      <c r="W5" s="9" t="s">
        <v>108</v>
      </c>
      <c r="X5" s="9" t="s">
        <v>211</v>
      </c>
      <c r="Y5" s="9" t="s">
        <v>204</v>
      </c>
      <c r="Z5" s="9" t="s">
        <v>176</v>
      </c>
      <c r="AC5" s="9" t="s">
        <v>148</v>
      </c>
      <c r="AD5" s="9" t="s">
        <v>151</v>
      </c>
      <c r="AE5" s="9" t="s">
        <v>1658</v>
      </c>
      <c r="AH5" t="s">
        <v>522</v>
      </c>
      <c r="AI5" t="s">
        <v>526</v>
      </c>
      <c r="AJ5" t="s">
        <v>6368</v>
      </c>
      <c r="AK5" t="s">
        <v>553</v>
      </c>
      <c r="AL5" t="s">
        <v>530</v>
      </c>
      <c r="AM5" t="s">
        <v>534</v>
      </c>
      <c r="AN5" t="s">
        <v>559</v>
      </c>
      <c r="AO5" t="s">
        <v>538</v>
      </c>
      <c r="AP5" t="s">
        <v>563</v>
      </c>
      <c r="AQ5" t="s">
        <v>542</v>
      </c>
      <c r="AT5" t="s">
        <v>571</v>
      </c>
      <c r="AU5" t="s">
        <v>907</v>
      </c>
      <c r="AV5" t="s">
        <v>138</v>
      </c>
      <c r="AZ5" s="1" t="str">
        <f t="shared" si="2"/>
        <v>ACR</v>
      </c>
      <c r="BA5" s="1" t="str">
        <f t="shared" si="3"/>
        <v>ColtNavy</v>
      </c>
      <c r="BB5" s="1" t="str">
        <f t="shared" si="4"/>
        <v>Welrod MkIIMod</v>
      </c>
      <c r="BC5" s="1" t="str">
        <f t="shared" si="5"/>
        <v>ColtNavy</v>
      </c>
      <c r="BD5" s="1" t="str">
        <f t="shared" si="6"/>
        <v>Dana</v>
      </c>
      <c r="BE5" s="1" t="str">
        <f t="shared" si="7"/>
        <v>VFL4</v>
      </c>
      <c r="BF5" s="1" t="str">
        <f t="shared" si="8"/>
        <v>SPP4</v>
      </c>
      <c r="BG5" s="1" t="str">
        <f t="shared" si="9"/>
        <v>SPP4</v>
      </c>
      <c r="BH5" s="1" t="str">
        <f t="shared" si="10"/>
        <v>SPP4</v>
      </c>
      <c r="BI5" s="1" t="str">
        <f t="shared" si="11"/>
        <v>Armor5</v>
      </c>
      <c r="BJ5" s="1" t="str">
        <f t="shared" si="12"/>
        <v>HV4</v>
      </c>
      <c r="BK5" s="1" t="str">
        <f t="shared" si="13"/>
        <v>HP4</v>
      </c>
      <c r="BL5" s="1" t="str">
        <f t="shared" si="14"/>
        <v>HP4</v>
      </c>
      <c r="BM5" s="1" t="str">
        <f t="shared" si="15"/>
        <v>HP4</v>
      </c>
      <c r="BN5" s="1" t="str">
        <f t="shared" si="16"/>
        <v>Chip3</v>
      </c>
      <c r="BO5" s="1" t="str">
        <f t="shared" si="17"/>
        <v>64Shiki</v>
      </c>
      <c r="BP5" s="1" t="str">
        <f t="shared" si="18"/>
        <v>TExo4</v>
      </c>
      <c r="BQ5" s="1" t="str">
        <f t="shared" si="19"/>
        <v>TExo4</v>
      </c>
      <c r="BR5" s="1" t="str">
        <f t="shared" si="20"/>
        <v>TExo4</v>
      </c>
      <c r="BS5" s="1" t="str">
        <f t="shared" si="21"/>
        <v>ITI4</v>
      </c>
      <c r="BU5">
        <f>IF(DayNight="Day",IF(AND(Spot_Act_Info_Day!A5&lt;&gt;"",Spot_Act_Info_Day!D5&lt;&gt;"seed"),Spot_Act_Info_Day!A5,""),IF(AND(Spot_Act_Info_Night!A5&lt;&gt;"",Spot_Act_Info_Night!D5&lt;&gt;"seed"),Spot_Act_Info_Night!A5,""))</f>
        <v>7120</v>
      </c>
    </row>
    <row r="6" spans="1:73" x14ac:dyDescent="0.3">
      <c r="A6" s="9">
        <v>6</v>
      </c>
      <c r="B6" t="s">
        <v>4</v>
      </c>
      <c r="C6" s="9" t="s">
        <v>1618</v>
      </c>
      <c r="D6" s="9" t="s">
        <v>1644</v>
      </c>
      <c r="E6" s="9" t="s">
        <v>192</v>
      </c>
      <c r="F6" s="9" t="s">
        <v>161</v>
      </c>
      <c r="H6" s="9" t="s">
        <v>80</v>
      </c>
      <c r="I6" s="9" t="s">
        <v>1609</v>
      </c>
      <c r="J6" t="s">
        <v>8621</v>
      </c>
      <c r="K6" s="9" t="s">
        <v>1641</v>
      </c>
      <c r="L6" t="s">
        <v>8742</v>
      </c>
      <c r="M6" s="9" t="s">
        <v>97</v>
      </c>
      <c r="N6" s="9" t="s">
        <v>86</v>
      </c>
      <c r="O6" s="9" t="s">
        <v>191</v>
      </c>
      <c r="P6" s="9" t="s">
        <v>171</v>
      </c>
      <c r="R6" s="9" t="s">
        <v>744</v>
      </c>
      <c r="S6" s="9" t="s">
        <v>5490</v>
      </c>
      <c r="T6" s="9" t="s">
        <v>1708</v>
      </c>
      <c r="U6" s="9" t="s">
        <v>1689</v>
      </c>
      <c r="V6" s="9" t="s">
        <v>258</v>
      </c>
      <c r="W6" s="9" t="s">
        <v>113</v>
      </c>
      <c r="X6" s="9" t="s">
        <v>107</v>
      </c>
      <c r="Y6" t="s">
        <v>5713</v>
      </c>
      <c r="Z6" s="9" t="s">
        <v>212</v>
      </c>
      <c r="AC6" s="9" t="s">
        <v>164</v>
      </c>
      <c r="AD6" s="9" t="s">
        <v>724</v>
      </c>
      <c r="AE6" s="9" t="s">
        <v>194</v>
      </c>
      <c r="AP6" t="s">
        <v>564</v>
      </c>
      <c r="AQ6" t="s">
        <v>546</v>
      </c>
      <c r="AU6" t="s">
        <v>906</v>
      </c>
      <c r="AV6" t="s">
        <v>716</v>
      </c>
      <c r="AZ6" s="1" t="str">
        <f t="shared" si="2"/>
        <v>ADS</v>
      </c>
      <c r="BA6" s="1" t="str">
        <f t="shared" si="3"/>
        <v>ColtWalker</v>
      </c>
      <c r="BB6" s="1" t="str">
        <f t="shared" si="4"/>
        <v/>
      </c>
      <c r="BC6" s="1" t="str">
        <f t="shared" si="5"/>
        <v>ColtWalker</v>
      </c>
      <c r="BD6" s="1" t="str">
        <f t="shared" si="6"/>
        <v>DP12</v>
      </c>
      <c r="BE6" s="1" t="str">
        <f t="shared" si="7"/>
        <v>VFL5</v>
      </c>
      <c r="BF6" s="1" t="str">
        <f t="shared" si="8"/>
        <v>SPP5</v>
      </c>
      <c r="BG6" s="1" t="str">
        <f t="shared" si="9"/>
        <v>SPP5</v>
      </c>
      <c r="BH6" s="1" t="str">
        <f t="shared" si="10"/>
        <v>SPP5</v>
      </c>
      <c r="BI6" s="1" t="str">
        <f t="shared" si="11"/>
        <v/>
      </c>
      <c r="BJ6" s="1" t="str">
        <f t="shared" si="12"/>
        <v>HV5</v>
      </c>
      <c r="BK6" s="1" t="str">
        <f t="shared" si="13"/>
        <v>HP5</v>
      </c>
      <c r="BL6" s="1" t="str">
        <f t="shared" si="14"/>
        <v>HP5</v>
      </c>
      <c r="BM6" s="1" t="str">
        <f t="shared" si="15"/>
        <v>HP5</v>
      </c>
      <c r="BN6" s="1" t="str">
        <f t="shared" si="16"/>
        <v>Chip4</v>
      </c>
      <c r="BO6" s="1" t="str">
        <f t="shared" si="17"/>
        <v>6P62</v>
      </c>
      <c r="BP6" s="1" t="str">
        <f t="shared" si="18"/>
        <v>TExo5</v>
      </c>
      <c r="BQ6" s="1" t="str">
        <f t="shared" si="19"/>
        <v>TExo5</v>
      </c>
      <c r="BR6" s="1" t="str">
        <f t="shared" si="20"/>
        <v>TExo5</v>
      </c>
      <c r="BS6" s="1" t="str">
        <f t="shared" si="21"/>
        <v>ITI5</v>
      </c>
      <c r="BU6">
        <f>IF(DayNight="Day",IF(AND(Spot_Act_Info_Day!A6&lt;&gt;"",Spot_Act_Info_Day!D6&lt;&gt;"seed"),Spot_Act_Info_Day!A6,""),IF(AND(Spot_Act_Info_Night!A6&lt;&gt;"",Spot_Act_Info_Night!D6&lt;&gt;"seed"),Spot_Act_Info_Night!A6,""))</f>
        <v>7121</v>
      </c>
    </row>
    <row r="7" spans="1:73" x14ac:dyDescent="0.3">
      <c r="B7" t="s">
        <v>5</v>
      </c>
      <c r="C7" s="9" t="s">
        <v>69</v>
      </c>
      <c r="D7" s="9" t="s">
        <v>227</v>
      </c>
      <c r="E7" s="9" t="s">
        <v>178</v>
      </c>
      <c r="F7" s="9" t="s">
        <v>152</v>
      </c>
      <c r="H7" s="9" t="s">
        <v>1133</v>
      </c>
      <c r="I7" s="9" t="s">
        <v>78</v>
      </c>
      <c r="J7" s="9" t="s">
        <v>826</v>
      </c>
      <c r="K7" s="9" t="s">
        <v>721</v>
      </c>
      <c r="N7" s="9" t="s">
        <v>88</v>
      </c>
      <c r="O7" s="9" t="s">
        <v>199</v>
      </c>
      <c r="P7" s="9" t="s">
        <v>891</v>
      </c>
      <c r="R7" s="9" t="s">
        <v>136</v>
      </c>
      <c r="S7" s="9" t="s">
        <v>1620</v>
      </c>
      <c r="T7" s="9" t="s">
        <v>101</v>
      </c>
      <c r="U7" s="9" t="s">
        <v>6995</v>
      </c>
      <c r="V7" t="s">
        <v>9149</v>
      </c>
      <c r="X7" s="9" t="s">
        <v>1171</v>
      </c>
      <c r="Y7" s="9" t="s">
        <v>260</v>
      </c>
      <c r="Z7" t="s">
        <v>7219</v>
      </c>
      <c r="AC7" s="9" t="s">
        <v>1633</v>
      </c>
      <c r="AD7" s="9" t="s">
        <v>147</v>
      </c>
      <c r="AE7" t="s">
        <v>4710</v>
      </c>
      <c r="AP7" t="s">
        <v>565</v>
      </c>
      <c r="AQ7" t="s">
        <v>547</v>
      </c>
      <c r="AU7" t="s">
        <v>6838</v>
      </c>
      <c r="AV7" t="s">
        <v>1608</v>
      </c>
      <c r="AZ7" s="1" t="str">
        <f t="shared" si="2"/>
        <v>Agent 416</v>
      </c>
      <c r="BA7" s="1" t="str">
        <f t="shared" si="3"/>
        <v>Contender</v>
      </c>
      <c r="BB7" s="1" t="str">
        <f t="shared" si="4"/>
        <v/>
      </c>
      <c r="BC7" s="1" t="str">
        <f t="shared" si="5"/>
        <v>Contender</v>
      </c>
      <c r="BD7" s="1" t="str">
        <f t="shared" si="6"/>
        <v>Elphelt</v>
      </c>
      <c r="BE7" s="1" t="str">
        <f t="shared" si="7"/>
        <v/>
      </c>
      <c r="BF7" s="1" t="str">
        <f t="shared" si="8"/>
        <v/>
      </c>
      <c r="BG7" s="1" t="str">
        <f t="shared" si="9"/>
        <v/>
      </c>
      <c r="BH7" s="1" t="str">
        <f t="shared" si="10"/>
        <v/>
      </c>
      <c r="BI7" s="1" t="str">
        <f t="shared" si="11"/>
        <v/>
      </c>
      <c r="BJ7" s="1" t="str">
        <f t="shared" si="12"/>
        <v/>
      </c>
      <c r="BK7" s="1" t="str">
        <f t="shared" si="13"/>
        <v/>
      </c>
      <c r="BL7" s="1" t="str">
        <f t="shared" si="14"/>
        <v/>
      </c>
      <c r="BM7" s="1" t="str">
        <f t="shared" si="15"/>
        <v/>
      </c>
      <c r="BN7" s="1" t="str">
        <f t="shared" si="16"/>
        <v>Chip5</v>
      </c>
      <c r="BO7" s="1" t="str">
        <f t="shared" si="17"/>
        <v>9A91</v>
      </c>
      <c r="BP7" s="1" t="str">
        <f t="shared" si="18"/>
        <v>XExo2</v>
      </c>
      <c r="BQ7" s="1" t="str">
        <f t="shared" si="19"/>
        <v>XExo2</v>
      </c>
      <c r="BR7" s="1" t="str">
        <f t="shared" si="20"/>
        <v>XExo2</v>
      </c>
      <c r="BS7" s="1" t="str">
        <f t="shared" si="21"/>
        <v/>
      </c>
      <c r="BU7">
        <f>IF(DayNight="Day",IF(AND(Spot_Act_Info_Day!A7&lt;&gt;"",Spot_Act_Info_Day!D7&lt;&gt;"seed"),Spot_Act_Info_Day!A7,""),IF(AND(Spot_Act_Info_Night!A7&lt;&gt;"",Spot_Act_Info_Night!D7&lt;&gt;"seed"),Spot_Act_Info_Night!A7,""))</f>
        <v>7122</v>
      </c>
    </row>
    <row r="8" spans="1:73" x14ac:dyDescent="0.3">
      <c r="A8" s="9"/>
      <c r="C8" s="9" t="s">
        <v>70</v>
      </c>
      <c r="D8" s="9" t="s">
        <v>63</v>
      </c>
      <c r="E8" s="9" t="s">
        <v>784</v>
      </c>
      <c r="F8" s="9" t="s">
        <v>1686</v>
      </c>
      <c r="G8" s="9"/>
      <c r="H8" s="9" t="s">
        <v>904</v>
      </c>
      <c r="I8" s="9" t="s">
        <v>165</v>
      </c>
      <c r="J8" s="9" t="s">
        <v>1719</v>
      </c>
      <c r="K8" s="9" t="s">
        <v>6884</v>
      </c>
      <c r="N8" s="9" t="s">
        <v>788</v>
      </c>
      <c r="O8" s="9" t="s">
        <v>254</v>
      </c>
      <c r="P8" s="9" t="s">
        <v>1637</v>
      </c>
      <c r="S8" s="9" t="s">
        <v>1165</v>
      </c>
      <c r="T8" t="s">
        <v>8091</v>
      </c>
      <c r="U8" s="9" t="s">
        <v>233</v>
      </c>
      <c r="X8" s="9" t="s">
        <v>789</v>
      </c>
      <c r="Y8" s="9" t="s">
        <v>836</v>
      </c>
      <c r="Z8" s="9" t="s">
        <v>240</v>
      </c>
      <c r="AC8" s="9" t="s">
        <v>215</v>
      </c>
      <c r="AD8" s="9" t="s">
        <v>715</v>
      </c>
      <c r="AE8" s="9" t="s">
        <v>1636</v>
      </c>
      <c r="AP8" t="s">
        <v>566</v>
      </c>
      <c r="AQ8" t="s">
        <v>548</v>
      </c>
      <c r="AU8" t="s">
        <v>6839</v>
      </c>
      <c r="AV8" t="s">
        <v>723</v>
      </c>
      <c r="AZ8" s="1" t="str">
        <f t="shared" si="2"/>
        <v>Ai</v>
      </c>
      <c r="BA8" s="1" t="str">
        <f t="shared" si="3"/>
        <v>CZ75</v>
      </c>
      <c r="BB8" s="1" t="str">
        <f t="shared" si="4"/>
        <v/>
      </c>
      <c r="BC8" s="1" t="str">
        <f t="shared" si="5"/>
        <v>CZ75</v>
      </c>
      <c r="BD8" s="1" t="str">
        <f t="shared" si="6"/>
        <v>FO12</v>
      </c>
      <c r="BE8" s="1" t="str">
        <f t="shared" si="7"/>
        <v/>
      </c>
      <c r="BF8" s="1" t="str">
        <f t="shared" si="8"/>
        <v/>
      </c>
      <c r="BG8" s="1" t="str">
        <f t="shared" si="9"/>
        <v/>
      </c>
      <c r="BH8" s="1" t="str">
        <f t="shared" si="10"/>
        <v/>
      </c>
      <c r="BI8" s="1" t="str">
        <f t="shared" si="11"/>
        <v/>
      </c>
      <c r="BJ8" s="1" t="str">
        <f t="shared" si="12"/>
        <v/>
      </c>
      <c r="BK8" s="1" t="str">
        <f t="shared" si="13"/>
        <v/>
      </c>
      <c r="BL8" s="1" t="str">
        <f t="shared" si="14"/>
        <v/>
      </c>
      <c r="BM8" s="1" t="str">
        <f t="shared" si="15"/>
        <v/>
      </c>
      <c r="BN8" s="1" t="str">
        <f t="shared" si="16"/>
        <v>Choke3</v>
      </c>
      <c r="BO8" s="1" t="str">
        <f t="shared" si="17"/>
        <v>9A91Login</v>
      </c>
      <c r="BP8" s="1" t="str">
        <f t="shared" si="18"/>
        <v>XExo3</v>
      </c>
      <c r="BQ8" s="1" t="str">
        <f t="shared" si="19"/>
        <v>XExo3</v>
      </c>
      <c r="BR8" s="1" t="str">
        <f t="shared" si="20"/>
        <v>XExo3</v>
      </c>
      <c r="BS8" s="1" t="str">
        <f t="shared" si="21"/>
        <v/>
      </c>
      <c r="BU8">
        <f>IF(DayNight="Day",IF(AND(Spot_Act_Info_Day!A8&lt;&gt;"",Spot_Act_Info_Day!D8&lt;&gt;"seed"),Spot_Act_Info_Day!A8,""),IF(AND(Spot_Act_Info_Night!A8&lt;&gt;"",Spot_Act_Info_Night!D8&lt;&gt;"seed"),Spot_Act_Info_Night!A8,""))</f>
        <v>7123</v>
      </c>
    </row>
    <row r="9" spans="1:73" x14ac:dyDescent="0.3">
      <c r="A9" s="9"/>
      <c r="C9" s="9" t="s">
        <v>1193</v>
      </c>
      <c r="D9" s="9" t="s">
        <v>68</v>
      </c>
      <c r="E9" s="9" t="s">
        <v>252</v>
      </c>
      <c r="F9" s="9" t="s">
        <v>196</v>
      </c>
      <c r="G9" s="9"/>
      <c r="H9" s="9" t="s">
        <v>116</v>
      </c>
      <c r="I9" s="9" t="s">
        <v>1664</v>
      </c>
      <c r="J9" s="9" t="s">
        <v>261</v>
      </c>
      <c r="K9" t="s">
        <v>9157</v>
      </c>
      <c r="N9" s="9" t="s">
        <v>89</v>
      </c>
      <c r="O9" s="9" t="s">
        <v>787</v>
      </c>
      <c r="P9" s="9" t="s">
        <v>234</v>
      </c>
      <c r="S9" s="9" t="s">
        <v>206</v>
      </c>
      <c r="T9" t="s">
        <v>6671</v>
      </c>
      <c r="U9" s="9" t="s">
        <v>1663</v>
      </c>
      <c r="X9" s="9" t="s">
        <v>112</v>
      </c>
      <c r="Y9" s="9" t="s">
        <v>105</v>
      </c>
      <c r="Z9" s="9" t="s">
        <v>259</v>
      </c>
      <c r="AC9" s="9" t="s">
        <v>809</v>
      </c>
      <c r="AD9" s="9" t="s">
        <v>149</v>
      </c>
      <c r="AE9" s="9" t="s">
        <v>1205</v>
      </c>
      <c r="AP9" t="s">
        <v>567</v>
      </c>
      <c r="AQ9" t="s">
        <v>549</v>
      </c>
      <c r="AU9" t="s">
        <v>6840</v>
      </c>
      <c r="AV9" t="s">
        <v>8716</v>
      </c>
      <c r="AZ9" s="1" t="str">
        <f t="shared" si="2"/>
        <v>AK12</v>
      </c>
      <c r="BA9" s="1" t="str">
        <f t="shared" si="3"/>
        <v>Desert Eagle</v>
      </c>
      <c r="BB9" s="1" t="str">
        <f t="shared" si="4"/>
        <v/>
      </c>
      <c r="BC9" s="1" t="str">
        <f t="shared" si="5"/>
        <v>Desert Eagle</v>
      </c>
      <c r="BD9" s="1" t="str">
        <f t="shared" si="6"/>
        <v>FP6</v>
      </c>
      <c r="BE9" s="1" t="str">
        <f t="shared" si="7"/>
        <v/>
      </c>
      <c r="BF9" s="1" t="str">
        <f t="shared" si="8"/>
        <v/>
      </c>
      <c r="BG9" s="1" t="str">
        <f t="shared" si="9"/>
        <v/>
      </c>
      <c r="BH9" s="1" t="str">
        <f t="shared" si="10"/>
        <v/>
      </c>
      <c r="BI9" s="1" t="str">
        <f t="shared" si="11"/>
        <v/>
      </c>
      <c r="BJ9" s="1" t="str">
        <f t="shared" si="12"/>
        <v/>
      </c>
      <c r="BK9" s="1" t="str">
        <f t="shared" si="13"/>
        <v/>
      </c>
      <c r="BL9" s="1" t="str">
        <f t="shared" si="14"/>
        <v/>
      </c>
      <c r="BM9" s="1" t="str">
        <f t="shared" si="15"/>
        <v/>
      </c>
      <c r="BN9" s="1" t="str">
        <f t="shared" si="16"/>
        <v>Choke4</v>
      </c>
      <c r="BO9" s="1" t="str">
        <f t="shared" si="17"/>
        <v>AA12</v>
      </c>
      <c r="BP9" s="1" t="str">
        <f t="shared" si="18"/>
        <v>XExo4</v>
      </c>
      <c r="BQ9" s="1" t="str">
        <f t="shared" si="19"/>
        <v>XExo4</v>
      </c>
      <c r="BR9" s="1" t="str">
        <f t="shared" si="20"/>
        <v>XExo4</v>
      </c>
      <c r="BS9" s="1" t="str">
        <f t="shared" si="21"/>
        <v/>
      </c>
      <c r="BU9">
        <f>IF(DayNight="Day",IF(AND(Spot_Act_Info_Day!A9&lt;&gt;"",Spot_Act_Info_Day!D9&lt;&gt;"seed"),Spot_Act_Info_Day!A9,""),IF(AND(Spot_Act_Info_Night!A9&lt;&gt;"",Spot_Act_Info_Night!D9&lt;&gt;"seed"),Spot_Act_Info_Night!A9,""))</f>
        <v>7124</v>
      </c>
    </row>
    <row r="10" spans="1:73" x14ac:dyDescent="0.3">
      <c r="A10" s="9"/>
      <c r="C10" s="9"/>
      <c r="D10" s="9" t="s">
        <v>1643</v>
      </c>
      <c r="E10" s="9" t="s">
        <v>937</v>
      </c>
      <c r="F10" s="9" t="s">
        <v>1628</v>
      </c>
      <c r="G10" s="9"/>
      <c r="H10" s="9" t="s">
        <v>118</v>
      </c>
      <c r="I10" s="9" t="s">
        <v>84</v>
      </c>
      <c r="J10" s="9" t="s">
        <v>157</v>
      </c>
      <c r="K10" s="9" t="s">
        <v>1602</v>
      </c>
      <c r="N10" s="9" t="s">
        <v>184</v>
      </c>
      <c r="O10" s="9" t="s">
        <v>805</v>
      </c>
      <c r="P10" s="9" t="s">
        <v>804</v>
      </c>
      <c r="S10" s="9" t="s">
        <v>216</v>
      </c>
      <c r="T10" s="9" t="s">
        <v>1661</v>
      </c>
      <c r="U10" s="9" t="s">
        <v>1666</v>
      </c>
      <c r="X10" s="9" t="s">
        <v>110</v>
      </c>
      <c r="Y10" t="s">
        <v>7141</v>
      </c>
      <c r="Z10" t="s">
        <v>6677</v>
      </c>
      <c r="AD10" t="s">
        <v>5461</v>
      </c>
      <c r="AE10" s="9" t="s">
        <v>810</v>
      </c>
      <c r="AU10" t="s">
        <v>913</v>
      </c>
      <c r="AV10" t="s">
        <v>1621</v>
      </c>
      <c r="AZ10" s="1" t="str">
        <f t="shared" si="2"/>
        <v>AK15</v>
      </c>
      <c r="BA10" s="1" t="str">
        <f t="shared" si="3"/>
        <v>FAIL</v>
      </c>
      <c r="BB10" s="1" t="str">
        <f t="shared" si="4"/>
        <v/>
      </c>
      <c r="BC10" s="1" t="str">
        <f t="shared" si="5"/>
        <v>FAIL</v>
      </c>
      <c r="BD10" s="1" t="str">
        <f t="shared" si="6"/>
        <v>KSG</v>
      </c>
      <c r="BE10" s="1" t="str">
        <f t="shared" si="7"/>
        <v/>
      </c>
      <c r="BF10" s="1" t="str">
        <f t="shared" si="8"/>
        <v/>
      </c>
      <c r="BG10" s="1" t="str">
        <f t="shared" si="9"/>
        <v/>
      </c>
      <c r="BH10" s="1" t="str">
        <f t="shared" si="10"/>
        <v/>
      </c>
      <c r="BI10" s="1" t="str">
        <f t="shared" si="11"/>
        <v/>
      </c>
      <c r="BJ10" s="1" t="str">
        <f t="shared" si="12"/>
        <v/>
      </c>
      <c r="BK10" s="1" t="str">
        <f t="shared" si="13"/>
        <v/>
      </c>
      <c r="BL10" s="1" t="str">
        <f t="shared" si="14"/>
        <v/>
      </c>
      <c r="BM10" s="1" t="str">
        <f t="shared" si="15"/>
        <v/>
      </c>
      <c r="BN10" s="1" t="str">
        <f t="shared" si="16"/>
        <v>Choke5</v>
      </c>
      <c r="BO10" s="1" t="str">
        <f t="shared" si="17"/>
        <v>AA12GZ</v>
      </c>
      <c r="BP10" s="1" t="str">
        <f t="shared" si="18"/>
        <v>XExo5</v>
      </c>
      <c r="BQ10" s="1" t="str">
        <f t="shared" si="19"/>
        <v>XExo5</v>
      </c>
      <c r="BR10" s="1" t="str">
        <f t="shared" si="20"/>
        <v>XExo5</v>
      </c>
      <c r="BS10" s="1" t="str">
        <f t="shared" si="21"/>
        <v/>
      </c>
      <c r="BU10">
        <f>IF(DayNight="Day",IF(AND(Spot_Act_Info_Day!A10&lt;&gt;"",Spot_Act_Info_Day!D10&lt;&gt;"seed"),Spot_Act_Info_Day!A10,""),IF(AND(Spot_Act_Info_Night!A10&lt;&gt;"",Spot_Act_Info_Night!D10&lt;&gt;"seed"),Spot_Act_Info_Night!A10,""))</f>
        <v>7126</v>
      </c>
    </row>
    <row r="11" spans="1:73" x14ac:dyDescent="0.3">
      <c r="A11" s="9"/>
      <c r="C11" s="9"/>
      <c r="D11" s="9" t="s">
        <v>1647</v>
      </c>
      <c r="E11" s="9" t="s">
        <v>1178</v>
      </c>
      <c r="F11" s="9" t="s">
        <v>120</v>
      </c>
      <c r="G11" s="9"/>
      <c r="I11" s="9" t="s">
        <v>208</v>
      </c>
      <c r="J11" s="9" t="s">
        <v>1660</v>
      </c>
      <c r="K11" s="9" t="s">
        <v>247</v>
      </c>
      <c r="N11" s="9" t="s">
        <v>1630</v>
      </c>
      <c r="O11" s="9" t="s">
        <v>728</v>
      </c>
      <c r="P11" s="9" t="s">
        <v>1731</v>
      </c>
      <c r="S11" s="9" t="s">
        <v>203</v>
      </c>
      <c r="T11" s="9" t="s">
        <v>175</v>
      </c>
      <c r="U11" s="9" t="s">
        <v>232</v>
      </c>
      <c r="X11" s="9" t="s">
        <v>239</v>
      </c>
      <c r="Y11" s="9" t="s">
        <v>106</v>
      </c>
      <c r="Z11" s="9" t="s">
        <v>1714</v>
      </c>
      <c r="AD11" t="s">
        <v>4731</v>
      </c>
      <c r="AE11" s="9" t="s">
        <v>145</v>
      </c>
      <c r="AL11" s="35"/>
      <c r="AU11" t="s">
        <v>905</v>
      </c>
      <c r="AV11" t="s">
        <v>213</v>
      </c>
      <c r="AZ11" s="1" t="str">
        <f t="shared" si="2"/>
        <v>AKAlfa</v>
      </c>
      <c r="BA11" s="1" t="str">
        <f t="shared" si="3"/>
        <v>Fiveseven</v>
      </c>
      <c r="BB11" s="1" t="str">
        <f t="shared" si="4"/>
        <v/>
      </c>
      <c r="BC11" s="1" t="str">
        <f t="shared" si="5"/>
        <v>Fiveseven</v>
      </c>
      <c r="BD11" s="1" t="str">
        <f t="shared" si="6"/>
        <v>LTLX7000</v>
      </c>
      <c r="BE11" s="1" t="str">
        <f t="shared" si="7"/>
        <v/>
      </c>
      <c r="BF11" s="1" t="str">
        <f t="shared" si="8"/>
        <v/>
      </c>
      <c r="BG11" s="1" t="str">
        <f t="shared" si="9"/>
        <v/>
      </c>
      <c r="BH11" s="1" t="str">
        <f t="shared" si="10"/>
        <v/>
      </c>
      <c r="BI11" s="1" t="str">
        <f t="shared" si="11"/>
        <v/>
      </c>
      <c r="BJ11" s="1" t="str">
        <f t="shared" si="12"/>
        <v/>
      </c>
      <c r="BK11" s="1" t="str">
        <f t="shared" si="13"/>
        <v/>
      </c>
      <c r="BL11" s="1" t="str">
        <f t="shared" si="14"/>
        <v/>
      </c>
      <c r="BM11" s="1" t="str">
        <f t="shared" si="15"/>
        <v/>
      </c>
      <c r="BN11" s="1" t="str">
        <f t="shared" si="16"/>
        <v>Flare</v>
      </c>
      <c r="BO11" s="1" t="str">
        <f t="shared" si="17"/>
        <v>AAT52</v>
      </c>
      <c r="BP11" s="1" t="str">
        <f t="shared" si="18"/>
        <v/>
      </c>
      <c r="BQ11" s="1" t="str">
        <f t="shared" si="19"/>
        <v/>
      </c>
      <c r="BR11" s="1" t="str">
        <f t="shared" si="20"/>
        <v/>
      </c>
      <c r="BS11" s="1" t="str">
        <f t="shared" si="21"/>
        <v/>
      </c>
      <c r="BU11">
        <f>IF(DayNight="Day",IF(AND(Spot_Act_Info_Day!A11&lt;&gt;"",Spot_Act_Info_Day!D11&lt;&gt;"seed"),Spot_Act_Info_Day!A11,""),IF(AND(Spot_Act_Info_Night!A11&lt;&gt;"",Spot_Act_Info_Night!D11&lt;&gt;"seed"),Spot_Act_Info_Night!A11,""))</f>
        <v>7127</v>
      </c>
    </row>
    <row r="12" spans="1:73" x14ac:dyDescent="0.3">
      <c r="A12" s="9"/>
      <c r="C12" s="9"/>
      <c r="D12" s="9" t="s">
        <v>71</v>
      </c>
      <c r="E12" t="s">
        <v>1753</v>
      </c>
      <c r="F12" t="s">
        <v>9167</v>
      </c>
      <c r="G12" s="9"/>
      <c r="I12" s="9" t="s">
        <v>1629</v>
      </c>
      <c r="J12" s="9" t="s">
        <v>714</v>
      </c>
      <c r="K12" t="s">
        <v>1691</v>
      </c>
      <c r="N12" s="9" t="s">
        <v>1649</v>
      </c>
      <c r="O12" s="9" t="s">
        <v>6483</v>
      </c>
      <c r="P12" s="9" t="s">
        <v>143</v>
      </c>
      <c r="S12" s="9" t="s">
        <v>182</v>
      </c>
      <c r="T12" s="9" t="s">
        <v>1655</v>
      </c>
      <c r="U12" s="9" t="s">
        <v>251</v>
      </c>
      <c r="Y12" t="s">
        <v>8487</v>
      </c>
      <c r="Z12" s="9" t="s">
        <v>205</v>
      </c>
      <c r="AD12" s="9" t="s">
        <v>927</v>
      </c>
      <c r="AE12" t="s">
        <v>4722</v>
      </c>
      <c r="AL12" s="35"/>
      <c r="AU12" t="s">
        <v>6930</v>
      </c>
      <c r="AV12" t="s">
        <v>210</v>
      </c>
      <c r="AZ12" s="1" t="str">
        <f t="shared" si="2"/>
        <v>AN94</v>
      </c>
      <c r="BA12" s="1" t="str">
        <f t="shared" si="3"/>
        <v>Grizzly</v>
      </c>
      <c r="BB12" s="1" t="str">
        <f t="shared" si="4"/>
        <v/>
      </c>
      <c r="BC12" s="1" t="str">
        <f t="shared" si="5"/>
        <v>Grizzly</v>
      </c>
      <c r="BD12" s="1" t="str">
        <f t="shared" si="6"/>
        <v>M1887</v>
      </c>
      <c r="BE12" s="1" t="str">
        <f t="shared" si="7"/>
        <v/>
      </c>
      <c r="BF12" s="1" t="str">
        <f t="shared" si="8"/>
        <v/>
      </c>
      <c r="BG12" s="1" t="str">
        <f t="shared" si="9"/>
        <v/>
      </c>
      <c r="BH12" s="1" t="str">
        <f t="shared" si="10"/>
        <v/>
      </c>
      <c r="BI12" s="1" t="str">
        <f t="shared" si="11"/>
        <v/>
      </c>
      <c r="BJ12" s="1" t="str">
        <f t="shared" si="12"/>
        <v/>
      </c>
      <c r="BK12" s="1" t="str">
        <f t="shared" si="13"/>
        <v/>
      </c>
      <c r="BL12" s="1" t="str">
        <f t="shared" si="14"/>
        <v/>
      </c>
      <c r="BM12" s="1" t="str">
        <f t="shared" si="15"/>
        <v/>
      </c>
      <c r="BN12" s="1" t="str">
        <f t="shared" si="16"/>
        <v>Flashbang</v>
      </c>
      <c r="BO12" s="1" t="str">
        <f t="shared" si="17"/>
        <v>ACR</v>
      </c>
      <c r="BP12" s="1" t="str">
        <f t="shared" si="18"/>
        <v/>
      </c>
      <c r="BQ12" s="1" t="str">
        <f t="shared" si="19"/>
        <v/>
      </c>
      <c r="BR12" s="1" t="str">
        <f t="shared" si="20"/>
        <v/>
      </c>
      <c r="BS12" s="1" t="str">
        <f t="shared" si="21"/>
        <v/>
      </c>
      <c r="BU12">
        <f>IF(DayNight="Day",IF(AND(Spot_Act_Info_Day!A12&lt;&gt;"",Spot_Act_Info_Day!D12&lt;&gt;"seed"),Spot_Act_Info_Day!A12,""),IF(AND(Spot_Act_Info_Night!A12&lt;&gt;"",Spot_Act_Info_Night!D12&lt;&gt;"seed"),Spot_Act_Info_Night!A12,""))</f>
        <v>7128</v>
      </c>
    </row>
    <row r="13" spans="1:73" x14ac:dyDescent="0.3">
      <c r="A13" s="9"/>
      <c r="C13" s="9"/>
      <c r="D13" s="9" t="s">
        <v>163</v>
      </c>
      <c r="E13" s="9" t="s">
        <v>1683</v>
      </c>
      <c r="F13" s="9" t="s">
        <v>1665</v>
      </c>
      <c r="G13" s="9"/>
      <c r="I13" s="9" t="s">
        <v>1640</v>
      </c>
      <c r="J13" s="9" t="s">
        <v>1657</v>
      </c>
      <c r="K13" t="s">
        <v>7203</v>
      </c>
      <c r="N13" s="9" t="s">
        <v>241</v>
      </c>
      <c r="O13" s="9" t="s">
        <v>1623</v>
      </c>
      <c r="P13" s="9" t="s">
        <v>166</v>
      </c>
      <c r="S13" s="9" t="s">
        <v>726</v>
      </c>
      <c r="T13" s="9" t="s">
        <v>710</v>
      </c>
      <c r="U13" t="s">
        <v>6663</v>
      </c>
      <c r="Y13" s="9" t="s">
        <v>114</v>
      </c>
      <c r="Z13" s="9" t="s">
        <v>6470</v>
      </c>
      <c r="AD13" s="9" t="s">
        <v>1635</v>
      </c>
      <c r="AE13" s="9" t="s">
        <v>811</v>
      </c>
      <c r="AL13" s="35"/>
      <c r="AU13" t="s">
        <v>6841</v>
      </c>
      <c r="AV13" t="s">
        <v>919</v>
      </c>
      <c r="AZ13" s="1" t="str">
        <f t="shared" si="2"/>
        <v>Angelica</v>
      </c>
      <c r="BA13" s="1" t="str">
        <f t="shared" si="3"/>
        <v>Hecate</v>
      </c>
      <c r="BB13" s="1" t="str">
        <f t="shared" si="4"/>
        <v/>
      </c>
      <c r="BC13" s="1" t="str">
        <f t="shared" si="5"/>
        <v>Hecate</v>
      </c>
      <c r="BD13" s="1" t="str">
        <f t="shared" si="6"/>
        <v>M26-MASS</v>
      </c>
      <c r="BE13" s="1" t="str">
        <f t="shared" si="7"/>
        <v/>
      </c>
      <c r="BF13" s="1" t="str">
        <f t="shared" si="8"/>
        <v/>
      </c>
      <c r="BG13" s="1" t="str">
        <f t="shared" si="9"/>
        <v/>
      </c>
      <c r="BH13" s="1" t="str">
        <f t="shared" si="10"/>
        <v/>
      </c>
      <c r="BI13" s="1" t="str">
        <f t="shared" si="11"/>
        <v/>
      </c>
      <c r="BJ13" s="1" t="str">
        <f t="shared" si="12"/>
        <v/>
      </c>
      <c r="BK13" s="1" t="str">
        <f t="shared" si="13"/>
        <v/>
      </c>
      <c r="BL13" s="1" t="str">
        <f t="shared" si="14"/>
        <v/>
      </c>
      <c r="BM13" s="1" t="str">
        <f t="shared" si="15"/>
        <v/>
      </c>
      <c r="BN13" s="1" t="str">
        <f t="shared" si="16"/>
        <v>FocusChip</v>
      </c>
      <c r="BO13" s="1" t="str">
        <f t="shared" si="17"/>
        <v>ADS</v>
      </c>
      <c r="BP13" s="1" t="str">
        <f t="shared" si="18"/>
        <v/>
      </c>
      <c r="BQ13" s="1" t="str">
        <f t="shared" si="19"/>
        <v/>
      </c>
      <c r="BR13" s="1" t="str">
        <f t="shared" si="20"/>
        <v/>
      </c>
      <c r="BS13" s="1" t="str">
        <f t="shared" si="21"/>
        <v/>
      </c>
      <c r="BU13">
        <f>IF(DayNight="Day",IF(AND(Spot_Act_Info_Day!A13&lt;&gt;"",Spot_Act_Info_Day!D13&lt;&gt;"seed"),Spot_Act_Info_Day!A13,""),IF(AND(Spot_Act_Info_Night!A13&lt;&gt;"",Spot_Act_Info_Night!D13&lt;&gt;"seed"),Spot_Act_Info_Night!A13,""))</f>
        <v>7129</v>
      </c>
    </row>
    <row r="14" spans="1:73" x14ac:dyDescent="0.3">
      <c r="A14" s="9"/>
      <c r="C14" s="9"/>
      <c r="D14" s="9" t="s">
        <v>129</v>
      </c>
      <c r="E14" s="9" t="s">
        <v>7105</v>
      </c>
      <c r="F14" s="9" t="s">
        <v>200</v>
      </c>
      <c r="G14" s="9"/>
      <c r="I14" s="9" t="s">
        <v>1610</v>
      </c>
      <c r="J14" s="9" t="s">
        <v>253</v>
      </c>
      <c r="K14" s="9" t="s">
        <v>237</v>
      </c>
      <c r="N14" s="9" t="s">
        <v>1642</v>
      </c>
      <c r="O14" s="9" t="s">
        <v>91</v>
      </c>
      <c r="P14" s="9" t="s">
        <v>93</v>
      </c>
      <c r="S14" s="9" t="s">
        <v>102</v>
      </c>
      <c r="T14" s="9" t="s">
        <v>1711</v>
      </c>
      <c r="U14" s="9" t="s">
        <v>155</v>
      </c>
      <c r="Y14" s="9" t="s">
        <v>189</v>
      </c>
      <c r="Z14" s="9" t="s">
        <v>299</v>
      </c>
      <c r="AD14" s="9" t="s">
        <v>1632</v>
      </c>
      <c r="AE14" s="9" t="s">
        <v>5631</v>
      </c>
      <c r="AL14" s="35"/>
      <c r="AM14" s="35"/>
      <c r="AU14" t="s">
        <v>6842</v>
      </c>
      <c r="AV14" t="s">
        <v>918</v>
      </c>
      <c r="AZ14" s="1" t="str">
        <f t="shared" si="2"/>
        <v>AR18</v>
      </c>
      <c r="BA14" s="1" t="str">
        <f t="shared" si="3"/>
        <v>HP35</v>
      </c>
      <c r="BB14" s="1" t="str">
        <f t="shared" si="4"/>
        <v/>
      </c>
      <c r="BC14" s="1" t="str">
        <f t="shared" si="5"/>
        <v>HP35</v>
      </c>
      <c r="BD14" s="1" t="str">
        <f t="shared" si="6"/>
        <v>M6 ASW</v>
      </c>
      <c r="BE14" s="1" t="str">
        <f t="shared" si="7"/>
        <v/>
      </c>
      <c r="BF14" s="1" t="str">
        <f t="shared" si="8"/>
        <v/>
      </c>
      <c r="BG14" s="1" t="str">
        <f t="shared" si="9"/>
        <v/>
      </c>
      <c r="BH14" s="1" t="str">
        <f t="shared" si="10"/>
        <v/>
      </c>
      <c r="BI14" s="1" t="str">
        <f t="shared" si="11"/>
        <v/>
      </c>
      <c r="BJ14" s="1" t="str">
        <f t="shared" si="12"/>
        <v/>
      </c>
      <c r="BK14" s="1" t="str">
        <f t="shared" si="13"/>
        <v/>
      </c>
      <c r="BL14" s="1" t="str">
        <f t="shared" si="14"/>
        <v/>
      </c>
      <c r="BM14" s="1" t="str">
        <f t="shared" si="15"/>
        <v/>
      </c>
      <c r="BN14" s="1" t="str">
        <f t="shared" si="16"/>
        <v>Rangefinder4</v>
      </c>
      <c r="BO14" s="1" t="str">
        <f t="shared" si="17"/>
        <v>Agent416HV</v>
      </c>
      <c r="BP14" s="1" t="str">
        <f t="shared" si="18"/>
        <v/>
      </c>
      <c r="BQ14" s="1" t="str">
        <f t="shared" si="19"/>
        <v/>
      </c>
      <c r="BR14" s="1" t="str">
        <f t="shared" si="20"/>
        <v/>
      </c>
      <c r="BS14" s="1" t="str">
        <f t="shared" si="21"/>
        <v/>
      </c>
      <c r="BU14">
        <f>IF(DayNight="Day",IF(AND(Spot_Act_Info_Day!A14&lt;&gt;"",Spot_Act_Info_Day!D14&lt;&gt;"seed"),Spot_Act_Info_Day!A14,""),IF(AND(Spot_Act_Info_Night!A14&lt;&gt;"",Spot_Act_Info_Night!D14&lt;&gt;"seed"),Spot_Act_Info_Night!A14,""))</f>
        <v>7130</v>
      </c>
    </row>
    <row r="15" spans="1:73" x14ac:dyDescent="0.3">
      <c r="A15" s="9"/>
      <c r="C15" s="9"/>
      <c r="D15" s="9" t="s">
        <v>140</v>
      </c>
      <c r="E15" s="9" t="s">
        <v>6648</v>
      </c>
      <c r="F15" s="9" t="s">
        <v>1692</v>
      </c>
      <c r="G15" s="9"/>
      <c r="I15" s="9" t="s">
        <v>81</v>
      </c>
      <c r="J15" s="9" t="s">
        <v>9226</v>
      </c>
      <c r="K15" s="9" t="s">
        <v>6980</v>
      </c>
      <c r="N15" s="9" t="s">
        <v>142</v>
      </c>
      <c r="O15" s="9" t="s">
        <v>159</v>
      </c>
      <c r="P15" s="9" t="s">
        <v>265</v>
      </c>
      <c r="S15" s="9" t="s">
        <v>1670</v>
      </c>
      <c r="T15" s="9" t="s">
        <v>818</v>
      </c>
      <c r="U15" s="9" t="s">
        <v>257</v>
      </c>
      <c r="Y15" s="9" t="s">
        <v>128</v>
      </c>
      <c r="Z15" s="9" t="s">
        <v>300</v>
      </c>
      <c r="AD15" s="9" t="s">
        <v>150</v>
      </c>
      <c r="AE15" t="s">
        <v>1400</v>
      </c>
      <c r="AL15" s="35"/>
      <c r="AM15" s="35"/>
      <c r="AP15" s="35"/>
      <c r="AU15" t="s">
        <v>921</v>
      </c>
      <c r="AV15" t="s">
        <v>920</v>
      </c>
      <c r="AZ15" s="1" t="str">
        <f t="shared" si="2"/>
        <v>ART556</v>
      </c>
      <c r="BA15" s="1" t="str">
        <f t="shared" si="3"/>
        <v>HS2000</v>
      </c>
      <c r="BB15" s="1" t="str">
        <f t="shared" si="4"/>
        <v/>
      </c>
      <c r="BC15" s="1" t="str">
        <f t="shared" si="5"/>
        <v>HS2000</v>
      </c>
      <c r="BD15" s="1" t="str">
        <f t="shared" si="6"/>
        <v>M870</v>
      </c>
      <c r="BE15" s="1" t="str">
        <f t="shared" si="7"/>
        <v/>
      </c>
      <c r="BF15" s="1" t="str">
        <f t="shared" si="8"/>
        <v/>
      </c>
      <c r="BG15" s="1" t="str">
        <f t="shared" si="9"/>
        <v/>
      </c>
      <c r="BH15" s="1" t="str">
        <f t="shared" si="10"/>
        <v/>
      </c>
      <c r="BI15" s="1" t="str">
        <f t="shared" si="11"/>
        <v/>
      </c>
      <c r="BJ15" s="1" t="str">
        <f t="shared" si="12"/>
        <v/>
      </c>
      <c r="BK15" s="1" t="str">
        <f t="shared" si="13"/>
        <v/>
      </c>
      <c r="BL15" s="1" t="str">
        <f t="shared" si="14"/>
        <v/>
      </c>
      <c r="BM15" s="1" t="str">
        <f t="shared" si="15"/>
        <v/>
      </c>
      <c r="BN15" s="1" t="str">
        <f t="shared" si="16"/>
        <v>Rangefinder5</v>
      </c>
      <c r="BO15" s="1" t="str">
        <f t="shared" si="17"/>
        <v>Agent416VFL</v>
      </c>
      <c r="BP15" s="1" t="str">
        <f t="shared" si="18"/>
        <v/>
      </c>
      <c r="BQ15" s="1" t="str">
        <f t="shared" si="19"/>
        <v/>
      </c>
      <c r="BR15" s="1" t="str">
        <f t="shared" si="20"/>
        <v/>
      </c>
      <c r="BS15" s="1" t="str">
        <f t="shared" si="21"/>
        <v/>
      </c>
      <c r="BU15">
        <f>IF(DayNight="Day",IF(AND(Spot_Act_Info_Day!A15&lt;&gt;"",Spot_Act_Info_Day!D15&lt;&gt;"seed"),Spot_Act_Info_Day!A15,""),IF(AND(Spot_Act_Info_Night!A15&lt;&gt;"",Spot_Act_Info_Night!D15&lt;&gt;"seed"),Spot_Act_Info_Night!A15,""))</f>
        <v>7131</v>
      </c>
    </row>
    <row r="16" spans="1:73" x14ac:dyDescent="0.3">
      <c r="A16" s="9"/>
      <c r="C16" s="9"/>
      <c r="D16" s="9" t="s">
        <v>1671</v>
      </c>
      <c r="E16" s="9" t="s">
        <v>209</v>
      </c>
      <c r="F16" t="s">
        <v>7148</v>
      </c>
      <c r="G16" s="9"/>
      <c r="I16" s="9" t="s">
        <v>827</v>
      </c>
      <c r="J16" s="9" t="s">
        <v>729</v>
      </c>
      <c r="K16" s="9" t="s">
        <v>803</v>
      </c>
      <c r="N16" s="9" t="s">
        <v>130</v>
      </c>
      <c r="O16" t="s">
        <v>6656</v>
      </c>
      <c r="P16" s="9" t="s">
        <v>96</v>
      </c>
      <c r="S16" s="9" t="s">
        <v>167</v>
      </c>
      <c r="T16" s="9" t="s">
        <v>1675</v>
      </c>
      <c r="U16" s="9" t="s">
        <v>104</v>
      </c>
      <c r="Y16" s="9" t="s">
        <v>111</v>
      </c>
      <c r="Z16" t="s">
        <v>8686</v>
      </c>
      <c r="AD16" s="9" t="s">
        <v>1639</v>
      </c>
      <c r="AE16" t="s">
        <v>6571</v>
      </c>
      <c r="AL16" s="35"/>
      <c r="AM16" s="35"/>
      <c r="AP16" s="35"/>
      <c r="AU16" t="s">
        <v>922</v>
      </c>
      <c r="AV16" t="s">
        <v>915</v>
      </c>
      <c r="AZ16" s="1" t="str">
        <f t="shared" si="2"/>
        <v>AS ValMod</v>
      </c>
      <c r="BA16" s="1" t="str">
        <f t="shared" si="3"/>
        <v>Jill</v>
      </c>
      <c r="BB16" s="1" t="str">
        <f t="shared" si="4"/>
        <v/>
      </c>
      <c r="BC16" s="1" t="str">
        <f t="shared" si="5"/>
        <v>Jill</v>
      </c>
      <c r="BD16" s="1" t="str">
        <f t="shared" si="6"/>
        <v>Minos</v>
      </c>
      <c r="BE16" s="1" t="str">
        <f t="shared" si="7"/>
        <v/>
      </c>
      <c r="BF16" s="1" t="str">
        <f t="shared" si="8"/>
        <v/>
      </c>
      <c r="BG16" s="1" t="str">
        <f t="shared" si="9"/>
        <v/>
      </c>
      <c r="BH16" s="1" t="str">
        <f t="shared" si="10"/>
        <v/>
      </c>
      <c r="BI16" s="1" t="str">
        <f t="shared" si="11"/>
        <v/>
      </c>
      <c r="BJ16" s="1" t="str">
        <f t="shared" si="12"/>
        <v/>
      </c>
      <c r="BK16" s="1" t="str">
        <f t="shared" si="13"/>
        <v/>
      </c>
      <c r="BL16" s="1" t="str">
        <f t="shared" si="14"/>
        <v/>
      </c>
      <c r="BM16" s="1" t="str">
        <f t="shared" si="15"/>
        <v/>
      </c>
      <c r="BN16" s="1" t="str">
        <f t="shared" si="16"/>
        <v>RMR3</v>
      </c>
      <c r="BO16" s="1" t="str">
        <f t="shared" si="17"/>
        <v>Agent416XExo</v>
      </c>
      <c r="BP16" s="1" t="str">
        <f t="shared" si="18"/>
        <v/>
      </c>
      <c r="BQ16" s="1" t="str">
        <f t="shared" si="19"/>
        <v/>
      </c>
      <c r="BR16" s="1" t="str">
        <f t="shared" si="20"/>
        <v/>
      </c>
      <c r="BS16" s="1" t="str">
        <f t="shared" si="21"/>
        <v/>
      </c>
      <c r="BU16">
        <f>IF(DayNight="Day",IF(AND(Spot_Act_Info_Day!A16&lt;&gt;"",Spot_Act_Info_Day!D16&lt;&gt;"seed"),Spot_Act_Info_Day!A16,""),IF(AND(Spot_Act_Info_Night!A16&lt;&gt;"",Spot_Act_Info_Night!D16&lt;&gt;"seed"),Spot_Act_Info_Night!A16,""))</f>
        <v>7132</v>
      </c>
    </row>
    <row r="17" spans="1:73" x14ac:dyDescent="0.3">
      <c r="A17" s="9"/>
      <c r="C17" s="9"/>
      <c r="D17" s="9" t="s">
        <v>749</v>
      </c>
      <c r="E17" s="9" t="s">
        <v>122</v>
      </c>
      <c r="F17" s="9" t="s">
        <v>819</v>
      </c>
      <c r="G17" s="9"/>
      <c r="I17" s="9" t="s">
        <v>1673</v>
      </c>
      <c r="J17" s="9" t="s">
        <v>6387</v>
      </c>
      <c r="K17" s="9" t="s">
        <v>1409</v>
      </c>
      <c r="N17" s="9" t="s">
        <v>1613</v>
      </c>
      <c r="O17" s="9" t="s">
        <v>187</v>
      </c>
      <c r="P17" s="9" t="s">
        <v>7119</v>
      </c>
      <c r="S17" s="9" t="s">
        <v>238</v>
      </c>
      <c r="T17" s="9" t="s">
        <v>1162</v>
      </c>
      <c r="U17" t="s">
        <v>8084</v>
      </c>
      <c r="Y17" s="9" t="s">
        <v>807</v>
      </c>
      <c r="Z17" s="9" t="s">
        <v>126</v>
      </c>
      <c r="AD17" t="s">
        <v>6580</v>
      </c>
      <c r="AE17" s="9" t="s">
        <v>1634</v>
      </c>
      <c r="AU17" t="s">
        <v>923</v>
      </c>
      <c r="AV17" t="s">
        <v>917</v>
      </c>
      <c r="AZ17" s="1" t="str">
        <f t="shared" si="2"/>
        <v>AUG</v>
      </c>
      <c r="BA17" s="1" t="str">
        <f t="shared" si="3"/>
        <v>K5Mod</v>
      </c>
      <c r="BB17" s="1" t="str">
        <f t="shared" si="4"/>
        <v/>
      </c>
      <c r="BC17" s="1" t="str">
        <f t="shared" si="5"/>
        <v>K5Mod</v>
      </c>
      <c r="BD17" s="1" t="str">
        <f t="shared" si="6"/>
        <v>MK3A1</v>
      </c>
      <c r="BE17" s="1" t="str">
        <f t="shared" si="7"/>
        <v/>
      </c>
      <c r="BF17" s="1" t="str">
        <f t="shared" si="8"/>
        <v/>
      </c>
      <c r="BG17" s="1" t="str">
        <f t="shared" si="9"/>
        <v/>
      </c>
      <c r="BH17" s="1" t="str">
        <f t="shared" si="10"/>
        <v/>
      </c>
      <c r="BI17" s="1" t="str">
        <f t="shared" si="11"/>
        <v/>
      </c>
      <c r="BJ17" s="1" t="str">
        <f t="shared" si="12"/>
        <v/>
      </c>
      <c r="BK17" s="1" t="str">
        <f t="shared" si="13"/>
        <v/>
      </c>
      <c r="BL17" s="1" t="str">
        <f t="shared" si="14"/>
        <v/>
      </c>
      <c r="BM17" s="1" t="str">
        <f t="shared" si="15"/>
        <v/>
      </c>
      <c r="BN17" s="1" t="str">
        <f t="shared" si="16"/>
        <v>RMR4</v>
      </c>
      <c r="BO17" s="1" t="str">
        <f t="shared" si="17"/>
        <v>AgentVectorHP</v>
      </c>
      <c r="BP17" s="1" t="str">
        <f t="shared" si="18"/>
        <v/>
      </c>
      <c r="BQ17" s="1" t="str">
        <f t="shared" si="19"/>
        <v/>
      </c>
      <c r="BR17" s="1" t="str">
        <f t="shared" si="20"/>
        <v/>
      </c>
      <c r="BS17" s="1" t="str">
        <f t="shared" si="21"/>
        <v/>
      </c>
      <c r="BU17">
        <f>IF(DayNight="Day",IF(AND(Spot_Act_Info_Day!A17&lt;&gt;"",Spot_Act_Info_Day!D17&lt;&gt;"seed"),Spot_Act_Info_Day!A17,""),IF(AND(Spot_Act_Info_Night!A17&lt;&gt;"",Spot_Act_Info_Night!D17&lt;&gt;"seed"),Spot_Act_Info_Night!A17,""))</f>
        <v>7133</v>
      </c>
    </row>
    <row r="18" spans="1:73" x14ac:dyDescent="0.3">
      <c r="A18" s="9"/>
      <c r="C18" s="9"/>
      <c r="D18" s="9" t="s">
        <v>1650</v>
      </c>
      <c r="E18" s="9" t="s">
        <v>6462</v>
      </c>
      <c r="F18" s="9" t="s">
        <v>814</v>
      </c>
      <c r="G18" s="9"/>
      <c r="I18" s="9" t="s">
        <v>181</v>
      </c>
      <c r="J18" s="9" t="s">
        <v>2135</v>
      </c>
      <c r="K18" s="9" t="s">
        <v>82</v>
      </c>
      <c r="N18" s="9" t="s">
        <v>1656</v>
      </c>
      <c r="O18" s="9" t="s">
        <v>87</v>
      </c>
      <c r="P18" s="9" t="s">
        <v>201</v>
      </c>
      <c r="S18" s="9" t="s">
        <v>796</v>
      </c>
      <c r="T18" s="9" t="s">
        <v>1427</v>
      </c>
      <c r="U18" s="9" t="s">
        <v>9174</v>
      </c>
      <c r="Y18" s="9" t="s">
        <v>786</v>
      </c>
      <c r="Z18" s="9" t="s">
        <v>154</v>
      </c>
      <c r="AD18" s="9" t="s">
        <v>1672</v>
      </c>
      <c r="AE18" s="215" t="s">
        <v>7019</v>
      </c>
      <c r="AU18" t="s">
        <v>912</v>
      </c>
      <c r="AV18" t="s">
        <v>916</v>
      </c>
      <c r="AZ18" s="1" t="str">
        <f t="shared" si="2"/>
        <v>Beowulf</v>
      </c>
      <c r="BA18" s="1" t="str">
        <f t="shared" si="3"/>
        <v>Kiana</v>
      </c>
      <c r="BB18" s="1" t="str">
        <f t="shared" si="4"/>
        <v/>
      </c>
      <c r="BC18" s="1" t="str">
        <f t="shared" si="5"/>
        <v>Kiana</v>
      </c>
      <c r="BD18" s="1" t="str">
        <f t="shared" si="6"/>
        <v>Saiga12</v>
      </c>
      <c r="BE18" s="1" t="str">
        <f t="shared" si="7"/>
        <v/>
      </c>
      <c r="BF18" s="1" t="str">
        <f t="shared" si="8"/>
        <v/>
      </c>
      <c r="BG18" s="1" t="str">
        <f t="shared" si="9"/>
        <v/>
      </c>
      <c r="BH18" s="1" t="str">
        <f t="shared" si="10"/>
        <v/>
      </c>
      <c r="BI18" s="1" t="str">
        <f t="shared" si="11"/>
        <v/>
      </c>
      <c r="BJ18" s="1" t="str">
        <f t="shared" si="12"/>
        <v/>
      </c>
      <c r="BK18" s="1" t="str">
        <f t="shared" si="13"/>
        <v/>
      </c>
      <c r="BL18" s="1" t="str">
        <f t="shared" si="14"/>
        <v/>
      </c>
      <c r="BM18" s="1" t="str">
        <f t="shared" si="15"/>
        <v/>
      </c>
      <c r="BN18" s="1" t="str">
        <f t="shared" si="16"/>
        <v>RMR5</v>
      </c>
      <c r="BO18" s="1" t="str">
        <f t="shared" si="17"/>
        <v>AgentVectorSPP</v>
      </c>
      <c r="BP18" s="1" t="str">
        <f t="shared" si="18"/>
        <v/>
      </c>
      <c r="BQ18" s="1" t="str">
        <f t="shared" si="19"/>
        <v/>
      </c>
      <c r="BR18" s="1" t="str">
        <f t="shared" si="20"/>
        <v/>
      </c>
      <c r="BS18" s="1" t="str">
        <f t="shared" si="21"/>
        <v/>
      </c>
      <c r="BU18">
        <f>IF(DayNight="Day",IF(AND(Spot_Act_Info_Day!A18&lt;&gt;"",Spot_Act_Info_Day!D18&lt;&gt;"seed"),Spot_Act_Info_Day!A18,""),IF(AND(Spot_Act_Info_Night!A18&lt;&gt;"",Spot_Act_Info_Night!D18&lt;&gt;"seed"),Spot_Act_Info_Night!A18,""))</f>
        <v>7134</v>
      </c>
    </row>
    <row r="19" spans="1:73" x14ac:dyDescent="0.3">
      <c r="A19" s="9"/>
      <c r="C19" s="9"/>
      <c r="D19" s="9" t="s">
        <v>66</v>
      </c>
      <c r="E19" s="9" t="s">
        <v>5682</v>
      </c>
      <c r="F19" t="s">
        <v>6638</v>
      </c>
      <c r="G19" s="9"/>
      <c r="I19" s="9" t="s">
        <v>156</v>
      </c>
      <c r="J19" t="s">
        <v>8077</v>
      </c>
      <c r="K19" s="9" t="s">
        <v>8877</v>
      </c>
      <c r="N19" s="9" t="s">
        <v>222</v>
      </c>
      <c r="O19" s="9" t="s">
        <v>243</v>
      </c>
      <c r="P19" s="9" t="s">
        <v>185</v>
      </c>
      <c r="T19" s="9" t="s">
        <v>831</v>
      </c>
      <c r="U19" t="s">
        <v>8596</v>
      </c>
      <c r="Y19" s="9" t="s">
        <v>1651</v>
      </c>
      <c r="Z19" s="9" t="s">
        <v>785</v>
      </c>
      <c r="AE19" s="9" t="s">
        <v>3421</v>
      </c>
      <c r="AU19" t="s">
        <v>911</v>
      </c>
      <c r="AV19" t="s">
        <v>6995</v>
      </c>
      <c r="AZ19" s="1" t="str">
        <f t="shared" si="2"/>
        <v>CR21Mod</v>
      </c>
      <c r="BA19" s="1" t="str">
        <f t="shared" si="3"/>
        <v>Kolibri</v>
      </c>
      <c r="BB19" s="1" t="str">
        <f t="shared" si="4"/>
        <v/>
      </c>
      <c r="BC19" s="1" t="str">
        <f t="shared" si="5"/>
        <v>Kolibri</v>
      </c>
      <c r="BD19" s="1" t="str">
        <f t="shared" si="6"/>
        <v>Saki</v>
      </c>
      <c r="BE19" s="1" t="str">
        <f t="shared" si="7"/>
        <v/>
      </c>
      <c r="BF19" s="1" t="str">
        <f t="shared" si="8"/>
        <v/>
      </c>
      <c r="BG19" s="1" t="str">
        <f t="shared" si="9"/>
        <v/>
      </c>
      <c r="BH19" s="1" t="str">
        <f t="shared" si="10"/>
        <v/>
      </c>
      <c r="BI19" s="1" t="str">
        <f t="shared" si="11"/>
        <v/>
      </c>
      <c r="BJ19" s="1" t="str">
        <f t="shared" si="12"/>
        <v/>
      </c>
      <c r="BK19" s="1" t="str">
        <f t="shared" si="13"/>
        <v/>
      </c>
      <c r="BL19" s="1" t="str">
        <f t="shared" si="14"/>
        <v/>
      </c>
      <c r="BM19" s="1" t="str">
        <f t="shared" si="15"/>
        <v/>
      </c>
      <c r="BN19" s="1" t="str">
        <f t="shared" si="16"/>
        <v>SLAP4</v>
      </c>
      <c r="BO19" s="1" t="str">
        <f t="shared" si="17"/>
        <v>AgentVectorTExo</v>
      </c>
      <c r="BP19" s="1" t="str">
        <f t="shared" si="18"/>
        <v/>
      </c>
      <c r="BQ19" s="1" t="str">
        <f t="shared" si="19"/>
        <v/>
      </c>
      <c r="BR19" s="1" t="str">
        <f t="shared" si="20"/>
        <v/>
      </c>
      <c r="BS19" s="1" t="str">
        <f t="shared" si="21"/>
        <v/>
      </c>
      <c r="BU19">
        <f>IF(DayNight="Day",IF(AND(Spot_Act_Info_Day!A19&lt;&gt;"",Spot_Act_Info_Day!D19&lt;&gt;"seed"),Spot_Act_Info_Day!A19,""),IF(AND(Spot_Act_Info_Night!A19&lt;&gt;"",Spot_Act_Info_Night!D19&lt;&gt;"seed"),Spot_Act_Info_Night!A19,""))</f>
        <v>7135</v>
      </c>
    </row>
    <row r="20" spans="1:73" x14ac:dyDescent="0.3">
      <c r="A20" s="9"/>
      <c r="C20" s="9"/>
      <c r="D20" s="9" t="s">
        <v>224</v>
      </c>
      <c r="E20" s="9" t="s">
        <v>802</v>
      </c>
      <c r="F20" s="9" t="s">
        <v>121</v>
      </c>
      <c r="G20" s="9"/>
      <c r="I20" s="9" t="s">
        <v>1622</v>
      </c>
      <c r="J20" s="9" t="s">
        <v>1627</v>
      </c>
      <c r="K20" s="9" t="s">
        <v>190</v>
      </c>
      <c r="N20" s="9" t="s">
        <v>1603</v>
      </c>
      <c r="O20" s="9" t="s">
        <v>832</v>
      </c>
      <c r="P20" s="9" t="s">
        <v>132</v>
      </c>
      <c r="T20" s="9" t="s">
        <v>98</v>
      </c>
      <c r="U20" t="s">
        <v>8655</v>
      </c>
      <c r="Y20" t="s">
        <v>9101</v>
      </c>
      <c r="Z20" s="9" t="s">
        <v>1662</v>
      </c>
      <c r="AE20" s="9" t="s">
        <v>824</v>
      </c>
      <c r="AU20" t="s">
        <v>5668</v>
      </c>
      <c r="AV20" t="s">
        <v>8989</v>
      </c>
      <c r="AZ20" s="1" t="str">
        <f t="shared" si="2"/>
        <v>EM2Mod</v>
      </c>
      <c r="BA20" s="1" t="str">
        <f t="shared" si="3"/>
        <v>M327</v>
      </c>
      <c r="BB20" s="1" t="str">
        <f t="shared" si="4"/>
        <v/>
      </c>
      <c r="BC20" s="1" t="str">
        <f t="shared" si="5"/>
        <v>M327</v>
      </c>
      <c r="BD20" s="1" t="str">
        <f t="shared" si="6"/>
        <v>SAT8</v>
      </c>
      <c r="BE20" s="1" t="str">
        <f t="shared" si="7"/>
        <v/>
      </c>
      <c r="BF20" s="1" t="str">
        <f t="shared" si="8"/>
        <v/>
      </c>
      <c r="BG20" s="1" t="str">
        <f t="shared" si="9"/>
        <v/>
      </c>
      <c r="BH20" s="1" t="str">
        <f t="shared" si="10"/>
        <v/>
      </c>
      <c r="BI20" s="1" t="str">
        <f t="shared" si="11"/>
        <v/>
      </c>
      <c r="BJ20" s="1" t="str">
        <f t="shared" si="12"/>
        <v/>
      </c>
      <c r="BK20" s="1" t="str">
        <f t="shared" si="13"/>
        <v/>
      </c>
      <c r="BL20" s="1" t="str">
        <f t="shared" si="14"/>
        <v/>
      </c>
      <c r="BM20" s="1" t="str">
        <f t="shared" si="15"/>
        <v/>
      </c>
      <c r="BN20" s="1" t="str">
        <f t="shared" si="16"/>
        <v>SLAP5</v>
      </c>
      <c r="BO20" s="1" t="str">
        <f t="shared" si="17"/>
        <v>Ai</v>
      </c>
      <c r="BP20" s="1" t="str">
        <f t="shared" si="18"/>
        <v/>
      </c>
      <c r="BQ20" s="1" t="str">
        <f t="shared" si="19"/>
        <v/>
      </c>
      <c r="BR20" s="1" t="str">
        <f t="shared" si="20"/>
        <v/>
      </c>
      <c r="BS20" s="1" t="str">
        <f t="shared" si="21"/>
        <v/>
      </c>
      <c r="BU20">
        <f>IF(DayNight="Day",IF(AND(Spot_Act_Info_Day!A20&lt;&gt;"",Spot_Act_Info_Day!D20&lt;&gt;"seed"),Spot_Act_Info_Day!A20,""),IF(AND(Spot_Act_Info_Night!A20&lt;&gt;"",Spot_Act_Info_Night!D20&lt;&gt;"seed"),Spot_Act_Info_Night!A20,""))</f>
        <v>7136</v>
      </c>
    </row>
    <row r="21" spans="1:73" x14ac:dyDescent="0.3">
      <c r="A21" s="9"/>
      <c r="C21" s="9"/>
      <c r="D21" s="9" t="s">
        <v>73</v>
      </c>
      <c r="E21" s="9" t="s">
        <v>19</v>
      </c>
      <c r="F21" t="s">
        <v>8647</v>
      </c>
      <c r="G21" s="9"/>
      <c r="J21" s="9" t="s">
        <v>225</v>
      </c>
      <c r="K21" s="9" t="s">
        <v>1645</v>
      </c>
      <c r="N21" s="9" t="s">
        <v>119</v>
      </c>
      <c r="O21" s="9" t="s">
        <v>1680</v>
      </c>
      <c r="P21" t="s">
        <v>8885</v>
      </c>
      <c r="T21" s="9" t="s">
        <v>99</v>
      </c>
      <c r="U21" s="9" t="s">
        <v>124</v>
      </c>
      <c r="Z21" s="9" t="s">
        <v>1677</v>
      </c>
      <c r="AE21" t="s">
        <v>9017</v>
      </c>
      <c r="AU21" t="s">
        <v>5667</v>
      </c>
      <c r="AV21" t="s">
        <v>5744</v>
      </c>
      <c r="AZ21" s="1" t="str">
        <f t="shared" si="2"/>
        <v>Ezaki</v>
      </c>
      <c r="BA21" s="1" t="str">
        <f t="shared" si="3"/>
        <v>M950A</v>
      </c>
      <c r="BB21" s="1" t="str">
        <f t="shared" si="4"/>
        <v/>
      </c>
      <c r="BC21" s="1" t="str">
        <f t="shared" si="5"/>
        <v>M950A</v>
      </c>
      <c r="BD21" s="1" t="str">
        <f t="shared" si="6"/>
        <v>Seele</v>
      </c>
      <c r="BE21" s="1" t="str">
        <f t="shared" si="7"/>
        <v/>
      </c>
      <c r="BF21" s="1" t="str">
        <f t="shared" si="8"/>
        <v/>
      </c>
      <c r="BG21" s="1" t="str">
        <f t="shared" si="9"/>
        <v/>
      </c>
      <c r="BH21" s="1" t="str">
        <f t="shared" si="10"/>
        <v/>
      </c>
      <c r="BI21" s="1" t="str">
        <f t="shared" si="11"/>
        <v/>
      </c>
      <c r="BJ21" s="1" t="str">
        <f t="shared" si="12"/>
        <v/>
      </c>
      <c r="BK21" s="1" t="str">
        <f t="shared" si="13"/>
        <v/>
      </c>
      <c r="BL21" s="1" t="str">
        <f t="shared" si="14"/>
        <v/>
      </c>
      <c r="BM21" s="1" t="str">
        <f t="shared" si="15"/>
        <v/>
      </c>
      <c r="BN21" s="1" t="str">
        <f t="shared" si="16"/>
        <v>Sniper4</v>
      </c>
      <c r="BO21" s="1" t="str">
        <f t="shared" si="17"/>
        <v>AK12Mod</v>
      </c>
      <c r="BP21" s="1" t="str">
        <f t="shared" si="18"/>
        <v/>
      </c>
      <c r="BQ21" s="1" t="str">
        <f t="shared" si="19"/>
        <v/>
      </c>
      <c r="BR21" s="1" t="str">
        <f t="shared" si="20"/>
        <v/>
      </c>
      <c r="BS21" s="1" t="str">
        <f t="shared" si="21"/>
        <v/>
      </c>
      <c r="BU21">
        <f>IF(DayNight="Day",IF(AND(Spot_Act_Info_Day!A21&lt;&gt;"",Spot_Act_Info_Day!D21&lt;&gt;"seed"),Spot_Act_Info_Day!A21,""),IF(AND(Spot_Act_Info_Night!A21&lt;&gt;"",Spot_Act_Info_Night!D21&lt;&gt;"seed"),Spot_Act_Info_Night!A21,""))</f>
        <v>7137</v>
      </c>
    </row>
    <row r="22" spans="1:73" x14ac:dyDescent="0.3">
      <c r="A22" s="9"/>
      <c r="C22" s="9"/>
      <c r="D22" s="9" t="s">
        <v>214</v>
      </c>
      <c r="E22" s="9" t="s">
        <v>153</v>
      </c>
      <c r="F22" s="9" t="s">
        <v>193</v>
      </c>
      <c r="J22" s="9" t="s">
        <v>1611</v>
      </c>
      <c r="K22" s="9" t="s">
        <v>1652</v>
      </c>
      <c r="N22" s="9" t="s">
        <v>3396</v>
      </c>
      <c r="O22" s="9" t="s">
        <v>92</v>
      </c>
      <c r="P22" s="9" t="s">
        <v>820</v>
      </c>
      <c r="T22" s="9" t="s">
        <v>22</v>
      </c>
      <c r="U22" s="9" t="s">
        <v>1186</v>
      </c>
      <c r="Z22" s="9" t="s">
        <v>833</v>
      </c>
      <c r="AE22" t="s">
        <v>6561</v>
      </c>
      <c r="AU22" t="s">
        <v>6837</v>
      </c>
      <c r="AV22" t="s">
        <v>707</v>
      </c>
      <c r="AZ22" s="1" t="str">
        <f t="shared" si="2"/>
        <v>FAL</v>
      </c>
      <c r="BA22" s="1" t="str">
        <f t="shared" si="3"/>
        <v>Motoko</v>
      </c>
      <c r="BB22" s="1" t="str">
        <f t="shared" si="4"/>
        <v/>
      </c>
      <c r="BC22" s="1" t="str">
        <f t="shared" si="5"/>
        <v>Motoko</v>
      </c>
      <c r="BD22" s="1" t="str">
        <f t="shared" si="6"/>
        <v>SPAS12Mod</v>
      </c>
      <c r="BE22" s="1" t="str">
        <f t="shared" si="7"/>
        <v/>
      </c>
      <c r="BF22" s="1" t="str">
        <f t="shared" si="8"/>
        <v/>
      </c>
      <c r="BG22" s="1" t="str">
        <f t="shared" si="9"/>
        <v/>
      </c>
      <c r="BH22" s="1" t="str">
        <f t="shared" si="10"/>
        <v/>
      </c>
      <c r="BI22" s="1" t="str">
        <f t="shared" si="11"/>
        <v/>
      </c>
      <c r="BJ22" s="1" t="str">
        <f t="shared" si="12"/>
        <v/>
      </c>
      <c r="BK22" s="1" t="str">
        <f t="shared" si="13"/>
        <v/>
      </c>
      <c r="BL22" s="1" t="str">
        <f t="shared" si="14"/>
        <v/>
      </c>
      <c r="BM22" s="1" t="str">
        <f t="shared" si="15"/>
        <v/>
      </c>
      <c r="BN22" s="1" t="str">
        <f t="shared" si="16"/>
        <v>Sniper5</v>
      </c>
      <c r="BO22" s="1" t="str">
        <f t="shared" si="17"/>
        <v>AK15Mod</v>
      </c>
      <c r="BP22" s="1" t="str">
        <f t="shared" si="18"/>
        <v/>
      </c>
      <c r="BQ22" s="1" t="str">
        <f t="shared" si="19"/>
        <v/>
      </c>
      <c r="BR22" s="1" t="str">
        <f t="shared" si="20"/>
        <v/>
      </c>
      <c r="BS22" s="1" t="str">
        <f t="shared" si="21"/>
        <v/>
      </c>
      <c r="BU22">
        <f>IF(DayNight="Day",IF(AND(Spot_Act_Info_Day!A22&lt;&gt;"",Spot_Act_Info_Day!D22&lt;&gt;"seed"),Spot_Act_Info_Day!A22,""),IF(AND(Spot_Act_Info_Night!A22&lt;&gt;"",Spot_Act_Info_Night!D22&lt;&gt;"seed"),Spot_Act_Info_Night!A22,""))</f>
        <v>7138</v>
      </c>
    </row>
    <row r="23" spans="1:73" x14ac:dyDescent="0.3">
      <c r="A23" s="9"/>
      <c r="C23" s="9"/>
      <c r="D23" s="9" t="s">
        <v>801</v>
      </c>
      <c r="E23" s="9" t="s">
        <v>1619</v>
      </c>
      <c r="F23" s="9" t="s">
        <v>131</v>
      </c>
      <c r="J23" s="9" t="s">
        <v>1676</v>
      </c>
      <c r="K23" s="9" t="s">
        <v>1684</v>
      </c>
      <c r="N23" s="9" t="s">
        <v>218</v>
      </c>
      <c r="O23" s="9" t="s">
        <v>1638</v>
      </c>
      <c r="P23" s="9" t="s">
        <v>1679</v>
      </c>
      <c r="T23" s="9" t="s">
        <v>795</v>
      </c>
      <c r="U23" s="9" t="s">
        <v>1429</v>
      </c>
      <c r="Z23" t="s">
        <v>9101</v>
      </c>
      <c r="AE23" t="s">
        <v>8495</v>
      </c>
      <c r="AU23" t="s">
        <v>6931</v>
      </c>
      <c r="AV23" t="s">
        <v>708</v>
      </c>
      <c r="AZ23" s="1" t="str">
        <f t="shared" si="2"/>
        <v>G11</v>
      </c>
      <c r="BA23" s="1" t="str">
        <f t="shared" si="3"/>
        <v>Noel</v>
      </c>
      <c r="BB23" s="1" t="str">
        <f t="shared" si="4"/>
        <v/>
      </c>
      <c r="BC23" s="1" t="str">
        <f t="shared" si="5"/>
        <v>Noel</v>
      </c>
      <c r="BD23" s="1" t="str">
        <f t="shared" si="6"/>
        <v>SPAS15</v>
      </c>
      <c r="BE23" s="1" t="str">
        <f t="shared" si="7"/>
        <v/>
      </c>
      <c r="BF23" s="1" t="str">
        <f t="shared" si="8"/>
        <v/>
      </c>
      <c r="BG23" s="1" t="str">
        <f t="shared" si="9"/>
        <v/>
      </c>
      <c r="BH23" s="1" t="str">
        <f t="shared" si="10"/>
        <v/>
      </c>
      <c r="BI23" s="1" t="str">
        <f t="shared" si="11"/>
        <v/>
      </c>
      <c r="BJ23" s="1" t="str">
        <f t="shared" si="12"/>
        <v/>
      </c>
      <c r="BK23" s="1" t="str">
        <f t="shared" si="13"/>
        <v/>
      </c>
      <c r="BL23" s="1" t="str">
        <f t="shared" si="14"/>
        <v/>
      </c>
      <c r="BM23" s="1" t="str">
        <f t="shared" si="15"/>
        <v/>
      </c>
      <c r="BN23" s="1" t="str">
        <f t="shared" si="16"/>
        <v>TacLight</v>
      </c>
      <c r="BO23" s="1" t="str">
        <f t="shared" si="17"/>
        <v>AK47-1</v>
      </c>
      <c r="BP23" s="1" t="str">
        <f t="shared" si="18"/>
        <v/>
      </c>
      <c r="BQ23" s="1" t="str">
        <f t="shared" si="19"/>
        <v/>
      </c>
      <c r="BR23" s="1" t="str">
        <f t="shared" si="20"/>
        <v/>
      </c>
      <c r="BS23" s="1" t="str">
        <f t="shared" si="21"/>
        <v/>
      </c>
      <c r="BU23">
        <f>IF(DayNight="Day",IF(AND(Spot_Act_Info_Day!A23&lt;&gt;"",Spot_Act_Info_Day!D23&lt;&gt;"seed"),Spot_Act_Info_Day!A23,""),IF(AND(Spot_Act_Info_Night!A23&lt;&gt;"",Spot_Act_Info_Night!D23&lt;&gt;"seed"),Spot_Act_Info_Night!A23,""))</f>
        <v>7139</v>
      </c>
    </row>
    <row r="24" spans="1:73" x14ac:dyDescent="0.3">
      <c r="A24" s="9"/>
      <c r="B24" s="9"/>
      <c r="C24" s="9"/>
      <c r="D24" s="9"/>
      <c r="E24" s="9" t="s">
        <v>67</v>
      </c>
      <c r="F24" s="9" t="s">
        <v>8624</v>
      </c>
      <c r="J24" s="9" t="s">
        <v>5773</v>
      </c>
      <c r="K24" s="9" t="s">
        <v>141</v>
      </c>
      <c r="O24" s="9" t="s">
        <v>799</v>
      </c>
      <c r="P24" s="9" t="s">
        <v>1614</v>
      </c>
      <c r="T24" s="9" t="s">
        <v>7126</v>
      </c>
      <c r="U24" s="9" t="s">
        <v>734</v>
      </c>
      <c r="Z24" t="s">
        <v>1690</v>
      </c>
      <c r="AE24" t="s">
        <v>8501</v>
      </c>
      <c r="AQ24" s="9"/>
      <c r="AU24" t="s">
        <v>6932</v>
      </c>
      <c r="AV24" t="s">
        <v>709</v>
      </c>
      <c r="AZ24" s="1" t="str">
        <f t="shared" si="2"/>
        <v>G36Mod</v>
      </c>
      <c r="BA24" s="1" t="str">
        <f t="shared" si="3"/>
        <v>NZ75</v>
      </c>
      <c r="BB24" s="1" t="str">
        <f t="shared" si="4"/>
        <v/>
      </c>
      <c r="BC24" s="1" t="str">
        <f t="shared" si="5"/>
        <v>NZ75</v>
      </c>
      <c r="BD24" s="1" t="str">
        <f t="shared" si="6"/>
        <v>Stevens520</v>
      </c>
      <c r="BE24" s="1" t="str">
        <f t="shared" si="7"/>
        <v/>
      </c>
      <c r="BF24" s="1" t="str">
        <f t="shared" si="8"/>
        <v/>
      </c>
      <c r="BG24" s="1" t="str">
        <f t="shared" si="9"/>
        <v/>
      </c>
      <c r="BH24" s="1" t="str">
        <f t="shared" si="10"/>
        <v/>
      </c>
      <c r="BI24" s="1" t="str">
        <f t="shared" si="11"/>
        <v/>
      </c>
      <c r="BJ24" s="1" t="str">
        <f t="shared" si="12"/>
        <v/>
      </c>
      <c r="BK24" s="1" t="str">
        <f t="shared" si="13"/>
        <v/>
      </c>
      <c r="BL24" s="1" t="str">
        <f t="shared" si="14"/>
        <v/>
      </c>
      <c r="BM24" s="1" t="str">
        <f t="shared" si="15"/>
        <v/>
      </c>
      <c r="BN24" s="1" t="str">
        <f t="shared" si="16"/>
        <v>Bipod3</v>
      </c>
      <c r="BO24" s="1" t="str">
        <f t="shared" si="17"/>
        <v>AK47-2</v>
      </c>
      <c r="BP24" s="1" t="str">
        <f t="shared" si="18"/>
        <v/>
      </c>
      <c r="BQ24" s="1" t="str">
        <f t="shared" si="19"/>
        <v/>
      </c>
      <c r="BR24" s="1" t="str">
        <f t="shared" si="20"/>
        <v/>
      </c>
      <c r="BS24" s="1" t="str">
        <f t="shared" si="21"/>
        <v/>
      </c>
      <c r="BU24">
        <f>IF(DayNight="Day",IF(AND(Spot_Act_Info_Day!A24&lt;&gt;"",Spot_Act_Info_Day!D24&lt;&gt;"seed"),Spot_Act_Info_Day!A24,""),IF(AND(Spot_Act_Info_Night!A24&lt;&gt;"",Spot_Act_Info_Night!D24&lt;&gt;"seed"),Spot_Act_Info_Night!A24,""))</f>
        <v>7140</v>
      </c>
    </row>
    <row r="25" spans="1:73" x14ac:dyDescent="0.3">
      <c r="A25" s="9"/>
      <c r="B25" s="9"/>
      <c r="C25" s="9"/>
      <c r="D25" s="9"/>
      <c r="E25" s="9" t="s">
        <v>5492</v>
      </c>
      <c r="F25" s="9" t="s">
        <v>197</v>
      </c>
      <c r="J25" s="9" t="s">
        <v>798</v>
      </c>
      <c r="K25" s="9" t="s">
        <v>1702</v>
      </c>
      <c r="O25" s="9" t="s">
        <v>5697</v>
      </c>
      <c r="P25" t="s">
        <v>1393</v>
      </c>
      <c r="T25" s="9" t="s">
        <v>228</v>
      </c>
      <c r="U25" s="9" t="s">
        <v>823</v>
      </c>
      <c r="Z25" s="9" t="s">
        <v>7011</v>
      </c>
      <c r="AE25" t="s">
        <v>7228</v>
      </c>
      <c r="AQ25" s="9"/>
      <c r="AU25" t="s">
        <v>6933</v>
      </c>
      <c r="AV25" t="s">
        <v>230</v>
      </c>
      <c r="AZ25" s="1" t="str">
        <f t="shared" si="2"/>
        <v>G41</v>
      </c>
      <c r="BA25" s="1" t="str">
        <f t="shared" si="3"/>
        <v>P2000</v>
      </c>
      <c r="BB25" s="1" t="str">
        <f t="shared" si="4"/>
        <v/>
      </c>
      <c r="BC25" s="1" t="str">
        <f t="shared" si="5"/>
        <v>P2000</v>
      </c>
      <c r="BD25" s="1" t="str">
        <f t="shared" si="6"/>
        <v>Stevens620</v>
      </c>
      <c r="BE25" s="1" t="str">
        <f t="shared" si="7"/>
        <v/>
      </c>
      <c r="BF25" s="1" t="str">
        <f t="shared" si="8"/>
        <v/>
      </c>
      <c r="BG25" s="1" t="str">
        <f t="shared" si="9"/>
        <v/>
      </c>
      <c r="BH25" s="1" t="str">
        <f t="shared" si="10"/>
        <v/>
      </c>
      <c r="BI25" s="1" t="str">
        <f t="shared" si="11"/>
        <v/>
      </c>
      <c r="BJ25" s="1" t="str">
        <f t="shared" si="12"/>
        <v/>
      </c>
      <c r="BK25" s="1" t="str">
        <f t="shared" si="13"/>
        <v/>
      </c>
      <c r="BL25" s="1" t="str">
        <f t="shared" si="14"/>
        <v/>
      </c>
      <c r="BM25" s="1" t="str">
        <f t="shared" si="15"/>
        <v/>
      </c>
      <c r="BN25" s="1" t="str">
        <f t="shared" si="16"/>
        <v>Bipod4</v>
      </c>
      <c r="BO25" s="1" t="str">
        <f t="shared" si="17"/>
        <v>AK47-3</v>
      </c>
      <c r="BP25" s="1" t="str">
        <f t="shared" si="18"/>
        <v/>
      </c>
      <c r="BQ25" s="1" t="str">
        <f t="shared" si="19"/>
        <v/>
      </c>
      <c r="BR25" s="1" t="str">
        <f t="shared" si="20"/>
        <v/>
      </c>
      <c r="BS25" s="1" t="str">
        <f t="shared" si="21"/>
        <v/>
      </c>
      <c r="BU25">
        <f>IF(DayNight="Day",IF(AND(Spot_Act_Info_Day!A25&lt;&gt;"",Spot_Act_Info_Day!D25&lt;&gt;"seed"),Spot_Act_Info_Day!A25,""),IF(AND(Spot_Act_Info_Night!A25&lt;&gt;"",Spot_Act_Info_Night!D25&lt;&gt;"seed"),Spot_Act_Info_Night!A25,""))</f>
        <v>7141</v>
      </c>
    </row>
    <row r="26" spans="1:73" x14ac:dyDescent="0.3">
      <c r="A26" s="9"/>
      <c r="B26" s="9"/>
      <c r="C26" s="9"/>
      <c r="D26" s="9"/>
      <c r="E26" s="9" t="s">
        <v>6754</v>
      </c>
      <c r="F26" s="9" t="s">
        <v>1653</v>
      </c>
      <c r="J26" s="9" t="s">
        <v>144</v>
      </c>
      <c r="K26" s="9" t="s">
        <v>1728</v>
      </c>
      <c r="O26" s="9" t="s">
        <v>242</v>
      </c>
      <c r="P26" t="s">
        <v>7998</v>
      </c>
      <c r="T26" s="9" t="s">
        <v>1648</v>
      </c>
      <c r="U26" s="9" t="s">
        <v>223</v>
      </c>
      <c r="Z26" s="9" t="s">
        <v>1667</v>
      </c>
      <c r="AE26" s="9" t="s">
        <v>249</v>
      </c>
      <c r="AQ26" s="9"/>
      <c r="AV26" t="s">
        <v>1666</v>
      </c>
      <c r="AZ26" s="1" t="str">
        <f t="shared" si="2"/>
        <v>Himeko</v>
      </c>
      <c r="BA26" s="1" t="str">
        <f t="shared" si="3"/>
        <v>P22</v>
      </c>
      <c r="BB26" s="1" t="str">
        <f t="shared" si="4"/>
        <v/>
      </c>
      <c r="BC26" s="1" t="str">
        <f t="shared" si="5"/>
        <v>P22</v>
      </c>
      <c r="BD26" s="1" t="str">
        <f t="shared" si="6"/>
        <v>TPS</v>
      </c>
      <c r="BE26" s="1" t="str">
        <f t="shared" si="7"/>
        <v/>
      </c>
      <c r="BF26" s="1" t="str">
        <f t="shared" si="8"/>
        <v/>
      </c>
      <c r="BG26" s="1" t="str">
        <f t="shared" si="9"/>
        <v/>
      </c>
      <c r="BH26" s="1" t="str">
        <f t="shared" si="10"/>
        <v/>
      </c>
      <c r="BI26" s="1" t="str">
        <f t="shared" si="11"/>
        <v/>
      </c>
      <c r="BJ26" s="1" t="str">
        <f t="shared" si="12"/>
        <v/>
      </c>
      <c r="BK26" s="1" t="str">
        <f t="shared" si="13"/>
        <v/>
      </c>
      <c r="BL26" s="1" t="str">
        <f t="shared" si="14"/>
        <v/>
      </c>
      <c r="BM26" s="1" t="str">
        <f t="shared" si="15"/>
        <v/>
      </c>
      <c r="BN26" s="1" t="str">
        <f t="shared" si="16"/>
        <v>Bipod5</v>
      </c>
      <c r="BO26" s="1" t="str">
        <f t="shared" si="17"/>
        <v>Ak5</v>
      </c>
      <c r="BP26" s="1" t="str">
        <f t="shared" si="18"/>
        <v/>
      </c>
      <c r="BQ26" s="1" t="str">
        <f t="shared" si="19"/>
        <v/>
      </c>
      <c r="BR26" s="1" t="str">
        <f t="shared" si="20"/>
        <v/>
      </c>
      <c r="BS26" s="1" t="str">
        <f t="shared" si="21"/>
        <v/>
      </c>
      <c r="BU26">
        <f>IF(DayNight="Day",IF(AND(Spot_Act_Info_Day!A26&lt;&gt;"",Spot_Act_Info_Day!D26&lt;&gt;"seed"),Spot_Act_Info_Day!A26,""),IF(AND(Spot_Act_Info_Night!A26&lt;&gt;"",Spot_Act_Info_Night!D26&lt;&gt;"seed"),Spot_Act_Info_Night!A26,""))</f>
        <v>7142</v>
      </c>
    </row>
    <row r="27" spans="1:73" x14ac:dyDescent="0.3">
      <c r="A27" s="9"/>
      <c r="B27" s="9"/>
      <c r="C27" s="9"/>
      <c r="D27" s="9"/>
      <c r="E27" s="9" t="s">
        <v>7194</v>
      </c>
      <c r="F27" s="9" t="s">
        <v>186</v>
      </c>
      <c r="J27" s="9" t="s">
        <v>828</v>
      </c>
      <c r="K27" s="9" t="s">
        <v>1626</v>
      </c>
      <c r="O27" s="9" t="s">
        <v>829</v>
      </c>
      <c r="P27" s="9" t="s">
        <v>1654</v>
      </c>
      <c r="T27" t="s">
        <v>9092</v>
      </c>
      <c r="U27" t="s">
        <v>8017</v>
      </c>
      <c r="AE27" s="9" t="s">
        <v>733</v>
      </c>
      <c r="AQ27" s="9"/>
      <c r="AV27" t="s">
        <v>737</v>
      </c>
      <c r="AZ27" s="1" t="str">
        <f t="shared" si="2"/>
        <v>HK416</v>
      </c>
      <c r="BA27" s="1" t="str">
        <f t="shared" si="3"/>
        <v>PA15</v>
      </c>
      <c r="BB27" s="1" t="str">
        <f t="shared" si="4"/>
        <v/>
      </c>
      <c r="BC27" s="1" t="str">
        <f t="shared" si="5"/>
        <v>PA15</v>
      </c>
      <c r="BD27" s="1" t="str">
        <f t="shared" si="6"/>
        <v>Triela</v>
      </c>
      <c r="BE27" s="1" t="str">
        <f t="shared" si="7"/>
        <v/>
      </c>
      <c r="BF27" s="1" t="str">
        <f t="shared" si="8"/>
        <v/>
      </c>
      <c r="BG27" s="1" t="str">
        <f t="shared" si="9"/>
        <v/>
      </c>
      <c r="BH27" s="1" t="str">
        <f t="shared" si="10"/>
        <v/>
      </c>
      <c r="BI27" s="1" t="str">
        <f t="shared" si="11"/>
        <v/>
      </c>
      <c r="BJ27" s="1" t="str">
        <f t="shared" si="12"/>
        <v/>
      </c>
      <c r="BK27" s="1" t="str">
        <f t="shared" si="13"/>
        <v/>
      </c>
      <c r="BL27" s="1" t="str">
        <f t="shared" si="14"/>
        <v/>
      </c>
      <c r="BM27" s="1" t="str">
        <f t="shared" si="15"/>
        <v/>
      </c>
      <c r="BN27" s="1" t="str">
        <f t="shared" si="16"/>
        <v/>
      </c>
      <c r="BO27" s="1" t="str">
        <f t="shared" si="17"/>
        <v>AKAlfa</v>
      </c>
      <c r="BP27" s="1" t="str">
        <f t="shared" si="18"/>
        <v/>
      </c>
      <c r="BQ27" s="1" t="str">
        <f t="shared" si="19"/>
        <v/>
      </c>
      <c r="BR27" s="1" t="str">
        <f t="shared" si="20"/>
        <v/>
      </c>
      <c r="BS27" s="1" t="str">
        <f t="shared" si="21"/>
        <v/>
      </c>
      <c r="BU27">
        <f>IF(DayNight="Day",IF(AND(Spot_Act_Info_Day!A27&lt;&gt;"",Spot_Act_Info_Day!D27&lt;&gt;"seed"),Spot_Act_Info_Day!A27,""),IF(AND(Spot_Act_Info_Night!A27&lt;&gt;"",Spot_Act_Info_Night!D27&lt;&gt;"seed"),Spot_Act_Info_Night!A27,""))</f>
        <v>7143</v>
      </c>
    </row>
    <row r="28" spans="1:73" x14ac:dyDescent="0.3">
      <c r="A28" s="9"/>
      <c r="B28" s="9"/>
      <c r="C28" s="9"/>
      <c r="D28" s="9"/>
      <c r="E28" s="9" t="s">
        <v>5491</v>
      </c>
      <c r="F28" s="9" t="s">
        <v>64</v>
      </c>
      <c r="J28" s="9" t="s">
        <v>740</v>
      </c>
      <c r="K28" s="9" t="s">
        <v>5689</v>
      </c>
      <c r="O28" s="9" t="s">
        <v>838</v>
      </c>
      <c r="P28" s="9" t="s">
        <v>207</v>
      </c>
      <c r="T28" s="9" t="s">
        <v>1615</v>
      </c>
      <c r="U28" s="9" t="s">
        <v>7004</v>
      </c>
      <c r="AV28" t="s">
        <v>162</v>
      </c>
      <c r="AZ28" s="1" t="str">
        <f t="shared" si="2"/>
        <v>HK433</v>
      </c>
      <c r="BA28" s="1" t="str">
        <f t="shared" si="3"/>
        <v>Px4 Storm</v>
      </c>
      <c r="BB28" s="1" t="str">
        <f t="shared" si="4"/>
        <v/>
      </c>
      <c r="BC28" s="1" t="str">
        <f t="shared" si="5"/>
        <v>Px4 Storm</v>
      </c>
      <c r="BD28" s="1" t="str">
        <f t="shared" si="6"/>
        <v>Type97SMod</v>
      </c>
      <c r="BE28" s="1" t="str">
        <f t="shared" si="7"/>
        <v/>
      </c>
      <c r="BF28" s="1" t="str">
        <f t="shared" si="8"/>
        <v/>
      </c>
      <c r="BG28" s="1" t="str">
        <f t="shared" si="9"/>
        <v/>
      </c>
      <c r="BH28" s="1" t="str">
        <f t="shared" si="10"/>
        <v/>
      </c>
      <c r="BI28" s="1" t="str">
        <f t="shared" si="11"/>
        <v/>
      </c>
      <c r="BJ28" s="1" t="str">
        <f t="shared" si="12"/>
        <v/>
      </c>
      <c r="BK28" s="1" t="str">
        <f t="shared" si="13"/>
        <v/>
      </c>
      <c r="BL28" s="1" t="str">
        <f t="shared" si="14"/>
        <v/>
      </c>
      <c r="BM28" s="1" t="str">
        <f t="shared" si="15"/>
        <v/>
      </c>
      <c r="BN28" s="1" t="str">
        <f t="shared" si="16"/>
        <v/>
      </c>
      <c r="BO28" s="1" t="str">
        <f t="shared" si="17"/>
        <v>Alma</v>
      </c>
      <c r="BP28" s="1" t="str">
        <f t="shared" si="18"/>
        <v/>
      </c>
      <c r="BQ28" s="1" t="str">
        <f t="shared" si="19"/>
        <v/>
      </c>
      <c r="BR28" s="1" t="str">
        <f t="shared" si="20"/>
        <v/>
      </c>
      <c r="BS28" s="1" t="str">
        <f t="shared" si="21"/>
        <v/>
      </c>
      <c r="BU28">
        <f>IF(DayNight="Day",IF(AND(Spot_Act_Info_Day!A28&lt;&gt;"",Spot_Act_Info_Day!D28&lt;&gt;"seed"),Spot_Act_Info_Day!A28,""),IF(AND(Spot_Act_Info_Night!A28&lt;&gt;"",Spot_Act_Info_Night!D28&lt;&gt;"seed"),Spot_Act_Info_Night!A28,""))</f>
        <v>7144</v>
      </c>
    </row>
    <row r="29" spans="1:73" x14ac:dyDescent="0.3">
      <c r="A29" s="9"/>
      <c r="C29" s="9"/>
      <c r="D29" s="9"/>
      <c r="E29" s="9"/>
      <c r="F29" t="s">
        <v>8959</v>
      </c>
      <c r="J29" s="9" t="s">
        <v>24</v>
      </c>
      <c r="K29" s="9" t="s">
        <v>127</v>
      </c>
      <c r="O29" s="9" t="s">
        <v>172</v>
      </c>
      <c r="P29" s="9" t="s">
        <v>248</v>
      </c>
      <c r="T29" s="9" t="s">
        <v>830</v>
      </c>
      <c r="U29" s="9" t="s">
        <v>188</v>
      </c>
      <c r="AV29" t="s">
        <v>5728</v>
      </c>
      <c r="AZ29" s="1" t="str">
        <f t="shared" si="2"/>
        <v>Junko</v>
      </c>
      <c r="BA29" s="1" t="str">
        <f t="shared" si="3"/>
        <v>Python</v>
      </c>
      <c r="BB29" s="1" t="str">
        <f t="shared" si="4"/>
        <v/>
      </c>
      <c r="BC29" s="1" t="str">
        <f t="shared" si="5"/>
        <v>Python</v>
      </c>
      <c r="BD29" s="1" t="str">
        <f t="shared" si="6"/>
        <v/>
      </c>
      <c r="BE29" s="1" t="str">
        <f t="shared" si="7"/>
        <v/>
      </c>
      <c r="BF29" s="1" t="str">
        <f t="shared" si="8"/>
        <v/>
      </c>
      <c r="BG29" s="1" t="str">
        <f t="shared" si="9"/>
        <v/>
      </c>
      <c r="BH29" s="1" t="str">
        <f t="shared" si="10"/>
        <v/>
      </c>
      <c r="BI29" s="1" t="str">
        <f t="shared" si="11"/>
        <v/>
      </c>
      <c r="BJ29" s="1" t="str">
        <f t="shared" si="12"/>
        <v/>
      </c>
      <c r="BK29" s="1" t="str">
        <f t="shared" si="13"/>
        <v/>
      </c>
      <c r="BL29" s="1" t="str">
        <f t="shared" si="14"/>
        <v/>
      </c>
      <c r="BM29" s="1" t="str">
        <f t="shared" si="15"/>
        <v/>
      </c>
      <c r="BN29" s="1" t="str">
        <f t="shared" si="16"/>
        <v/>
      </c>
      <c r="BO29" s="1" t="str">
        <f t="shared" si="17"/>
        <v>Ameli</v>
      </c>
      <c r="BP29" s="1" t="str">
        <f t="shared" si="18"/>
        <v/>
      </c>
      <c r="BQ29" s="1" t="str">
        <f t="shared" si="19"/>
        <v/>
      </c>
      <c r="BR29" s="1" t="str">
        <f t="shared" si="20"/>
        <v/>
      </c>
      <c r="BS29" s="1" t="str">
        <f t="shared" si="21"/>
        <v/>
      </c>
      <c r="BU29">
        <f>IF(DayNight="Day",IF(AND(Spot_Act_Info_Day!A29&lt;&gt;"",Spot_Act_Info_Day!D29&lt;&gt;"seed"),Spot_Act_Info_Day!A29,""),IF(AND(Spot_Act_Info_Night!A29&lt;&gt;"",Spot_Act_Info_Night!D29&lt;&gt;"seed"),Spot_Act_Info_Night!A29,""))</f>
        <v>7145</v>
      </c>
    </row>
    <row r="30" spans="1:73" x14ac:dyDescent="0.3">
      <c r="A30" s="9"/>
      <c r="C30" s="9"/>
      <c r="D30" s="9"/>
      <c r="E30" s="9"/>
      <c r="F30" t="s">
        <v>5672</v>
      </c>
      <c r="J30" s="9" t="s">
        <v>23</v>
      </c>
      <c r="K30" s="9" t="s">
        <v>76</v>
      </c>
      <c r="P30" t="s">
        <v>235</v>
      </c>
      <c r="T30" s="9" t="s">
        <v>738</v>
      </c>
      <c r="U30" s="9" t="s">
        <v>168</v>
      </c>
      <c r="AV30" t="s">
        <v>251</v>
      </c>
      <c r="AZ30" s="1" t="str">
        <f t="shared" si="2"/>
        <v>K11</v>
      </c>
      <c r="BA30" s="1" t="str">
        <f t="shared" si="3"/>
        <v>Rex Zero 1Mod</v>
      </c>
      <c r="BB30" s="1" t="str">
        <f t="shared" si="4"/>
        <v/>
      </c>
      <c r="BC30" s="1" t="str">
        <f t="shared" si="5"/>
        <v>Rex Zero 1Mod</v>
      </c>
      <c r="BD30" s="1" t="str">
        <f t="shared" si="6"/>
        <v/>
      </c>
      <c r="BE30" s="1" t="str">
        <f t="shared" si="7"/>
        <v/>
      </c>
      <c r="BF30" s="1" t="str">
        <f t="shared" si="8"/>
        <v/>
      </c>
      <c r="BG30" s="1" t="str">
        <f t="shared" si="9"/>
        <v/>
      </c>
      <c r="BH30" s="1" t="str">
        <f t="shared" si="10"/>
        <v/>
      </c>
      <c r="BI30" s="1" t="str">
        <f t="shared" si="11"/>
        <v/>
      </c>
      <c r="BJ30" s="1" t="str">
        <f t="shared" si="12"/>
        <v/>
      </c>
      <c r="BK30" s="1" t="str">
        <f t="shared" si="13"/>
        <v/>
      </c>
      <c r="BL30" s="1" t="str">
        <f t="shared" si="14"/>
        <v/>
      </c>
      <c r="BM30" s="1" t="str">
        <f t="shared" si="15"/>
        <v/>
      </c>
      <c r="BN30" s="1" t="str">
        <f t="shared" si="16"/>
        <v/>
      </c>
      <c r="BO30" s="1" t="str">
        <f t="shared" si="17"/>
        <v>AN94Mod</v>
      </c>
      <c r="BP30" s="1" t="str">
        <f t="shared" si="18"/>
        <v/>
      </c>
      <c r="BQ30" s="1" t="str">
        <f t="shared" si="19"/>
        <v/>
      </c>
      <c r="BR30" s="1" t="str">
        <f t="shared" si="20"/>
        <v/>
      </c>
      <c r="BS30" s="1" t="str">
        <f t="shared" si="21"/>
        <v/>
      </c>
      <c r="BU30">
        <f>IF(DayNight="Day",IF(AND(Spot_Act_Info_Day!A30&lt;&gt;"",Spot_Act_Info_Day!D30&lt;&gt;"seed"),Spot_Act_Info_Day!A30,""),IF(AND(Spot_Act_Info_Night!A30&lt;&gt;"",Spot_Act_Info_Night!D30&lt;&gt;"seed"),Spot_Act_Info_Night!A30,""))</f>
        <v>7146</v>
      </c>
    </row>
    <row r="31" spans="1:73" x14ac:dyDescent="0.3">
      <c r="A31" s="9"/>
      <c r="C31" s="9"/>
      <c r="D31" s="9"/>
      <c r="E31" s="9"/>
      <c r="F31" s="9" t="s">
        <v>266</v>
      </c>
      <c r="J31" s="9" t="s">
        <v>123</v>
      </c>
      <c r="K31" s="9" t="s">
        <v>8741</v>
      </c>
      <c r="P31" s="9" t="s">
        <v>817</v>
      </c>
      <c r="T31" s="9" t="s">
        <v>6757</v>
      </c>
      <c r="U31" s="9" t="s">
        <v>1705</v>
      </c>
      <c r="AV31" t="s">
        <v>137</v>
      </c>
      <c r="AZ31" s="1" t="str">
        <f t="shared" si="2"/>
        <v>K2</v>
      </c>
      <c r="BA31" s="1" t="str">
        <f t="shared" si="3"/>
        <v>Rhino</v>
      </c>
      <c r="BB31" s="1" t="str">
        <f t="shared" si="4"/>
        <v/>
      </c>
      <c r="BC31" s="1" t="str">
        <f t="shared" si="5"/>
        <v>Rhino</v>
      </c>
      <c r="BD31" s="1" t="str">
        <f t="shared" si="6"/>
        <v/>
      </c>
      <c r="BE31" s="1" t="str">
        <f t="shared" si="7"/>
        <v/>
      </c>
      <c r="BF31" s="1" t="str">
        <f t="shared" si="8"/>
        <v/>
      </c>
      <c r="BG31" s="1" t="str">
        <f t="shared" si="9"/>
        <v/>
      </c>
      <c r="BH31" s="1" t="str">
        <f t="shared" si="10"/>
        <v/>
      </c>
      <c r="BI31" s="1" t="str">
        <f t="shared" si="11"/>
        <v/>
      </c>
      <c r="BJ31" s="1" t="str">
        <f t="shared" si="12"/>
        <v/>
      </c>
      <c r="BK31" s="1" t="str">
        <f t="shared" si="13"/>
        <v/>
      </c>
      <c r="BL31" s="1" t="str">
        <f t="shared" si="14"/>
        <v/>
      </c>
      <c r="BM31" s="1" t="str">
        <f t="shared" si="15"/>
        <v/>
      </c>
      <c r="BN31" s="1" t="str">
        <f t="shared" si="16"/>
        <v/>
      </c>
      <c r="BO31" s="1" t="str">
        <f t="shared" si="17"/>
        <v>Angelica</v>
      </c>
      <c r="BP31" s="1" t="str">
        <f t="shared" si="18"/>
        <v/>
      </c>
      <c r="BQ31" s="1" t="str">
        <f t="shared" si="19"/>
        <v/>
      </c>
      <c r="BR31" s="1" t="str">
        <f t="shared" si="20"/>
        <v/>
      </c>
      <c r="BS31" s="1" t="str">
        <f t="shared" si="21"/>
        <v/>
      </c>
      <c r="BU31">
        <f>IF(DayNight="Day",IF(AND(Spot_Act_Info_Day!A31&lt;&gt;"",Spot_Act_Info_Day!D31&lt;&gt;"seed"),Spot_Act_Info_Day!A31,""),IF(AND(Spot_Act_Info_Night!A31&lt;&gt;"",Spot_Act_Info_Night!D31&lt;&gt;"seed"),Spot_Act_Info_Night!A31,""))</f>
        <v>7125</v>
      </c>
    </row>
    <row r="32" spans="1:73" x14ac:dyDescent="0.3">
      <c r="A32" s="9"/>
      <c r="C32" s="9"/>
      <c r="D32" s="9"/>
      <c r="E32" s="9"/>
      <c r="F32" s="9" t="s">
        <v>731</v>
      </c>
      <c r="J32" t="s">
        <v>5478</v>
      </c>
      <c r="K32" s="9" t="s">
        <v>8097</v>
      </c>
      <c r="P32" s="9" t="s">
        <v>6893</v>
      </c>
      <c r="T32" s="9" t="s">
        <v>180</v>
      </c>
      <c r="U32" s="9" t="s">
        <v>256</v>
      </c>
      <c r="AV32" t="s">
        <v>1625</v>
      </c>
      <c r="AZ32" s="1" t="str">
        <f t="shared" si="2"/>
        <v>KH2002</v>
      </c>
      <c r="BA32" s="1" t="str">
        <f t="shared" si="3"/>
        <v>SAAMod</v>
      </c>
      <c r="BB32" s="1" t="str">
        <f t="shared" si="4"/>
        <v/>
      </c>
      <c r="BC32" s="1" t="str">
        <f t="shared" si="5"/>
        <v>SAAMod</v>
      </c>
      <c r="BD32" s="1" t="str">
        <f t="shared" si="6"/>
        <v/>
      </c>
      <c r="BE32" s="1" t="str">
        <f t="shared" si="7"/>
        <v/>
      </c>
      <c r="BF32" s="1" t="str">
        <f t="shared" si="8"/>
        <v/>
      </c>
      <c r="BG32" s="1" t="str">
        <f t="shared" si="9"/>
        <v/>
      </c>
      <c r="BH32" s="1" t="str">
        <f t="shared" si="10"/>
        <v/>
      </c>
      <c r="BI32" s="1" t="str">
        <f t="shared" si="11"/>
        <v/>
      </c>
      <c r="BJ32" s="1" t="str">
        <f t="shared" si="12"/>
        <v/>
      </c>
      <c r="BK32" s="1" t="str">
        <f t="shared" si="13"/>
        <v/>
      </c>
      <c r="BL32" s="1" t="str">
        <f t="shared" si="14"/>
        <v/>
      </c>
      <c r="BM32" s="1" t="str">
        <f t="shared" si="15"/>
        <v/>
      </c>
      <c r="BN32" s="1" t="str">
        <f t="shared" si="16"/>
        <v/>
      </c>
      <c r="BO32" s="1" t="str">
        <f t="shared" si="17"/>
        <v>AR70</v>
      </c>
      <c r="BP32" s="1" t="str">
        <f t="shared" si="18"/>
        <v/>
      </c>
      <c r="BQ32" s="1" t="str">
        <f t="shared" si="19"/>
        <v/>
      </c>
      <c r="BR32" s="1" t="str">
        <f t="shared" si="20"/>
        <v/>
      </c>
      <c r="BS32" s="1" t="str">
        <f t="shared" si="21"/>
        <v/>
      </c>
      <c r="BU32" t="str">
        <f>IF(DayNight="Day",IF(AND(Spot_Act_Info_Day!A32&lt;&gt;"",Spot_Act_Info_Day!D32&lt;&gt;"seed"),Spot_Act_Info_Day!A32,""),IF(AND(Spot_Act_Info_Night!A32&lt;&gt;"",Spot_Act_Info_Night!D32&lt;&gt;"seed"),Spot_Act_Info_Night!A32,""))</f>
        <v/>
      </c>
    </row>
    <row r="33" spans="1:73" x14ac:dyDescent="0.3">
      <c r="A33" s="9"/>
      <c r="C33" s="9"/>
      <c r="D33" s="9"/>
      <c r="E33" s="9"/>
      <c r="F33" s="9" t="s">
        <v>739</v>
      </c>
      <c r="K33" s="9" t="s">
        <v>264</v>
      </c>
      <c r="P33" t="s">
        <v>9073</v>
      </c>
      <c r="U33" s="9" t="s">
        <v>255</v>
      </c>
      <c r="AV33" t="s">
        <v>101</v>
      </c>
      <c r="AZ33" s="1" t="str">
        <f t="shared" si="2"/>
        <v>M4 SOPMOD IIMod</v>
      </c>
      <c r="BA33" s="1" t="str">
        <f t="shared" si="3"/>
        <v>Sei</v>
      </c>
      <c r="BB33" s="1" t="str">
        <f t="shared" si="4"/>
        <v/>
      </c>
      <c r="BC33" s="1" t="str">
        <f t="shared" si="5"/>
        <v>Sei</v>
      </c>
      <c r="BD33" s="1" t="str">
        <f t="shared" si="6"/>
        <v/>
      </c>
      <c r="BE33" s="1" t="str">
        <f t="shared" si="7"/>
        <v/>
      </c>
      <c r="BF33" s="1" t="str">
        <f t="shared" si="8"/>
        <v/>
      </c>
      <c r="BG33" s="1" t="str">
        <f t="shared" si="9"/>
        <v/>
      </c>
      <c r="BH33" s="1" t="str">
        <f t="shared" si="10"/>
        <v/>
      </c>
      <c r="BI33" s="1" t="str">
        <f t="shared" si="11"/>
        <v/>
      </c>
      <c r="BJ33" s="1" t="str">
        <f t="shared" si="12"/>
        <v/>
      </c>
      <c r="BK33" s="1" t="str">
        <f t="shared" si="13"/>
        <v/>
      </c>
      <c r="BL33" s="1" t="str">
        <f t="shared" si="14"/>
        <v/>
      </c>
      <c r="BM33" s="1" t="str">
        <f t="shared" si="15"/>
        <v/>
      </c>
      <c r="BN33" s="1" t="str">
        <f t="shared" si="16"/>
        <v/>
      </c>
      <c r="BO33" s="1" t="str">
        <f t="shared" si="17"/>
        <v>ARX160</v>
      </c>
      <c r="BP33" s="1" t="str">
        <f t="shared" si="18"/>
        <v/>
      </c>
      <c r="BQ33" s="1" t="str">
        <f t="shared" si="19"/>
        <v/>
      </c>
      <c r="BR33" s="1" t="str">
        <f t="shared" si="20"/>
        <v/>
      </c>
      <c r="BS33" s="1" t="str">
        <f t="shared" si="21"/>
        <v/>
      </c>
      <c r="BU33">
        <f>IF(DayNight="Day",IF(AND(Spot_Act_Info_Day!A33&lt;&gt;"",Spot_Act_Info_Day!D33&lt;&gt;"seed"),Spot_Act_Info_Day!A33,""),IF(AND(Spot_Act_Info_Night!A33&lt;&gt;"",Spot_Act_Info_Night!D33&lt;&gt;"seed"),Spot_Act_Info_Night!A33,""))</f>
        <v>7117</v>
      </c>
    </row>
    <row r="34" spans="1:73" x14ac:dyDescent="0.3">
      <c r="A34" s="9"/>
      <c r="C34" s="9"/>
      <c r="D34" s="9"/>
      <c r="E34" s="9"/>
      <c r="F34" s="9" t="s">
        <v>6970</v>
      </c>
      <c r="K34" s="9" t="s">
        <v>263</v>
      </c>
      <c r="P34" s="9" t="s">
        <v>794</v>
      </c>
      <c r="U34" s="9" t="s">
        <v>179</v>
      </c>
      <c r="AV34" t="s">
        <v>257</v>
      </c>
      <c r="AZ34" s="1" t="str">
        <f t="shared" si="2"/>
        <v>M4A1Mod</v>
      </c>
      <c r="BA34" s="1" t="str">
        <f t="shared" si="3"/>
        <v>StechkinMod</v>
      </c>
      <c r="BB34" s="1" t="str">
        <f t="shared" si="4"/>
        <v/>
      </c>
      <c r="BC34" s="1" t="str">
        <f t="shared" si="5"/>
        <v>StechkinMod</v>
      </c>
      <c r="BD34" s="1" t="str">
        <f t="shared" si="6"/>
        <v/>
      </c>
      <c r="BE34" s="1" t="str">
        <f t="shared" si="7"/>
        <v/>
      </c>
      <c r="BF34" s="1" t="str">
        <f t="shared" si="8"/>
        <v/>
      </c>
      <c r="BG34" s="1" t="str">
        <f t="shared" si="9"/>
        <v/>
      </c>
      <c r="BH34" s="1" t="str">
        <f t="shared" si="10"/>
        <v/>
      </c>
      <c r="BI34" s="1" t="str">
        <f t="shared" si="11"/>
        <v/>
      </c>
      <c r="BJ34" s="1" t="str">
        <f t="shared" si="12"/>
        <v/>
      </c>
      <c r="BK34" s="1" t="str">
        <f t="shared" si="13"/>
        <v/>
      </c>
      <c r="BL34" s="1" t="str">
        <f t="shared" si="14"/>
        <v/>
      </c>
      <c r="BM34" s="1" t="str">
        <f t="shared" si="15"/>
        <v/>
      </c>
      <c r="BN34" s="1" t="str">
        <f t="shared" si="16"/>
        <v/>
      </c>
      <c r="BO34" s="1" t="str">
        <f t="shared" si="17"/>
        <v>AS Val</v>
      </c>
      <c r="BP34" s="1" t="str">
        <f t="shared" si="18"/>
        <v/>
      </c>
      <c r="BQ34" s="1" t="str">
        <f t="shared" si="19"/>
        <v/>
      </c>
      <c r="BR34" s="1" t="str">
        <f t="shared" si="20"/>
        <v/>
      </c>
      <c r="BS34" s="1" t="str">
        <f t="shared" si="21"/>
        <v/>
      </c>
      <c r="BU34">
        <f>IF(DayNight="Day",IF(AND(Spot_Act_Info_Day!A34&lt;&gt;"",Spot_Act_Info_Day!D34&lt;&gt;"seed"),Spot_Act_Info_Day!A34,""),IF(AND(Spot_Act_Info_Night!A34&lt;&gt;"",Spot_Act_Info_Night!D34&lt;&gt;"seed"),Spot_Act_Info_Night!A34,""))</f>
        <v>7118</v>
      </c>
    </row>
    <row r="35" spans="1:73" x14ac:dyDescent="0.3">
      <c r="A35" s="9"/>
      <c r="C35" s="9"/>
      <c r="D35" s="9"/>
      <c r="E35" s="9"/>
      <c r="F35" s="9" t="s">
        <v>822</v>
      </c>
      <c r="K35" s="9" t="s">
        <v>79</v>
      </c>
      <c r="P35" s="9" t="s">
        <v>736</v>
      </c>
      <c r="U35" t="s">
        <v>1396</v>
      </c>
      <c r="AV35" t="s">
        <v>74</v>
      </c>
      <c r="AZ35" s="1" t="str">
        <f t="shared" si="2"/>
        <v>MDR</v>
      </c>
      <c r="BA35" s="1" t="str">
        <f t="shared" si="3"/>
        <v>Tae</v>
      </c>
      <c r="BB35" s="1" t="str">
        <f t="shared" si="4"/>
        <v/>
      </c>
      <c r="BC35" s="1" t="str">
        <f t="shared" si="5"/>
        <v>Tae</v>
      </c>
      <c r="BD35" s="1" t="str">
        <f t="shared" si="6"/>
        <v/>
      </c>
      <c r="BE35" s="1" t="str">
        <f t="shared" si="7"/>
        <v/>
      </c>
      <c r="BF35" s="1" t="str">
        <f t="shared" si="8"/>
        <v/>
      </c>
      <c r="BG35" s="1" t="str">
        <f t="shared" si="9"/>
        <v/>
      </c>
      <c r="BH35" s="1" t="str">
        <f t="shared" si="10"/>
        <v/>
      </c>
      <c r="BI35" s="1" t="str">
        <f t="shared" si="11"/>
        <v/>
      </c>
      <c r="BJ35" s="1" t="str">
        <f t="shared" si="12"/>
        <v/>
      </c>
      <c r="BK35" s="1" t="str">
        <f t="shared" si="13"/>
        <v/>
      </c>
      <c r="BL35" s="1" t="str">
        <f t="shared" si="14"/>
        <v/>
      </c>
      <c r="BM35" s="1" t="str">
        <f t="shared" si="15"/>
        <v/>
      </c>
      <c r="BN35" s="1" t="str">
        <f t="shared" si="16"/>
        <v/>
      </c>
      <c r="BO35" s="1" t="str">
        <f t="shared" si="17"/>
        <v>AS ValMod</v>
      </c>
      <c r="BP35" s="1" t="str">
        <f t="shared" si="18"/>
        <v/>
      </c>
      <c r="BQ35" s="1" t="str">
        <f t="shared" si="19"/>
        <v/>
      </c>
      <c r="BR35" s="1" t="str">
        <f t="shared" si="20"/>
        <v/>
      </c>
      <c r="BS35" s="1" t="str">
        <f t="shared" si="21"/>
        <v/>
      </c>
      <c r="BU35">
        <f>IF(DayNight="Day",IF(AND(Spot_Act_Info_Day!A35&lt;&gt;"",Spot_Act_Info_Day!D35&lt;&gt;"seed"),Spot_Act_Info_Day!A35,""),IF(AND(Spot_Act_Info_Night!A35&lt;&gt;"",Spot_Act_Info_Night!D35&lt;&gt;"seed"),Spot_Act_Info_Night!A35,""))</f>
        <v>7119</v>
      </c>
    </row>
    <row r="36" spans="1:73" x14ac:dyDescent="0.3">
      <c r="A36" s="9"/>
      <c r="C36" s="9"/>
      <c r="D36" s="9"/>
      <c r="E36" s="9"/>
      <c r="F36" s="9" t="s">
        <v>792</v>
      </c>
      <c r="K36" s="9" t="s">
        <v>816</v>
      </c>
      <c r="P36" s="9" t="s">
        <v>813</v>
      </c>
      <c r="U36" t="s">
        <v>9083</v>
      </c>
      <c r="AV36" t="s">
        <v>104</v>
      </c>
      <c r="AZ36" s="1" t="str">
        <f t="shared" si="2"/>
        <v>Medusa</v>
      </c>
      <c r="BA36" s="1" t="str">
        <f t="shared" si="3"/>
        <v>Theresa</v>
      </c>
      <c r="BB36" s="1" t="str">
        <f t="shared" si="4"/>
        <v/>
      </c>
      <c r="BC36" s="1" t="str">
        <f t="shared" si="5"/>
        <v>Theresa</v>
      </c>
      <c r="BD36" s="1" t="str">
        <f t="shared" si="6"/>
        <v/>
      </c>
      <c r="BE36" s="1" t="str">
        <f t="shared" si="7"/>
        <v/>
      </c>
      <c r="BF36" s="1" t="str">
        <f t="shared" si="8"/>
        <v/>
      </c>
      <c r="BG36" s="1" t="str">
        <f t="shared" si="9"/>
        <v/>
      </c>
      <c r="BH36" s="1" t="str">
        <f t="shared" si="10"/>
        <v/>
      </c>
      <c r="BI36" s="1" t="str">
        <f t="shared" si="11"/>
        <v/>
      </c>
      <c r="BJ36" s="1" t="str">
        <f t="shared" si="12"/>
        <v/>
      </c>
      <c r="BK36" s="1" t="str">
        <f t="shared" si="13"/>
        <v/>
      </c>
      <c r="BL36" s="1" t="str">
        <f t="shared" si="14"/>
        <v/>
      </c>
      <c r="BM36" s="1" t="str">
        <f t="shared" si="15"/>
        <v/>
      </c>
      <c r="BN36" s="1" t="str">
        <f t="shared" si="16"/>
        <v/>
      </c>
      <c r="BO36" s="1" t="str">
        <f t="shared" si="17"/>
        <v>Astra</v>
      </c>
      <c r="BP36" s="1" t="str">
        <f t="shared" si="18"/>
        <v/>
      </c>
      <c r="BQ36" s="1" t="str">
        <f t="shared" si="19"/>
        <v/>
      </c>
      <c r="BR36" s="1" t="str">
        <f t="shared" si="20"/>
        <v/>
      </c>
      <c r="BS36" s="1" t="str">
        <f t="shared" si="21"/>
        <v/>
      </c>
      <c r="BU36">
        <f>IF(DayNight="Day",IF(AND(Spot_Act_Info_Day!A36&lt;&gt;"",Spot_Act_Info_Day!D36&lt;&gt;"seed"),Spot_Act_Info_Day!A36,""),IF(AND(Spot_Act_Info_Night!A36&lt;&gt;"",Spot_Act_Info_Night!D36&lt;&gt;"seed"),Spot_Act_Info_Night!A36,""))</f>
        <v>7120</v>
      </c>
    </row>
    <row r="37" spans="1:73" x14ac:dyDescent="0.3">
      <c r="A37" s="9"/>
      <c r="C37" s="9"/>
      <c r="D37" s="9"/>
      <c r="E37" s="9"/>
      <c r="F37" s="9" t="s">
        <v>835</v>
      </c>
      <c r="K37" s="9" t="s">
        <v>198</v>
      </c>
      <c r="P37" s="9" t="s">
        <v>1237</v>
      </c>
      <c r="U37" s="9" t="s">
        <v>1624</v>
      </c>
      <c r="AV37" t="s">
        <v>743</v>
      </c>
      <c r="AZ37" s="1" t="str">
        <f t="shared" si="2"/>
        <v>MK18</v>
      </c>
      <c r="BA37" s="1" t="str">
        <f t="shared" si="3"/>
        <v>Webley</v>
      </c>
      <c r="BB37" s="1" t="str">
        <f t="shared" si="4"/>
        <v/>
      </c>
      <c r="BC37" s="1" t="str">
        <f t="shared" si="5"/>
        <v>Webley</v>
      </c>
      <c r="BD37" s="1" t="str">
        <f t="shared" si="6"/>
        <v/>
      </c>
      <c r="BE37" s="1" t="str">
        <f t="shared" si="7"/>
        <v/>
      </c>
      <c r="BF37" s="1" t="str">
        <f t="shared" si="8"/>
        <v/>
      </c>
      <c r="BG37" s="1" t="str">
        <f t="shared" si="9"/>
        <v/>
      </c>
      <c r="BH37" s="1" t="str">
        <f t="shared" si="10"/>
        <v/>
      </c>
      <c r="BI37" s="1" t="str">
        <f t="shared" si="11"/>
        <v/>
      </c>
      <c r="BJ37" s="1" t="str">
        <f t="shared" si="12"/>
        <v/>
      </c>
      <c r="BK37" s="1" t="str">
        <f t="shared" si="13"/>
        <v/>
      </c>
      <c r="BL37" s="1" t="str">
        <f t="shared" si="14"/>
        <v/>
      </c>
      <c r="BM37" s="1" t="str">
        <f t="shared" si="15"/>
        <v/>
      </c>
      <c r="BN37" s="1" t="str">
        <f t="shared" si="16"/>
        <v/>
      </c>
      <c r="BO37" s="1" t="str">
        <f t="shared" si="17"/>
        <v>AUG</v>
      </c>
      <c r="BP37" s="1" t="str">
        <f t="shared" si="18"/>
        <v/>
      </c>
      <c r="BQ37" s="1" t="str">
        <f t="shared" si="19"/>
        <v/>
      </c>
      <c r="BR37" s="1" t="str">
        <f t="shared" si="20"/>
        <v/>
      </c>
      <c r="BS37" s="1" t="str">
        <f t="shared" si="21"/>
        <v/>
      </c>
      <c r="BU37">
        <f>IF(DayNight="Day",IF(AND(Spot_Act_Info_Day!A37&lt;&gt;"",Spot_Act_Info_Day!D37&lt;&gt;"seed"),Spot_Act_Info_Day!A37,""),IF(AND(Spot_Act_Info_Night!A37&lt;&gt;"",Spot_Act_Info_Night!D37&lt;&gt;"seed"),Spot_Act_Info_Night!A37,""))</f>
        <v>7121</v>
      </c>
    </row>
    <row r="38" spans="1:73" x14ac:dyDescent="0.3">
      <c r="A38" s="9"/>
      <c r="C38" s="9"/>
      <c r="D38" s="9"/>
      <c r="E38" s="9"/>
      <c r="P38" s="9" t="s">
        <v>1668</v>
      </c>
      <c r="U38" t="s">
        <v>5706</v>
      </c>
      <c r="AV38" t="s">
        <v>8715</v>
      </c>
      <c r="AZ38" s="1" t="str">
        <f t="shared" si="2"/>
        <v>OTs14</v>
      </c>
      <c r="BA38" s="1" t="str">
        <f t="shared" si="3"/>
        <v>Welrod MkII</v>
      </c>
      <c r="BB38" s="1" t="str">
        <f t="shared" si="4"/>
        <v/>
      </c>
      <c r="BC38" s="1" t="str">
        <f t="shared" si="5"/>
        <v>Welrod MkII</v>
      </c>
      <c r="BD38" s="1" t="str">
        <f t="shared" si="6"/>
        <v/>
      </c>
      <c r="BE38" s="1" t="str">
        <f t="shared" si="7"/>
        <v/>
      </c>
      <c r="BF38" s="1" t="str">
        <f t="shared" si="8"/>
        <v/>
      </c>
      <c r="BG38" s="1" t="str">
        <f t="shared" si="9"/>
        <v/>
      </c>
      <c r="BH38" s="1" t="str">
        <f t="shared" si="10"/>
        <v/>
      </c>
      <c r="BI38" s="1" t="str">
        <f t="shared" si="11"/>
        <v/>
      </c>
      <c r="BJ38" s="1" t="str">
        <f t="shared" si="12"/>
        <v/>
      </c>
      <c r="BK38" s="1" t="str">
        <f t="shared" si="13"/>
        <v/>
      </c>
      <c r="BL38" s="1" t="str">
        <f t="shared" si="14"/>
        <v/>
      </c>
      <c r="BM38" s="1" t="str">
        <f t="shared" si="15"/>
        <v/>
      </c>
      <c r="BN38" s="1" t="str">
        <f t="shared" si="16"/>
        <v/>
      </c>
      <c r="BO38" s="1" t="str">
        <f t="shared" si="17"/>
        <v>BrenMod</v>
      </c>
      <c r="BP38" s="1" t="str">
        <f t="shared" si="18"/>
        <v/>
      </c>
      <c r="BQ38" s="1" t="str">
        <f t="shared" si="19"/>
        <v/>
      </c>
      <c r="BR38" s="1" t="str">
        <f t="shared" si="20"/>
        <v/>
      </c>
      <c r="BS38" s="1" t="str">
        <f t="shared" si="21"/>
        <v/>
      </c>
      <c r="BU38">
        <f>IF(DayNight="Day",IF(AND(Spot_Act_Info_Day!A38&lt;&gt;"",Spot_Act_Info_Day!D38&lt;&gt;"seed"),Spot_Act_Info_Day!A38,""),IF(AND(Spot_Act_Info_Night!A38&lt;&gt;"",Spot_Act_Info_Night!D38&lt;&gt;"seed"),Spot_Act_Info_Night!A38,""))</f>
        <v>7122</v>
      </c>
    </row>
    <row r="39" spans="1:73" x14ac:dyDescent="0.3">
      <c r="A39" s="9"/>
      <c r="C39" s="9"/>
      <c r="D39" s="9"/>
      <c r="E39" s="9"/>
      <c r="P39" s="9" t="s">
        <v>95</v>
      </c>
      <c r="U39" s="9" t="s">
        <v>790</v>
      </c>
      <c r="AV39" t="s">
        <v>3213</v>
      </c>
      <c r="AZ39" s="1" t="str">
        <f t="shared" si="2"/>
        <v>QBZ191</v>
      </c>
      <c r="BA39" s="1" t="str">
        <f t="shared" si="3"/>
        <v/>
      </c>
      <c r="BB39" s="1" t="str">
        <f t="shared" si="4"/>
        <v/>
      </c>
      <c r="BC39" s="1" t="str">
        <f t="shared" si="5"/>
        <v/>
      </c>
      <c r="BD39" s="1" t="str">
        <f t="shared" si="6"/>
        <v/>
      </c>
      <c r="BE39" s="1" t="str">
        <f t="shared" si="7"/>
        <v/>
      </c>
      <c r="BF39" s="1" t="str">
        <f t="shared" si="8"/>
        <v/>
      </c>
      <c r="BG39" s="1" t="str">
        <f t="shared" si="9"/>
        <v/>
      </c>
      <c r="BH39" s="1" t="str">
        <f t="shared" si="10"/>
        <v/>
      </c>
      <c r="BI39" s="1" t="str">
        <f t="shared" si="11"/>
        <v/>
      </c>
      <c r="BJ39" s="1" t="str">
        <f t="shared" si="12"/>
        <v/>
      </c>
      <c r="BK39" s="1" t="str">
        <f t="shared" si="13"/>
        <v/>
      </c>
      <c r="BL39" s="1" t="str">
        <f t="shared" si="14"/>
        <v/>
      </c>
      <c r="BM39" s="1" t="str">
        <f t="shared" si="15"/>
        <v/>
      </c>
      <c r="BN39" s="1" t="str">
        <f t="shared" si="16"/>
        <v/>
      </c>
      <c r="BO39" s="1" t="str">
        <f t="shared" si="17"/>
        <v>BrenModGZ</v>
      </c>
      <c r="BP39" s="1" t="str">
        <f t="shared" si="18"/>
        <v/>
      </c>
      <c r="BQ39" s="1" t="str">
        <f t="shared" si="19"/>
        <v/>
      </c>
      <c r="BR39" s="1" t="str">
        <f t="shared" si="20"/>
        <v/>
      </c>
      <c r="BS39" s="1" t="str">
        <f t="shared" si="21"/>
        <v/>
      </c>
      <c r="BU39">
        <f>IF(DayNight="Day",IF(AND(Spot_Act_Info_Day!A39&lt;&gt;"",Spot_Act_Info_Day!D39&lt;&gt;"seed"),Spot_Act_Info_Day!A39,""),IF(AND(Spot_Act_Info_Night!A39&lt;&gt;"",Spot_Act_Info_Night!D39&lt;&gt;"seed"),Spot_Act_Info_Night!A39,""))</f>
        <v>7123</v>
      </c>
    </row>
    <row r="40" spans="1:73" x14ac:dyDescent="0.3">
      <c r="A40" s="9"/>
      <c r="C40" s="9"/>
      <c r="D40" s="9"/>
      <c r="E40" s="9"/>
      <c r="P40" s="9" t="s">
        <v>928</v>
      </c>
      <c r="U40" s="9" t="s">
        <v>229</v>
      </c>
      <c r="AV40" t="s">
        <v>72</v>
      </c>
      <c r="AZ40" s="1" t="str">
        <f t="shared" si="2"/>
        <v>R5</v>
      </c>
      <c r="BA40" s="1" t="str">
        <f t="shared" si="3"/>
        <v/>
      </c>
      <c r="BB40" s="1" t="str">
        <f t="shared" si="4"/>
        <v/>
      </c>
      <c r="BC40" s="1" t="str">
        <f t="shared" si="5"/>
        <v/>
      </c>
      <c r="BD40" s="1" t="str">
        <f t="shared" si="6"/>
        <v/>
      </c>
      <c r="BE40" s="1" t="str">
        <f t="shared" si="7"/>
        <v/>
      </c>
      <c r="BF40" s="1" t="str">
        <f t="shared" si="8"/>
        <v/>
      </c>
      <c r="BG40" s="1" t="str">
        <f t="shared" si="9"/>
        <v/>
      </c>
      <c r="BH40" s="1" t="str">
        <f t="shared" si="10"/>
        <v/>
      </c>
      <c r="BI40" s="1" t="str">
        <f t="shared" si="11"/>
        <v/>
      </c>
      <c r="BJ40" s="1" t="str">
        <f t="shared" si="12"/>
        <v/>
      </c>
      <c r="BK40" s="1" t="str">
        <f t="shared" si="13"/>
        <v/>
      </c>
      <c r="BL40" s="1" t="str">
        <f t="shared" si="14"/>
        <v/>
      </c>
      <c r="BM40" s="1" t="str">
        <f t="shared" si="15"/>
        <v/>
      </c>
      <c r="BN40" s="1" t="str">
        <f t="shared" si="16"/>
        <v/>
      </c>
      <c r="BO40" s="1" t="str">
        <f t="shared" si="17"/>
        <v>BrenTen</v>
      </c>
      <c r="BP40" s="1" t="str">
        <f t="shared" si="18"/>
        <v/>
      </c>
      <c r="BQ40" s="1" t="str">
        <f t="shared" si="19"/>
        <v/>
      </c>
      <c r="BR40" s="1" t="str">
        <f t="shared" si="20"/>
        <v/>
      </c>
      <c r="BS40" s="1" t="str">
        <f t="shared" si="21"/>
        <v/>
      </c>
      <c r="BU40">
        <f>IF(DayNight="Day",IF(AND(Spot_Act_Info_Day!A40&lt;&gt;"",Spot_Act_Info_Day!D40&lt;&gt;"seed"),Spot_Act_Info_Day!A40,""),IF(AND(Spot_Act_Info_Night!A40&lt;&gt;"",Spot_Act_Info_Night!D40&lt;&gt;"seed"),Spot_Act_Info_Night!A40,""))</f>
        <v>7124</v>
      </c>
    </row>
    <row r="41" spans="1:73" x14ac:dyDescent="0.3">
      <c r="A41" s="9"/>
      <c r="C41" s="9"/>
      <c r="D41" s="9"/>
      <c r="E41" s="9"/>
      <c r="U41" t="s">
        <v>1754</v>
      </c>
      <c r="AV41" t="s">
        <v>745</v>
      </c>
      <c r="AZ41" s="1" t="str">
        <f t="shared" si="2"/>
        <v>RFB</v>
      </c>
      <c r="BA41" s="1" t="str">
        <f t="shared" si="3"/>
        <v/>
      </c>
      <c r="BB41" s="1" t="str">
        <f t="shared" si="4"/>
        <v/>
      </c>
      <c r="BC41" s="1" t="str">
        <f t="shared" si="5"/>
        <v/>
      </c>
      <c r="BD41" s="1" t="str">
        <f t="shared" si="6"/>
        <v/>
      </c>
      <c r="BE41" s="1" t="str">
        <f t="shared" si="7"/>
        <v/>
      </c>
      <c r="BF41" s="1" t="str">
        <f t="shared" si="8"/>
        <v/>
      </c>
      <c r="BG41" s="1" t="str">
        <f t="shared" si="9"/>
        <v/>
      </c>
      <c r="BH41" s="1" t="str">
        <f t="shared" si="10"/>
        <v/>
      </c>
      <c r="BI41" s="1" t="str">
        <f t="shared" si="11"/>
        <v/>
      </c>
      <c r="BJ41" s="1" t="str">
        <f t="shared" si="12"/>
        <v/>
      </c>
      <c r="BK41" s="1" t="str">
        <f t="shared" si="13"/>
        <v/>
      </c>
      <c r="BL41" s="1" t="str">
        <f t="shared" si="14"/>
        <v/>
      </c>
      <c r="BM41" s="1" t="str">
        <f t="shared" si="15"/>
        <v/>
      </c>
      <c r="BN41" s="1" t="str">
        <f t="shared" si="16"/>
        <v/>
      </c>
      <c r="BO41" s="1" t="str">
        <f t="shared" si="17"/>
        <v>C96</v>
      </c>
      <c r="BP41" s="1" t="str">
        <f t="shared" si="18"/>
        <v/>
      </c>
      <c r="BQ41" s="1" t="str">
        <f t="shared" si="19"/>
        <v/>
      </c>
      <c r="BR41" s="1" t="str">
        <f t="shared" si="20"/>
        <v/>
      </c>
      <c r="BS41" s="1" t="str">
        <f t="shared" si="21"/>
        <v/>
      </c>
      <c r="BU41">
        <f>IF(DayNight="Day",IF(AND(Spot_Act_Info_Day!A41&lt;&gt;"",Spot_Act_Info_Day!D41&lt;&gt;"seed"),Spot_Act_Info_Day!A41,""),IF(AND(Spot_Act_Info_Night!A41&lt;&gt;"",Spot_Act_Info_Night!D41&lt;&gt;"seed"),Spot_Act_Info_Night!A41,""))</f>
        <v>7126</v>
      </c>
    </row>
    <row r="42" spans="1:73" x14ac:dyDescent="0.3">
      <c r="A42" s="9"/>
      <c r="C42" s="9"/>
      <c r="D42" s="9"/>
      <c r="U42" s="9" t="s">
        <v>1669</v>
      </c>
      <c r="AV42" t="s">
        <v>793</v>
      </c>
      <c r="AZ42" s="1" t="str">
        <f t="shared" si="2"/>
        <v>Ribeyrolles1918Mod</v>
      </c>
      <c r="BA42" s="1" t="str">
        <f t="shared" si="3"/>
        <v/>
      </c>
      <c r="BB42" s="1" t="str">
        <f t="shared" si="4"/>
        <v/>
      </c>
      <c r="BC42" s="1" t="str">
        <f t="shared" si="5"/>
        <v/>
      </c>
      <c r="BD42" s="1" t="str">
        <f t="shared" si="6"/>
        <v/>
      </c>
      <c r="BE42" s="1" t="str">
        <f t="shared" si="7"/>
        <v/>
      </c>
      <c r="BF42" s="1" t="str">
        <f t="shared" si="8"/>
        <v/>
      </c>
      <c r="BG42" s="1" t="str">
        <f t="shared" si="9"/>
        <v/>
      </c>
      <c r="BH42" s="1" t="str">
        <f t="shared" si="10"/>
        <v/>
      </c>
      <c r="BI42" s="1" t="str">
        <f t="shared" si="11"/>
        <v/>
      </c>
      <c r="BJ42" s="1" t="str">
        <f t="shared" si="12"/>
        <v/>
      </c>
      <c r="BK42" s="1" t="str">
        <f t="shared" si="13"/>
        <v/>
      </c>
      <c r="BL42" s="1" t="str">
        <f t="shared" si="14"/>
        <v/>
      </c>
      <c r="BM42" s="1" t="str">
        <f t="shared" si="15"/>
        <v/>
      </c>
      <c r="BN42" s="1" t="str">
        <f t="shared" si="16"/>
        <v/>
      </c>
      <c r="BO42" s="1" t="str">
        <f t="shared" si="17"/>
        <v>C96Mod</v>
      </c>
      <c r="BP42" s="1" t="str">
        <f t="shared" si="18"/>
        <v/>
      </c>
      <c r="BQ42" s="1" t="str">
        <f t="shared" si="19"/>
        <v/>
      </c>
      <c r="BR42" s="1" t="str">
        <f t="shared" si="20"/>
        <v/>
      </c>
      <c r="BS42" s="1" t="str">
        <f t="shared" si="21"/>
        <v/>
      </c>
      <c r="BU42">
        <f>IF(DayNight="Day",IF(AND(Spot_Act_Info_Day!A42&lt;&gt;"",Spot_Act_Info_Day!D42&lt;&gt;"seed"),Spot_Act_Info_Day!A42,""),IF(AND(Spot_Act_Info_Night!A42&lt;&gt;"",Spot_Act_Info_Night!D42&lt;&gt;"seed"),Spot_Act_Info_Night!A42,""))</f>
        <v>7127</v>
      </c>
    </row>
    <row r="43" spans="1:73" x14ac:dyDescent="0.3">
      <c r="A43" s="9"/>
      <c r="C43" s="9"/>
      <c r="D43" s="9"/>
      <c r="U43" s="9" t="s">
        <v>6901</v>
      </c>
      <c r="AV43" t="s">
        <v>747</v>
      </c>
      <c r="AZ43" s="1" t="str">
        <f t="shared" si="2"/>
        <v>SACR</v>
      </c>
      <c r="BA43" s="1" t="str">
        <f t="shared" si="3"/>
        <v/>
      </c>
      <c r="BB43" s="1" t="str">
        <f t="shared" si="4"/>
        <v/>
      </c>
      <c r="BC43" s="1" t="str">
        <f t="shared" si="5"/>
        <v/>
      </c>
      <c r="BD43" s="1" t="str">
        <f t="shared" si="6"/>
        <v/>
      </c>
      <c r="BE43" s="1" t="str">
        <f t="shared" si="7"/>
        <v/>
      </c>
      <c r="BF43" s="1" t="str">
        <f t="shared" si="8"/>
        <v/>
      </c>
      <c r="BG43" s="1" t="str">
        <f t="shared" si="9"/>
        <v/>
      </c>
      <c r="BH43" s="1" t="str">
        <f t="shared" si="10"/>
        <v/>
      </c>
      <c r="BI43" s="1" t="str">
        <f t="shared" si="11"/>
        <v/>
      </c>
      <c r="BJ43" s="1" t="str">
        <f t="shared" si="12"/>
        <v/>
      </c>
      <c r="BK43" s="1" t="str">
        <f t="shared" si="13"/>
        <v/>
      </c>
      <c r="BL43" s="1" t="str">
        <f t="shared" si="14"/>
        <v/>
      </c>
      <c r="BM43" s="1" t="str">
        <f t="shared" si="15"/>
        <v/>
      </c>
      <c r="BN43" s="1" t="str">
        <f t="shared" si="16"/>
        <v/>
      </c>
      <c r="BO43" s="1" t="str">
        <f t="shared" si="17"/>
        <v>CF05</v>
      </c>
      <c r="BP43" s="1" t="str">
        <f t="shared" si="18"/>
        <v/>
      </c>
      <c r="BQ43" s="1" t="str">
        <f t="shared" si="19"/>
        <v/>
      </c>
      <c r="BR43" s="1" t="str">
        <f t="shared" si="20"/>
        <v/>
      </c>
      <c r="BS43" s="1" t="str">
        <f t="shared" si="21"/>
        <v/>
      </c>
      <c r="BU43">
        <f>IF(DayNight="Day",IF(AND(Spot_Act_Info_Day!A43&lt;&gt;"",Spot_Act_Info_Day!D43&lt;&gt;"seed"),Spot_Act_Info_Day!A43,""),IF(AND(Spot_Act_Info_Night!A43&lt;&gt;"",Spot_Act_Info_Night!D43&lt;&gt;"seed"),Spot_Act_Info_Night!A43,""))</f>
        <v>7128</v>
      </c>
    </row>
    <row r="44" spans="1:73" x14ac:dyDescent="0.3">
      <c r="A44" s="9"/>
      <c r="C44" s="9"/>
      <c r="D44" s="9"/>
      <c r="U44" s="9" t="s">
        <v>6395</v>
      </c>
      <c r="AV44" t="s">
        <v>746</v>
      </c>
      <c r="AZ44" s="1" t="str">
        <f t="shared" si="2"/>
        <v>SCAR-L</v>
      </c>
      <c r="BA44" s="1" t="str">
        <f t="shared" si="3"/>
        <v/>
      </c>
      <c r="BB44" s="1" t="str">
        <f t="shared" si="4"/>
        <v/>
      </c>
      <c r="BC44" s="1" t="str">
        <f t="shared" si="5"/>
        <v/>
      </c>
      <c r="BD44" s="1" t="str">
        <f t="shared" si="6"/>
        <v/>
      </c>
      <c r="BE44" s="1" t="str">
        <f t="shared" si="7"/>
        <v/>
      </c>
      <c r="BF44" s="1" t="str">
        <f t="shared" si="8"/>
        <v/>
      </c>
      <c r="BG44" s="1" t="str">
        <f t="shared" si="9"/>
        <v/>
      </c>
      <c r="BH44" s="1" t="str">
        <f t="shared" si="10"/>
        <v/>
      </c>
      <c r="BI44" s="1" t="str">
        <f t="shared" si="11"/>
        <v/>
      </c>
      <c r="BJ44" s="1" t="str">
        <f t="shared" si="12"/>
        <v/>
      </c>
      <c r="BK44" s="1" t="str">
        <f t="shared" si="13"/>
        <v/>
      </c>
      <c r="BL44" s="1" t="str">
        <f t="shared" si="14"/>
        <v/>
      </c>
      <c r="BM44" s="1" t="str">
        <f t="shared" si="15"/>
        <v/>
      </c>
      <c r="BN44" s="1" t="str">
        <f t="shared" si="16"/>
        <v/>
      </c>
      <c r="BO44" s="1" t="str">
        <f t="shared" si="17"/>
        <v>ClaesMeteorite</v>
      </c>
      <c r="BP44" s="1" t="str">
        <f t="shared" si="18"/>
        <v/>
      </c>
      <c r="BQ44" s="1" t="str">
        <f t="shared" si="19"/>
        <v/>
      </c>
      <c r="BR44" s="1" t="str">
        <f t="shared" si="20"/>
        <v/>
      </c>
      <c r="BS44" s="1" t="str">
        <f t="shared" si="21"/>
        <v/>
      </c>
      <c r="BU44">
        <f>IF(DayNight="Day",IF(AND(Spot_Act_Info_Day!A44&lt;&gt;"",Spot_Act_Info_Day!D44&lt;&gt;"seed"),Spot_Act_Info_Day!A44,""),IF(AND(Spot_Act_Info_Night!A44&lt;&gt;"",Spot_Act_Info_Night!D44&lt;&gt;"seed"),Spot_Act_Info_Night!A44,""))</f>
        <v>7129</v>
      </c>
    </row>
    <row r="45" spans="1:73" x14ac:dyDescent="0.3">
      <c r="A45" s="9"/>
      <c r="C45" s="9"/>
      <c r="D45" s="9"/>
      <c r="U45" s="9" t="s">
        <v>890</v>
      </c>
      <c r="AV45" t="s">
        <v>748</v>
      </c>
      <c r="AZ45" s="1" t="str">
        <f t="shared" si="2"/>
        <v>SCR</v>
      </c>
      <c r="BA45" s="1" t="str">
        <f t="shared" si="3"/>
        <v/>
      </c>
      <c r="BB45" s="1" t="str">
        <f t="shared" si="4"/>
        <v/>
      </c>
      <c r="BC45" s="1" t="str">
        <f t="shared" si="5"/>
        <v/>
      </c>
      <c r="BD45" s="1" t="str">
        <f t="shared" si="6"/>
        <v/>
      </c>
      <c r="BE45" s="1" t="str">
        <f t="shared" si="7"/>
        <v/>
      </c>
      <c r="BF45" s="1" t="str">
        <f t="shared" si="8"/>
        <v/>
      </c>
      <c r="BG45" s="1" t="str">
        <f t="shared" si="9"/>
        <v/>
      </c>
      <c r="BH45" s="1" t="str">
        <f t="shared" si="10"/>
        <v/>
      </c>
      <c r="BI45" s="1" t="str">
        <f t="shared" si="11"/>
        <v/>
      </c>
      <c r="BJ45" s="1" t="str">
        <f t="shared" si="12"/>
        <v/>
      </c>
      <c r="BK45" s="1" t="str">
        <f t="shared" si="13"/>
        <v/>
      </c>
      <c r="BL45" s="1" t="str">
        <f t="shared" si="14"/>
        <v/>
      </c>
      <c r="BM45" s="1" t="str">
        <f t="shared" si="15"/>
        <v/>
      </c>
      <c r="BN45" s="1" t="str">
        <f t="shared" si="16"/>
        <v/>
      </c>
      <c r="BO45" s="1" t="str">
        <f t="shared" si="17"/>
        <v>ClaesSpectacles</v>
      </c>
      <c r="BP45" s="1" t="str">
        <f t="shared" si="18"/>
        <v/>
      </c>
      <c r="BQ45" s="1" t="str">
        <f t="shared" si="19"/>
        <v/>
      </c>
      <c r="BR45" s="1" t="str">
        <f t="shared" si="20"/>
        <v/>
      </c>
      <c r="BS45" s="1" t="str">
        <f t="shared" si="21"/>
        <v/>
      </c>
      <c r="BU45">
        <f>IF(DayNight="Day",IF(AND(Spot_Act_Info_Day!A45&lt;&gt;"",Spot_Act_Info_Day!D45&lt;&gt;"seed"),Spot_Act_Info_Day!A45,""),IF(AND(Spot_Act_Info_Night!A45&lt;&gt;"",Spot_Act_Info_Night!D45&lt;&gt;"seed"),Spot_Act_Info_Night!A45,""))</f>
        <v>7130</v>
      </c>
    </row>
    <row r="46" spans="1:73" x14ac:dyDescent="0.3">
      <c r="A46" s="9"/>
      <c r="C46" s="9"/>
      <c r="D46" s="9"/>
      <c r="U46" s="9" t="s">
        <v>245</v>
      </c>
      <c r="AV46" t="s">
        <v>717</v>
      </c>
      <c r="AZ46" s="1" t="str">
        <f t="shared" si="2"/>
        <v>SIG MCX</v>
      </c>
      <c r="BA46" s="1" t="str">
        <f t="shared" si="3"/>
        <v/>
      </c>
      <c r="BB46" s="1" t="str">
        <f t="shared" si="4"/>
        <v/>
      </c>
      <c r="BC46" s="1" t="str">
        <f t="shared" si="5"/>
        <v/>
      </c>
      <c r="BD46" s="1" t="str">
        <f t="shared" si="6"/>
        <v/>
      </c>
      <c r="BE46" s="1" t="str">
        <f t="shared" si="7"/>
        <v/>
      </c>
      <c r="BF46" s="1" t="str">
        <f t="shared" si="8"/>
        <v/>
      </c>
      <c r="BG46" s="1" t="str">
        <f t="shared" si="9"/>
        <v/>
      </c>
      <c r="BH46" s="1" t="str">
        <f t="shared" si="10"/>
        <v/>
      </c>
      <c r="BI46" s="1" t="str">
        <f t="shared" si="11"/>
        <v/>
      </c>
      <c r="BJ46" s="1" t="str">
        <f t="shared" si="12"/>
        <v/>
      </c>
      <c r="BK46" s="1" t="str">
        <f t="shared" si="13"/>
        <v/>
      </c>
      <c r="BL46" s="1" t="str">
        <f t="shared" si="14"/>
        <v/>
      </c>
      <c r="BM46" s="1" t="str">
        <f t="shared" si="15"/>
        <v/>
      </c>
      <c r="BN46" s="1" t="str">
        <f t="shared" si="16"/>
        <v/>
      </c>
      <c r="BO46" s="1" t="str">
        <f t="shared" si="17"/>
        <v>ClaesWristwatch</v>
      </c>
      <c r="BP46" s="1" t="str">
        <f t="shared" si="18"/>
        <v/>
      </c>
      <c r="BQ46" s="1" t="str">
        <f t="shared" si="19"/>
        <v/>
      </c>
      <c r="BR46" s="1" t="str">
        <f t="shared" si="20"/>
        <v/>
      </c>
      <c r="BS46" s="1" t="str">
        <f t="shared" si="21"/>
        <v/>
      </c>
      <c r="BU46">
        <f>IF(DayNight="Day",IF(AND(Spot_Act_Info_Day!A46&lt;&gt;"",Spot_Act_Info_Day!D46&lt;&gt;"seed"),Spot_Act_Info_Day!A46,""),IF(AND(Spot_Act_Info_Night!A46&lt;&gt;"",Spot_Act_Info_Night!D46&lt;&gt;"seed"),Spot_Act_Info_Night!A46,""))</f>
        <v>7131</v>
      </c>
    </row>
    <row r="47" spans="1:73" x14ac:dyDescent="0.3">
      <c r="A47" s="9"/>
      <c r="C47" s="9"/>
      <c r="D47" s="9"/>
      <c r="U47" s="9" t="s">
        <v>1682</v>
      </c>
      <c r="AV47" t="s">
        <v>1641</v>
      </c>
      <c r="AZ47" s="1" t="str">
        <f t="shared" si="2"/>
        <v>SIG556</v>
      </c>
      <c r="BA47" s="1" t="str">
        <f t="shared" si="3"/>
        <v/>
      </c>
      <c r="BB47" s="1" t="str">
        <f t="shared" si="4"/>
        <v/>
      </c>
      <c r="BC47" s="1" t="str">
        <f t="shared" si="5"/>
        <v/>
      </c>
      <c r="BD47" s="1" t="str">
        <f t="shared" si="6"/>
        <v/>
      </c>
      <c r="BE47" s="1" t="str">
        <f t="shared" si="7"/>
        <v/>
      </c>
      <c r="BF47" s="1" t="str">
        <f t="shared" si="8"/>
        <v/>
      </c>
      <c r="BG47" s="1" t="str">
        <f t="shared" si="9"/>
        <v/>
      </c>
      <c r="BH47" s="1" t="str">
        <f t="shared" si="10"/>
        <v/>
      </c>
      <c r="BI47" s="1" t="str">
        <f t="shared" si="11"/>
        <v/>
      </c>
      <c r="BJ47" s="1" t="str">
        <f t="shared" si="12"/>
        <v/>
      </c>
      <c r="BK47" s="1" t="str">
        <f t="shared" si="13"/>
        <v/>
      </c>
      <c r="BL47" s="1" t="str">
        <f t="shared" si="14"/>
        <v/>
      </c>
      <c r="BM47" s="1" t="str">
        <f t="shared" si="15"/>
        <v/>
      </c>
      <c r="BN47" s="1" t="str">
        <f t="shared" si="16"/>
        <v/>
      </c>
      <c r="BO47" s="1" t="str">
        <f t="shared" si="17"/>
        <v>Clear</v>
      </c>
      <c r="BP47" s="1" t="str">
        <f t="shared" si="18"/>
        <v/>
      </c>
      <c r="BQ47" s="1" t="str">
        <f t="shared" si="19"/>
        <v/>
      </c>
      <c r="BR47" s="1" t="str">
        <f t="shared" si="20"/>
        <v/>
      </c>
      <c r="BS47" s="1" t="str">
        <f t="shared" si="21"/>
        <v/>
      </c>
      <c r="BU47">
        <f>IF(DayNight="Day",IF(AND(Spot_Act_Info_Day!A47&lt;&gt;"",Spot_Act_Info_Day!D47&lt;&gt;"seed"),Spot_Act_Info_Day!A47,""),IF(AND(Spot_Act_Info_Night!A47&lt;&gt;"",Spot_Act_Info_Night!D47&lt;&gt;"seed"),Spot_Act_Info_Night!A47,""))</f>
        <v>7132</v>
      </c>
    </row>
    <row r="48" spans="1:73" x14ac:dyDescent="0.3">
      <c r="A48" s="9"/>
      <c r="C48" s="9"/>
      <c r="D48" s="9"/>
      <c r="U48" s="9" t="s">
        <v>160</v>
      </c>
      <c r="AV48" t="s">
        <v>161</v>
      </c>
      <c r="AZ48" s="1" t="str">
        <f t="shared" si="2"/>
        <v>ST AR15Mod</v>
      </c>
      <c r="BA48" s="1" t="str">
        <f t="shared" si="3"/>
        <v/>
      </c>
      <c r="BB48" s="1" t="str">
        <f t="shared" si="4"/>
        <v/>
      </c>
      <c r="BC48" s="1" t="str">
        <f t="shared" si="5"/>
        <v/>
      </c>
      <c r="BD48" s="1" t="str">
        <f t="shared" si="6"/>
        <v/>
      </c>
      <c r="BE48" s="1" t="str">
        <f t="shared" si="7"/>
        <v/>
      </c>
      <c r="BF48" s="1" t="str">
        <f t="shared" si="8"/>
        <v/>
      </c>
      <c r="BG48" s="1" t="str">
        <f t="shared" si="9"/>
        <v/>
      </c>
      <c r="BH48" s="1" t="str">
        <f t="shared" si="10"/>
        <v/>
      </c>
      <c r="BI48" s="1" t="str">
        <f t="shared" si="11"/>
        <v/>
      </c>
      <c r="BJ48" s="1" t="str">
        <f t="shared" si="12"/>
        <v/>
      </c>
      <c r="BK48" s="1" t="str">
        <f t="shared" si="13"/>
        <v/>
      </c>
      <c r="BL48" s="1" t="str">
        <f t="shared" si="14"/>
        <v/>
      </c>
      <c r="BM48" s="1" t="str">
        <f t="shared" si="15"/>
        <v/>
      </c>
      <c r="BN48" s="1" t="str">
        <f t="shared" si="16"/>
        <v/>
      </c>
      <c r="BO48" s="1" t="str">
        <f t="shared" si="17"/>
        <v>CMS</v>
      </c>
      <c r="BP48" s="1" t="str">
        <f t="shared" si="18"/>
        <v/>
      </c>
      <c r="BQ48" s="1" t="str">
        <f t="shared" si="19"/>
        <v/>
      </c>
      <c r="BR48" s="1" t="str">
        <f t="shared" si="20"/>
        <v/>
      </c>
      <c r="BS48" s="1" t="str">
        <f t="shared" si="21"/>
        <v/>
      </c>
      <c r="BU48">
        <f>IF(DayNight="Day",IF(AND(Spot_Act_Info_Day!A48&lt;&gt;"",Spot_Act_Info_Day!D48&lt;&gt;"seed"),Spot_Act_Info_Day!A48,""),IF(AND(Spot_Act_Info_Night!A48&lt;&gt;"",Spot_Act_Info_Night!D48&lt;&gt;"seed"),Spot_Act_Info_Night!A48,""))</f>
        <v>7133</v>
      </c>
    </row>
    <row r="49" spans="1:73" x14ac:dyDescent="0.3">
      <c r="A49" s="9"/>
      <c r="C49" s="9"/>
      <c r="D49" s="9"/>
      <c r="U49" t="s">
        <v>1678</v>
      </c>
      <c r="AV49" t="s">
        <v>9174</v>
      </c>
      <c r="AZ49" s="1" t="str">
        <f t="shared" si="2"/>
        <v>T91</v>
      </c>
      <c r="BA49" s="1" t="str">
        <f t="shared" si="3"/>
        <v/>
      </c>
      <c r="BB49" s="1" t="str">
        <f t="shared" si="4"/>
        <v/>
      </c>
      <c r="BC49" s="1" t="str">
        <f t="shared" si="5"/>
        <v/>
      </c>
      <c r="BD49" s="1" t="str">
        <f t="shared" si="6"/>
        <v/>
      </c>
      <c r="BE49" s="1" t="str">
        <f t="shared" si="7"/>
        <v/>
      </c>
      <c r="BF49" s="1" t="str">
        <f t="shared" si="8"/>
        <v/>
      </c>
      <c r="BG49" s="1" t="str">
        <f t="shared" si="9"/>
        <v/>
      </c>
      <c r="BH49" s="1" t="str">
        <f t="shared" si="10"/>
        <v/>
      </c>
      <c r="BI49" s="1" t="str">
        <f t="shared" si="11"/>
        <v/>
      </c>
      <c r="BJ49" s="1" t="str">
        <f t="shared" si="12"/>
        <v/>
      </c>
      <c r="BK49" s="1" t="str">
        <f t="shared" si="13"/>
        <v/>
      </c>
      <c r="BL49" s="1" t="str">
        <f t="shared" si="14"/>
        <v/>
      </c>
      <c r="BM49" s="1" t="str">
        <f t="shared" si="15"/>
        <v/>
      </c>
      <c r="BN49" s="1" t="str">
        <f t="shared" si="16"/>
        <v/>
      </c>
      <c r="BO49" s="1" t="str">
        <f t="shared" si="17"/>
        <v>Contender</v>
      </c>
      <c r="BP49" s="1" t="str">
        <f t="shared" si="18"/>
        <v/>
      </c>
      <c r="BQ49" s="1" t="str">
        <f t="shared" si="19"/>
        <v/>
      </c>
      <c r="BR49" s="1" t="str">
        <f t="shared" si="20"/>
        <v/>
      </c>
      <c r="BS49" s="1" t="str">
        <f t="shared" si="21"/>
        <v/>
      </c>
      <c r="BU49">
        <f>IF(DayNight="Day",IF(AND(Spot_Act_Info_Day!A49&lt;&gt;"",Spot_Act_Info_Day!D49&lt;&gt;"seed"),Spot_Act_Info_Day!A49,""),IF(AND(Spot_Act_Info_Night!A49&lt;&gt;"",Spot_Act_Info_Night!D49&lt;&gt;"seed"),Spot_Act_Info_Night!A49,""))</f>
        <v>7134</v>
      </c>
    </row>
    <row r="50" spans="1:73" x14ac:dyDescent="0.3">
      <c r="A50" s="9"/>
      <c r="C50" s="9"/>
      <c r="D50" s="9"/>
      <c r="U50" t="s">
        <v>6758</v>
      </c>
      <c r="AV50" t="s">
        <v>152</v>
      </c>
      <c r="AZ50" s="1" t="str">
        <f t="shared" si="2"/>
        <v>TKB408</v>
      </c>
      <c r="BA50" s="1" t="str">
        <f t="shared" si="3"/>
        <v/>
      </c>
      <c r="BB50" s="1" t="str">
        <f t="shared" si="4"/>
        <v/>
      </c>
      <c r="BC50" s="1" t="str">
        <f t="shared" si="5"/>
        <v/>
      </c>
      <c r="BD50" s="1" t="str">
        <f t="shared" si="6"/>
        <v/>
      </c>
      <c r="BE50" s="1" t="str">
        <f t="shared" si="7"/>
        <v/>
      </c>
      <c r="BF50" s="1" t="str">
        <f t="shared" si="8"/>
        <v/>
      </c>
      <c r="BG50" s="1" t="str">
        <f t="shared" si="9"/>
        <v/>
      </c>
      <c r="BH50" s="1" t="str">
        <f t="shared" si="10"/>
        <v/>
      </c>
      <c r="BI50" s="1" t="str">
        <f t="shared" si="11"/>
        <v/>
      </c>
      <c r="BJ50" s="1" t="str">
        <f t="shared" si="12"/>
        <v/>
      </c>
      <c r="BK50" s="1" t="str">
        <f t="shared" si="13"/>
        <v/>
      </c>
      <c r="BL50" s="1" t="str">
        <f t="shared" si="14"/>
        <v/>
      </c>
      <c r="BM50" s="1" t="str">
        <f t="shared" si="15"/>
        <v/>
      </c>
      <c r="BN50" s="1" t="str">
        <f t="shared" si="16"/>
        <v/>
      </c>
      <c r="BO50" s="1" t="str">
        <f t="shared" si="17"/>
        <v>CR21Mod</v>
      </c>
      <c r="BP50" s="1" t="str">
        <f t="shared" si="18"/>
        <v/>
      </c>
      <c r="BQ50" s="1" t="str">
        <f t="shared" si="19"/>
        <v/>
      </c>
      <c r="BR50" s="1" t="str">
        <f t="shared" si="20"/>
        <v/>
      </c>
      <c r="BS50" s="1" t="str">
        <f t="shared" si="21"/>
        <v/>
      </c>
      <c r="BU50">
        <f>IF(DayNight="Day",IF(AND(Spot_Act_Info_Day!A50&lt;&gt;"",Spot_Act_Info_Day!D50&lt;&gt;"seed"),Spot_Act_Info_Day!A50,""),IF(AND(Spot_Act_Info_Night!A50&lt;&gt;"",Spot_Act_Info_Night!D50&lt;&gt;"seed"),Spot_Act_Info_Night!A50,""))</f>
        <v>7135</v>
      </c>
    </row>
    <row r="51" spans="1:73" x14ac:dyDescent="0.3">
      <c r="A51" s="9"/>
      <c r="C51" s="9"/>
      <c r="D51" s="9"/>
      <c r="U51" s="9" t="s">
        <v>791</v>
      </c>
      <c r="AV51" t="s">
        <v>735</v>
      </c>
      <c r="AZ51" s="1" t="str">
        <f t="shared" si="2"/>
        <v>Type56-1mod</v>
      </c>
      <c r="BA51" s="1" t="str">
        <f t="shared" si="3"/>
        <v/>
      </c>
      <c r="BB51" s="1" t="str">
        <f t="shared" si="4"/>
        <v/>
      </c>
      <c r="BC51" s="1" t="str">
        <f t="shared" si="5"/>
        <v/>
      </c>
      <c r="BD51" s="1" t="str">
        <f t="shared" si="6"/>
        <v/>
      </c>
      <c r="BE51" s="1" t="str">
        <f t="shared" si="7"/>
        <v/>
      </c>
      <c r="BF51" s="1" t="str">
        <f t="shared" si="8"/>
        <v/>
      </c>
      <c r="BG51" s="1" t="str">
        <f t="shared" si="9"/>
        <v/>
      </c>
      <c r="BH51" s="1" t="str">
        <f t="shared" si="10"/>
        <v/>
      </c>
      <c r="BI51" s="1" t="str">
        <f t="shared" si="11"/>
        <v/>
      </c>
      <c r="BJ51" s="1" t="str">
        <f t="shared" si="12"/>
        <v/>
      </c>
      <c r="BK51" s="1" t="str">
        <f t="shared" si="13"/>
        <v/>
      </c>
      <c r="BL51" s="1" t="str">
        <f t="shared" si="14"/>
        <v/>
      </c>
      <c r="BM51" s="1" t="str">
        <f t="shared" si="15"/>
        <v/>
      </c>
      <c r="BN51" s="1" t="str">
        <f t="shared" si="16"/>
        <v/>
      </c>
      <c r="BO51" s="1" t="str">
        <f t="shared" si="17"/>
        <v>CZ75</v>
      </c>
      <c r="BP51" s="1" t="str">
        <f t="shared" si="18"/>
        <v/>
      </c>
      <c r="BQ51" s="1" t="str">
        <f t="shared" si="19"/>
        <v/>
      </c>
      <c r="BR51" s="1" t="str">
        <f t="shared" si="20"/>
        <v/>
      </c>
      <c r="BS51" s="1" t="str">
        <f t="shared" si="21"/>
        <v/>
      </c>
    </row>
    <row r="52" spans="1:73" x14ac:dyDescent="0.3">
      <c r="A52" s="9"/>
      <c r="C52" s="9"/>
      <c r="D52" s="9"/>
      <c r="U52" s="9" t="s">
        <v>133</v>
      </c>
      <c r="AV52" t="s">
        <v>1604</v>
      </c>
      <c r="AZ52" s="1" t="str">
        <f t="shared" si="2"/>
        <v>Type89</v>
      </c>
      <c r="BA52" s="1" t="str">
        <f t="shared" si="3"/>
        <v/>
      </c>
      <c r="BB52" s="1" t="str">
        <f t="shared" si="4"/>
        <v/>
      </c>
      <c r="BC52" s="1" t="str">
        <f t="shared" si="5"/>
        <v/>
      </c>
      <c r="BD52" s="1" t="str">
        <f t="shared" si="6"/>
        <v/>
      </c>
      <c r="BE52" s="1" t="str">
        <f t="shared" si="7"/>
        <v/>
      </c>
      <c r="BF52" s="1" t="str">
        <f t="shared" si="8"/>
        <v/>
      </c>
      <c r="BG52" s="1" t="str">
        <f t="shared" si="9"/>
        <v/>
      </c>
      <c r="BH52" s="1" t="str">
        <f t="shared" si="10"/>
        <v/>
      </c>
      <c r="BI52" s="1" t="str">
        <f t="shared" si="11"/>
        <v/>
      </c>
      <c r="BJ52" s="1" t="str">
        <f t="shared" si="12"/>
        <v/>
      </c>
      <c r="BK52" s="1" t="str">
        <f t="shared" si="13"/>
        <v/>
      </c>
      <c r="BL52" s="1" t="str">
        <f t="shared" si="14"/>
        <v/>
      </c>
      <c r="BM52" s="1" t="str">
        <f t="shared" si="15"/>
        <v/>
      </c>
      <c r="BN52" s="1" t="str">
        <f t="shared" si="16"/>
        <v/>
      </c>
      <c r="BO52" s="1" t="str">
        <f t="shared" si="17"/>
        <v>Dana</v>
      </c>
      <c r="BP52" s="1" t="str">
        <f t="shared" si="18"/>
        <v/>
      </c>
      <c r="BQ52" s="1" t="str">
        <f t="shared" si="19"/>
        <v/>
      </c>
      <c r="BR52" s="1" t="str">
        <f t="shared" si="20"/>
        <v/>
      </c>
      <c r="BS52" s="1" t="str">
        <f t="shared" si="21"/>
        <v/>
      </c>
    </row>
    <row r="53" spans="1:73" x14ac:dyDescent="0.3">
      <c r="A53" s="9"/>
      <c r="C53" s="9"/>
      <c r="D53" s="9"/>
      <c r="U53" s="9" t="s">
        <v>134</v>
      </c>
      <c r="AV53" t="s">
        <v>9255</v>
      </c>
      <c r="AZ53" s="1" t="str">
        <f t="shared" si="2"/>
        <v>Type95</v>
      </c>
      <c r="BA53" s="1" t="str">
        <f t="shared" si="3"/>
        <v/>
      </c>
      <c r="BB53" s="1" t="str">
        <f t="shared" si="4"/>
        <v/>
      </c>
      <c r="BC53" s="1" t="str">
        <f t="shared" si="5"/>
        <v/>
      </c>
      <c r="BD53" s="1" t="str">
        <f t="shared" si="6"/>
        <v/>
      </c>
      <c r="BE53" s="1" t="str">
        <f t="shared" si="7"/>
        <v/>
      </c>
      <c r="BF53" s="1" t="str">
        <f t="shared" si="8"/>
        <v/>
      </c>
      <c r="BG53" s="1" t="str">
        <f t="shared" si="9"/>
        <v/>
      </c>
      <c r="BH53" s="1" t="str">
        <f t="shared" si="10"/>
        <v/>
      </c>
      <c r="BI53" s="1" t="str">
        <f t="shared" si="11"/>
        <v/>
      </c>
      <c r="BJ53" s="1" t="str">
        <f t="shared" si="12"/>
        <v/>
      </c>
      <c r="BK53" s="1" t="str">
        <f t="shared" si="13"/>
        <v/>
      </c>
      <c r="BL53" s="1" t="str">
        <f t="shared" si="14"/>
        <v/>
      </c>
      <c r="BM53" s="1" t="str">
        <f t="shared" si="15"/>
        <v/>
      </c>
      <c r="BN53" s="1" t="str">
        <f t="shared" si="16"/>
        <v/>
      </c>
      <c r="BO53" s="1" t="str">
        <f t="shared" si="17"/>
        <v>Defender</v>
      </c>
      <c r="BP53" s="1" t="str">
        <f t="shared" si="18"/>
        <v/>
      </c>
      <c r="BQ53" s="1" t="str">
        <f t="shared" si="19"/>
        <v/>
      </c>
      <c r="BR53" s="1" t="str">
        <f t="shared" si="20"/>
        <v/>
      </c>
      <c r="BS53" s="1" t="str">
        <f t="shared" si="21"/>
        <v/>
      </c>
    </row>
    <row r="54" spans="1:73" x14ac:dyDescent="0.3">
      <c r="A54" s="9"/>
      <c r="C54" s="9"/>
      <c r="D54" s="9"/>
      <c r="U54" s="9" t="s">
        <v>806</v>
      </c>
      <c r="AV54" t="s">
        <v>1686</v>
      </c>
      <c r="AZ54" s="1" t="str">
        <f t="shared" si="2"/>
        <v>Type97</v>
      </c>
      <c r="BA54" s="1" t="str">
        <f t="shared" si="3"/>
        <v/>
      </c>
      <c r="BB54" s="1" t="str">
        <f t="shared" si="4"/>
        <v/>
      </c>
      <c r="BC54" s="1" t="str">
        <f t="shared" si="5"/>
        <v/>
      </c>
      <c r="BD54" s="1" t="str">
        <f t="shared" si="6"/>
        <v/>
      </c>
      <c r="BE54" s="1" t="str">
        <f t="shared" si="7"/>
        <v/>
      </c>
      <c r="BF54" s="1" t="str">
        <f t="shared" si="8"/>
        <v/>
      </c>
      <c r="BG54" s="1" t="str">
        <f t="shared" si="9"/>
        <v/>
      </c>
      <c r="BH54" s="1" t="str">
        <f t="shared" si="10"/>
        <v/>
      </c>
      <c r="BI54" s="1" t="str">
        <f t="shared" si="11"/>
        <v/>
      </c>
      <c r="BJ54" s="1" t="str">
        <f t="shared" si="12"/>
        <v/>
      </c>
      <c r="BK54" s="1" t="str">
        <f t="shared" si="13"/>
        <v/>
      </c>
      <c r="BL54" s="1" t="str">
        <f t="shared" si="14"/>
        <v/>
      </c>
      <c r="BM54" s="1" t="str">
        <f t="shared" si="15"/>
        <v/>
      </c>
      <c r="BN54" s="1" t="str">
        <f t="shared" si="16"/>
        <v/>
      </c>
      <c r="BO54" s="1" t="str">
        <f t="shared" si="17"/>
        <v>DefenderGZ</v>
      </c>
      <c r="BP54" s="1" t="str">
        <f t="shared" si="18"/>
        <v/>
      </c>
      <c r="BQ54" s="1" t="str">
        <f t="shared" si="19"/>
        <v/>
      </c>
      <c r="BR54" s="1" t="str">
        <f t="shared" si="20"/>
        <v/>
      </c>
      <c r="BS54" s="1" t="str">
        <f t="shared" si="21"/>
        <v/>
      </c>
    </row>
    <row r="55" spans="1:73" x14ac:dyDescent="0.3">
      <c r="A55" s="9"/>
      <c r="C55" s="9"/>
      <c r="D55" s="9"/>
      <c r="U55" t="s">
        <v>7211</v>
      </c>
      <c r="AV55" t="s">
        <v>721</v>
      </c>
      <c r="AZ55" s="1" t="str">
        <f t="shared" si="2"/>
        <v>VHS</v>
      </c>
      <c r="BA55" s="1" t="str">
        <f t="shared" si="3"/>
        <v/>
      </c>
      <c r="BB55" s="1" t="str">
        <f t="shared" si="4"/>
        <v/>
      </c>
      <c r="BC55" s="1" t="str">
        <f t="shared" si="5"/>
        <v/>
      </c>
      <c r="BD55" s="1" t="str">
        <f t="shared" si="6"/>
        <v/>
      </c>
      <c r="BE55" s="1" t="str">
        <f t="shared" si="7"/>
        <v/>
      </c>
      <c r="BF55" s="1" t="str">
        <f t="shared" si="8"/>
        <v/>
      </c>
      <c r="BG55" s="1" t="str">
        <f t="shared" si="9"/>
        <v/>
      </c>
      <c r="BH55" s="1" t="str">
        <f t="shared" si="10"/>
        <v/>
      </c>
      <c r="BI55" s="1" t="str">
        <f t="shared" si="11"/>
        <v/>
      </c>
      <c r="BJ55" s="1" t="str">
        <f t="shared" si="12"/>
        <v/>
      </c>
      <c r="BK55" s="1" t="str">
        <f t="shared" si="13"/>
        <v/>
      </c>
      <c r="BL55" s="1" t="str">
        <f t="shared" si="14"/>
        <v/>
      </c>
      <c r="BM55" s="1" t="str">
        <f t="shared" si="15"/>
        <v/>
      </c>
      <c r="BN55" s="1" t="str">
        <f t="shared" si="16"/>
        <v/>
      </c>
      <c r="BO55" s="1" t="str">
        <f t="shared" si="17"/>
        <v>Desert Eagle</v>
      </c>
      <c r="BP55" s="1" t="str">
        <f t="shared" si="18"/>
        <v/>
      </c>
      <c r="BQ55" s="1" t="str">
        <f t="shared" si="19"/>
        <v/>
      </c>
      <c r="BR55" s="1" t="str">
        <f t="shared" si="20"/>
        <v/>
      </c>
      <c r="BS55" s="1" t="str">
        <f t="shared" si="21"/>
        <v/>
      </c>
    </row>
    <row r="56" spans="1:73" x14ac:dyDescent="0.3">
      <c r="A56" s="9"/>
      <c r="C56" s="9"/>
      <c r="D56" s="9"/>
      <c r="U56" t="s">
        <v>5735</v>
      </c>
      <c r="AV56" t="s">
        <v>7163</v>
      </c>
      <c r="AZ56" s="1" t="str">
        <f t="shared" si="2"/>
        <v>VRB</v>
      </c>
      <c r="BA56" s="1" t="str">
        <f t="shared" si="3"/>
        <v/>
      </c>
      <c r="BB56" s="1" t="str">
        <f t="shared" si="4"/>
        <v/>
      </c>
      <c r="BC56" s="1" t="str">
        <f t="shared" si="5"/>
        <v/>
      </c>
      <c r="BD56" s="1" t="str">
        <f t="shared" si="6"/>
        <v/>
      </c>
      <c r="BE56" s="1" t="str">
        <f t="shared" si="7"/>
        <v/>
      </c>
      <c r="BF56" s="1" t="str">
        <f t="shared" si="8"/>
        <v/>
      </c>
      <c r="BG56" s="1" t="str">
        <f t="shared" si="9"/>
        <v/>
      </c>
      <c r="BH56" s="1" t="str">
        <f t="shared" si="10"/>
        <v/>
      </c>
      <c r="BI56" s="1" t="str">
        <f t="shared" si="11"/>
        <v/>
      </c>
      <c r="BJ56" s="1" t="str">
        <f t="shared" si="12"/>
        <v/>
      </c>
      <c r="BK56" s="1" t="str">
        <f t="shared" si="13"/>
        <v/>
      </c>
      <c r="BL56" s="1" t="str">
        <f t="shared" si="14"/>
        <v/>
      </c>
      <c r="BM56" s="1" t="str">
        <f t="shared" si="15"/>
        <v/>
      </c>
      <c r="BN56" s="1" t="str">
        <f t="shared" si="16"/>
        <v/>
      </c>
      <c r="BO56" s="1" t="str">
        <f t="shared" si="17"/>
        <v>Dorothy</v>
      </c>
      <c r="BP56" s="1" t="str">
        <f t="shared" si="18"/>
        <v/>
      </c>
      <c r="BQ56" s="1" t="str">
        <f t="shared" si="19"/>
        <v/>
      </c>
      <c r="BR56" s="1" t="str">
        <f t="shared" si="20"/>
        <v/>
      </c>
      <c r="BS56" s="1" t="str">
        <f t="shared" si="21"/>
        <v/>
      </c>
    </row>
    <row r="57" spans="1:73" x14ac:dyDescent="0.3">
      <c r="A57" s="9"/>
      <c r="C57" s="9"/>
      <c r="D57" s="9"/>
      <c r="U57" s="9" t="s">
        <v>169</v>
      </c>
      <c r="AV57" t="s">
        <v>109</v>
      </c>
      <c r="AZ57" s="1" t="str">
        <f t="shared" si="2"/>
        <v>XM8Mod</v>
      </c>
      <c r="BA57" s="1" t="str">
        <f t="shared" si="3"/>
        <v/>
      </c>
      <c r="BB57" s="1" t="str">
        <f t="shared" si="4"/>
        <v/>
      </c>
      <c r="BC57" s="1" t="str">
        <f t="shared" si="5"/>
        <v/>
      </c>
      <c r="BD57" s="1" t="str">
        <f t="shared" si="6"/>
        <v/>
      </c>
      <c r="BE57" s="1" t="str">
        <f t="shared" si="7"/>
        <v/>
      </c>
      <c r="BF57" s="1" t="str">
        <f t="shared" si="8"/>
        <v/>
      </c>
      <c r="BG57" s="1" t="str">
        <f t="shared" si="9"/>
        <v/>
      </c>
      <c r="BH57" s="1" t="str">
        <f t="shared" si="10"/>
        <v/>
      </c>
      <c r="BI57" s="1" t="str">
        <f t="shared" si="11"/>
        <v/>
      </c>
      <c r="BJ57" s="1" t="str">
        <f t="shared" si="12"/>
        <v/>
      </c>
      <c r="BK57" s="1" t="str">
        <f t="shared" si="13"/>
        <v/>
      </c>
      <c r="BL57" s="1" t="str">
        <f t="shared" si="14"/>
        <v/>
      </c>
      <c r="BM57" s="1" t="str">
        <f t="shared" si="15"/>
        <v/>
      </c>
      <c r="BN57" s="1" t="str">
        <f t="shared" si="16"/>
        <v/>
      </c>
      <c r="BO57" s="1" t="str">
        <f t="shared" si="17"/>
        <v>DP12Mod</v>
      </c>
      <c r="BP57" s="1" t="str">
        <f t="shared" si="18"/>
        <v/>
      </c>
      <c r="BQ57" s="1" t="str">
        <f t="shared" si="19"/>
        <v/>
      </c>
      <c r="BR57" s="1" t="str">
        <f t="shared" si="20"/>
        <v/>
      </c>
      <c r="BS57" s="1" t="str">
        <f t="shared" si="21"/>
        <v/>
      </c>
    </row>
    <row r="58" spans="1:73" x14ac:dyDescent="0.3">
      <c r="A58" s="9"/>
      <c r="C58" s="9"/>
      <c r="D58" s="9"/>
      <c r="AV58" t="s">
        <v>1637</v>
      </c>
      <c r="AZ58" s="1" t="str">
        <f t="shared" si="2"/>
        <v>Zas M21</v>
      </c>
      <c r="BA58" s="1" t="str">
        <f t="shared" si="3"/>
        <v/>
      </c>
      <c r="BB58" s="1" t="str">
        <f t="shared" si="4"/>
        <v/>
      </c>
      <c r="BC58" s="1" t="str">
        <f t="shared" si="5"/>
        <v/>
      </c>
      <c r="BD58" s="1" t="str">
        <f t="shared" si="6"/>
        <v/>
      </c>
      <c r="BE58" s="1" t="str">
        <f t="shared" si="7"/>
        <v/>
      </c>
      <c r="BF58" s="1" t="str">
        <f t="shared" si="8"/>
        <v/>
      </c>
      <c r="BG58" s="1" t="str">
        <f t="shared" si="9"/>
        <v/>
      </c>
      <c r="BH58" s="1" t="str">
        <f t="shared" si="10"/>
        <v/>
      </c>
      <c r="BI58" s="1" t="str">
        <f t="shared" si="11"/>
        <v/>
      </c>
      <c r="BJ58" s="1" t="str">
        <f t="shared" si="12"/>
        <v/>
      </c>
      <c r="BK58" s="1" t="str">
        <f t="shared" si="13"/>
        <v/>
      </c>
      <c r="BL58" s="1" t="str">
        <f t="shared" si="14"/>
        <v/>
      </c>
      <c r="BM58" s="1" t="str">
        <f t="shared" si="15"/>
        <v/>
      </c>
      <c r="BN58" s="1" t="str">
        <f t="shared" si="16"/>
        <v/>
      </c>
      <c r="BO58" s="1" t="str">
        <f t="shared" si="17"/>
        <v>DP28</v>
      </c>
      <c r="BP58" s="1" t="str">
        <f t="shared" si="18"/>
        <v/>
      </c>
      <c r="BQ58" s="1" t="str">
        <f t="shared" si="19"/>
        <v/>
      </c>
      <c r="BR58" s="1" t="str">
        <f t="shared" si="20"/>
        <v/>
      </c>
      <c r="BS58" s="1" t="str">
        <f t="shared" si="21"/>
        <v/>
      </c>
    </row>
    <row r="59" spans="1:73" x14ac:dyDescent="0.3">
      <c r="A59" s="9"/>
      <c r="C59" s="9"/>
      <c r="D59" s="9"/>
      <c r="AV59" t="s">
        <v>8596</v>
      </c>
      <c r="AZ59" s="1" t="str">
        <f t="shared" si="2"/>
        <v/>
      </c>
      <c r="BA59" s="1" t="str">
        <f t="shared" si="3"/>
        <v/>
      </c>
      <c r="BB59" s="1" t="str">
        <f t="shared" si="4"/>
        <v/>
      </c>
      <c r="BC59" s="1" t="str">
        <f t="shared" si="5"/>
        <v/>
      </c>
      <c r="BD59" s="1" t="str">
        <f t="shared" si="6"/>
        <v/>
      </c>
      <c r="BE59" s="1" t="str">
        <f t="shared" si="7"/>
        <v/>
      </c>
      <c r="BF59" s="1" t="str">
        <f t="shared" si="8"/>
        <v/>
      </c>
      <c r="BG59" s="1" t="str">
        <f t="shared" si="9"/>
        <v/>
      </c>
      <c r="BH59" s="1" t="str">
        <f t="shared" si="10"/>
        <v/>
      </c>
      <c r="BI59" s="1" t="str">
        <f t="shared" si="11"/>
        <v/>
      </c>
      <c r="BJ59" s="1" t="str">
        <f t="shared" si="12"/>
        <v/>
      </c>
      <c r="BK59" s="1" t="str">
        <f t="shared" si="13"/>
        <v/>
      </c>
      <c r="BL59" s="1" t="str">
        <f t="shared" si="14"/>
        <v/>
      </c>
      <c r="BM59" s="1" t="str">
        <f t="shared" si="15"/>
        <v/>
      </c>
      <c r="BN59" s="1" t="str">
        <f t="shared" si="16"/>
        <v/>
      </c>
      <c r="BO59" s="1" t="str">
        <f t="shared" si="17"/>
        <v>DSR50</v>
      </c>
      <c r="BP59" s="1" t="str">
        <f t="shared" si="18"/>
        <v/>
      </c>
      <c r="BQ59" s="1" t="str">
        <f t="shared" si="19"/>
        <v/>
      </c>
      <c r="BR59" s="1" t="str">
        <f t="shared" si="20"/>
        <v/>
      </c>
      <c r="BS59" s="1" t="str">
        <f t="shared" si="21"/>
        <v/>
      </c>
    </row>
    <row r="60" spans="1:73" x14ac:dyDescent="0.3">
      <c r="A60" s="9"/>
      <c r="C60" s="9"/>
      <c r="D60" s="9"/>
      <c r="AV60" t="s">
        <v>9157</v>
      </c>
      <c r="AZ60" s="1" t="str">
        <f t="shared" si="2"/>
        <v/>
      </c>
      <c r="BA60" s="1" t="str">
        <f t="shared" si="3"/>
        <v/>
      </c>
      <c r="BB60" s="1" t="str">
        <f t="shared" si="4"/>
        <v/>
      </c>
      <c r="BC60" s="1" t="str">
        <f t="shared" si="5"/>
        <v/>
      </c>
      <c r="BD60" s="1" t="str">
        <f t="shared" si="6"/>
        <v/>
      </c>
      <c r="BE60" s="1" t="str">
        <f t="shared" si="7"/>
        <v/>
      </c>
      <c r="BF60" s="1" t="str">
        <f t="shared" si="8"/>
        <v/>
      </c>
      <c r="BG60" s="1" t="str">
        <f t="shared" si="9"/>
        <v/>
      </c>
      <c r="BH60" s="1" t="str">
        <f t="shared" si="10"/>
        <v/>
      </c>
      <c r="BI60" s="1" t="str">
        <f t="shared" si="11"/>
        <v/>
      </c>
      <c r="BJ60" s="1" t="str">
        <f t="shared" si="12"/>
        <v/>
      </c>
      <c r="BK60" s="1" t="str">
        <f t="shared" si="13"/>
        <v/>
      </c>
      <c r="BL60" s="1" t="str">
        <f t="shared" si="14"/>
        <v/>
      </c>
      <c r="BM60" s="1" t="str">
        <f t="shared" si="15"/>
        <v/>
      </c>
      <c r="BN60" s="1" t="str">
        <f t="shared" si="16"/>
        <v/>
      </c>
      <c r="BO60" s="1" t="str">
        <f t="shared" si="17"/>
        <v>EM2Mod</v>
      </c>
      <c r="BP60" s="1" t="str">
        <f t="shared" si="18"/>
        <v/>
      </c>
      <c r="BQ60" s="1" t="str">
        <f t="shared" si="19"/>
        <v/>
      </c>
      <c r="BR60" s="1" t="str">
        <f t="shared" si="20"/>
        <v/>
      </c>
      <c r="BS60" s="1" t="str">
        <f t="shared" si="21"/>
        <v/>
      </c>
    </row>
    <row r="61" spans="1:73" x14ac:dyDescent="0.3">
      <c r="A61" s="9"/>
      <c r="C61" s="9"/>
      <c r="D61" s="9"/>
      <c r="AV61" t="s">
        <v>8621</v>
      </c>
      <c r="AZ61" s="1" t="str">
        <f t="shared" si="2"/>
        <v/>
      </c>
      <c r="BA61" s="1" t="str">
        <f t="shared" si="3"/>
        <v/>
      </c>
      <c r="BB61" s="1" t="str">
        <f t="shared" si="4"/>
        <v/>
      </c>
      <c r="BC61" s="1" t="str">
        <f t="shared" si="5"/>
        <v/>
      </c>
      <c r="BD61" s="1" t="str">
        <f t="shared" si="6"/>
        <v/>
      </c>
      <c r="BE61" s="1" t="str">
        <f t="shared" si="7"/>
        <v/>
      </c>
      <c r="BF61" s="1" t="str">
        <f t="shared" si="8"/>
        <v/>
      </c>
      <c r="BG61" s="1" t="str">
        <f t="shared" si="9"/>
        <v/>
      </c>
      <c r="BH61" s="1" t="str">
        <f t="shared" si="10"/>
        <v/>
      </c>
      <c r="BI61" s="1" t="str">
        <f t="shared" si="11"/>
        <v/>
      </c>
      <c r="BJ61" s="1" t="str">
        <f t="shared" si="12"/>
        <v/>
      </c>
      <c r="BK61" s="1" t="str">
        <f t="shared" si="13"/>
        <v/>
      </c>
      <c r="BL61" s="1" t="str">
        <f t="shared" si="14"/>
        <v/>
      </c>
      <c r="BM61" s="1" t="str">
        <f t="shared" si="15"/>
        <v/>
      </c>
      <c r="BN61" s="1" t="str">
        <f t="shared" si="16"/>
        <v/>
      </c>
      <c r="BO61" s="1" t="str">
        <f t="shared" si="17"/>
        <v>Evita</v>
      </c>
      <c r="BP61" s="1" t="str">
        <f t="shared" si="18"/>
        <v/>
      </c>
      <c r="BQ61" s="1" t="str">
        <f t="shared" si="19"/>
        <v/>
      </c>
      <c r="BR61" s="1" t="str">
        <f t="shared" si="20"/>
        <v/>
      </c>
      <c r="BS61" s="1" t="str">
        <f t="shared" si="21"/>
        <v/>
      </c>
    </row>
    <row r="62" spans="1:73" x14ac:dyDescent="0.3">
      <c r="A62" s="9"/>
      <c r="C62" s="9"/>
      <c r="D62" s="9"/>
      <c r="AV62" t="s">
        <v>3178</v>
      </c>
      <c r="AZ62" s="1" t="str">
        <f t="shared" si="2"/>
        <v/>
      </c>
      <c r="BA62" s="1" t="str">
        <f t="shared" si="3"/>
        <v/>
      </c>
      <c r="BB62" s="1" t="str">
        <f t="shared" si="4"/>
        <v/>
      </c>
      <c r="BC62" s="1" t="str">
        <f t="shared" si="5"/>
        <v/>
      </c>
      <c r="BD62" s="1" t="str">
        <f t="shared" si="6"/>
        <v/>
      </c>
      <c r="BE62" s="1" t="str">
        <f t="shared" si="7"/>
        <v/>
      </c>
      <c r="BF62" s="1" t="str">
        <f t="shared" si="8"/>
        <v/>
      </c>
      <c r="BG62" s="1" t="str">
        <f t="shared" si="9"/>
        <v/>
      </c>
      <c r="BH62" s="1" t="str">
        <f t="shared" si="10"/>
        <v/>
      </c>
      <c r="BI62" s="1" t="str">
        <f t="shared" si="11"/>
        <v/>
      </c>
      <c r="BJ62" s="1" t="str">
        <f t="shared" si="12"/>
        <v/>
      </c>
      <c r="BK62" s="1" t="str">
        <f t="shared" si="13"/>
        <v/>
      </c>
      <c r="BL62" s="1" t="str">
        <f t="shared" si="14"/>
        <v/>
      </c>
      <c r="BM62" s="1" t="str">
        <f t="shared" si="15"/>
        <v/>
      </c>
      <c r="BN62" s="1" t="str">
        <f t="shared" si="16"/>
        <v/>
      </c>
      <c r="BO62" s="1" t="str">
        <f t="shared" si="17"/>
        <v>EVO 3Mod</v>
      </c>
      <c r="BP62" s="1" t="str">
        <f t="shared" si="18"/>
        <v/>
      </c>
      <c r="BQ62" s="1" t="str">
        <f t="shared" si="19"/>
        <v/>
      </c>
      <c r="BR62" s="1" t="str">
        <f t="shared" si="20"/>
        <v/>
      </c>
      <c r="BS62" s="1" t="str">
        <f t="shared" si="21"/>
        <v/>
      </c>
    </row>
    <row r="63" spans="1:73" x14ac:dyDescent="0.3">
      <c r="A63" s="9"/>
      <c r="C63" s="9"/>
      <c r="D63" s="9"/>
      <c r="AV63" t="s">
        <v>8655</v>
      </c>
      <c r="AZ63" s="1" t="str">
        <f t="shared" si="2"/>
        <v/>
      </c>
      <c r="BA63" s="1" t="str">
        <f t="shared" si="3"/>
        <v/>
      </c>
      <c r="BB63" s="1" t="str">
        <f t="shared" si="4"/>
        <v/>
      </c>
      <c r="BC63" s="1" t="str">
        <f t="shared" si="5"/>
        <v/>
      </c>
      <c r="BD63" s="1" t="str">
        <f t="shared" si="6"/>
        <v/>
      </c>
      <c r="BE63" s="1" t="str">
        <f t="shared" si="7"/>
        <v/>
      </c>
      <c r="BF63" s="1" t="str">
        <f t="shared" si="8"/>
        <v/>
      </c>
      <c r="BG63" s="1" t="str">
        <f t="shared" si="9"/>
        <v/>
      </c>
      <c r="BH63" s="1" t="str">
        <f t="shared" si="10"/>
        <v/>
      </c>
      <c r="BI63" s="1" t="str">
        <f t="shared" si="11"/>
        <v/>
      </c>
      <c r="BJ63" s="1" t="str">
        <f t="shared" si="12"/>
        <v/>
      </c>
      <c r="BK63" s="1" t="str">
        <f t="shared" si="13"/>
        <v/>
      </c>
      <c r="BL63" s="1" t="str">
        <f t="shared" si="14"/>
        <v/>
      </c>
      <c r="BM63" s="1" t="str">
        <f t="shared" si="15"/>
        <v/>
      </c>
      <c r="BN63" s="1" t="str">
        <f t="shared" si="16"/>
        <v/>
      </c>
      <c r="BO63" s="1" t="str">
        <f t="shared" si="17"/>
        <v>EVO3</v>
      </c>
      <c r="BP63" s="1" t="str">
        <f t="shared" si="18"/>
        <v/>
      </c>
      <c r="BQ63" s="1" t="str">
        <f t="shared" si="19"/>
        <v/>
      </c>
      <c r="BR63" s="1" t="str">
        <f t="shared" si="20"/>
        <v/>
      </c>
      <c r="BS63" s="1" t="str">
        <f t="shared" si="21"/>
        <v/>
      </c>
    </row>
    <row r="64" spans="1:73" x14ac:dyDescent="0.3">
      <c r="C64" s="9"/>
      <c r="D64" s="9"/>
      <c r="AV64" t="s">
        <v>826</v>
      </c>
      <c r="AZ64" s="1" t="str">
        <f t="shared" si="2"/>
        <v/>
      </c>
      <c r="BA64" s="1" t="str">
        <f t="shared" si="3"/>
        <v/>
      </c>
      <c r="BB64" s="1" t="str">
        <f t="shared" si="4"/>
        <v/>
      </c>
      <c r="BC64" s="1" t="str">
        <f t="shared" si="5"/>
        <v/>
      </c>
      <c r="BD64" s="1" t="str">
        <f t="shared" si="6"/>
        <v/>
      </c>
      <c r="BE64" s="1" t="str">
        <f t="shared" si="7"/>
        <v/>
      </c>
      <c r="BF64" s="1" t="str">
        <f t="shared" si="8"/>
        <v/>
      </c>
      <c r="BG64" s="1" t="str">
        <f t="shared" si="9"/>
        <v/>
      </c>
      <c r="BH64" s="1" t="str">
        <f t="shared" si="10"/>
        <v/>
      </c>
      <c r="BI64" s="1" t="str">
        <f t="shared" si="11"/>
        <v/>
      </c>
      <c r="BJ64" s="1" t="str">
        <f t="shared" si="12"/>
        <v/>
      </c>
      <c r="BK64" s="1" t="str">
        <f t="shared" si="13"/>
        <v/>
      </c>
      <c r="BL64" s="1" t="str">
        <f t="shared" si="14"/>
        <v/>
      </c>
      <c r="BM64" s="1" t="str">
        <f t="shared" si="15"/>
        <v/>
      </c>
      <c r="BN64" s="1" t="str">
        <f t="shared" si="16"/>
        <v/>
      </c>
      <c r="BO64" s="1" t="str">
        <f t="shared" si="17"/>
        <v>Ezaki</v>
      </c>
      <c r="BP64" s="1" t="str">
        <f t="shared" si="18"/>
        <v/>
      </c>
      <c r="BQ64" s="1" t="str">
        <f t="shared" si="19"/>
        <v/>
      </c>
      <c r="BR64" s="1" t="str">
        <f t="shared" si="20"/>
        <v/>
      </c>
      <c r="BS64" s="1" t="str">
        <f t="shared" si="21"/>
        <v/>
      </c>
    </row>
    <row r="65" spans="3:71" x14ac:dyDescent="0.3">
      <c r="C65" s="9"/>
      <c r="D65" s="9"/>
      <c r="AV65" t="s">
        <v>1183</v>
      </c>
      <c r="AZ65" s="1" t="str">
        <f t="shared" si="2"/>
        <v/>
      </c>
      <c r="BA65" s="1" t="str">
        <f t="shared" si="3"/>
        <v/>
      </c>
      <c r="BB65" s="1" t="str">
        <f t="shared" si="4"/>
        <v/>
      </c>
      <c r="BC65" s="1" t="str">
        <f t="shared" si="5"/>
        <v/>
      </c>
      <c r="BD65" s="1" t="str">
        <f t="shared" si="6"/>
        <v/>
      </c>
      <c r="BE65" s="1" t="str">
        <f t="shared" si="7"/>
        <v/>
      </c>
      <c r="BF65" s="1" t="str">
        <f t="shared" si="8"/>
        <v/>
      </c>
      <c r="BG65" s="1" t="str">
        <f t="shared" si="9"/>
        <v/>
      </c>
      <c r="BH65" s="1" t="str">
        <f t="shared" si="10"/>
        <v/>
      </c>
      <c r="BI65" s="1" t="str">
        <f t="shared" si="11"/>
        <v/>
      </c>
      <c r="BJ65" s="1" t="str">
        <f t="shared" si="12"/>
        <v/>
      </c>
      <c r="BK65" s="1" t="str">
        <f t="shared" si="13"/>
        <v/>
      </c>
      <c r="BL65" s="1" t="str">
        <f t="shared" si="14"/>
        <v/>
      </c>
      <c r="BM65" s="1" t="str">
        <f t="shared" si="15"/>
        <v/>
      </c>
      <c r="BN65" s="1" t="str">
        <f t="shared" si="16"/>
        <v/>
      </c>
      <c r="BO65" s="1" t="str">
        <f t="shared" si="17"/>
        <v>F1Mod</v>
      </c>
      <c r="BP65" s="1" t="str">
        <f t="shared" si="18"/>
        <v/>
      </c>
      <c r="BQ65" s="1" t="str">
        <f t="shared" si="19"/>
        <v/>
      </c>
      <c r="BR65" s="1" t="str">
        <f t="shared" si="20"/>
        <v/>
      </c>
      <c r="BS65" s="1" t="str">
        <f t="shared" si="21"/>
        <v/>
      </c>
    </row>
    <row r="66" spans="3:71" x14ac:dyDescent="0.3">
      <c r="C66" s="9"/>
      <c r="D66" s="9"/>
      <c r="AV66" t="s">
        <v>718</v>
      </c>
      <c r="AZ66" s="1" t="str">
        <f t="shared" si="2"/>
        <v/>
      </c>
      <c r="BA66" s="1" t="str">
        <f t="shared" si="3"/>
        <v/>
      </c>
      <c r="BB66" s="1" t="str">
        <f t="shared" si="4"/>
        <v/>
      </c>
      <c r="BC66" s="1" t="str">
        <f t="shared" si="5"/>
        <v/>
      </c>
      <c r="BD66" s="1" t="str">
        <f t="shared" si="6"/>
        <v/>
      </c>
      <c r="BE66" s="1" t="str">
        <f t="shared" si="7"/>
        <v/>
      </c>
      <c r="BF66" s="1" t="str">
        <f t="shared" si="8"/>
        <v/>
      </c>
      <c r="BG66" s="1" t="str">
        <f t="shared" si="9"/>
        <v/>
      </c>
      <c r="BH66" s="1" t="str">
        <f t="shared" si="10"/>
        <v/>
      </c>
      <c r="BI66" s="1" t="str">
        <f t="shared" si="11"/>
        <v/>
      </c>
      <c r="BJ66" s="1" t="str">
        <f t="shared" si="12"/>
        <v/>
      </c>
      <c r="BK66" s="1" t="str">
        <f t="shared" si="13"/>
        <v/>
      </c>
      <c r="BL66" s="1" t="str">
        <f t="shared" si="14"/>
        <v/>
      </c>
      <c r="BM66" s="1" t="str">
        <f t="shared" si="15"/>
        <v/>
      </c>
      <c r="BN66" s="1" t="str">
        <f t="shared" si="16"/>
        <v/>
      </c>
      <c r="BO66" s="1" t="str">
        <f t="shared" si="17"/>
        <v>F2000</v>
      </c>
      <c r="BP66" s="1" t="str">
        <f t="shared" si="18"/>
        <v/>
      </c>
      <c r="BQ66" s="1" t="str">
        <f t="shared" si="19"/>
        <v/>
      </c>
      <c r="BR66" s="1" t="str">
        <f t="shared" si="20"/>
        <v/>
      </c>
      <c r="BS66" s="1" t="str">
        <f t="shared" si="21"/>
        <v/>
      </c>
    </row>
    <row r="67" spans="3:71" x14ac:dyDescent="0.3">
      <c r="C67" s="9"/>
      <c r="D67" s="9"/>
      <c r="AV67" t="s">
        <v>8590</v>
      </c>
      <c r="AZ67" s="1" t="str">
        <f t="shared" si="2"/>
        <v/>
      </c>
      <c r="BA67" s="1" t="str">
        <f t="shared" si="3"/>
        <v/>
      </c>
      <c r="BB67" s="1" t="str">
        <f t="shared" si="4"/>
        <v/>
      </c>
      <c r="BC67" s="1" t="str">
        <f t="shared" si="5"/>
        <v/>
      </c>
      <c r="BD67" s="1" t="str">
        <f t="shared" si="6"/>
        <v/>
      </c>
      <c r="BE67" s="1" t="str">
        <f t="shared" si="7"/>
        <v/>
      </c>
      <c r="BF67" s="1" t="str">
        <f t="shared" si="8"/>
        <v/>
      </c>
      <c r="BG67" s="1" t="str">
        <f t="shared" si="9"/>
        <v/>
      </c>
      <c r="BH67" s="1" t="str">
        <f t="shared" si="10"/>
        <v/>
      </c>
      <c r="BI67" s="1" t="str">
        <f t="shared" si="11"/>
        <v/>
      </c>
      <c r="BJ67" s="1" t="str">
        <f t="shared" si="12"/>
        <v/>
      </c>
      <c r="BK67" s="1" t="str">
        <f t="shared" si="13"/>
        <v/>
      </c>
      <c r="BL67" s="1" t="str">
        <f t="shared" si="14"/>
        <v/>
      </c>
      <c r="BM67" s="1" t="str">
        <f t="shared" si="15"/>
        <v/>
      </c>
      <c r="BN67" s="1" t="str">
        <f t="shared" si="16"/>
        <v/>
      </c>
      <c r="BO67" s="1" t="str">
        <f t="shared" si="17"/>
        <v>Fail</v>
      </c>
      <c r="BP67" s="1" t="str">
        <f t="shared" si="18"/>
        <v/>
      </c>
      <c r="BQ67" s="1" t="str">
        <f t="shared" si="19"/>
        <v/>
      </c>
      <c r="BR67" s="1" t="str">
        <f t="shared" si="20"/>
        <v/>
      </c>
      <c r="BS67" s="1" t="str">
        <f t="shared" si="21"/>
        <v/>
      </c>
    </row>
    <row r="68" spans="3:71" x14ac:dyDescent="0.3">
      <c r="D68" s="9"/>
      <c r="AV68" t="s">
        <v>710</v>
      </c>
      <c r="AZ68" s="1" t="str">
        <f t="shared" ref="AZ68:AZ131" si="22">IF(INDEX($C67:$AF67,MATCH(AZ$2,$C$1:$AF$1,0))="","",INDEX($C67:$AF67,MATCH(AZ$2,$C$1:$AF$1,0)))</f>
        <v/>
      </c>
      <c r="BA68" s="1" t="str">
        <f t="shared" ref="BA68:BA131" si="23">IF(INDEX($C67:$AF67,MATCH(BA$2,$C$1:$AF$1,0))="","",INDEX($C67:$AF67,MATCH(BA$2,$C$1:$AF$1,0)))</f>
        <v/>
      </c>
      <c r="BB68" s="1" t="str">
        <f t="shared" ref="BB68:BB131" si="24">IF(INDEX($C67:$AF67,MATCH(BB$2,$C$1:$AF$1,0))="","",INDEX($C67:$AF67,MATCH(BB$2,$C$1:$AF$1,0)))</f>
        <v/>
      </c>
      <c r="BC68" s="1" t="str">
        <f t="shared" ref="BC68:BC131" si="25">IF(INDEX($C67:$AF67,MATCH(BC$2,$C$1:$AF$1,0))="","",INDEX($C67:$AF67,MATCH(BC$2,$C$1:$AF$1,0)))</f>
        <v/>
      </c>
      <c r="BD68" s="1" t="str">
        <f t="shared" ref="BD68:BD131" si="26">IF(INDEX($C67:$AF67,MATCH(BD$2,$C$1:$AF$1,0))="","",INDEX($C67:$AF67,MATCH(BD$2,$C$1:$AF$1,0)))</f>
        <v/>
      </c>
      <c r="BE68" s="1" t="str">
        <f t="shared" ref="BE68:BE131" si="27">IF(INDEX($AH67:$AV67,MATCH(BE$2,$AH$1:$AV$1,0))="","",INDEX($AH67:$AV67,MATCH(BE$2,$AH$1:$AV$1,0)))</f>
        <v/>
      </c>
      <c r="BF68" s="1" t="str">
        <f t="shared" ref="BF68:BF131" si="28">IF(INDEX($AH67:$AV67,MATCH(BF$2,$AH$1:$AV$1,0))="","",INDEX($AH67:$AV67,MATCH(BF$2,$AH$1:$AV$1,0)))</f>
        <v/>
      </c>
      <c r="BG68" s="1" t="str">
        <f t="shared" ref="BG68:BG131" si="29">IF(INDEX($AH67:$AV67,MATCH(BG$2,$AH$1:$AV$1,0))="","",INDEX($AH67:$AV67,MATCH(BG$2,$AH$1:$AV$1,0)))</f>
        <v/>
      </c>
      <c r="BH68" s="1" t="str">
        <f t="shared" ref="BH68:BH131" si="30">IF(INDEX($AH67:$AV67,MATCH(BH$2,$AH$1:$AV$1,0))="","",INDEX($AH67:$AV67,MATCH(BH$2,$AH$1:$AV$1,0)))</f>
        <v/>
      </c>
      <c r="BI68" s="1" t="str">
        <f t="shared" ref="BI68:BI131" si="31">IF(INDEX($AH67:$AV67,MATCH(BI$2,$AH$1:$AV$1,0))="","",INDEX($AH67:$AV67,MATCH(BI$2,$AH$1:$AV$1,0)))</f>
        <v/>
      </c>
      <c r="BJ68" s="1" t="str">
        <f t="shared" ref="BJ68:BJ131" si="32">IF(INDEX($AH67:$AV67,MATCH(BJ$2,$AH$1:$AV$1,0))="","",INDEX($AH67:$AV67,MATCH(BJ$2,$AH$1:$AV$1,0)))</f>
        <v/>
      </c>
      <c r="BK68" s="1" t="str">
        <f t="shared" ref="BK68:BK131" si="33">IF(INDEX($AH67:$AV67,MATCH(BK$2,$AH$1:$AV$1,0))="","",INDEX($AH67:$AV67,MATCH(BK$2,$AH$1:$AV$1,0)))</f>
        <v/>
      </c>
      <c r="BL68" s="1" t="str">
        <f t="shared" ref="BL68:BL131" si="34">IF(INDEX($AH67:$AV67,MATCH(BL$2,$AH$1:$AV$1,0))="","",INDEX($AH67:$AV67,MATCH(BL$2,$AH$1:$AV$1,0)))</f>
        <v/>
      </c>
      <c r="BM68" s="1" t="str">
        <f t="shared" ref="BM68:BM131" si="35">IF(INDEX($AH67:$AV67,MATCH(BM$2,$AH$1:$AV$1,0))="","",INDEX($AH67:$AV67,MATCH(BM$2,$AH$1:$AV$1,0)))</f>
        <v/>
      </c>
      <c r="BN68" s="1" t="str">
        <f t="shared" ref="BN68:BN131" si="36">IF(INDEX($AH67:$AV67,MATCH(BN$2,$AH$1:$AV$1,0))="","",INDEX($AH67:$AV67,MATCH(BN$2,$AH$1:$AV$1,0)))</f>
        <v/>
      </c>
      <c r="BO68" s="1" t="str">
        <f t="shared" ref="BO68:BO131" si="37">IF(INDEX($AH67:$AV67,MATCH(BO$2,$AH$1:$AV$1,0))="","",INDEX($AH67:$AV67,MATCH(BO$2,$AH$1:$AV$1,0)))</f>
        <v>FalconMod</v>
      </c>
      <c r="BP68" s="1" t="str">
        <f t="shared" ref="BP68:BP131" si="38">IF(INDEX($AH67:$AV67,MATCH(BP$2,$AH$1:$AV$1,0))="","",INDEX($AH67:$AV67,MATCH(BP$2,$AH$1:$AV$1,0)))</f>
        <v/>
      </c>
      <c r="BQ68" s="1" t="str">
        <f t="shared" ref="BQ68:BQ131" si="39">IF(INDEX($AH67:$AV67,MATCH(BQ$2,$AH$1:$AV$1,0))="","",INDEX($AH67:$AV67,MATCH(BQ$2,$AH$1:$AV$1,0)))</f>
        <v/>
      </c>
      <c r="BR68" s="1" t="str">
        <f t="shared" ref="BR68:BR131" si="40">IF(INDEX($AH67:$AV67,MATCH(BR$2,$AH$1:$AV$1,0))="","",INDEX($AH67:$AV67,MATCH(BR$2,$AH$1:$AV$1,0)))</f>
        <v/>
      </c>
      <c r="BS68" s="1" t="str">
        <f t="shared" ref="BS68:BS131" si="41">IF(INDEX($AH67:$AV67,MATCH(BS$2,$AH$1:$AV$1,0))="","",INDEX($AH67:$AV67,MATCH(BS$2,$AH$1:$AV$1,0)))</f>
        <v/>
      </c>
    </row>
    <row r="69" spans="3:71" x14ac:dyDescent="0.3">
      <c r="D69" s="9"/>
      <c r="AV69" t="s">
        <v>818</v>
      </c>
      <c r="AZ69" s="1" t="str">
        <f t="shared" si="22"/>
        <v/>
      </c>
      <c r="BA69" s="1" t="str">
        <f t="shared" si="23"/>
        <v/>
      </c>
      <c r="BB69" s="1" t="str">
        <f t="shared" si="24"/>
        <v/>
      </c>
      <c r="BC69" s="1" t="str">
        <f t="shared" si="25"/>
        <v/>
      </c>
      <c r="BD69" s="1" t="str">
        <f t="shared" si="26"/>
        <v/>
      </c>
      <c r="BE69" s="1" t="str">
        <f t="shared" si="27"/>
        <v/>
      </c>
      <c r="BF69" s="1" t="str">
        <f t="shared" si="28"/>
        <v/>
      </c>
      <c r="BG69" s="1" t="str">
        <f t="shared" si="29"/>
        <v/>
      </c>
      <c r="BH69" s="1" t="str">
        <f t="shared" si="30"/>
        <v/>
      </c>
      <c r="BI69" s="1" t="str">
        <f t="shared" si="31"/>
        <v/>
      </c>
      <c r="BJ69" s="1" t="str">
        <f t="shared" si="32"/>
        <v/>
      </c>
      <c r="BK69" s="1" t="str">
        <f t="shared" si="33"/>
        <v/>
      </c>
      <c r="BL69" s="1" t="str">
        <f t="shared" si="34"/>
        <v/>
      </c>
      <c r="BM69" s="1" t="str">
        <f t="shared" si="35"/>
        <v/>
      </c>
      <c r="BN69" s="1" t="str">
        <f t="shared" si="36"/>
        <v/>
      </c>
      <c r="BO69" s="1" t="str">
        <f t="shared" si="37"/>
        <v>FAMAS</v>
      </c>
      <c r="BP69" s="1" t="str">
        <f t="shared" si="38"/>
        <v/>
      </c>
      <c r="BQ69" s="1" t="str">
        <f t="shared" si="39"/>
        <v/>
      </c>
      <c r="BR69" s="1" t="str">
        <f t="shared" si="40"/>
        <v/>
      </c>
      <c r="BS69" s="1" t="str">
        <f t="shared" si="41"/>
        <v/>
      </c>
    </row>
    <row r="70" spans="3:71" x14ac:dyDescent="0.3">
      <c r="D70" s="9"/>
      <c r="AV70" t="s">
        <v>818</v>
      </c>
      <c r="AZ70" s="1" t="str">
        <f t="shared" si="22"/>
        <v/>
      </c>
      <c r="BA70" s="1" t="str">
        <f t="shared" si="23"/>
        <v/>
      </c>
      <c r="BB70" s="1" t="str">
        <f t="shared" si="24"/>
        <v/>
      </c>
      <c r="BC70" s="1" t="str">
        <f t="shared" si="25"/>
        <v/>
      </c>
      <c r="BD70" s="1" t="str">
        <f t="shared" si="26"/>
        <v/>
      </c>
      <c r="BE70" s="1" t="str">
        <f t="shared" si="27"/>
        <v/>
      </c>
      <c r="BF70" s="1" t="str">
        <f t="shared" si="28"/>
        <v/>
      </c>
      <c r="BG70" s="1" t="str">
        <f t="shared" si="29"/>
        <v/>
      </c>
      <c r="BH70" s="1" t="str">
        <f t="shared" si="30"/>
        <v/>
      </c>
      <c r="BI70" s="1" t="str">
        <f t="shared" si="31"/>
        <v/>
      </c>
      <c r="BJ70" s="1" t="str">
        <f t="shared" si="32"/>
        <v/>
      </c>
      <c r="BK70" s="1" t="str">
        <f t="shared" si="33"/>
        <v/>
      </c>
      <c r="BL70" s="1" t="str">
        <f t="shared" si="34"/>
        <v/>
      </c>
      <c r="BM70" s="1" t="str">
        <f t="shared" si="35"/>
        <v/>
      </c>
      <c r="BN70" s="1" t="str">
        <f t="shared" si="36"/>
        <v/>
      </c>
      <c r="BO70" s="1" t="str">
        <f t="shared" si="37"/>
        <v>Fedorov</v>
      </c>
      <c r="BP70" s="1" t="str">
        <f t="shared" si="38"/>
        <v/>
      </c>
      <c r="BQ70" s="1" t="str">
        <f t="shared" si="39"/>
        <v/>
      </c>
      <c r="BR70" s="1" t="str">
        <f t="shared" si="40"/>
        <v/>
      </c>
      <c r="BS70" s="1" t="str">
        <f t="shared" si="41"/>
        <v/>
      </c>
    </row>
    <row r="71" spans="3:71" x14ac:dyDescent="0.3">
      <c r="AV71" t="s">
        <v>125</v>
      </c>
      <c r="AZ71" s="1" t="str">
        <f t="shared" si="22"/>
        <v/>
      </c>
      <c r="BA71" s="1" t="str">
        <f t="shared" si="23"/>
        <v/>
      </c>
      <c r="BB71" s="1" t="str">
        <f t="shared" si="24"/>
        <v/>
      </c>
      <c r="BC71" s="1" t="str">
        <f t="shared" si="25"/>
        <v/>
      </c>
      <c r="BD71" s="1" t="str">
        <f t="shared" si="26"/>
        <v/>
      </c>
      <c r="BE71" s="1" t="str">
        <f t="shared" si="27"/>
        <v/>
      </c>
      <c r="BF71" s="1" t="str">
        <f t="shared" si="28"/>
        <v/>
      </c>
      <c r="BG71" s="1" t="str">
        <f t="shared" si="29"/>
        <v/>
      </c>
      <c r="BH71" s="1" t="str">
        <f t="shared" si="30"/>
        <v/>
      </c>
      <c r="BI71" s="1" t="str">
        <f t="shared" si="31"/>
        <v/>
      </c>
      <c r="BJ71" s="1" t="str">
        <f t="shared" si="32"/>
        <v/>
      </c>
      <c r="BK71" s="1" t="str">
        <f t="shared" si="33"/>
        <v/>
      </c>
      <c r="BL71" s="1" t="str">
        <f t="shared" si="34"/>
        <v/>
      </c>
      <c r="BM71" s="1" t="str">
        <f t="shared" si="35"/>
        <v/>
      </c>
      <c r="BN71" s="1" t="str">
        <f t="shared" si="36"/>
        <v/>
      </c>
      <c r="BO71" s="1" t="str">
        <f t="shared" si="37"/>
        <v>Fedorov</v>
      </c>
      <c r="BP71" s="1" t="str">
        <f t="shared" si="38"/>
        <v/>
      </c>
      <c r="BQ71" s="1" t="str">
        <f t="shared" si="39"/>
        <v/>
      </c>
      <c r="BR71" s="1" t="str">
        <f t="shared" si="40"/>
        <v/>
      </c>
      <c r="BS71" s="1" t="str">
        <f t="shared" si="41"/>
        <v/>
      </c>
    </row>
    <row r="72" spans="3:71" x14ac:dyDescent="0.3">
      <c r="AV72" t="s">
        <v>1628</v>
      </c>
      <c r="AZ72" s="1" t="str">
        <f t="shared" si="22"/>
        <v/>
      </c>
      <c r="BA72" s="1" t="str">
        <f t="shared" si="23"/>
        <v/>
      </c>
      <c r="BB72" s="1" t="str">
        <f t="shared" si="24"/>
        <v/>
      </c>
      <c r="BC72" s="1" t="str">
        <f t="shared" si="25"/>
        <v/>
      </c>
      <c r="BD72" s="1" t="str">
        <f t="shared" si="26"/>
        <v/>
      </c>
      <c r="BE72" s="1" t="str">
        <f t="shared" si="27"/>
        <v/>
      </c>
      <c r="BF72" s="1" t="str">
        <f t="shared" si="28"/>
        <v/>
      </c>
      <c r="BG72" s="1" t="str">
        <f t="shared" si="29"/>
        <v/>
      </c>
      <c r="BH72" s="1" t="str">
        <f t="shared" si="30"/>
        <v/>
      </c>
      <c r="BI72" s="1" t="str">
        <f t="shared" si="31"/>
        <v/>
      </c>
      <c r="BJ72" s="1" t="str">
        <f t="shared" si="32"/>
        <v/>
      </c>
      <c r="BK72" s="1" t="str">
        <f t="shared" si="33"/>
        <v/>
      </c>
      <c r="BL72" s="1" t="str">
        <f t="shared" si="34"/>
        <v/>
      </c>
      <c r="BM72" s="1" t="str">
        <f t="shared" si="35"/>
        <v/>
      </c>
      <c r="BN72" s="1" t="str">
        <f t="shared" si="36"/>
        <v/>
      </c>
      <c r="BO72" s="1" t="str">
        <f t="shared" si="37"/>
        <v>FG42</v>
      </c>
      <c r="BP72" s="1" t="str">
        <f t="shared" si="38"/>
        <v/>
      </c>
      <c r="BQ72" s="1" t="str">
        <f t="shared" si="39"/>
        <v/>
      </c>
      <c r="BR72" s="1" t="str">
        <f t="shared" si="40"/>
        <v/>
      </c>
      <c r="BS72" s="1" t="str">
        <f t="shared" si="41"/>
        <v/>
      </c>
    </row>
    <row r="73" spans="3:71" x14ac:dyDescent="0.3">
      <c r="AV73" t="s">
        <v>1417</v>
      </c>
      <c r="AZ73" s="1" t="str">
        <f t="shared" si="22"/>
        <v/>
      </c>
      <c r="BA73" s="1" t="str">
        <f t="shared" si="23"/>
        <v/>
      </c>
      <c r="BB73" s="1" t="str">
        <f t="shared" si="24"/>
        <v/>
      </c>
      <c r="BC73" s="1" t="str">
        <f t="shared" si="25"/>
        <v/>
      </c>
      <c r="BD73" s="1" t="str">
        <f t="shared" si="26"/>
        <v/>
      </c>
      <c r="BE73" s="1" t="str">
        <f t="shared" si="27"/>
        <v/>
      </c>
      <c r="BF73" s="1" t="str">
        <f t="shared" si="28"/>
        <v/>
      </c>
      <c r="BG73" s="1" t="str">
        <f t="shared" si="29"/>
        <v/>
      </c>
      <c r="BH73" s="1" t="str">
        <f t="shared" si="30"/>
        <v/>
      </c>
      <c r="BI73" s="1" t="str">
        <f t="shared" si="31"/>
        <v/>
      </c>
      <c r="BJ73" s="1" t="str">
        <f t="shared" si="32"/>
        <v/>
      </c>
      <c r="BK73" s="1" t="str">
        <f t="shared" si="33"/>
        <v/>
      </c>
      <c r="BL73" s="1" t="str">
        <f t="shared" si="34"/>
        <v/>
      </c>
      <c r="BM73" s="1" t="str">
        <f t="shared" si="35"/>
        <v/>
      </c>
      <c r="BN73" s="1" t="str">
        <f t="shared" si="36"/>
        <v/>
      </c>
      <c r="BO73" s="1" t="str">
        <f t="shared" si="37"/>
        <v>Fiveseven</v>
      </c>
      <c r="BP73" s="1" t="str">
        <f t="shared" si="38"/>
        <v/>
      </c>
      <c r="BQ73" s="1" t="str">
        <f t="shared" si="39"/>
        <v/>
      </c>
      <c r="BR73" s="1" t="str">
        <f t="shared" si="40"/>
        <v/>
      </c>
      <c r="BS73" s="1" t="str">
        <f t="shared" si="41"/>
        <v/>
      </c>
    </row>
    <row r="74" spans="3:71" x14ac:dyDescent="0.3">
      <c r="AV74" t="s">
        <v>1636</v>
      </c>
      <c r="AZ74" s="1" t="str">
        <f t="shared" si="22"/>
        <v/>
      </c>
      <c r="BA74" s="1" t="str">
        <f t="shared" si="23"/>
        <v/>
      </c>
      <c r="BB74" s="1" t="str">
        <f t="shared" si="24"/>
        <v/>
      </c>
      <c r="BC74" s="1" t="str">
        <f t="shared" si="25"/>
        <v/>
      </c>
      <c r="BD74" s="1" t="str">
        <f t="shared" si="26"/>
        <v/>
      </c>
      <c r="BE74" s="1" t="str">
        <f t="shared" si="27"/>
        <v/>
      </c>
      <c r="BF74" s="1" t="str">
        <f t="shared" si="28"/>
        <v/>
      </c>
      <c r="BG74" s="1" t="str">
        <f t="shared" si="29"/>
        <v/>
      </c>
      <c r="BH74" s="1" t="str">
        <f t="shared" si="30"/>
        <v/>
      </c>
      <c r="BI74" s="1" t="str">
        <f t="shared" si="31"/>
        <v/>
      </c>
      <c r="BJ74" s="1" t="str">
        <f t="shared" si="32"/>
        <v/>
      </c>
      <c r="BK74" s="1" t="str">
        <f t="shared" si="33"/>
        <v/>
      </c>
      <c r="BL74" s="1" t="str">
        <f t="shared" si="34"/>
        <v/>
      </c>
      <c r="BM74" s="1" t="str">
        <f t="shared" si="35"/>
        <v/>
      </c>
      <c r="BN74" s="1" t="str">
        <f t="shared" si="36"/>
        <v/>
      </c>
      <c r="BO74" s="1" t="str">
        <f t="shared" si="37"/>
        <v>FN49Mod</v>
      </c>
      <c r="BP74" s="1" t="str">
        <f t="shared" si="38"/>
        <v/>
      </c>
      <c r="BQ74" s="1" t="str">
        <f t="shared" si="39"/>
        <v/>
      </c>
      <c r="BR74" s="1" t="str">
        <f t="shared" si="40"/>
        <v/>
      </c>
      <c r="BS74" s="1" t="str">
        <f t="shared" si="41"/>
        <v/>
      </c>
    </row>
    <row r="75" spans="3:71" x14ac:dyDescent="0.3">
      <c r="AV75" t="s">
        <v>1447</v>
      </c>
      <c r="AZ75" s="1" t="str">
        <f t="shared" si="22"/>
        <v/>
      </c>
      <c r="BA75" s="1" t="str">
        <f t="shared" si="23"/>
        <v/>
      </c>
      <c r="BB75" s="1" t="str">
        <f t="shared" si="24"/>
        <v/>
      </c>
      <c r="BC75" s="1" t="str">
        <f t="shared" si="25"/>
        <v/>
      </c>
      <c r="BD75" s="1" t="str">
        <f t="shared" si="26"/>
        <v/>
      </c>
      <c r="BE75" s="1" t="str">
        <f t="shared" si="27"/>
        <v/>
      </c>
      <c r="BF75" s="1" t="str">
        <f t="shared" si="28"/>
        <v/>
      </c>
      <c r="BG75" s="1" t="str">
        <f t="shared" si="29"/>
        <v/>
      </c>
      <c r="BH75" s="1" t="str">
        <f t="shared" si="30"/>
        <v/>
      </c>
      <c r="BI75" s="1" t="str">
        <f t="shared" si="31"/>
        <v/>
      </c>
      <c r="BJ75" s="1" t="str">
        <f t="shared" si="32"/>
        <v/>
      </c>
      <c r="BK75" s="1" t="str">
        <f t="shared" si="33"/>
        <v/>
      </c>
      <c r="BL75" s="1" t="str">
        <f t="shared" si="34"/>
        <v/>
      </c>
      <c r="BM75" s="1" t="str">
        <f t="shared" si="35"/>
        <v/>
      </c>
      <c r="BN75" s="1" t="str">
        <f t="shared" si="36"/>
        <v/>
      </c>
      <c r="BO75" s="1" t="str">
        <f t="shared" si="37"/>
        <v>FP6</v>
      </c>
      <c r="BP75" s="1" t="str">
        <f t="shared" si="38"/>
        <v/>
      </c>
      <c r="BQ75" s="1" t="str">
        <f t="shared" si="39"/>
        <v/>
      </c>
      <c r="BR75" s="1" t="str">
        <f t="shared" si="40"/>
        <v/>
      </c>
      <c r="BS75" s="1" t="str">
        <f t="shared" si="41"/>
        <v/>
      </c>
    </row>
    <row r="76" spans="3:71" x14ac:dyDescent="0.3">
      <c r="AV76" t="s">
        <v>75</v>
      </c>
      <c r="AZ76" s="1" t="str">
        <f t="shared" si="22"/>
        <v/>
      </c>
      <c r="BA76" s="1" t="str">
        <f t="shared" si="23"/>
        <v/>
      </c>
      <c r="BB76" s="1" t="str">
        <f t="shared" si="24"/>
        <v/>
      </c>
      <c r="BC76" s="1" t="str">
        <f t="shared" si="25"/>
        <v/>
      </c>
      <c r="BD76" s="1" t="str">
        <f t="shared" si="26"/>
        <v/>
      </c>
      <c r="BE76" s="1" t="str">
        <f t="shared" si="27"/>
        <v/>
      </c>
      <c r="BF76" s="1" t="str">
        <f t="shared" si="28"/>
        <v/>
      </c>
      <c r="BG76" s="1" t="str">
        <f t="shared" si="29"/>
        <v/>
      </c>
      <c r="BH76" s="1" t="str">
        <f t="shared" si="30"/>
        <v/>
      </c>
      <c r="BI76" s="1" t="str">
        <f t="shared" si="31"/>
        <v/>
      </c>
      <c r="BJ76" s="1" t="str">
        <f t="shared" si="32"/>
        <v/>
      </c>
      <c r="BK76" s="1" t="str">
        <f t="shared" si="33"/>
        <v/>
      </c>
      <c r="BL76" s="1" t="str">
        <f t="shared" si="34"/>
        <v/>
      </c>
      <c r="BM76" s="1" t="str">
        <f t="shared" si="35"/>
        <v/>
      </c>
      <c r="BN76" s="1" t="str">
        <f t="shared" si="36"/>
        <v/>
      </c>
      <c r="BO76" s="1" t="str">
        <f t="shared" si="37"/>
        <v>G11Mod</v>
      </c>
      <c r="BP76" s="1" t="str">
        <f t="shared" si="38"/>
        <v/>
      </c>
      <c r="BQ76" s="1" t="str">
        <f t="shared" si="39"/>
        <v/>
      </c>
      <c r="BR76" s="1" t="str">
        <f t="shared" si="40"/>
        <v/>
      </c>
      <c r="BS76" s="1" t="str">
        <f t="shared" si="41"/>
        <v/>
      </c>
    </row>
    <row r="77" spans="3:71" x14ac:dyDescent="0.3">
      <c r="AV77" t="s">
        <v>1748</v>
      </c>
      <c r="AZ77" s="1" t="str">
        <f t="shared" si="22"/>
        <v/>
      </c>
      <c r="BA77" s="1" t="str">
        <f t="shared" si="23"/>
        <v/>
      </c>
      <c r="BB77" s="1" t="str">
        <f t="shared" si="24"/>
        <v/>
      </c>
      <c r="BC77" s="1" t="str">
        <f t="shared" si="25"/>
        <v/>
      </c>
      <c r="BD77" s="1" t="str">
        <f t="shared" si="26"/>
        <v/>
      </c>
      <c r="BE77" s="1" t="str">
        <f t="shared" si="27"/>
        <v/>
      </c>
      <c r="BF77" s="1" t="str">
        <f t="shared" si="28"/>
        <v/>
      </c>
      <c r="BG77" s="1" t="str">
        <f t="shared" si="29"/>
        <v/>
      </c>
      <c r="BH77" s="1" t="str">
        <f t="shared" si="30"/>
        <v/>
      </c>
      <c r="BI77" s="1" t="str">
        <f t="shared" si="31"/>
        <v/>
      </c>
      <c r="BJ77" s="1" t="str">
        <f t="shared" si="32"/>
        <v/>
      </c>
      <c r="BK77" s="1" t="str">
        <f t="shared" si="33"/>
        <v/>
      </c>
      <c r="BL77" s="1" t="str">
        <f t="shared" si="34"/>
        <v/>
      </c>
      <c r="BM77" s="1" t="str">
        <f t="shared" si="35"/>
        <v/>
      </c>
      <c r="BN77" s="1" t="str">
        <f t="shared" si="36"/>
        <v/>
      </c>
      <c r="BO77" s="1" t="str">
        <f t="shared" si="37"/>
        <v>G17</v>
      </c>
      <c r="BP77" s="1" t="str">
        <f t="shared" si="38"/>
        <v/>
      </c>
      <c r="BQ77" s="1" t="str">
        <f t="shared" si="39"/>
        <v/>
      </c>
      <c r="BR77" s="1" t="str">
        <f t="shared" si="40"/>
        <v/>
      </c>
      <c r="BS77" s="1" t="str">
        <f t="shared" si="41"/>
        <v/>
      </c>
    </row>
    <row r="78" spans="3:71" x14ac:dyDescent="0.3">
      <c r="AV78" t="s">
        <v>1429</v>
      </c>
      <c r="AZ78" s="1" t="str">
        <f t="shared" si="22"/>
        <v/>
      </c>
      <c r="BA78" s="1" t="str">
        <f t="shared" si="23"/>
        <v/>
      </c>
      <c r="BB78" s="1" t="str">
        <f t="shared" si="24"/>
        <v/>
      </c>
      <c r="BC78" s="1" t="str">
        <f t="shared" si="25"/>
        <v/>
      </c>
      <c r="BD78" s="1" t="str">
        <f t="shared" si="26"/>
        <v/>
      </c>
      <c r="BE78" s="1" t="str">
        <f t="shared" si="27"/>
        <v/>
      </c>
      <c r="BF78" s="1" t="str">
        <f t="shared" si="28"/>
        <v/>
      </c>
      <c r="BG78" s="1" t="str">
        <f t="shared" si="29"/>
        <v/>
      </c>
      <c r="BH78" s="1" t="str">
        <f t="shared" si="30"/>
        <v/>
      </c>
      <c r="BI78" s="1" t="str">
        <f t="shared" si="31"/>
        <v/>
      </c>
      <c r="BJ78" s="1" t="str">
        <f t="shared" si="32"/>
        <v/>
      </c>
      <c r="BK78" s="1" t="str">
        <f t="shared" si="33"/>
        <v/>
      </c>
      <c r="BL78" s="1" t="str">
        <f t="shared" si="34"/>
        <v/>
      </c>
      <c r="BM78" s="1" t="str">
        <f t="shared" si="35"/>
        <v/>
      </c>
      <c r="BN78" s="1" t="str">
        <f t="shared" si="36"/>
        <v/>
      </c>
      <c r="BO78" s="1" t="str">
        <f t="shared" si="37"/>
        <v>G36CMod</v>
      </c>
      <c r="BP78" s="1" t="str">
        <f t="shared" si="38"/>
        <v/>
      </c>
      <c r="BQ78" s="1" t="str">
        <f t="shared" si="39"/>
        <v/>
      </c>
      <c r="BR78" s="1" t="str">
        <f t="shared" si="40"/>
        <v/>
      </c>
      <c r="BS78" s="1" t="str">
        <f t="shared" si="41"/>
        <v/>
      </c>
    </row>
    <row r="79" spans="3:71" x14ac:dyDescent="0.3">
      <c r="AV79" t="s">
        <v>8698</v>
      </c>
      <c r="AZ79" s="1" t="str">
        <f t="shared" si="22"/>
        <v/>
      </c>
      <c r="BA79" s="1" t="str">
        <f t="shared" si="23"/>
        <v/>
      </c>
      <c r="BB79" s="1" t="str">
        <f t="shared" si="24"/>
        <v/>
      </c>
      <c r="BC79" s="1" t="str">
        <f t="shared" si="25"/>
        <v/>
      </c>
      <c r="BD79" s="1" t="str">
        <f t="shared" si="26"/>
        <v/>
      </c>
      <c r="BE79" s="1" t="str">
        <f t="shared" si="27"/>
        <v/>
      </c>
      <c r="BF79" s="1" t="str">
        <f t="shared" si="28"/>
        <v/>
      </c>
      <c r="BG79" s="1" t="str">
        <f t="shared" si="29"/>
        <v/>
      </c>
      <c r="BH79" s="1" t="str">
        <f t="shared" si="30"/>
        <v/>
      </c>
      <c r="BI79" s="1" t="str">
        <f t="shared" si="31"/>
        <v/>
      </c>
      <c r="BJ79" s="1" t="str">
        <f t="shared" si="32"/>
        <v/>
      </c>
      <c r="BK79" s="1" t="str">
        <f t="shared" si="33"/>
        <v/>
      </c>
      <c r="BL79" s="1" t="str">
        <f t="shared" si="34"/>
        <v/>
      </c>
      <c r="BM79" s="1" t="str">
        <f t="shared" si="35"/>
        <v/>
      </c>
      <c r="BN79" s="1" t="str">
        <f t="shared" si="36"/>
        <v/>
      </c>
      <c r="BO79" s="1" t="str">
        <f t="shared" si="37"/>
        <v>G36Mod</v>
      </c>
      <c r="BP79" s="1" t="str">
        <f t="shared" si="38"/>
        <v/>
      </c>
      <c r="BQ79" s="1" t="str">
        <f t="shared" si="39"/>
        <v/>
      </c>
      <c r="BR79" s="1" t="str">
        <f t="shared" si="40"/>
        <v/>
      </c>
      <c r="BS79" s="1" t="str">
        <f t="shared" si="41"/>
        <v/>
      </c>
    </row>
    <row r="80" spans="3:71" x14ac:dyDescent="0.3">
      <c r="AV80" t="s">
        <v>1427</v>
      </c>
      <c r="AZ80" s="1" t="str">
        <f t="shared" si="22"/>
        <v/>
      </c>
      <c r="BA80" s="1" t="str">
        <f t="shared" si="23"/>
        <v/>
      </c>
      <c r="BB80" s="1" t="str">
        <f t="shared" si="24"/>
        <v/>
      </c>
      <c r="BC80" s="1" t="str">
        <f t="shared" si="25"/>
        <v/>
      </c>
      <c r="BD80" s="1" t="str">
        <f t="shared" si="26"/>
        <v/>
      </c>
      <c r="BE80" s="1" t="str">
        <f t="shared" si="27"/>
        <v/>
      </c>
      <c r="BF80" s="1" t="str">
        <f t="shared" si="28"/>
        <v/>
      </c>
      <c r="BG80" s="1" t="str">
        <f t="shared" si="29"/>
        <v/>
      </c>
      <c r="BH80" s="1" t="str">
        <f t="shared" si="30"/>
        <v/>
      </c>
      <c r="BI80" s="1" t="str">
        <f t="shared" si="31"/>
        <v/>
      </c>
      <c r="BJ80" s="1" t="str">
        <f t="shared" si="32"/>
        <v/>
      </c>
      <c r="BK80" s="1" t="str">
        <f t="shared" si="33"/>
        <v/>
      </c>
      <c r="BL80" s="1" t="str">
        <f t="shared" si="34"/>
        <v/>
      </c>
      <c r="BM80" s="1" t="str">
        <f t="shared" si="35"/>
        <v/>
      </c>
      <c r="BN80" s="1" t="str">
        <f t="shared" si="36"/>
        <v/>
      </c>
      <c r="BO80" s="1" t="str">
        <f t="shared" si="37"/>
        <v>G36ModGZ</v>
      </c>
      <c r="BP80" s="1" t="str">
        <f t="shared" si="38"/>
        <v/>
      </c>
      <c r="BQ80" s="1" t="str">
        <f t="shared" si="39"/>
        <v/>
      </c>
      <c r="BR80" s="1" t="str">
        <f t="shared" si="40"/>
        <v/>
      </c>
      <c r="BS80" s="1" t="str">
        <f t="shared" si="41"/>
        <v/>
      </c>
    </row>
    <row r="81" spans="48:71" x14ac:dyDescent="0.3">
      <c r="AV81" t="s">
        <v>8540</v>
      </c>
      <c r="AZ81" s="1" t="str">
        <f t="shared" si="22"/>
        <v/>
      </c>
      <c r="BA81" s="1" t="str">
        <f t="shared" si="23"/>
        <v/>
      </c>
      <c r="BB81" s="1" t="str">
        <f t="shared" si="24"/>
        <v/>
      </c>
      <c r="BC81" s="1" t="str">
        <f t="shared" si="25"/>
        <v/>
      </c>
      <c r="BD81" s="1" t="str">
        <f t="shared" si="26"/>
        <v/>
      </c>
      <c r="BE81" s="1" t="str">
        <f t="shared" si="27"/>
        <v/>
      </c>
      <c r="BF81" s="1" t="str">
        <f t="shared" si="28"/>
        <v/>
      </c>
      <c r="BG81" s="1" t="str">
        <f t="shared" si="29"/>
        <v/>
      </c>
      <c r="BH81" s="1" t="str">
        <f t="shared" si="30"/>
        <v/>
      </c>
      <c r="BI81" s="1" t="str">
        <f t="shared" si="31"/>
        <v/>
      </c>
      <c r="BJ81" s="1" t="str">
        <f t="shared" si="32"/>
        <v/>
      </c>
      <c r="BK81" s="1" t="str">
        <f t="shared" si="33"/>
        <v/>
      </c>
      <c r="BL81" s="1" t="str">
        <f t="shared" si="34"/>
        <v/>
      </c>
      <c r="BM81" s="1" t="str">
        <f t="shared" si="35"/>
        <v/>
      </c>
      <c r="BN81" s="1" t="str">
        <f t="shared" si="36"/>
        <v/>
      </c>
      <c r="BO81" s="1" t="str">
        <f t="shared" si="37"/>
        <v>G3Mod</v>
      </c>
      <c r="BP81" s="1" t="str">
        <f t="shared" si="38"/>
        <v/>
      </c>
      <c r="BQ81" s="1" t="str">
        <f t="shared" si="39"/>
        <v/>
      </c>
      <c r="BR81" s="1" t="str">
        <f t="shared" si="40"/>
        <v/>
      </c>
      <c r="BS81" s="1" t="str">
        <f t="shared" si="41"/>
        <v/>
      </c>
    </row>
    <row r="82" spans="48:71" x14ac:dyDescent="0.3">
      <c r="AV82" t="s">
        <v>734</v>
      </c>
      <c r="AZ82" s="1" t="str">
        <f t="shared" si="22"/>
        <v/>
      </c>
      <c r="BA82" s="1" t="str">
        <f t="shared" si="23"/>
        <v/>
      </c>
      <c r="BB82" s="1" t="str">
        <f t="shared" si="24"/>
        <v/>
      </c>
      <c r="BC82" s="1" t="str">
        <f t="shared" si="25"/>
        <v/>
      </c>
      <c r="BD82" s="1" t="str">
        <f t="shared" si="26"/>
        <v/>
      </c>
      <c r="BE82" s="1" t="str">
        <f t="shared" si="27"/>
        <v/>
      </c>
      <c r="BF82" s="1" t="str">
        <f t="shared" si="28"/>
        <v/>
      </c>
      <c r="BG82" s="1" t="str">
        <f t="shared" si="29"/>
        <v/>
      </c>
      <c r="BH82" s="1" t="str">
        <f t="shared" si="30"/>
        <v/>
      </c>
      <c r="BI82" s="1" t="str">
        <f t="shared" si="31"/>
        <v/>
      </c>
      <c r="BJ82" s="1" t="str">
        <f t="shared" si="32"/>
        <v/>
      </c>
      <c r="BK82" s="1" t="str">
        <f t="shared" si="33"/>
        <v/>
      </c>
      <c r="BL82" s="1" t="str">
        <f t="shared" si="34"/>
        <v/>
      </c>
      <c r="BM82" s="1" t="str">
        <f t="shared" si="35"/>
        <v/>
      </c>
      <c r="BN82" s="1" t="str">
        <f t="shared" si="36"/>
        <v/>
      </c>
      <c r="BO82" s="1" t="str">
        <f t="shared" si="37"/>
        <v>G3ModGZ</v>
      </c>
      <c r="BP82" s="1" t="str">
        <f t="shared" si="38"/>
        <v/>
      </c>
      <c r="BQ82" s="1" t="str">
        <f t="shared" si="39"/>
        <v/>
      </c>
      <c r="BR82" s="1" t="str">
        <f t="shared" si="40"/>
        <v/>
      </c>
      <c r="BS82" s="1" t="str">
        <f t="shared" si="41"/>
        <v/>
      </c>
    </row>
    <row r="83" spans="48:71" x14ac:dyDescent="0.3">
      <c r="AV83" t="s">
        <v>9070</v>
      </c>
      <c r="AZ83" s="1" t="str">
        <f t="shared" si="22"/>
        <v/>
      </c>
      <c r="BA83" s="1" t="str">
        <f t="shared" si="23"/>
        <v/>
      </c>
      <c r="BB83" s="1" t="str">
        <f t="shared" si="24"/>
        <v/>
      </c>
      <c r="BC83" s="1" t="str">
        <f t="shared" si="25"/>
        <v/>
      </c>
      <c r="BD83" s="1" t="str">
        <f t="shared" si="26"/>
        <v/>
      </c>
      <c r="BE83" s="1" t="str">
        <f t="shared" si="27"/>
        <v/>
      </c>
      <c r="BF83" s="1" t="str">
        <f t="shared" si="28"/>
        <v/>
      </c>
      <c r="BG83" s="1" t="str">
        <f t="shared" si="29"/>
        <v/>
      </c>
      <c r="BH83" s="1" t="str">
        <f t="shared" si="30"/>
        <v/>
      </c>
      <c r="BI83" s="1" t="str">
        <f t="shared" si="31"/>
        <v/>
      </c>
      <c r="BJ83" s="1" t="str">
        <f t="shared" si="32"/>
        <v/>
      </c>
      <c r="BK83" s="1" t="str">
        <f t="shared" si="33"/>
        <v/>
      </c>
      <c r="BL83" s="1" t="str">
        <f t="shared" si="34"/>
        <v/>
      </c>
      <c r="BM83" s="1" t="str">
        <f t="shared" si="35"/>
        <v/>
      </c>
      <c r="BN83" s="1" t="str">
        <f t="shared" si="36"/>
        <v/>
      </c>
      <c r="BO83" s="1" t="str">
        <f t="shared" si="37"/>
        <v>G41</v>
      </c>
      <c r="BP83" s="1" t="str">
        <f t="shared" si="38"/>
        <v/>
      </c>
      <c r="BQ83" s="1" t="str">
        <f t="shared" si="39"/>
        <v/>
      </c>
      <c r="BR83" s="1" t="str">
        <f t="shared" si="40"/>
        <v/>
      </c>
      <c r="BS83" s="1" t="str">
        <f t="shared" si="41"/>
        <v/>
      </c>
    </row>
    <row r="84" spans="48:71" x14ac:dyDescent="0.3">
      <c r="AV84" t="s">
        <v>94</v>
      </c>
      <c r="AZ84" s="1" t="str">
        <f t="shared" si="22"/>
        <v/>
      </c>
      <c r="BA84" s="1" t="str">
        <f t="shared" si="23"/>
        <v/>
      </c>
      <c r="BB84" s="1" t="str">
        <f t="shared" si="24"/>
        <v/>
      </c>
      <c r="BC84" s="1" t="str">
        <f t="shared" si="25"/>
        <v/>
      </c>
      <c r="BD84" s="1" t="str">
        <f t="shared" si="26"/>
        <v/>
      </c>
      <c r="BE84" s="1" t="str">
        <f t="shared" si="27"/>
        <v/>
      </c>
      <c r="BF84" s="1" t="str">
        <f t="shared" si="28"/>
        <v/>
      </c>
      <c r="BG84" s="1" t="str">
        <f t="shared" si="29"/>
        <v/>
      </c>
      <c r="BH84" s="1" t="str">
        <f t="shared" si="30"/>
        <v/>
      </c>
      <c r="BI84" s="1" t="str">
        <f t="shared" si="31"/>
        <v/>
      </c>
      <c r="BJ84" s="1" t="str">
        <f t="shared" si="32"/>
        <v/>
      </c>
      <c r="BK84" s="1" t="str">
        <f t="shared" si="33"/>
        <v/>
      </c>
      <c r="BL84" s="1" t="str">
        <f t="shared" si="34"/>
        <v/>
      </c>
      <c r="BM84" s="1" t="str">
        <f t="shared" si="35"/>
        <v/>
      </c>
      <c r="BN84" s="1" t="str">
        <f t="shared" si="36"/>
        <v/>
      </c>
      <c r="BO84" s="1" t="str">
        <f t="shared" si="37"/>
        <v>G41GZ</v>
      </c>
      <c r="BP84" s="1" t="str">
        <f t="shared" si="38"/>
        <v/>
      </c>
      <c r="BQ84" s="1" t="str">
        <f t="shared" si="39"/>
        <v/>
      </c>
      <c r="BR84" s="1" t="str">
        <f t="shared" si="40"/>
        <v/>
      </c>
      <c r="BS84" s="1" t="str">
        <f t="shared" si="41"/>
        <v/>
      </c>
    </row>
    <row r="85" spans="48:71" x14ac:dyDescent="0.3">
      <c r="AV85" t="s">
        <v>831</v>
      </c>
      <c r="AZ85" s="1" t="str">
        <f t="shared" si="22"/>
        <v/>
      </c>
      <c r="BA85" s="1" t="str">
        <f t="shared" si="23"/>
        <v/>
      </c>
      <c r="BB85" s="1" t="str">
        <f t="shared" si="24"/>
        <v/>
      </c>
      <c r="BC85" s="1" t="str">
        <f t="shared" si="25"/>
        <v/>
      </c>
      <c r="BD85" s="1" t="str">
        <f t="shared" si="26"/>
        <v/>
      </c>
      <c r="BE85" s="1" t="str">
        <f t="shared" si="27"/>
        <v/>
      </c>
      <c r="BF85" s="1" t="str">
        <f t="shared" si="28"/>
        <v/>
      </c>
      <c r="BG85" s="1" t="str">
        <f t="shared" si="29"/>
        <v/>
      </c>
      <c r="BH85" s="1" t="str">
        <f t="shared" si="30"/>
        <v/>
      </c>
      <c r="BI85" s="1" t="str">
        <f t="shared" si="31"/>
        <v/>
      </c>
      <c r="BJ85" s="1" t="str">
        <f t="shared" si="32"/>
        <v/>
      </c>
      <c r="BK85" s="1" t="str">
        <f t="shared" si="33"/>
        <v/>
      </c>
      <c r="BL85" s="1" t="str">
        <f t="shared" si="34"/>
        <v/>
      </c>
      <c r="BM85" s="1" t="str">
        <f t="shared" si="35"/>
        <v/>
      </c>
      <c r="BN85" s="1" t="str">
        <f t="shared" si="36"/>
        <v/>
      </c>
      <c r="BO85" s="1" t="str">
        <f t="shared" si="37"/>
        <v>G43</v>
      </c>
      <c r="BP85" s="1" t="str">
        <f t="shared" si="38"/>
        <v/>
      </c>
      <c r="BQ85" s="1" t="str">
        <f t="shared" si="39"/>
        <v/>
      </c>
      <c r="BR85" s="1" t="str">
        <f t="shared" si="40"/>
        <v/>
      </c>
      <c r="BS85" s="1" t="str">
        <f t="shared" si="41"/>
        <v/>
      </c>
    </row>
    <row r="86" spans="48:71" x14ac:dyDescent="0.3">
      <c r="AV86" t="s">
        <v>804</v>
      </c>
      <c r="AZ86" s="1" t="str">
        <f t="shared" si="22"/>
        <v/>
      </c>
      <c r="BA86" s="1" t="str">
        <f t="shared" si="23"/>
        <v/>
      </c>
      <c r="BB86" s="1" t="str">
        <f t="shared" si="24"/>
        <v/>
      </c>
      <c r="BC86" s="1" t="str">
        <f t="shared" si="25"/>
        <v/>
      </c>
      <c r="BD86" s="1" t="str">
        <f t="shared" si="26"/>
        <v/>
      </c>
      <c r="BE86" s="1" t="str">
        <f t="shared" si="27"/>
        <v/>
      </c>
      <c r="BF86" s="1" t="str">
        <f t="shared" si="28"/>
        <v/>
      </c>
      <c r="BG86" s="1" t="str">
        <f t="shared" si="29"/>
        <v/>
      </c>
      <c r="BH86" s="1" t="str">
        <f t="shared" si="30"/>
        <v/>
      </c>
      <c r="BI86" s="1" t="str">
        <f t="shared" si="31"/>
        <v/>
      </c>
      <c r="BJ86" s="1" t="str">
        <f t="shared" si="32"/>
        <v/>
      </c>
      <c r="BK86" s="1" t="str">
        <f t="shared" si="33"/>
        <v/>
      </c>
      <c r="BL86" s="1" t="str">
        <f t="shared" si="34"/>
        <v/>
      </c>
      <c r="BM86" s="1" t="str">
        <f t="shared" si="35"/>
        <v/>
      </c>
      <c r="BN86" s="1" t="str">
        <f t="shared" si="36"/>
        <v/>
      </c>
      <c r="BO86" s="1" t="str">
        <f t="shared" si="37"/>
        <v>Galil Mod</v>
      </c>
      <c r="BP86" s="1" t="str">
        <f t="shared" si="38"/>
        <v/>
      </c>
      <c r="BQ86" s="1" t="str">
        <f t="shared" si="39"/>
        <v/>
      </c>
      <c r="BR86" s="1" t="str">
        <f t="shared" si="40"/>
        <v/>
      </c>
      <c r="BS86" s="1" t="str">
        <f t="shared" si="41"/>
        <v/>
      </c>
    </row>
    <row r="87" spans="48:71" x14ac:dyDescent="0.3">
      <c r="AV87" t="s">
        <v>1755</v>
      </c>
      <c r="AZ87" s="1" t="str">
        <f t="shared" si="22"/>
        <v/>
      </c>
      <c r="BA87" s="1" t="str">
        <f t="shared" si="23"/>
        <v/>
      </c>
      <c r="BB87" s="1" t="str">
        <f t="shared" si="24"/>
        <v/>
      </c>
      <c r="BC87" s="1" t="str">
        <f t="shared" si="25"/>
        <v/>
      </c>
      <c r="BD87" s="1" t="str">
        <f t="shared" si="26"/>
        <v/>
      </c>
      <c r="BE87" s="1" t="str">
        <f t="shared" si="27"/>
        <v/>
      </c>
      <c r="BF87" s="1" t="str">
        <f t="shared" si="28"/>
        <v/>
      </c>
      <c r="BG87" s="1" t="str">
        <f t="shared" si="29"/>
        <v/>
      </c>
      <c r="BH87" s="1" t="str">
        <f t="shared" si="30"/>
        <v/>
      </c>
      <c r="BI87" s="1" t="str">
        <f t="shared" si="31"/>
        <v/>
      </c>
      <c r="BJ87" s="1" t="str">
        <f t="shared" si="32"/>
        <v/>
      </c>
      <c r="BK87" s="1" t="str">
        <f t="shared" si="33"/>
        <v/>
      </c>
      <c r="BL87" s="1" t="str">
        <f t="shared" si="34"/>
        <v/>
      </c>
      <c r="BM87" s="1" t="str">
        <f t="shared" si="35"/>
        <v/>
      </c>
      <c r="BN87" s="1" t="str">
        <f t="shared" si="36"/>
        <v/>
      </c>
      <c r="BO87" s="1" t="str">
        <f t="shared" si="37"/>
        <v>GeneralLiu</v>
      </c>
      <c r="BP87" s="1" t="str">
        <f t="shared" si="38"/>
        <v/>
      </c>
      <c r="BQ87" s="1" t="str">
        <f t="shared" si="39"/>
        <v/>
      </c>
      <c r="BR87" s="1" t="str">
        <f t="shared" si="40"/>
        <v/>
      </c>
      <c r="BS87" s="1" t="str">
        <f t="shared" si="41"/>
        <v/>
      </c>
    </row>
    <row r="88" spans="48:71" x14ac:dyDescent="0.3">
      <c r="AV88" t="s">
        <v>120</v>
      </c>
      <c r="AZ88" s="1" t="str">
        <f t="shared" si="22"/>
        <v/>
      </c>
      <c r="BA88" s="1" t="str">
        <f t="shared" si="23"/>
        <v/>
      </c>
      <c r="BB88" s="1" t="str">
        <f t="shared" si="24"/>
        <v/>
      </c>
      <c r="BC88" s="1" t="str">
        <f t="shared" si="25"/>
        <v/>
      </c>
      <c r="BD88" s="1" t="str">
        <f t="shared" si="26"/>
        <v/>
      </c>
      <c r="BE88" s="1" t="str">
        <f t="shared" si="27"/>
        <v/>
      </c>
      <c r="BF88" s="1" t="str">
        <f t="shared" si="28"/>
        <v/>
      </c>
      <c r="BG88" s="1" t="str">
        <f t="shared" si="29"/>
        <v/>
      </c>
      <c r="BH88" s="1" t="str">
        <f t="shared" si="30"/>
        <v/>
      </c>
      <c r="BI88" s="1" t="str">
        <f t="shared" si="31"/>
        <v/>
      </c>
      <c r="BJ88" s="1" t="str">
        <f t="shared" si="32"/>
        <v/>
      </c>
      <c r="BK88" s="1" t="str">
        <f t="shared" si="33"/>
        <v/>
      </c>
      <c r="BL88" s="1" t="str">
        <f t="shared" si="34"/>
        <v/>
      </c>
      <c r="BM88" s="1" t="str">
        <f t="shared" si="35"/>
        <v/>
      </c>
      <c r="BN88" s="1" t="str">
        <f t="shared" si="36"/>
        <v/>
      </c>
      <c r="BO88" s="1" t="str">
        <f t="shared" si="37"/>
        <v>Gepard M1Mod</v>
      </c>
      <c r="BP88" s="1" t="str">
        <f t="shared" si="38"/>
        <v/>
      </c>
      <c r="BQ88" s="1" t="str">
        <f t="shared" si="39"/>
        <v/>
      </c>
      <c r="BR88" s="1" t="str">
        <f t="shared" si="40"/>
        <v/>
      </c>
      <c r="BS88" s="1" t="str">
        <f t="shared" si="41"/>
        <v/>
      </c>
    </row>
    <row r="89" spans="48:71" x14ac:dyDescent="0.3">
      <c r="AV89" t="s">
        <v>1685</v>
      </c>
      <c r="AZ89" s="1" t="str">
        <f t="shared" si="22"/>
        <v/>
      </c>
      <c r="BA89" s="1" t="str">
        <f t="shared" si="23"/>
        <v/>
      </c>
      <c r="BB89" s="1" t="str">
        <f t="shared" si="24"/>
        <v/>
      </c>
      <c r="BC89" s="1" t="str">
        <f t="shared" si="25"/>
        <v/>
      </c>
      <c r="BD89" s="1" t="str">
        <f t="shared" si="26"/>
        <v/>
      </c>
      <c r="BE89" s="1" t="str">
        <f t="shared" si="27"/>
        <v/>
      </c>
      <c r="BF89" s="1" t="str">
        <f t="shared" si="28"/>
        <v/>
      </c>
      <c r="BG89" s="1" t="str">
        <f t="shared" si="29"/>
        <v/>
      </c>
      <c r="BH89" s="1" t="str">
        <f t="shared" si="30"/>
        <v/>
      </c>
      <c r="BI89" s="1" t="str">
        <f t="shared" si="31"/>
        <v/>
      </c>
      <c r="BJ89" s="1" t="str">
        <f t="shared" si="32"/>
        <v/>
      </c>
      <c r="BK89" s="1" t="str">
        <f t="shared" si="33"/>
        <v/>
      </c>
      <c r="BL89" s="1" t="str">
        <f t="shared" si="34"/>
        <v/>
      </c>
      <c r="BM89" s="1" t="str">
        <f t="shared" si="35"/>
        <v/>
      </c>
      <c r="BN89" s="1" t="str">
        <f t="shared" si="36"/>
        <v/>
      </c>
      <c r="BO89" s="1" t="str">
        <f t="shared" si="37"/>
        <v>Grizzly</v>
      </c>
      <c r="BP89" s="1" t="str">
        <f t="shared" si="38"/>
        <v/>
      </c>
      <c r="BQ89" s="1" t="str">
        <f t="shared" si="39"/>
        <v/>
      </c>
      <c r="BR89" s="1" t="str">
        <f t="shared" si="40"/>
        <v/>
      </c>
      <c r="BS89" s="1" t="str">
        <f t="shared" si="41"/>
        <v/>
      </c>
    </row>
    <row r="90" spans="48:71" x14ac:dyDescent="0.3">
      <c r="AV90" t="s">
        <v>9167</v>
      </c>
      <c r="AZ90" s="1" t="str">
        <f t="shared" si="22"/>
        <v/>
      </c>
      <c r="BA90" s="1" t="str">
        <f t="shared" si="23"/>
        <v/>
      </c>
      <c r="BB90" s="1" t="str">
        <f t="shared" si="24"/>
        <v/>
      </c>
      <c r="BC90" s="1" t="str">
        <f t="shared" si="25"/>
        <v/>
      </c>
      <c r="BD90" s="1" t="str">
        <f t="shared" si="26"/>
        <v/>
      </c>
      <c r="BE90" s="1" t="str">
        <f t="shared" si="27"/>
        <v/>
      </c>
      <c r="BF90" s="1" t="str">
        <f t="shared" si="28"/>
        <v/>
      </c>
      <c r="BG90" s="1" t="str">
        <f t="shared" si="29"/>
        <v/>
      </c>
      <c r="BH90" s="1" t="str">
        <f t="shared" si="30"/>
        <v/>
      </c>
      <c r="BI90" s="1" t="str">
        <f t="shared" si="31"/>
        <v/>
      </c>
      <c r="BJ90" s="1" t="str">
        <f t="shared" si="32"/>
        <v/>
      </c>
      <c r="BK90" s="1" t="str">
        <f t="shared" si="33"/>
        <v/>
      </c>
      <c r="BL90" s="1" t="str">
        <f t="shared" si="34"/>
        <v/>
      </c>
      <c r="BM90" s="1" t="str">
        <f t="shared" si="35"/>
        <v/>
      </c>
      <c r="BN90" s="1" t="str">
        <f t="shared" si="36"/>
        <v/>
      </c>
      <c r="BO90" s="1" t="str">
        <f t="shared" si="37"/>
        <v>GSh18Mod</v>
      </c>
      <c r="BP90" s="1" t="str">
        <f t="shared" si="38"/>
        <v/>
      </c>
      <c r="BQ90" s="1" t="str">
        <f t="shared" si="39"/>
        <v/>
      </c>
      <c r="BR90" s="1" t="str">
        <f t="shared" si="40"/>
        <v/>
      </c>
      <c r="BS90" s="1" t="str">
        <f t="shared" si="41"/>
        <v/>
      </c>
    </row>
    <row r="91" spans="48:71" x14ac:dyDescent="0.3">
      <c r="AV91" t="s">
        <v>247</v>
      </c>
      <c r="AZ91" s="1" t="str">
        <f t="shared" si="22"/>
        <v/>
      </c>
      <c r="BA91" s="1" t="str">
        <f t="shared" si="23"/>
        <v/>
      </c>
      <c r="BB91" s="1" t="str">
        <f t="shared" si="24"/>
        <v/>
      </c>
      <c r="BC91" s="1" t="str">
        <f t="shared" si="25"/>
        <v/>
      </c>
      <c r="BD91" s="1" t="str">
        <f t="shared" si="26"/>
        <v/>
      </c>
      <c r="BE91" s="1" t="str">
        <f t="shared" si="27"/>
        <v/>
      </c>
      <c r="BF91" s="1" t="str">
        <f t="shared" si="28"/>
        <v/>
      </c>
      <c r="BG91" s="1" t="str">
        <f t="shared" si="29"/>
        <v/>
      </c>
      <c r="BH91" s="1" t="str">
        <f t="shared" si="30"/>
        <v/>
      </c>
      <c r="BI91" s="1" t="str">
        <f t="shared" si="31"/>
        <v/>
      </c>
      <c r="BJ91" s="1" t="str">
        <f t="shared" si="32"/>
        <v/>
      </c>
      <c r="BK91" s="1" t="str">
        <f t="shared" si="33"/>
        <v/>
      </c>
      <c r="BL91" s="1" t="str">
        <f t="shared" si="34"/>
        <v/>
      </c>
      <c r="BM91" s="1" t="str">
        <f t="shared" si="35"/>
        <v/>
      </c>
      <c r="BN91" s="1" t="str">
        <f t="shared" si="36"/>
        <v/>
      </c>
      <c r="BO91" s="1" t="str">
        <f t="shared" si="37"/>
        <v>Hecate</v>
      </c>
      <c r="BP91" s="1" t="str">
        <f t="shared" si="38"/>
        <v/>
      </c>
      <c r="BQ91" s="1" t="str">
        <f t="shared" si="39"/>
        <v/>
      </c>
      <c r="BR91" s="1" t="str">
        <f t="shared" si="40"/>
        <v/>
      </c>
      <c r="BS91" s="1" t="str">
        <f t="shared" si="41"/>
        <v/>
      </c>
    </row>
    <row r="92" spans="48:71" x14ac:dyDescent="0.3">
      <c r="AV92" t="s">
        <v>206</v>
      </c>
      <c r="AZ92" s="1" t="str">
        <f t="shared" si="22"/>
        <v/>
      </c>
      <c r="BA92" s="1" t="str">
        <f t="shared" si="23"/>
        <v/>
      </c>
      <c r="BB92" s="1" t="str">
        <f t="shared" si="24"/>
        <v/>
      </c>
      <c r="BC92" s="1" t="str">
        <f t="shared" si="25"/>
        <v/>
      </c>
      <c r="BD92" s="1" t="str">
        <f t="shared" si="26"/>
        <v/>
      </c>
      <c r="BE92" s="1" t="str">
        <f t="shared" si="27"/>
        <v/>
      </c>
      <c r="BF92" s="1" t="str">
        <f t="shared" si="28"/>
        <v/>
      </c>
      <c r="BG92" s="1" t="str">
        <f t="shared" si="29"/>
        <v/>
      </c>
      <c r="BH92" s="1" t="str">
        <f t="shared" si="30"/>
        <v/>
      </c>
      <c r="BI92" s="1" t="str">
        <f t="shared" si="31"/>
        <v/>
      </c>
      <c r="BJ92" s="1" t="str">
        <f t="shared" si="32"/>
        <v/>
      </c>
      <c r="BK92" s="1" t="str">
        <f t="shared" si="33"/>
        <v/>
      </c>
      <c r="BL92" s="1" t="str">
        <f t="shared" si="34"/>
        <v/>
      </c>
      <c r="BM92" s="1" t="str">
        <f t="shared" si="35"/>
        <v/>
      </c>
      <c r="BN92" s="1" t="str">
        <f t="shared" si="36"/>
        <v/>
      </c>
      <c r="BO92" s="1" t="str">
        <f t="shared" si="37"/>
        <v>Henrietta</v>
      </c>
      <c r="BP92" s="1" t="str">
        <f t="shared" si="38"/>
        <v/>
      </c>
      <c r="BQ92" s="1" t="str">
        <f t="shared" si="39"/>
        <v/>
      </c>
      <c r="BR92" s="1" t="str">
        <f t="shared" si="40"/>
        <v/>
      </c>
      <c r="BS92" s="1" t="str">
        <f t="shared" si="41"/>
        <v/>
      </c>
    </row>
    <row r="93" spans="48:71" x14ac:dyDescent="0.3">
      <c r="AV93" t="s">
        <v>223</v>
      </c>
      <c r="AZ93" s="1" t="str">
        <f t="shared" si="22"/>
        <v/>
      </c>
      <c r="BA93" s="1" t="str">
        <f t="shared" si="23"/>
        <v/>
      </c>
      <c r="BB93" s="1" t="str">
        <f t="shared" si="24"/>
        <v/>
      </c>
      <c r="BC93" s="1" t="str">
        <f t="shared" si="25"/>
        <v/>
      </c>
      <c r="BD93" s="1" t="str">
        <f t="shared" si="26"/>
        <v/>
      </c>
      <c r="BE93" s="1" t="str">
        <f t="shared" si="27"/>
        <v/>
      </c>
      <c r="BF93" s="1" t="str">
        <f t="shared" si="28"/>
        <v/>
      </c>
      <c r="BG93" s="1" t="str">
        <f t="shared" si="29"/>
        <v/>
      </c>
      <c r="BH93" s="1" t="str">
        <f t="shared" si="30"/>
        <v/>
      </c>
      <c r="BI93" s="1" t="str">
        <f t="shared" si="31"/>
        <v/>
      </c>
      <c r="BJ93" s="1" t="str">
        <f t="shared" si="32"/>
        <v/>
      </c>
      <c r="BK93" s="1" t="str">
        <f t="shared" si="33"/>
        <v/>
      </c>
      <c r="BL93" s="1" t="str">
        <f t="shared" si="34"/>
        <v/>
      </c>
      <c r="BM93" s="1" t="str">
        <f t="shared" si="35"/>
        <v/>
      </c>
      <c r="BN93" s="1" t="str">
        <f t="shared" si="36"/>
        <v/>
      </c>
      <c r="BO93" s="1" t="str">
        <f t="shared" si="37"/>
        <v>HK33</v>
      </c>
      <c r="BP93" s="1" t="str">
        <f t="shared" si="38"/>
        <v/>
      </c>
      <c r="BQ93" s="1" t="str">
        <f t="shared" si="39"/>
        <v/>
      </c>
      <c r="BR93" s="1" t="str">
        <f t="shared" si="40"/>
        <v/>
      </c>
      <c r="BS93" s="1" t="str">
        <f t="shared" si="41"/>
        <v/>
      </c>
    </row>
    <row r="94" spans="48:71" x14ac:dyDescent="0.3">
      <c r="AV94" t="s">
        <v>258</v>
      </c>
      <c r="AZ94" s="1" t="str">
        <f t="shared" si="22"/>
        <v/>
      </c>
      <c r="BA94" s="1" t="str">
        <f t="shared" si="23"/>
        <v/>
      </c>
      <c r="BB94" s="1" t="str">
        <f t="shared" si="24"/>
        <v/>
      </c>
      <c r="BC94" s="1" t="str">
        <f t="shared" si="25"/>
        <v/>
      </c>
      <c r="BD94" s="1" t="str">
        <f t="shared" si="26"/>
        <v/>
      </c>
      <c r="BE94" s="1" t="str">
        <f t="shared" si="27"/>
        <v/>
      </c>
      <c r="BF94" s="1" t="str">
        <f t="shared" si="28"/>
        <v/>
      </c>
      <c r="BG94" s="1" t="str">
        <f t="shared" si="29"/>
        <v/>
      </c>
      <c r="BH94" s="1" t="str">
        <f t="shared" si="30"/>
        <v/>
      </c>
      <c r="BI94" s="1" t="str">
        <f t="shared" si="31"/>
        <v/>
      </c>
      <c r="BJ94" s="1" t="str">
        <f t="shared" si="32"/>
        <v/>
      </c>
      <c r="BK94" s="1" t="str">
        <f t="shared" si="33"/>
        <v/>
      </c>
      <c r="BL94" s="1" t="str">
        <f t="shared" si="34"/>
        <v/>
      </c>
      <c r="BM94" s="1" t="str">
        <f t="shared" si="35"/>
        <v/>
      </c>
      <c r="BN94" s="1" t="str">
        <f t="shared" si="36"/>
        <v/>
      </c>
      <c r="BO94" s="1" t="str">
        <f t="shared" si="37"/>
        <v>HK416</v>
      </c>
      <c r="BP94" s="1" t="str">
        <f t="shared" si="38"/>
        <v/>
      </c>
      <c r="BQ94" s="1" t="str">
        <f t="shared" si="39"/>
        <v/>
      </c>
      <c r="BR94" s="1" t="str">
        <f t="shared" si="40"/>
        <v/>
      </c>
      <c r="BS94" s="1" t="str">
        <f t="shared" si="41"/>
        <v/>
      </c>
    </row>
    <row r="95" spans="48:71" x14ac:dyDescent="0.3">
      <c r="AV95" t="s">
        <v>8114</v>
      </c>
      <c r="AZ95" s="1" t="str">
        <f t="shared" si="22"/>
        <v/>
      </c>
      <c r="BA95" s="1" t="str">
        <f t="shared" si="23"/>
        <v/>
      </c>
      <c r="BB95" s="1" t="str">
        <f t="shared" si="24"/>
        <v/>
      </c>
      <c r="BC95" s="1" t="str">
        <f t="shared" si="25"/>
        <v/>
      </c>
      <c r="BD95" s="1" t="str">
        <f t="shared" si="26"/>
        <v/>
      </c>
      <c r="BE95" s="1" t="str">
        <f t="shared" si="27"/>
        <v/>
      </c>
      <c r="BF95" s="1" t="str">
        <f t="shared" si="28"/>
        <v/>
      </c>
      <c r="BG95" s="1" t="str">
        <f t="shared" si="29"/>
        <v/>
      </c>
      <c r="BH95" s="1" t="str">
        <f t="shared" si="30"/>
        <v/>
      </c>
      <c r="BI95" s="1" t="str">
        <f t="shared" si="31"/>
        <v/>
      </c>
      <c r="BJ95" s="1" t="str">
        <f t="shared" si="32"/>
        <v/>
      </c>
      <c r="BK95" s="1" t="str">
        <f t="shared" si="33"/>
        <v/>
      </c>
      <c r="BL95" s="1" t="str">
        <f t="shared" si="34"/>
        <v/>
      </c>
      <c r="BM95" s="1" t="str">
        <f t="shared" si="35"/>
        <v/>
      </c>
      <c r="BN95" s="1" t="str">
        <f t="shared" si="36"/>
        <v/>
      </c>
      <c r="BO95" s="1" t="str">
        <f t="shared" si="37"/>
        <v>HK416Mod</v>
      </c>
      <c r="BP95" s="1" t="str">
        <f t="shared" si="38"/>
        <v/>
      </c>
      <c r="BQ95" s="1" t="str">
        <f t="shared" si="39"/>
        <v/>
      </c>
      <c r="BR95" s="1" t="str">
        <f t="shared" si="40"/>
        <v/>
      </c>
      <c r="BS95" s="1" t="str">
        <f t="shared" si="41"/>
        <v/>
      </c>
    </row>
    <row r="96" spans="48:71" x14ac:dyDescent="0.3">
      <c r="AV96" t="s">
        <v>1719</v>
      </c>
      <c r="AZ96" s="1" t="str">
        <f t="shared" si="22"/>
        <v/>
      </c>
      <c r="BA96" s="1" t="str">
        <f t="shared" si="23"/>
        <v/>
      </c>
      <c r="BB96" s="1" t="str">
        <f t="shared" si="24"/>
        <v/>
      </c>
      <c r="BC96" s="1" t="str">
        <f t="shared" si="25"/>
        <v/>
      </c>
      <c r="BD96" s="1" t="str">
        <f t="shared" si="26"/>
        <v/>
      </c>
      <c r="BE96" s="1" t="str">
        <f t="shared" si="27"/>
        <v/>
      </c>
      <c r="BF96" s="1" t="str">
        <f t="shared" si="28"/>
        <v/>
      </c>
      <c r="BG96" s="1" t="str">
        <f t="shared" si="29"/>
        <v/>
      </c>
      <c r="BH96" s="1" t="str">
        <f t="shared" si="30"/>
        <v/>
      </c>
      <c r="BI96" s="1" t="str">
        <f t="shared" si="31"/>
        <v/>
      </c>
      <c r="BJ96" s="1" t="str">
        <f t="shared" si="32"/>
        <v/>
      </c>
      <c r="BK96" s="1" t="str">
        <f t="shared" si="33"/>
        <v/>
      </c>
      <c r="BL96" s="1" t="str">
        <f t="shared" si="34"/>
        <v/>
      </c>
      <c r="BM96" s="1" t="str">
        <f t="shared" si="35"/>
        <v/>
      </c>
      <c r="BN96" s="1" t="str">
        <f t="shared" si="36"/>
        <v/>
      </c>
      <c r="BO96" s="1" t="str">
        <f t="shared" si="37"/>
        <v>HK416ModGZ</v>
      </c>
      <c r="BP96" s="1" t="str">
        <f t="shared" si="38"/>
        <v/>
      </c>
      <c r="BQ96" s="1" t="str">
        <f t="shared" si="39"/>
        <v/>
      </c>
      <c r="BR96" s="1" t="str">
        <f t="shared" si="40"/>
        <v/>
      </c>
      <c r="BS96" s="1" t="str">
        <f t="shared" si="41"/>
        <v/>
      </c>
    </row>
    <row r="97" spans="48:71" x14ac:dyDescent="0.3">
      <c r="AV97" t="s">
        <v>200</v>
      </c>
      <c r="AZ97" s="1" t="str">
        <f t="shared" si="22"/>
        <v/>
      </c>
      <c r="BA97" s="1" t="str">
        <f t="shared" si="23"/>
        <v/>
      </c>
      <c r="BB97" s="1" t="str">
        <f t="shared" si="24"/>
        <v/>
      </c>
      <c r="BC97" s="1" t="str">
        <f t="shared" si="25"/>
        <v/>
      </c>
      <c r="BD97" s="1" t="str">
        <f t="shared" si="26"/>
        <v/>
      </c>
      <c r="BE97" s="1" t="str">
        <f t="shared" si="27"/>
        <v/>
      </c>
      <c r="BF97" s="1" t="str">
        <f t="shared" si="28"/>
        <v/>
      </c>
      <c r="BG97" s="1" t="str">
        <f t="shared" si="29"/>
        <v/>
      </c>
      <c r="BH97" s="1" t="str">
        <f t="shared" si="30"/>
        <v/>
      </c>
      <c r="BI97" s="1" t="str">
        <f t="shared" si="31"/>
        <v/>
      </c>
      <c r="BJ97" s="1" t="str">
        <f t="shared" si="32"/>
        <v/>
      </c>
      <c r="BK97" s="1" t="str">
        <f t="shared" si="33"/>
        <v/>
      </c>
      <c r="BL97" s="1" t="str">
        <f t="shared" si="34"/>
        <v/>
      </c>
      <c r="BM97" s="1" t="str">
        <f t="shared" si="35"/>
        <v/>
      </c>
      <c r="BN97" s="1" t="str">
        <f t="shared" si="36"/>
        <v/>
      </c>
      <c r="BO97" s="1" t="str">
        <f t="shared" si="37"/>
        <v>Honey Badger</v>
      </c>
      <c r="BP97" s="1" t="str">
        <f t="shared" si="38"/>
        <v/>
      </c>
      <c r="BQ97" s="1" t="str">
        <f t="shared" si="39"/>
        <v/>
      </c>
      <c r="BR97" s="1" t="str">
        <f t="shared" si="40"/>
        <v/>
      </c>
      <c r="BS97" s="1" t="str">
        <f t="shared" si="41"/>
        <v/>
      </c>
    </row>
    <row r="98" spans="48:71" x14ac:dyDescent="0.3">
      <c r="AV98" t="s">
        <v>1731</v>
      </c>
      <c r="AZ98" s="1" t="str">
        <f t="shared" si="22"/>
        <v/>
      </c>
      <c r="BA98" s="1" t="str">
        <f t="shared" si="23"/>
        <v/>
      </c>
      <c r="BB98" s="1" t="str">
        <f t="shared" si="24"/>
        <v/>
      </c>
      <c r="BC98" s="1" t="str">
        <f t="shared" si="25"/>
        <v/>
      </c>
      <c r="BD98" s="1" t="str">
        <f t="shared" si="26"/>
        <v/>
      </c>
      <c r="BE98" s="1" t="str">
        <f t="shared" si="27"/>
        <v/>
      </c>
      <c r="BF98" s="1" t="str">
        <f t="shared" si="28"/>
        <v/>
      </c>
      <c r="BG98" s="1" t="str">
        <f t="shared" si="29"/>
        <v/>
      </c>
      <c r="BH98" s="1" t="str">
        <f t="shared" si="30"/>
        <v/>
      </c>
      <c r="BI98" s="1" t="str">
        <f t="shared" si="31"/>
        <v/>
      </c>
      <c r="BJ98" s="1" t="str">
        <f t="shared" si="32"/>
        <v/>
      </c>
      <c r="BK98" s="1" t="str">
        <f t="shared" si="33"/>
        <v/>
      </c>
      <c r="BL98" s="1" t="str">
        <f t="shared" si="34"/>
        <v/>
      </c>
      <c r="BM98" s="1" t="str">
        <f t="shared" si="35"/>
        <v/>
      </c>
      <c r="BN98" s="1" t="str">
        <f t="shared" si="36"/>
        <v/>
      </c>
      <c r="BO98" s="1" t="str">
        <f t="shared" si="37"/>
        <v>HS2000</v>
      </c>
      <c r="BP98" s="1" t="str">
        <f t="shared" si="38"/>
        <v/>
      </c>
      <c r="BQ98" s="1" t="str">
        <f t="shared" si="39"/>
        <v/>
      </c>
      <c r="BR98" s="1" t="str">
        <f t="shared" si="40"/>
        <v/>
      </c>
      <c r="BS98" s="1" t="str">
        <f t="shared" si="41"/>
        <v/>
      </c>
    </row>
    <row r="99" spans="48:71" x14ac:dyDescent="0.3">
      <c r="AV99" t="s">
        <v>261</v>
      </c>
      <c r="AZ99" s="1" t="str">
        <f t="shared" si="22"/>
        <v/>
      </c>
      <c r="BA99" s="1" t="str">
        <f t="shared" si="23"/>
        <v/>
      </c>
      <c r="BB99" s="1" t="str">
        <f t="shared" si="24"/>
        <v/>
      </c>
      <c r="BC99" s="1" t="str">
        <f t="shared" si="25"/>
        <v/>
      </c>
      <c r="BD99" s="1" t="str">
        <f t="shared" si="26"/>
        <v/>
      </c>
      <c r="BE99" s="1" t="str">
        <f t="shared" si="27"/>
        <v/>
      </c>
      <c r="BF99" s="1" t="str">
        <f t="shared" si="28"/>
        <v/>
      </c>
      <c r="BG99" s="1" t="str">
        <f t="shared" si="29"/>
        <v/>
      </c>
      <c r="BH99" s="1" t="str">
        <f t="shared" si="30"/>
        <v/>
      </c>
      <c r="BI99" s="1" t="str">
        <f t="shared" si="31"/>
        <v/>
      </c>
      <c r="BJ99" s="1" t="str">
        <f t="shared" si="32"/>
        <v/>
      </c>
      <c r="BK99" s="1" t="str">
        <f t="shared" si="33"/>
        <v/>
      </c>
      <c r="BL99" s="1" t="str">
        <f t="shared" si="34"/>
        <v/>
      </c>
      <c r="BM99" s="1" t="str">
        <f t="shared" si="35"/>
        <v/>
      </c>
      <c r="BN99" s="1" t="str">
        <f t="shared" si="36"/>
        <v/>
      </c>
      <c r="BO99" s="1" t="str">
        <f t="shared" si="37"/>
        <v>HS50</v>
      </c>
      <c r="BP99" s="1" t="str">
        <f t="shared" si="38"/>
        <v/>
      </c>
      <c r="BQ99" s="1" t="str">
        <f t="shared" si="39"/>
        <v/>
      </c>
      <c r="BR99" s="1" t="str">
        <f t="shared" si="40"/>
        <v/>
      </c>
      <c r="BS99" s="1" t="str">
        <f t="shared" si="41"/>
        <v/>
      </c>
    </row>
    <row r="100" spans="48:71" x14ac:dyDescent="0.3">
      <c r="AV100" t="s">
        <v>9219</v>
      </c>
      <c r="AZ100" s="1" t="str">
        <f t="shared" si="22"/>
        <v/>
      </c>
      <c r="BA100" s="1" t="str">
        <f t="shared" si="23"/>
        <v/>
      </c>
      <c r="BB100" s="1" t="str">
        <f t="shared" si="24"/>
        <v/>
      </c>
      <c r="BC100" s="1" t="str">
        <f t="shared" si="25"/>
        <v/>
      </c>
      <c r="BD100" s="1" t="str">
        <f t="shared" si="26"/>
        <v/>
      </c>
      <c r="BE100" s="1" t="str">
        <f t="shared" si="27"/>
        <v/>
      </c>
      <c r="BF100" s="1" t="str">
        <f t="shared" si="28"/>
        <v/>
      </c>
      <c r="BG100" s="1" t="str">
        <f t="shared" si="29"/>
        <v/>
      </c>
      <c r="BH100" s="1" t="str">
        <f t="shared" si="30"/>
        <v/>
      </c>
      <c r="BI100" s="1" t="str">
        <f t="shared" si="31"/>
        <v/>
      </c>
      <c r="BJ100" s="1" t="str">
        <f t="shared" si="32"/>
        <v/>
      </c>
      <c r="BK100" s="1" t="str">
        <f t="shared" si="33"/>
        <v/>
      </c>
      <c r="BL100" s="1" t="str">
        <f t="shared" si="34"/>
        <v/>
      </c>
      <c r="BM100" s="1" t="str">
        <f t="shared" si="35"/>
        <v/>
      </c>
      <c r="BN100" s="1" t="str">
        <f t="shared" si="36"/>
        <v/>
      </c>
      <c r="BO100" s="1" t="str">
        <f t="shared" si="37"/>
        <v>IDWMod</v>
      </c>
      <c r="BP100" s="1" t="str">
        <f t="shared" si="38"/>
        <v/>
      </c>
      <c r="BQ100" s="1" t="str">
        <f t="shared" si="39"/>
        <v/>
      </c>
      <c r="BR100" s="1" t="str">
        <f t="shared" si="40"/>
        <v/>
      </c>
      <c r="BS100" s="1" t="str">
        <f t="shared" si="41"/>
        <v/>
      </c>
    </row>
    <row r="101" spans="48:71" x14ac:dyDescent="0.3">
      <c r="AV101" t="s">
        <v>78</v>
      </c>
      <c r="AZ101" s="1" t="str">
        <f t="shared" si="22"/>
        <v/>
      </c>
      <c r="BA101" s="1" t="str">
        <f t="shared" si="23"/>
        <v/>
      </c>
      <c r="BB101" s="1" t="str">
        <f t="shared" si="24"/>
        <v/>
      </c>
      <c r="BC101" s="1" t="str">
        <f t="shared" si="25"/>
        <v/>
      </c>
      <c r="BD101" s="1" t="str">
        <f t="shared" si="26"/>
        <v/>
      </c>
      <c r="BE101" s="1" t="str">
        <f t="shared" si="27"/>
        <v/>
      </c>
      <c r="BF101" s="1" t="str">
        <f t="shared" si="28"/>
        <v/>
      </c>
      <c r="BG101" s="1" t="str">
        <f t="shared" si="29"/>
        <v/>
      </c>
      <c r="BH101" s="1" t="str">
        <f t="shared" si="30"/>
        <v/>
      </c>
      <c r="BI101" s="1" t="str">
        <f t="shared" si="31"/>
        <v/>
      </c>
      <c r="BJ101" s="1" t="str">
        <f t="shared" si="32"/>
        <v/>
      </c>
      <c r="BK101" s="1" t="str">
        <f t="shared" si="33"/>
        <v/>
      </c>
      <c r="BL101" s="1" t="str">
        <f t="shared" si="34"/>
        <v/>
      </c>
      <c r="BM101" s="1" t="str">
        <f t="shared" si="35"/>
        <v/>
      </c>
      <c r="BN101" s="1" t="str">
        <f t="shared" si="36"/>
        <v/>
      </c>
      <c r="BO101" s="1" t="str">
        <f t="shared" si="37"/>
        <v>IDWModGZ</v>
      </c>
      <c r="BP101" s="1" t="str">
        <f t="shared" si="38"/>
        <v/>
      </c>
      <c r="BQ101" s="1" t="str">
        <f t="shared" si="39"/>
        <v/>
      </c>
      <c r="BR101" s="1" t="str">
        <f t="shared" si="40"/>
        <v/>
      </c>
      <c r="BS101" s="1" t="str">
        <f t="shared" si="41"/>
        <v/>
      </c>
    </row>
    <row r="102" spans="48:71" x14ac:dyDescent="0.3">
      <c r="AV102" t="s">
        <v>1691</v>
      </c>
      <c r="AZ102" s="1" t="str">
        <f t="shared" si="22"/>
        <v/>
      </c>
      <c r="BA102" s="1" t="str">
        <f t="shared" si="23"/>
        <v/>
      </c>
      <c r="BB102" s="1" t="str">
        <f t="shared" si="24"/>
        <v/>
      </c>
      <c r="BC102" s="1" t="str">
        <f t="shared" si="25"/>
        <v/>
      </c>
      <c r="BD102" s="1" t="str">
        <f t="shared" si="26"/>
        <v/>
      </c>
      <c r="BE102" s="1" t="str">
        <f t="shared" si="27"/>
        <v/>
      </c>
      <c r="BF102" s="1" t="str">
        <f t="shared" si="28"/>
        <v/>
      </c>
      <c r="BG102" s="1" t="str">
        <f t="shared" si="29"/>
        <v/>
      </c>
      <c r="BH102" s="1" t="str">
        <f t="shared" si="30"/>
        <v/>
      </c>
      <c r="BI102" s="1" t="str">
        <f t="shared" si="31"/>
        <v/>
      </c>
      <c r="BJ102" s="1" t="str">
        <f t="shared" si="32"/>
        <v/>
      </c>
      <c r="BK102" s="1" t="str">
        <f t="shared" si="33"/>
        <v/>
      </c>
      <c r="BL102" s="1" t="str">
        <f t="shared" si="34"/>
        <v/>
      </c>
      <c r="BM102" s="1" t="str">
        <f t="shared" si="35"/>
        <v/>
      </c>
      <c r="BN102" s="1" t="str">
        <f t="shared" si="36"/>
        <v/>
      </c>
      <c r="BO102" s="1" t="str">
        <f t="shared" si="37"/>
        <v>Ingram</v>
      </c>
      <c r="BP102" s="1" t="str">
        <f t="shared" si="38"/>
        <v/>
      </c>
      <c r="BQ102" s="1" t="str">
        <f t="shared" si="39"/>
        <v/>
      </c>
      <c r="BR102" s="1" t="str">
        <f t="shared" si="40"/>
        <v/>
      </c>
      <c r="BS102" s="1" t="str">
        <f t="shared" si="41"/>
        <v/>
      </c>
    </row>
    <row r="103" spans="48:71" x14ac:dyDescent="0.3">
      <c r="AV103" t="s">
        <v>192</v>
      </c>
      <c r="AZ103" s="1" t="str">
        <f t="shared" si="22"/>
        <v/>
      </c>
      <c r="BA103" s="1" t="str">
        <f t="shared" si="23"/>
        <v/>
      </c>
      <c r="BB103" s="1" t="str">
        <f t="shared" si="24"/>
        <v/>
      </c>
      <c r="BC103" s="1" t="str">
        <f t="shared" si="25"/>
        <v/>
      </c>
      <c r="BD103" s="1" t="str">
        <f t="shared" si="26"/>
        <v/>
      </c>
      <c r="BE103" s="1" t="str">
        <f t="shared" si="27"/>
        <v/>
      </c>
      <c r="BF103" s="1" t="str">
        <f t="shared" si="28"/>
        <v/>
      </c>
      <c r="BG103" s="1" t="str">
        <f t="shared" si="29"/>
        <v/>
      </c>
      <c r="BH103" s="1" t="str">
        <f t="shared" si="30"/>
        <v/>
      </c>
      <c r="BI103" s="1" t="str">
        <f t="shared" si="31"/>
        <v/>
      </c>
      <c r="BJ103" s="1" t="str">
        <f t="shared" si="32"/>
        <v/>
      </c>
      <c r="BK103" s="1" t="str">
        <f t="shared" si="33"/>
        <v/>
      </c>
      <c r="BL103" s="1" t="str">
        <f t="shared" si="34"/>
        <v/>
      </c>
      <c r="BM103" s="1" t="str">
        <f t="shared" si="35"/>
        <v/>
      </c>
      <c r="BN103" s="1" t="str">
        <f t="shared" si="36"/>
        <v/>
      </c>
      <c r="BO103" s="1" t="str">
        <f t="shared" si="37"/>
        <v>Jashin</v>
      </c>
      <c r="BP103" s="1" t="str">
        <f t="shared" si="38"/>
        <v/>
      </c>
      <c r="BQ103" s="1" t="str">
        <f t="shared" si="39"/>
        <v/>
      </c>
      <c r="BR103" s="1" t="str">
        <f t="shared" si="40"/>
        <v/>
      </c>
      <c r="BS103" s="1" t="str">
        <f t="shared" si="41"/>
        <v/>
      </c>
    </row>
    <row r="104" spans="48:71" x14ac:dyDescent="0.3">
      <c r="AV104" t="s">
        <v>755</v>
      </c>
      <c r="AZ104" s="1" t="str">
        <f t="shared" si="22"/>
        <v/>
      </c>
      <c r="BA104" s="1" t="str">
        <f t="shared" si="23"/>
        <v/>
      </c>
      <c r="BB104" s="1" t="str">
        <f t="shared" si="24"/>
        <v/>
      </c>
      <c r="BC104" s="1" t="str">
        <f t="shared" si="25"/>
        <v/>
      </c>
      <c r="BD104" s="1" t="str">
        <f t="shared" si="26"/>
        <v/>
      </c>
      <c r="BE104" s="1" t="str">
        <f t="shared" si="27"/>
        <v/>
      </c>
      <c r="BF104" s="1" t="str">
        <f t="shared" si="28"/>
        <v/>
      </c>
      <c r="BG104" s="1" t="str">
        <f t="shared" si="29"/>
        <v/>
      </c>
      <c r="BH104" s="1" t="str">
        <f t="shared" si="30"/>
        <v/>
      </c>
      <c r="BI104" s="1" t="str">
        <f t="shared" si="31"/>
        <v/>
      </c>
      <c r="BJ104" s="1" t="str">
        <f t="shared" si="32"/>
        <v/>
      </c>
      <c r="BK104" s="1" t="str">
        <f t="shared" si="33"/>
        <v/>
      </c>
      <c r="BL104" s="1" t="str">
        <f t="shared" si="34"/>
        <v/>
      </c>
      <c r="BM104" s="1" t="str">
        <f t="shared" si="35"/>
        <v/>
      </c>
      <c r="BN104" s="1" t="str">
        <f t="shared" si="36"/>
        <v/>
      </c>
      <c r="BO104" s="1" t="str">
        <f t="shared" si="37"/>
        <v>Jericho</v>
      </c>
      <c r="BP104" s="1" t="str">
        <f t="shared" si="38"/>
        <v/>
      </c>
      <c r="BQ104" s="1" t="str">
        <f t="shared" si="39"/>
        <v/>
      </c>
      <c r="BR104" s="1" t="str">
        <f t="shared" si="40"/>
        <v/>
      </c>
      <c r="BS104" s="1" t="str">
        <f t="shared" si="41"/>
        <v/>
      </c>
    </row>
    <row r="105" spans="48:71" x14ac:dyDescent="0.3">
      <c r="AV105" t="s">
        <v>758</v>
      </c>
      <c r="AZ105" s="1" t="str">
        <f t="shared" si="22"/>
        <v/>
      </c>
      <c r="BA105" s="1" t="str">
        <f t="shared" si="23"/>
        <v/>
      </c>
      <c r="BB105" s="1" t="str">
        <f t="shared" si="24"/>
        <v/>
      </c>
      <c r="BC105" s="1" t="str">
        <f t="shared" si="25"/>
        <v/>
      </c>
      <c r="BD105" s="1" t="str">
        <f t="shared" si="26"/>
        <v/>
      </c>
      <c r="BE105" s="1" t="str">
        <f t="shared" si="27"/>
        <v/>
      </c>
      <c r="BF105" s="1" t="str">
        <f t="shared" si="28"/>
        <v/>
      </c>
      <c r="BG105" s="1" t="str">
        <f t="shared" si="29"/>
        <v/>
      </c>
      <c r="BH105" s="1" t="str">
        <f t="shared" si="30"/>
        <v/>
      </c>
      <c r="BI105" s="1" t="str">
        <f t="shared" si="31"/>
        <v/>
      </c>
      <c r="BJ105" s="1" t="str">
        <f t="shared" si="32"/>
        <v/>
      </c>
      <c r="BK105" s="1" t="str">
        <f t="shared" si="33"/>
        <v/>
      </c>
      <c r="BL105" s="1" t="str">
        <f t="shared" si="34"/>
        <v/>
      </c>
      <c r="BM105" s="1" t="str">
        <f t="shared" si="35"/>
        <v/>
      </c>
      <c r="BN105" s="1" t="str">
        <f t="shared" si="36"/>
        <v/>
      </c>
      <c r="BO105" s="1" t="str">
        <f t="shared" si="37"/>
        <v>JillAdelhyde1</v>
      </c>
      <c r="BP105" s="1" t="str">
        <f t="shared" si="38"/>
        <v/>
      </c>
      <c r="BQ105" s="1" t="str">
        <f t="shared" si="39"/>
        <v/>
      </c>
      <c r="BR105" s="1" t="str">
        <f t="shared" si="40"/>
        <v/>
      </c>
      <c r="BS105" s="1" t="str">
        <f t="shared" si="41"/>
        <v/>
      </c>
    </row>
    <row r="106" spans="48:71" x14ac:dyDescent="0.3">
      <c r="AV106" t="s">
        <v>759</v>
      </c>
      <c r="AZ106" s="1" t="str">
        <f t="shared" si="22"/>
        <v/>
      </c>
      <c r="BA106" s="1" t="str">
        <f t="shared" si="23"/>
        <v/>
      </c>
      <c r="BB106" s="1" t="str">
        <f t="shared" si="24"/>
        <v/>
      </c>
      <c r="BC106" s="1" t="str">
        <f t="shared" si="25"/>
        <v/>
      </c>
      <c r="BD106" s="1" t="str">
        <f t="shared" si="26"/>
        <v/>
      </c>
      <c r="BE106" s="1" t="str">
        <f t="shared" si="27"/>
        <v/>
      </c>
      <c r="BF106" s="1" t="str">
        <f t="shared" si="28"/>
        <v/>
      </c>
      <c r="BG106" s="1" t="str">
        <f t="shared" si="29"/>
        <v/>
      </c>
      <c r="BH106" s="1" t="str">
        <f t="shared" si="30"/>
        <v/>
      </c>
      <c r="BI106" s="1" t="str">
        <f t="shared" si="31"/>
        <v/>
      </c>
      <c r="BJ106" s="1" t="str">
        <f t="shared" si="32"/>
        <v/>
      </c>
      <c r="BK106" s="1" t="str">
        <f t="shared" si="33"/>
        <v/>
      </c>
      <c r="BL106" s="1" t="str">
        <f t="shared" si="34"/>
        <v/>
      </c>
      <c r="BM106" s="1" t="str">
        <f t="shared" si="35"/>
        <v/>
      </c>
      <c r="BN106" s="1" t="str">
        <f t="shared" si="36"/>
        <v/>
      </c>
      <c r="BO106" s="1" t="str">
        <f t="shared" si="37"/>
        <v>JillAdelhyde2</v>
      </c>
      <c r="BP106" s="1" t="str">
        <f t="shared" si="38"/>
        <v/>
      </c>
      <c r="BQ106" s="1" t="str">
        <f t="shared" si="39"/>
        <v/>
      </c>
      <c r="BR106" s="1" t="str">
        <f t="shared" si="40"/>
        <v/>
      </c>
      <c r="BS106" s="1" t="str">
        <f t="shared" si="41"/>
        <v/>
      </c>
    </row>
    <row r="107" spans="48:71" x14ac:dyDescent="0.3">
      <c r="AV107" t="s">
        <v>756</v>
      </c>
      <c r="AZ107" s="1" t="str">
        <f t="shared" si="22"/>
        <v/>
      </c>
      <c r="BA107" s="1" t="str">
        <f t="shared" si="23"/>
        <v/>
      </c>
      <c r="BB107" s="1" t="str">
        <f t="shared" si="24"/>
        <v/>
      </c>
      <c r="BC107" s="1" t="str">
        <f t="shared" si="25"/>
        <v/>
      </c>
      <c r="BD107" s="1" t="str">
        <f t="shared" si="26"/>
        <v/>
      </c>
      <c r="BE107" s="1" t="str">
        <f t="shared" si="27"/>
        <v/>
      </c>
      <c r="BF107" s="1" t="str">
        <f t="shared" si="28"/>
        <v/>
      </c>
      <c r="BG107" s="1" t="str">
        <f t="shared" si="29"/>
        <v/>
      </c>
      <c r="BH107" s="1" t="str">
        <f t="shared" si="30"/>
        <v/>
      </c>
      <c r="BI107" s="1" t="str">
        <f t="shared" si="31"/>
        <v/>
      </c>
      <c r="BJ107" s="1" t="str">
        <f t="shared" si="32"/>
        <v/>
      </c>
      <c r="BK107" s="1" t="str">
        <f t="shared" si="33"/>
        <v/>
      </c>
      <c r="BL107" s="1" t="str">
        <f t="shared" si="34"/>
        <v/>
      </c>
      <c r="BM107" s="1" t="str">
        <f t="shared" si="35"/>
        <v/>
      </c>
      <c r="BN107" s="1" t="str">
        <f t="shared" si="36"/>
        <v/>
      </c>
      <c r="BO107" s="1" t="str">
        <f t="shared" si="37"/>
        <v>JillBronsonExtract</v>
      </c>
      <c r="BP107" s="1" t="str">
        <f t="shared" si="38"/>
        <v/>
      </c>
      <c r="BQ107" s="1" t="str">
        <f t="shared" si="39"/>
        <v/>
      </c>
      <c r="BR107" s="1" t="str">
        <f t="shared" si="40"/>
        <v/>
      </c>
      <c r="BS107" s="1" t="str">
        <f t="shared" si="41"/>
        <v/>
      </c>
    </row>
    <row r="108" spans="48:71" x14ac:dyDescent="0.3">
      <c r="AV108" t="s">
        <v>754</v>
      </c>
      <c r="AZ108" s="1" t="str">
        <f t="shared" si="22"/>
        <v/>
      </c>
      <c r="BA108" s="1" t="str">
        <f t="shared" si="23"/>
        <v/>
      </c>
      <c r="BB108" s="1" t="str">
        <f t="shared" si="24"/>
        <v/>
      </c>
      <c r="BC108" s="1" t="str">
        <f t="shared" si="25"/>
        <v/>
      </c>
      <c r="BD108" s="1" t="str">
        <f t="shared" si="26"/>
        <v/>
      </c>
      <c r="BE108" s="1" t="str">
        <f t="shared" si="27"/>
        <v/>
      </c>
      <c r="BF108" s="1" t="str">
        <f t="shared" si="28"/>
        <v/>
      </c>
      <c r="BG108" s="1" t="str">
        <f t="shared" si="29"/>
        <v/>
      </c>
      <c r="BH108" s="1" t="str">
        <f t="shared" si="30"/>
        <v/>
      </c>
      <c r="BI108" s="1" t="str">
        <f t="shared" si="31"/>
        <v/>
      </c>
      <c r="BJ108" s="1" t="str">
        <f t="shared" si="32"/>
        <v/>
      </c>
      <c r="BK108" s="1" t="str">
        <f t="shared" si="33"/>
        <v/>
      </c>
      <c r="BL108" s="1" t="str">
        <f t="shared" si="34"/>
        <v/>
      </c>
      <c r="BM108" s="1" t="str">
        <f t="shared" si="35"/>
        <v/>
      </c>
      <c r="BN108" s="1" t="str">
        <f t="shared" si="36"/>
        <v/>
      </c>
      <c r="BO108" s="1" t="str">
        <f t="shared" si="37"/>
        <v>JillFlanergide</v>
      </c>
      <c r="BP108" s="1" t="str">
        <f t="shared" si="38"/>
        <v/>
      </c>
      <c r="BQ108" s="1" t="str">
        <f t="shared" si="39"/>
        <v/>
      </c>
      <c r="BR108" s="1" t="str">
        <f t="shared" si="40"/>
        <v/>
      </c>
      <c r="BS108" s="1" t="str">
        <f t="shared" si="41"/>
        <v/>
      </c>
    </row>
    <row r="109" spans="48:71" x14ac:dyDescent="0.3">
      <c r="AV109" t="s">
        <v>757</v>
      </c>
      <c r="AZ109" s="1" t="str">
        <f t="shared" si="22"/>
        <v/>
      </c>
      <c r="BA109" s="1" t="str">
        <f t="shared" si="23"/>
        <v/>
      </c>
      <c r="BB109" s="1" t="str">
        <f t="shared" si="24"/>
        <v/>
      </c>
      <c r="BC109" s="1" t="str">
        <f t="shared" si="25"/>
        <v/>
      </c>
      <c r="BD109" s="1" t="str">
        <f t="shared" si="26"/>
        <v/>
      </c>
      <c r="BE109" s="1" t="str">
        <f t="shared" si="27"/>
        <v/>
      </c>
      <c r="BF109" s="1" t="str">
        <f t="shared" si="28"/>
        <v/>
      </c>
      <c r="BG109" s="1" t="str">
        <f t="shared" si="29"/>
        <v/>
      </c>
      <c r="BH109" s="1" t="str">
        <f t="shared" si="30"/>
        <v/>
      </c>
      <c r="BI109" s="1" t="str">
        <f t="shared" si="31"/>
        <v/>
      </c>
      <c r="BJ109" s="1" t="str">
        <f t="shared" si="32"/>
        <v/>
      </c>
      <c r="BK109" s="1" t="str">
        <f t="shared" si="33"/>
        <v/>
      </c>
      <c r="BL109" s="1" t="str">
        <f t="shared" si="34"/>
        <v/>
      </c>
      <c r="BM109" s="1" t="str">
        <f t="shared" si="35"/>
        <v/>
      </c>
      <c r="BN109" s="1" t="str">
        <f t="shared" si="36"/>
        <v/>
      </c>
      <c r="BO109" s="1" t="str">
        <f t="shared" si="37"/>
        <v>JillKarmotrine1</v>
      </c>
      <c r="BP109" s="1" t="str">
        <f t="shared" si="38"/>
        <v/>
      </c>
      <c r="BQ109" s="1" t="str">
        <f t="shared" si="39"/>
        <v/>
      </c>
      <c r="BR109" s="1" t="str">
        <f t="shared" si="40"/>
        <v/>
      </c>
      <c r="BS109" s="1" t="str">
        <f t="shared" si="41"/>
        <v/>
      </c>
    </row>
    <row r="110" spans="48:71" x14ac:dyDescent="0.3">
      <c r="AV110" t="s">
        <v>760</v>
      </c>
      <c r="AZ110" s="1" t="str">
        <f t="shared" si="22"/>
        <v/>
      </c>
      <c r="BA110" s="1" t="str">
        <f t="shared" si="23"/>
        <v/>
      </c>
      <c r="BB110" s="1" t="str">
        <f t="shared" si="24"/>
        <v/>
      </c>
      <c r="BC110" s="1" t="str">
        <f t="shared" si="25"/>
        <v/>
      </c>
      <c r="BD110" s="1" t="str">
        <f t="shared" si="26"/>
        <v/>
      </c>
      <c r="BE110" s="1" t="str">
        <f t="shared" si="27"/>
        <v/>
      </c>
      <c r="BF110" s="1" t="str">
        <f t="shared" si="28"/>
        <v/>
      </c>
      <c r="BG110" s="1" t="str">
        <f t="shared" si="29"/>
        <v/>
      </c>
      <c r="BH110" s="1" t="str">
        <f t="shared" si="30"/>
        <v/>
      </c>
      <c r="BI110" s="1" t="str">
        <f t="shared" si="31"/>
        <v/>
      </c>
      <c r="BJ110" s="1" t="str">
        <f t="shared" si="32"/>
        <v/>
      </c>
      <c r="BK110" s="1" t="str">
        <f t="shared" si="33"/>
        <v/>
      </c>
      <c r="BL110" s="1" t="str">
        <f t="shared" si="34"/>
        <v/>
      </c>
      <c r="BM110" s="1" t="str">
        <f t="shared" si="35"/>
        <v/>
      </c>
      <c r="BN110" s="1" t="str">
        <f t="shared" si="36"/>
        <v/>
      </c>
      <c r="BO110" s="1" t="str">
        <f t="shared" si="37"/>
        <v>JillKarmotrine2</v>
      </c>
      <c r="BP110" s="1" t="str">
        <f t="shared" si="38"/>
        <v/>
      </c>
      <c r="BQ110" s="1" t="str">
        <f t="shared" si="39"/>
        <v/>
      </c>
      <c r="BR110" s="1" t="str">
        <f t="shared" si="40"/>
        <v/>
      </c>
      <c r="BS110" s="1" t="str">
        <f t="shared" si="41"/>
        <v/>
      </c>
    </row>
    <row r="111" spans="48:71" x14ac:dyDescent="0.3">
      <c r="AV111" t="s">
        <v>841</v>
      </c>
      <c r="AZ111" s="1" t="str">
        <f t="shared" si="22"/>
        <v/>
      </c>
      <c r="BA111" s="1" t="str">
        <f t="shared" si="23"/>
        <v/>
      </c>
      <c r="BB111" s="1" t="str">
        <f t="shared" si="24"/>
        <v/>
      </c>
      <c r="BC111" s="1" t="str">
        <f t="shared" si="25"/>
        <v/>
      </c>
      <c r="BD111" s="1" t="str">
        <f t="shared" si="26"/>
        <v/>
      </c>
      <c r="BE111" s="1" t="str">
        <f t="shared" si="27"/>
        <v/>
      </c>
      <c r="BF111" s="1" t="str">
        <f t="shared" si="28"/>
        <v/>
      </c>
      <c r="BG111" s="1" t="str">
        <f t="shared" si="29"/>
        <v/>
      </c>
      <c r="BH111" s="1" t="str">
        <f t="shared" si="30"/>
        <v/>
      </c>
      <c r="BI111" s="1" t="str">
        <f t="shared" si="31"/>
        <v/>
      </c>
      <c r="BJ111" s="1" t="str">
        <f t="shared" si="32"/>
        <v/>
      </c>
      <c r="BK111" s="1" t="str">
        <f t="shared" si="33"/>
        <v/>
      </c>
      <c r="BL111" s="1" t="str">
        <f t="shared" si="34"/>
        <v/>
      </c>
      <c r="BM111" s="1" t="str">
        <f t="shared" si="35"/>
        <v/>
      </c>
      <c r="BN111" s="1" t="str">
        <f t="shared" si="36"/>
        <v/>
      </c>
      <c r="BO111" s="1" t="str">
        <f t="shared" si="37"/>
        <v>JillKarmotrine3</v>
      </c>
      <c r="BP111" s="1" t="str">
        <f t="shared" si="38"/>
        <v/>
      </c>
      <c r="BQ111" s="1" t="str">
        <f t="shared" si="39"/>
        <v/>
      </c>
      <c r="BR111" s="1" t="str">
        <f t="shared" si="40"/>
        <v/>
      </c>
      <c r="BS111" s="1" t="str">
        <f t="shared" si="41"/>
        <v/>
      </c>
    </row>
    <row r="112" spans="48:71" x14ac:dyDescent="0.3">
      <c r="AV112" t="s">
        <v>7004</v>
      </c>
      <c r="AZ112" s="1" t="str">
        <f t="shared" si="22"/>
        <v/>
      </c>
      <c r="BA112" s="1" t="str">
        <f t="shared" si="23"/>
        <v/>
      </c>
      <c r="BB112" s="1" t="str">
        <f t="shared" si="24"/>
        <v/>
      </c>
      <c r="BC112" s="1" t="str">
        <f t="shared" si="25"/>
        <v/>
      </c>
      <c r="BD112" s="1" t="str">
        <f t="shared" si="26"/>
        <v/>
      </c>
      <c r="BE112" s="1" t="str">
        <f t="shared" si="27"/>
        <v/>
      </c>
      <c r="BF112" s="1" t="str">
        <f t="shared" si="28"/>
        <v/>
      </c>
      <c r="BG112" s="1" t="str">
        <f t="shared" si="29"/>
        <v/>
      </c>
      <c r="BH112" s="1" t="str">
        <f t="shared" si="30"/>
        <v/>
      </c>
      <c r="BI112" s="1" t="str">
        <f t="shared" si="31"/>
        <v/>
      </c>
      <c r="BJ112" s="1" t="str">
        <f t="shared" si="32"/>
        <v/>
      </c>
      <c r="BK112" s="1" t="str">
        <f t="shared" si="33"/>
        <v/>
      </c>
      <c r="BL112" s="1" t="str">
        <f t="shared" si="34"/>
        <v/>
      </c>
      <c r="BM112" s="1" t="str">
        <f t="shared" si="35"/>
        <v/>
      </c>
      <c r="BN112" s="1" t="str">
        <f t="shared" si="36"/>
        <v/>
      </c>
      <c r="BO112" s="1" t="str">
        <f t="shared" si="37"/>
        <v>JillPowderedDelta</v>
      </c>
      <c r="BP112" s="1" t="str">
        <f t="shared" si="38"/>
        <v/>
      </c>
      <c r="BQ112" s="1" t="str">
        <f t="shared" si="39"/>
        <v/>
      </c>
      <c r="BR112" s="1" t="str">
        <f t="shared" si="40"/>
        <v/>
      </c>
      <c r="BS112" s="1" t="str">
        <f t="shared" si="41"/>
        <v/>
      </c>
    </row>
    <row r="113" spans="48:71" x14ac:dyDescent="0.3">
      <c r="AV113" t="s">
        <v>188</v>
      </c>
      <c r="AZ113" s="1" t="str">
        <f t="shared" si="22"/>
        <v/>
      </c>
      <c r="BA113" s="1" t="str">
        <f t="shared" si="23"/>
        <v/>
      </c>
      <c r="BB113" s="1" t="str">
        <f t="shared" si="24"/>
        <v/>
      </c>
      <c r="BC113" s="1" t="str">
        <f t="shared" si="25"/>
        <v/>
      </c>
      <c r="BD113" s="1" t="str">
        <f t="shared" si="26"/>
        <v/>
      </c>
      <c r="BE113" s="1" t="str">
        <f t="shared" si="27"/>
        <v/>
      </c>
      <c r="BF113" s="1" t="str">
        <f t="shared" si="28"/>
        <v/>
      </c>
      <c r="BG113" s="1" t="str">
        <f t="shared" si="29"/>
        <v/>
      </c>
      <c r="BH113" s="1" t="str">
        <f t="shared" si="30"/>
        <v/>
      </c>
      <c r="BI113" s="1" t="str">
        <f t="shared" si="31"/>
        <v/>
      </c>
      <c r="BJ113" s="1" t="str">
        <f t="shared" si="32"/>
        <v/>
      </c>
      <c r="BK113" s="1" t="str">
        <f t="shared" si="33"/>
        <v/>
      </c>
      <c r="BL113" s="1" t="str">
        <f t="shared" si="34"/>
        <v/>
      </c>
      <c r="BM113" s="1" t="str">
        <f t="shared" si="35"/>
        <v/>
      </c>
      <c r="BN113" s="1" t="str">
        <f t="shared" si="36"/>
        <v/>
      </c>
      <c r="BO113" s="1" t="str">
        <f t="shared" si="37"/>
        <v>Junko</v>
      </c>
      <c r="BP113" s="1" t="str">
        <f t="shared" si="38"/>
        <v/>
      </c>
      <c r="BQ113" s="1" t="str">
        <f t="shared" si="39"/>
        <v/>
      </c>
      <c r="BR113" s="1" t="str">
        <f t="shared" si="40"/>
        <v/>
      </c>
      <c r="BS113" s="1" t="str">
        <f t="shared" si="41"/>
        <v/>
      </c>
    </row>
    <row r="114" spans="48:71" x14ac:dyDescent="0.3">
      <c r="AV114" t="s">
        <v>168</v>
      </c>
      <c r="AZ114" s="1" t="str">
        <f t="shared" si="22"/>
        <v/>
      </c>
      <c r="BA114" s="1" t="str">
        <f t="shared" si="23"/>
        <v/>
      </c>
      <c r="BB114" s="1" t="str">
        <f t="shared" si="24"/>
        <v/>
      </c>
      <c r="BC114" s="1" t="str">
        <f t="shared" si="25"/>
        <v/>
      </c>
      <c r="BD114" s="1" t="str">
        <f t="shared" si="26"/>
        <v/>
      </c>
      <c r="BE114" s="1" t="str">
        <f t="shared" si="27"/>
        <v/>
      </c>
      <c r="BF114" s="1" t="str">
        <f t="shared" si="28"/>
        <v/>
      </c>
      <c r="BG114" s="1" t="str">
        <f t="shared" si="29"/>
        <v/>
      </c>
      <c r="BH114" s="1" t="str">
        <f t="shared" si="30"/>
        <v/>
      </c>
      <c r="BI114" s="1" t="str">
        <f t="shared" si="31"/>
        <v/>
      </c>
      <c r="BJ114" s="1" t="str">
        <f t="shared" si="32"/>
        <v/>
      </c>
      <c r="BK114" s="1" t="str">
        <f t="shared" si="33"/>
        <v/>
      </c>
      <c r="BL114" s="1" t="str">
        <f t="shared" si="34"/>
        <v/>
      </c>
      <c r="BM114" s="1" t="str">
        <f t="shared" si="35"/>
        <v/>
      </c>
      <c r="BN114" s="1" t="str">
        <f t="shared" si="36"/>
        <v/>
      </c>
      <c r="BO114" s="1" t="str">
        <f t="shared" si="37"/>
        <v>K11</v>
      </c>
      <c r="BP114" s="1" t="str">
        <f t="shared" si="38"/>
        <v/>
      </c>
      <c r="BQ114" s="1" t="str">
        <f t="shared" si="39"/>
        <v/>
      </c>
      <c r="BR114" s="1" t="str">
        <f t="shared" si="40"/>
        <v/>
      </c>
      <c r="BS114" s="1" t="str">
        <f t="shared" si="41"/>
        <v/>
      </c>
    </row>
    <row r="115" spans="48:71" x14ac:dyDescent="0.3">
      <c r="AV115" t="s">
        <v>191</v>
      </c>
      <c r="AZ115" s="1" t="str">
        <f t="shared" si="22"/>
        <v/>
      </c>
      <c r="BA115" s="1" t="str">
        <f t="shared" si="23"/>
        <v/>
      </c>
      <c r="BB115" s="1" t="str">
        <f t="shared" si="24"/>
        <v/>
      </c>
      <c r="BC115" s="1" t="str">
        <f t="shared" si="25"/>
        <v/>
      </c>
      <c r="BD115" s="1" t="str">
        <f t="shared" si="26"/>
        <v/>
      </c>
      <c r="BE115" s="1" t="str">
        <f t="shared" si="27"/>
        <v/>
      </c>
      <c r="BF115" s="1" t="str">
        <f t="shared" si="28"/>
        <v/>
      </c>
      <c r="BG115" s="1" t="str">
        <f t="shared" si="29"/>
        <v/>
      </c>
      <c r="BH115" s="1" t="str">
        <f t="shared" si="30"/>
        <v/>
      </c>
      <c r="BI115" s="1" t="str">
        <f t="shared" si="31"/>
        <v/>
      </c>
      <c r="BJ115" s="1" t="str">
        <f t="shared" si="32"/>
        <v/>
      </c>
      <c r="BK115" s="1" t="str">
        <f t="shared" si="33"/>
        <v/>
      </c>
      <c r="BL115" s="1" t="str">
        <f t="shared" si="34"/>
        <v/>
      </c>
      <c r="BM115" s="1" t="str">
        <f t="shared" si="35"/>
        <v/>
      </c>
      <c r="BN115" s="1" t="str">
        <f t="shared" si="36"/>
        <v/>
      </c>
      <c r="BO115" s="1" t="str">
        <f t="shared" si="37"/>
        <v>K2</v>
      </c>
      <c r="BP115" s="1" t="str">
        <f t="shared" si="38"/>
        <v/>
      </c>
      <c r="BQ115" s="1" t="str">
        <f t="shared" si="39"/>
        <v/>
      </c>
      <c r="BR115" s="1" t="str">
        <f t="shared" si="40"/>
        <v/>
      </c>
      <c r="BS115" s="1" t="str">
        <f t="shared" si="41"/>
        <v/>
      </c>
    </row>
    <row r="116" spans="48:71" x14ac:dyDescent="0.3">
      <c r="AV116" t="s">
        <v>7148</v>
      </c>
      <c r="AZ116" s="1" t="str">
        <f t="shared" si="22"/>
        <v/>
      </c>
      <c r="BA116" s="1" t="str">
        <f t="shared" si="23"/>
        <v/>
      </c>
      <c r="BB116" s="1" t="str">
        <f t="shared" si="24"/>
        <v/>
      </c>
      <c r="BC116" s="1" t="str">
        <f t="shared" si="25"/>
        <v/>
      </c>
      <c r="BD116" s="1" t="str">
        <f t="shared" si="26"/>
        <v/>
      </c>
      <c r="BE116" s="1" t="str">
        <f t="shared" si="27"/>
        <v/>
      </c>
      <c r="BF116" s="1" t="str">
        <f t="shared" si="28"/>
        <v/>
      </c>
      <c r="BG116" s="1" t="str">
        <f t="shared" si="29"/>
        <v/>
      </c>
      <c r="BH116" s="1" t="str">
        <f t="shared" si="30"/>
        <v/>
      </c>
      <c r="BI116" s="1" t="str">
        <f t="shared" si="31"/>
        <v/>
      </c>
      <c r="BJ116" s="1" t="str">
        <f t="shared" si="32"/>
        <v/>
      </c>
      <c r="BK116" s="1" t="str">
        <f t="shared" si="33"/>
        <v/>
      </c>
      <c r="BL116" s="1" t="str">
        <f t="shared" si="34"/>
        <v/>
      </c>
      <c r="BM116" s="1" t="str">
        <f t="shared" si="35"/>
        <v/>
      </c>
      <c r="BN116" s="1" t="str">
        <f t="shared" si="36"/>
        <v/>
      </c>
      <c r="BO116" s="1" t="str">
        <f t="shared" si="37"/>
        <v>K31</v>
      </c>
      <c r="BP116" s="1" t="str">
        <f t="shared" si="38"/>
        <v/>
      </c>
      <c r="BQ116" s="1" t="str">
        <f t="shared" si="39"/>
        <v/>
      </c>
      <c r="BR116" s="1" t="str">
        <f t="shared" si="40"/>
        <v/>
      </c>
      <c r="BS116" s="1" t="str">
        <f t="shared" si="41"/>
        <v/>
      </c>
    </row>
    <row r="117" spans="48:71" x14ac:dyDescent="0.3">
      <c r="AV117" t="s">
        <v>93</v>
      </c>
      <c r="AZ117" s="1" t="str">
        <f t="shared" si="22"/>
        <v/>
      </c>
      <c r="BA117" s="1" t="str">
        <f t="shared" si="23"/>
        <v/>
      </c>
      <c r="BB117" s="1" t="str">
        <f t="shared" si="24"/>
        <v/>
      </c>
      <c r="BC117" s="1" t="str">
        <f t="shared" si="25"/>
        <v/>
      </c>
      <c r="BD117" s="1" t="str">
        <f t="shared" si="26"/>
        <v/>
      </c>
      <c r="BE117" s="1" t="str">
        <f t="shared" si="27"/>
        <v/>
      </c>
      <c r="BF117" s="1" t="str">
        <f t="shared" si="28"/>
        <v/>
      </c>
      <c r="BG117" s="1" t="str">
        <f t="shared" si="29"/>
        <v/>
      </c>
      <c r="BH117" s="1" t="str">
        <f t="shared" si="30"/>
        <v/>
      </c>
      <c r="BI117" s="1" t="str">
        <f t="shared" si="31"/>
        <v/>
      </c>
      <c r="BJ117" s="1" t="str">
        <f t="shared" si="32"/>
        <v/>
      </c>
      <c r="BK117" s="1" t="str">
        <f t="shared" si="33"/>
        <v/>
      </c>
      <c r="BL117" s="1" t="str">
        <f t="shared" si="34"/>
        <v/>
      </c>
      <c r="BM117" s="1" t="str">
        <f t="shared" si="35"/>
        <v/>
      </c>
      <c r="BN117" s="1" t="str">
        <f t="shared" si="36"/>
        <v/>
      </c>
      <c r="BO117" s="1" t="str">
        <f t="shared" si="37"/>
        <v>K5Mod</v>
      </c>
      <c r="BP117" s="1" t="str">
        <f t="shared" si="38"/>
        <v/>
      </c>
      <c r="BQ117" s="1" t="str">
        <f t="shared" si="39"/>
        <v/>
      </c>
      <c r="BR117" s="1" t="str">
        <f t="shared" si="40"/>
        <v/>
      </c>
      <c r="BS117" s="1" t="str">
        <f t="shared" si="41"/>
        <v/>
      </c>
    </row>
    <row r="118" spans="48:71" x14ac:dyDescent="0.3">
      <c r="AV118" t="s">
        <v>6755</v>
      </c>
      <c r="AZ118" s="1" t="str">
        <f t="shared" si="22"/>
        <v/>
      </c>
      <c r="BA118" s="1" t="str">
        <f t="shared" si="23"/>
        <v/>
      </c>
      <c r="BB118" s="1" t="str">
        <f t="shared" si="24"/>
        <v/>
      </c>
      <c r="BC118" s="1" t="str">
        <f t="shared" si="25"/>
        <v/>
      </c>
      <c r="BD118" s="1" t="str">
        <f t="shared" si="26"/>
        <v/>
      </c>
      <c r="BE118" s="1" t="str">
        <f t="shared" si="27"/>
        <v/>
      </c>
      <c r="BF118" s="1" t="str">
        <f t="shared" si="28"/>
        <v/>
      </c>
      <c r="BG118" s="1" t="str">
        <f t="shared" si="29"/>
        <v/>
      </c>
      <c r="BH118" s="1" t="str">
        <f t="shared" si="30"/>
        <v/>
      </c>
      <c r="BI118" s="1" t="str">
        <f t="shared" si="31"/>
        <v/>
      </c>
      <c r="BJ118" s="1" t="str">
        <f t="shared" si="32"/>
        <v/>
      </c>
      <c r="BK118" s="1" t="str">
        <f t="shared" si="33"/>
        <v/>
      </c>
      <c r="BL118" s="1" t="str">
        <f t="shared" si="34"/>
        <v/>
      </c>
      <c r="BM118" s="1" t="str">
        <f t="shared" si="35"/>
        <v/>
      </c>
      <c r="BN118" s="1" t="str">
        <f t="shared" si="36"/>
        <v/>
      </c>
      <c r="BO118" s="1" t="str">
        <f t="shared" si="37"/>
        <v>Kar98k</v>
      </c>
      <c r="BP118" s="1" t="str">
        <f t="shared" si="38"/>
        <v/>
      </c>
      <c r="BQ118" s="1" t="str">
        <f t="shared" si="39"/>
        <v/>
      </c>
      <c r="BR118" s="1" t="str">
        <f t="shared" si="40"/>
        <v/>
      </c>
      <c r="BS118" s="1" t="str">
        <f t="shared" si="41"/>
        <v/>
      </c>
    </row>
    <row r="119" spans="48:71" x14ac:dyDescent="0.3">
      <c r="AV119" t="s">
        <v>157</v>
      </c>
      <c r="AZ119" s="1" t="str">
        <f t="shared" si="22"/>
        <v/>
      </c>
      <c r="BA119" s="1" t="str">
        <f t="shared" si="23"/>
        <v/>
      </c>
      <c r="BB119" s="1" t="str">
        <f t="shared" si="24"/>
        <v/>
      </c>
      <c r="BC119" s="1" t="str">
        <f t="shared" si="25"/>
        <v/>
      </c>
      <c r="BD119" s="1" t="str">
        <f t="shared" si="26"/>
        <v/>
      </c>
      <c r="BE119" s="1" t="str">
        <f t="shared" si="27"/>
        <v/>
      </c>
      <c r="BF119" s="1" t="str">
        <f t="shared" si="28"/>
        <v/>
      </c>
      <c r="BG119" s="1" t="str">
        <f t="shared" si="29"/>
        <v/>
      </c>
      <c r="BH119" s="1" t="str">
        <f t="shared" si="30"/>
        <v/>
      </c>
      <c r="BI119" s="1" t="str">
        <f t="shared" si="31"/>
        <v/>
      </c>
      <c r="BJ119" s="1" t="str">
        <f t="shared" si="32"/>
        <v/>
      </c>
      <c r="BK119" s="1" t="str">
        <f t="shared" si="33"/>
        <v/>
      </c>
      <c r="BL119" s="1" t="str">
        <f t="shared" si="34"/>
        <v/>
      </c>
      <c r="BM119" s="1" t="str">
        <f t="shared" si="35"/>
        <v/>
      </c>
      <c r="BN119" s="1" t="str">
        <f t="shared" si="36"/>
        <v/>
      </c>
      <c r="BO119" s="1" t="str">
        <f t="shared" si="37"/>
        <v>Kar98kmod</v>
      </c>
      <c r="BP119" s="1" t="str">
        <f t="shared" si="38"/>
        <v/>
      </c>
      <c r="BQ119" s="1" t="str">
        <f t="shared" si="39"/>
        <v/>
      </c>
      <c r="BR119" s="1" t="str">
        <f t="shared" si="40"/>
        <v/>
      </c>
      <c r="BS119" s="1" t="str">
        <f t="shared" si="41"/>
        <v/>
      </c>
    </row>
    <row r="120" spans="48:71" x14ac:dyDescent="0.3">
      <c r="AV120" t="s">
        <v>722</v>
      </c>
      <c r="AZ120" s="1" t="str">
        <f t="shared" si="22"/>
        <v/>
      </c>
      <c r="BA120" s="1" t="str">
        <f t="shared" si="23"/>
        <v/>
      </c>
      <c r="BB120" s="1" t="str">
        <f t="shared" si="24"/>
        <v/>
      </c>
      <c r="BC120" s="1" t="str">
        <f t="shared" si="25"/>
        <v/>
      </c>
      <c r="BD120" s="1" t="str">
        <f t="shared" si="26"/>
        <v/>
      </c>
      <c r="BE120" s="1" t="str">
        <f t="shared" si="27"/>
        <v/>
      </c>
      <c r="BF120" s="1" t="str">
        <f t="shared" si="28"/>
        <v/>
      </c>
      <c r="BG120" s="1" t="str">
        <f t="shared" si="29"/>
        <v/>
      </c>
      <c r="BH120" s="1" t="str">
        <f t="shared" si="30"/>
        <v/>
      </c>
      <c r="BI120" s="1" t="str">
        <f t="shared" si="31"/>
        <v/>
      </c>
      <c r="BJ120" s="1" t="str">
        <f t="shared" si="32"/>
        <v/>
      </c>
      <c r="BK120" s="1" t="str">
        <f t="shared" si="33"/>
        <v/>
      </c>
      <c r="BL120" s="1" t="str">
        <f t="shared" si="34"/>
        <v/>
      </c>
      <c r="BM120" s="1" t="str">
        <f t="shared" si="35"/>
        <v/>
      </c>
      <c r="BN120" s="1" t="str">
        <f t="shared" si="36"/>
        <v/>
      </c>
      <c r="BO120" s="1" t="str">
        <f t="shared" si="37"/>
        <v>KLIN</v>
      </c>
      <c r="BP120" s="1" t="str">
        <f t="shared" si="38"/>
        <v/>
      </c>
      <c r="BQ120" s="1" t="str">
        <f t="shared" si="39"/>
        <v/>
      </c>
      <c r="BR120" s="1" t="str">
        <f t="shared" si="40"/>
        <v/>
      </c>
      <c r="BS120" s="1" t="str">
        <f t="shared" si="41"/>
        <v/>
      </c>
    </row>
    <row r="121" spans="48:71" x14ac:dyDescent="0.3">
      <c r="AV121" t="s">
        <v>265</v>
      </c>
      <c r="AZ121" s="1" t="str">
        <f t="shared" si="22"/>
        <v/>
      </c>
      <c r="BA121" s="1" t="str">
        <f t="shared" si="23"/>
        <v/>
      </c>
      <c r="BB121" s="1" t="str">
        <f t="shared" si="24"/>
        <v/>
      </c>
      <c r="BC121" s="1" t="str">
        <f t="shared" si="25"/>
        <v/>
      </c>
      <c r="BD121" s="1" t="str">
        <f t="shared" si="26"/>
        <v/>
      </c>
      <c r="BE121" s="1" t="str">
        <f t="shared" si="27"/>
        <v/>
      </c>
      <c r="BF121" s="1" t="str">
        <f t="shared" si="28"/>
        <v/>
      </c>
      <c r="BG121" s="1" t="str">
        <f t="shared" si="29"/>
        <v/>
      </c>
      <c r="BH121" s="1" t="str">
        <f t="shared" si="30"/>
        <v/>
      </c>
      <c r="BI121" s="1" t="str">
        <f t="shared" si="31"/>
        <v/>
      </c>
      <c r="BJ121" s="1" t="str">
        <f t="shared" si="32"/>
        <v/>
      </c>
      <c r="BK121" s="1" t="str">
        <f t="shared" si="33"/>
        <v/>
      </c>
      <c r="BL121" s="1" t="str">
        <f t="shared" si="34"/>
        <v/>
      </c>
      <c r="BM121" s="1" t="str">
        <f t="shared" si="35"/>
        <v/>
      </c>
      <c r="BN121" s="1" t="str">
        <f t="shared" si="36"/>
        <v/>
      </c>
      <c r="BO121" s="1" t="str">
        <f t="shared" si="37"/>
        <v>KS23</v>
      </c>
      <c r="BP121" s="1" t="str">
        <f t="shared" si="38"/>
        <v/>
      </c>
      <c r="BQ121" s="1" t="str">
        <f t="shared" si="39"/>
        <v/>
      </c>
      <c r="BR121" s="1" t="str">
        <f t="shared" si="40"/>
        <v/>
      </c>
      <c r="BS121" s="1" t="str">
        <f t="shared" si="41"/>
        <v/>
      </c>
    </row>
    <row r="122" spans="48:71" x14ac:dyDescent="0.3">
      <c r="AV122" t="s">
        <v>103</v>
      </c>
      <c r="AZ122" s="1" t="str">
        <f t="shared" si="22"/>
        <v/>
      </c>
      <c r="BA122" s="1" t="str">
        <f t="shared" si="23"/>
        <v/>
      </c>
      <c r="BB122" s="1" t="str">
        <f t="shared" si="24"/>
        <v/>
      </c>
      <c r="BC122" s="1" t="str">
        <f t="shared" si="25"/>
        <v/>
      </c>
      <c r="BD122" s="1" t="str">
        <f t="shared" si="26"/>
        <v/>
      </c>
      <c r="BE122" s="1" t="str">
        <f t="shared" si="27"/>
        <v/>
      </c>
      <c r="BF122" s="1" t="str">
        <f t="shared" si="28"/>
        <v/>
      </c>
      <c r="BG122" s="1" t="str">
        <f t="shared" si="29"/>
        <v/>
      </c>
      <c r="BH122" s="1" t="str">
        <f t="shared" si="30"/>
        <v/>
      </c>
      <c r="BI122" s="1" t="str">
        <f t="shared" si="31"/>
        <v/>
      </c>
      <c r="BJ122" s="1" t="str">
        <f t="shared" si="32"/>
        <v/>
      </c>
      <c r="BK122" s="1" t="str">
        <f t="shared" si="33"/>
        <v/>
      </c>
      <c r="BL122" s="1" t="str">
        <f t="shared" si="34"/>
        <v/>
      </c>
      <c r="BM122" s="1" t="str">
        <f t="shared" si="35"/>
        <v/>
      </c>
      <c r="BN122" s="1" t="str">
        <f t="shared" si="36"/>
        <v/>
      </c>
      <c r="BO122" s="1" t="str">
        <f t="shared" si="37"/>
        <v>KSVKMod</v>
      </c>
      <c r="BP122" s="1" t="str">
        <f t="shared" si="38"/>
        <v/>
      </c>
      <c r="BQ122" s="1" t="str">
        <f t="shared" si="39"/>
        <v/>
      </c>
      <c r="BR122" s="1" t="str">
        <f t="shared" si="40"/>
        <v/>
      </c>
      <c r="BS122" s="1" t="str">
        <f t="shared" si="41"/>
        <v/>
      </c>
    </row>
    <row r="123" spans="48:71" x14ac:dyDescent="0.3">
      <c r="AV123" t="s">
        <v>96</v>
      </c>
      <c r="AZ123" s="1" t="str">
        <f t="shared" si="22"/>
        <v/>
      </c>
      <c r="BA123" s="1" t="str">
        <f t="shared" si="23"/>
        <v/>
      </c>
      <c r="BB123" s="1" t="str">
        <f t="shared" si="24"/>
        <v/>
      </c>
      <c r="BC123" s="1" t="str">
        <f t="shared" si="25"/>
        <v/>
      </c>
      <c r="BD123" s="1" t="str">
        <f t="shared" si="26"/>
        <v/>
      </c>
      <c r="BE123" s="1" t="str">
        <f t="shared" si="27"/>
        <v/>
      </c>
      <c r="BF123" s="1" t="str">
        <f t="shared" si="28"/>
        <v/>
      </c>
      <c r="BG123" s="1" t="str">
        <f t="shared" si="29"/>
        <v/>
      </c>
      <c r="BH123" s="1" t="str">
        <f t="shared" si="30"/>
        <v/>
      </c>
      <c r="BI123" s="1" t="str">
        <f t="shared" si="31"/>
        <v/>
      </c>
      <c r="BJ123" s="1" t="str">
        <f t="shared" si="32"/>
        <v/>
      </c>
      <c r="BK123" s="1" t="str">
        <f t="shared" si="33"/>
        <v/>
      </c>
      <c r="BL123" s="1" t="str">
        <f t="shared" si="34"/>
        <v/>
      </c>
      <c r="BM123" s="1" t="str">
        <f t="shared" si="35"/>
        <v/>
      </c>
      <c r="BN123" s="1" t="str">
        <f t="shared" si="36"/>
        <v/>
      </c>
      <c r="BO123" s="1" t="str">
        <f t="shared" si="37"/>
        <v>L85A1</v>
      </c>
      <c r="BP123" s="1" t="str">
        <f t="shared" si="38"/>
        <v/>
      </c>
      <c r="BQ123" s="1" t="str">
        <f t="shared" si="39"/>
        <v/>
      </c>
      <c r="BR123" s="1" t="str">
        <f t="shared" si="40"/>
        <v/>
      </c>
      <c r="BS123" s="1" t="str">
        <f t="shared" si="41"/>
        <v/>
      </c>
    </row>
    <row r="124" spans="48:71" x14ac:dyDescent="0.3">
      <c r="AV124" t="s">
        <v>6756</v>
      </c>
      <c r="AZ124" s="1" t="str">
        <f t="shared" si="22"/>
        <v/>
      </c>
      <c r="BA124" s="1" t="str">
        <f t="shared" si="23"/>
        <v/>
      </c>
      <c r="BB124" s="1" t="str">
        <f t="shared" si="24"/>
        <v/>
      </c>
      <c r="BC124" s="1" t="str">
        <f t="shared" si="25"/>
        <v/>
      </c>
      <c r="BD124" s="1" t="str">
        <f t="shared" si="26"/>
        <v/>
      </c>
      <c r="BE124" s="1" t="str">
        <f t="shared" si="27"/>
        <v/>
      </c>
      <c r="BF124" s="1" t="str">
        <f t="shared" si="28"/>
        <v/>
      </c>
      <c r="BG124" s="1" t="str">
        <f t="shared" si="29"/>
        <v/>
      </c>
      <c r="BH124" s="1" t="str">
        <f t="shared" si="30"/>
        <v/>
      </c>
      <c r="BI124" s="1" t="str">
        <f t="shared" si="31"/>
        <v/>
      </c>
      <c r="BJ124" s="1" t="str">
        <f t="shared" si="32"/>
        <v/>
      </c>
      <c r="BK124" s="1" t="str">
        <f t="shared" si="33"/>
        <v/>
      </c>
      <c r="BL124" s="1" t="str">
        <f t="shared" si="34"/>
        <v/>
      </c>
      <c r="BM124" s="1" t="str">
        <f t="shared" si="35"/>
        <v/>
      </c>
      <c r="BN124" s="1" t="str">
        <f t="shared" si="36"/>
        <v/>
      </c>
      <c r="BO124" s="1" t="str">
        <f t="shared" si="37"/>
        <v>Lee Enfield</v>
      </c>
      <c r="BP124" s="1" t="str">
        <f t="shared" si="38"/>
        <v/>
      </c>
      <c r="BQ124" s="1" t="str">
        <f t="shared" si="39"/>
        <v/>
      </c>
      <c r="BR124" s="1" t="str">
        <f t="shared" si="40"/>
        <v/>
      </c>
      <c r="BS124" s="1" t="str">
        <f t="shared" si="41"/>
        <v/>
      </c>
    </row>
    <row r="125" spans="48:71" x14ac:dyDescent="0.3">
      <c r="AV125" t="s">
        <v>217</v>
      </c>
      <c r="AZ125" s="1" t="str">
        <f t="shared" si="22"/>
        <v/>
      </c>
      <c r="BA125" s="1" t="str">
        <f t="shared" si="23"/>
        <v/>
      </c>
      <c r="BB125" s="1" t="str">
        <f t="shared" si="24"/>
        <v/>
      </c>
      <c r="BC125" s="1" t="str">
        <f t="shared" si="25"/>
        <v/>
      </c>
      <c r="BD125" s="1" t="str">
        <f t="shared" si="26"/>
        <v/>
      </c>
      <c r="BE125" s="1" t="str">
        <f t="shared" si="27"/>
        <v/>
      </c>
      <c r="BF125" s="1" t="str">
        <f t="shared" si="28"/>
        <v/>
      </c>
      <c r="BG125" s="1" t="str">
        <f t="shared" si="29"/>
        <v/>
      </c>
      <c r="BH125" s="1" t="str">
        <f t="shared" si="30"/>
        <v/>
      </c>
      <c r="BI125" s="1" t="str">
        <f t="shared" si="31"/>
        <v/>
      </c>
      <c r="BJ125" s="1" t="str">
        <f t="shared" si="32"/>
        <v/>
      </c>
      <c r="BK125" s="1" t="str">
        <f t="shared" si="33"/>
        <v/>
      </c>
      <c r="BL125" s="1" t="str">
        <f t="shared" si="34"/>
        <v/>
      </c>
      <c r="BM125" s="1" t="str">
        <f t="shared" si="35"/>
        <v/>
      </c>
      <c r="BN125" s="1" t="str">
        <f t="shared" si="36"/>
        <v/>
      </c>
      <c r="BO125" s="1" t="str">
        <f t="shared" si="37"/>
        <v>Lee Enfieldmod</v>
      </c>
      <c r="BP125" s="1" t="str">
        <f t="shared" si="38"/>
        <v/>
      </c>
      <c r="BQ125" s="1" t="str">
        <f t="shared" si="39"/>
        <v/>
      </c>
      <c r="BR125" s="1" t="str">
        <f t="shared" si="40"/>
        <v/>
      </c>
      <c r="BS125" s="1" t="str">
        <f t="shared" si="41"/>
        <v/>
      </c>
    </row>
    <row r="126" spans="48:71" x14ac:dyDescent="0.3">
      <c r="AV126" t="s">
        <v>6980</v>
      </c>
      <c r="AZ126" s="1" t="str">
        <f t="shared" si="22"/>
        <v/>
      </c>
      <c r="BA126" s="1" t="str">
        <f t="shared" si="23"/>
        <v/>
      </c>
      <c r="BB126" s="1" t="str">
        <f t="shared" si="24"/>
        <v/>
      </c>
      <c r="BC126" s="1" t="str">
        <f t="shared" si="25"/>
        <v/>
      </c>
      <c r="BD126" s="1" t="str">
        <f t="shared" si="26"/>
        <v/>
      </c>
      <c r="BE126" s="1" t="str">
        <f t="shared" si="27"/>
        <v/>
      </c>
      <c r="BF126" s="1" t="str">
        <f t="shared" si="28"/>
        <v/>
      </c>
      <c r="BG126" s="1" t="str">
        <f t="shared" si="29"/>
        <v/>
      </c>
      <c r="BH126" s="1" t="str">
        <f t="shared" si="30"/>
        <v/>
      </c>
      <c r="BI126" s="1" t="str">
        <f t="shared" si="31"/>
        <v/>
      </c>
      <c r="BJ126" s="1" t="str">
        <f t="shared" si="32"/>
        <v/>
      </c>
      <c r="BK126" s="1" t="str">
        <f t="shared" si="33"/>
        <v/>
      </c>
      <c r="BL126" s="1" t="str">
        <f t="shared" si="34"/>
        <v/>
      </c>
      <c r="BM126" s="1" t="str">
        <f t="shared" si="35"/>
        <v/>
      </c>
      <c r="BN126" s="1" t="str">
        <f t="shared" si="36"/>
        <v/>
      </c>
      <c r="BO126" s="1" t="str">
        <f t="shared" si="37"/>
        <v>Liberator</v>
      </c>
      <c r="BP126" s="1" t="str">
        <f t="shared" si="38"/>
        <v/>
      </c>
      <c r="BQ126" s="1" t="str">
        <f t="shared" si="39"/>
        <v/>
      </c>
      <c r="BR126" s="1" t="str">
        <f t="shared" si="40"/>
        <v/>
      </c>
      <c r="BS126" s="1" t="str">
        <f t="shared" si="41"/>
        <v/>
      </c>
    </row>
    <row r="127" spans="48:71" x14ac:dyDescent="0.3">
      <c r="AV127" t="s">
        <v>260</v>
      </c>
      <c r="AZ127" s="1" t="str">
        <f t="shared" si="22"/>
        <v/>
      </c>
      <c r="BA127" s="1" t="str">
        <f t="shared" si="23"/>
        <v/>
      </c>
      <c r="BB127" s="1" t="str">
        <f t="shared" si="24"/>
        <v/>
      </c>
      <c r="BC127" s="1" t="str">
        <f t="shared" si="25"/>
        <v/>
      </c>
      <c r="BD127" s="1" t="str">
        <f t="shared" si="26"/>
        <v/>
      </c>
      <c r="BE127" s="1" t="str">
        <f t="shared" si="27"/>
        <v/>
      </c>
      <c r="BF127" s="1" t="str">
        <f t="shared" si="28"/>
        <v/>
      </c>
      <c r="BG127" s="1" t="str">
        <f t="shared" si="29"/>
        <v/>
      </c>
      <c r="BH127" s="1" t="str">
        <f t="shared" si="30"/>
        <v/>
      </c>
      <c r="BI127" s="1" t="str">
        <f t="shared" si="31"/>
        <v/>
      </c>
      <c r="BJ127" s="1" t="str">
        <f t="shared" si="32"/>
        <v/>
      </c>
      <c r="BK127" s="1" t="str">
        <f t="shared" si="33"/>
        <v/>
      </c>
      <c r="BL127" s="1" t="str">
        <f t="shared" si="34"/>
        <v/>
      </c>
      <c r="BM127" s="1" t="str">
        <f t="shared" si="35"/>
        <v/>
      </c>
      <c r="BN127" s="1" t="str">
        <f t="shared" si="36"/>
        <v/>
      </c>
      <c r="BO127" s="1" t="str">
        <f t="shared" si="37"/>
        <v>Lily</v>
      </c>
      <c r="BP127" s="1" t="str">
        <f t="shared" si="38"/>
        <v/>
      </c>
      <c r="BQ127" s="1" t="str">
        <f t="shared" si="39"/>
        <v/>
      </c>
      <c r="BR127" s="1" t="str">
        <f t="shared" si="40"/>
        <v/>
      </c>
      <c r="BS127" s="1" t="str">
        <f t="shared" si="41"/>
        <v/>
      </c>
    </row>
    <row r="128" spans="48:71" x14ac:dyDescent="0.3">
      <c r="AV128" t="s">
        <v>8645</v>
      </c>
      <c r="AZ128" s="1" t="str">
        <f t="shared" si="22"/>
        <v/>
      </c>
      <c r="BA128" s="1" t="str">
        <f t="shared" si="23"/>
        <v/>
      </c>
      <c r="BB128" s="1" t="str">
        <f t="shared" si="24"/>
        <v/>
      </c>
      <c r="BC128" s="1" t="str">
        <f t="shared" si="25"/>
        <v/>
      </c>
      <c r="BD128" s="1" t="str">
        <f t="shared" si="26"/>
        <v/>
      </c>
      <c r="BE128" s="1" t="str">
        <f t="shared" si="27"/>
        <v/>
      </c>
      <c r="BF128" s="1" t="str">
        <f t="shared" si="28"/>
        <v/>
      </c>
      <c r="BG128" s="1" t="str">
        <f t="shared" si="29"/>
        <v/>
      </c>
      <c r="BH128" s="1" t="str">
        <f t="shared" si="30"/>
        <v/>
      </c>
      <c r="BI128" s="1" t="str">
        <f t="shared" si="31"/>
        <v/>
      </c>
      <c r="BJ128" s="1" t="str">
        <f t="shared" si="32"/>
        <v/>
      </c>
      <c r="BK128" s="1" t="str">
        <f t="shared" si="33"/>
        <v/>
      </c>
      <c r="BL128" s="1" t="str">
        <f t="shared" si="34"/>
        <v/>
      </c>
      <c r="BM128" s="1" t="str">
        <f t="shared" si="35"/>
        <v/>
      </c>
      <c r="BN128" s="1" t="str">
        <f t="shared" si="36"/>
        <v/>
      </c>
      <c r="BO128" s="1" t="str">
        <f t="shared" si="37"/>
        <v>LWMMGMod</v>
      </c>
      <c r="BP128" s="1" t="str">
        <f t="shared" si="38"/>
        <v/>
      </c>
      <c r="BQ128" s="1" t="str">
        <f t="shared" si="39"/>
        <v/>
      </c>
      <c r="BR128" s="1" t="str">
        <f t="shared" si="40"/>
        <v/>
      </c>
      <c r="BS128" s="1" t="str">
        <f t="shared" si="41"/>
        <v/>
      </c>
    </row>
    <row r="129" spans="48:71" x14ac:dyDescent="0.3">
      <c r="AV129" t="s">
        <v>86</v>
      </c>
      <c r="AZ129" s="1" t="str">
        <f t="shared" si="22"/>
        <v/>
      </c>
      <c r="BA129" s="1" t="str">
        <f t="shared" si="23"/>
        <v/>
      </c>
      <c r="BB129" s="1" t="str">
        <f t="shared" si="24"/>
        <v/>
      </c>
      <c r="BC129" s="1" t="str">
        <f t="shared" si="25"/>
        <v/>
      </c>
      <c r="BD129" s="1" t="str">
        <f t="shared" si="26"/>
        <v/>
      </c>
      <c r="BE129" s="1" t="str">
        <f t="shared" si="27"/>
        <v/>
      </c>
      <c r="BF129" s="1" t="str">
        <f t="shared" si="28"/>
        <v/>
      </c>
      <c r="BG129" s="1" t="str">
        <f t="shared" si="29"/>
        <v/>
      </c>
      <c r="BH129" s="1" t="str">
        <f t="shared" si="30"/>
        <v/>
      </c>
      <c r="BI129" s="1" t="str">
        <f t="shared" si="31"/>
        <v/>
      </c>
      <c r="BJ129" s="1" t="str">
        <f t="shared" si="32"/>
        <v/>
      </c>
      <c r="BK129" s="1" t="str">
        <f t="shared" si="33"/>
        <v/>
      </c>
      <c r="BL129" s="1" t="str">
        <f t="shared" si="34"/>
        <v/>
      </c>
      <c r="BM129" s="1" t="str">
        <f t="shared" si="35"/>
        <v/>
      </c>
      <c r="BN129" s="1" t="str">
        <f t="shared" si="36"/>
        <v/>
      </c>
      <c r="BO129" s="1" t="str">
        <f t="shared" si="37"/>
        <v>LWMMGModGZ</v>
      </c>
      <c r="BP129" s="1" t="str">
        <f t="shared" si="38"/>
        <v/>
      </c>
      <c r="BQ129" s="1" t="str">
        <f t="shared" si="39"/>
        <v/>
      </c>
      <c r="BR129" s="1" t="str">
        <f t="shared" si="40"/>
        <v/>
      </c>
      <c r="BS129" s="1" t="str">
        <f t="shared" si="41"/>
        <v/>
      </c>
    </row>
    <row r="130" spans="48:71" x14ac:dyDescent="0.3">
      <c r="AV130" t="s">
        <v>254</v>
      </c>
      <c r="AZ130" s="1" t="str">
        <f t="shared" si="22"/>
        <v/>
      </c>
      <c r="BA130" s="1" t="str">
        <f t="shared" si="23"/>
        <v/>
      </c>
      <c r="BB130" s="1" t="str">
        <f t="shared" si="24"/>
        <v/>
      </c>
      <c r="BC130" s="1" t="str">
        <f t="shared" si="25"/>
        <v/>
      </c>
      <c r="BD130" s="1" t="str">
        <f t="shared" si="26"/>
        <v/>
      </c>
      <c r="BE130" s="1" t="str">
        <f t="shared" si="27"/>
        <v/>
      </c>
      <c r="BF130" s="1" t="str">
        <f t="shared" si="28"/>
        <v/>
      </c>
      <c r="BG130" s="1" t="str">
        <f t="shared" si="29"/>
        <v/>
      </c>
      <c r="BH130" s="1" t="str">
        <f t="shared" si="30"/>
        <v/>
      </c>
      <c r="BI130" s="1" t="str">
        <f t="shared" si="31"/>
        <v/>
      </c>
      <c r="BJ130" s="1" t="str">
        <f t="shared" si="32"/>
        <v/>
      </c>
      <c r="BK130" s="1" t="str">
        <f t="shared" si="33"/>
        <v/>
      </c>
      <c r="BL130" s="1" t="str">
        <f t="shared" si="34"/>
        <v/>
      </c>
      <c r="BM130" s="1" t="str">
        <f t="shared" si="35"/>
        <v/>
      </c>
      <c r="BN130" s="1" t="str">
        <f t="shared" si="36"/>
        <v/>
      </c>
      <c r="BO130" s="1" t="str">
        <f t="shared" si="37"/>
        <v>M1 Garand</v>
      </c>
      <c r="BP130" s="1" t="str">
        <f t="shared" si="38"/>
        <v/>
      </c>
      <c r="BQ130" s="1" t="str">
        <f t="shared" si="39"/>
        <v/>
      </c>
      <c r="BR130" s="1" t="str">
        <f t="shared" si="40"/>
        <v/>
      </c>
      <c r="BS130" s="1" t="str">
        <f t="shared" si="41"/>
        <v/>
      </c>
    </row>
    <row r="131" spans="48:71" x14ac:dyDescent="0.3">
      <c r="AV131" t="s">
        <v>9297</v>
      </c>
      <c r="AZ131" s="1" t="str">
        <f t="shared" si="22"/>
        <v/>
      </c>
      <c r="BA131" s="1" t="str">
        <f t="shared" si="23"/>
        <v/>
      </c>
      <c r="BB131" s="1" t="str">
        <f t="shared" si="24"/>
        <v/>
      </c>
      <c r="BC131" s="1" t="str">
        <f t="shared" si="25"/>
        <v/>
      </c>
      <c r="BD131" s="1" t="str">
        <f t="shared" si="26"/>
        <v/>
      </c>
      <c r="BE131" s="1" t="str">
        <f t="shared" si="27"/>
        <v/>
      </c>
      <c r="BF131" s="1" t="str">
        <f t="shared" si="28"/>
        <v/>
      </c>
      <c r="BG131" s="1" t="str">
        <f t="shared" si="29"/>
        <v/>
      </c>
      <c r="BH131" s="1" t="str">
        <f t="shared" si="30"/>
        <v/>
      </c>
      <c r="BI131" s="1" t="str">
        <f t="shared" si="31"/>
        <v/>
      </c>
      <c r="BJ131" s="1" t="str">
        <f t="shared" si="32"/>
        <v/>
      </c>
      <c r="BK131" s="1" t="str">
        <f t="shared" si="33"/>
        <v/>
      </c>
      <c r="BL131" s="1" t="str">
        <f t="shared" si="34"/>
        <v/>
      </c>
      <c r="BM131" s="1" t="str">
        <f t="shared" si="35"/>
        <v/>
      </c>
      <c r="BN131" s="1" t="str">
        <f t="shared" si="36"/>
        <v/>
      </c>
      <c r="BO131" s="1" t="str">
        <f t="shared" si="37"/>
        <v>M14Mod</v>
      </c>
      <c r="BP131" s="1" t="str">
        <f t="shared" si="38"/>
        <v/>
      </c>
      <c r="BQ131" s="1" t="str">
        <f t="shared" si="39"/>
        <v/>
      </c>
      <c r="BR131" s="1" t="str">
        <f t="shared" si="40"/>
        <v/>
      </c>
      <c r="BS131" s="1" t="str">
        <f t="shared" si="41"/>
        <v/>
      </c>
    </row>
    <row r="132" spans="48:71" x14ac:dyDescent="0.3">
      <c r="AV132" t="s">
        <v>98</v>
      </c>
      <c r="AZ132" s="1" t="str">
        <f t="shared" ref="AZ132:AZ195" si="42">IF(INDEX($C131:$AF131,MATCH(AZ$2,$C$1:$AF$1,0))="","",INDEX($C131:$AF131,MATCH(AZ$2,$C$1:$AF$1,0)))</f>
        <v/>
      </c>
      <c r="BA132" s="1" t="str">
        <f t="shared" ref="BA132:BA195" si="43">IF(INDEX($C131:$AF131,MATCH(BA$2,$C$1:$AF$1,0))="","",INDEX($C131:$AF131,MATCH(BA$2,$C$1:$AF$1,0)))</f>
        <v/>
      </c>
      <c r="BB132" s="1" t="str">
        <f t="shared" ref="BB132:BB195" si="44">IF(INDEX($C131:$AF131,MATCH(BB$2,$C$1:$AF$1,0))="","",INDEX($C131:$AF131,MATCH(BB$2,$C$1:$AF$1,0)))</f>
        <v/>
      </c>
      <c r="BC132" s="1" t="str">
        <f t="shared" ref="BC132:BC195" si="45">IF(INDEX($C131:$AF131,MATCH(BC$2,$C$1:$AF$1,0))="","",INDEX($C131:$AF131,MATCH(BC$2,$C$1:$AF$1,0)))</f>
        <v/>
      </c>
      <c r="BD132" s="1" t="str">
        <f t="shared" ref="BD132:BD195" si="46">IF(INDEX($C131:$AF131,MATCH(BD$2,$C$1:$AF$1,0))="","",INDEX($C131:$AF131,MATCH(BD$2,$C$1:$AF$1,0)))</f>
        <v/>
      </c>
      <c r="BE132" s="1" t="str">
        <f t="shared" ref="BE132:BE195" si="47">IF(INDEX($AH131:$AV131,MATCH(BE$2,$AH$1:$AV$1,0))="","",INDEX($AH131:$AV131,MATCH(BE$2,$AH$1:$AV$1,0)))</f>
        <v/>
      </c>
      <c r="BF132" s="1" t="str">
        <f t="shared" ref="BF132:BF195" si="48">IF(INDEX($AH131:$AV131,MATCH(BF$2,$AH$1:$AV$1,0))="","",INDEX($AH131:$AV131,MATCH(BF$2,$AH$1:$AV$1,0)))</f>
        <v/>
      </c>
      <c r="BG132" s="1" t="str">
        <f t="shared" ref="BG132:BG195" si="49">IF(INDEX($AH131:$AV131,MATCH(BG$2,$AH$1:$AV$1,0))="","",INDEX($AH131:$AV131,MATCH(BG$2,$AH$1:$AV$1,0)))</f>
        <v/>
      </c>
      <c r="BH132" s="1" t="str">
        <f t="shared" ref="BH132:BH195" si="50">IF(INDEX($AH131:$AV131,MATCH(BH$2,$AH$1:$AV$1,0))="","",INDEX($AH131:$AV131,MATCH(BH$2,$AH$1:$AV$1,0)))</f>
        <v/>
      </c>
      <c r="BI132" s="1" t="str">
        <f t="shared" ref="BI132:BI195" si="51">IF(INDEX($AH131:$AV131,MATCH(BI$2,$AH$1:$AV$1,0))="","",INDEX($AH131:$AV131,MATCH(BI$2,$AH$1:$AV$1,0)))</f>
        <v/>
      </c>
      <c r="BJ132" s="1" t="str">
        <f t="shared" ref="BJ132:BJ195" si="52">IF(INDEX($AH131:$AV131,MATCH(BJ$2,$AH$1:$AV$1,0))="","",INDEX($AH131:$AV131,MATCH(BJ$2,$AH$1:$AV$1,0)))</f>
        <v/>
      </c>
      <c r="BK132" s="1" t="str">
        <f t="shared" ref="BK132:BK195" si="53">IF(INDEX($AH131:$AV131,MATCH(BK$2,$AH$1:$AV$1,0))="","",INDEX($AH131:$AV131,MATCH(BK$2,$AH$1:$AV$1,0)))</f>
        <v/>
      </c>
      <c r="BL132" s="1" t="str">
        <f t="shared" ref="BL132:BL195" si="54">IF(INDEX($AH131:$AV131,MATCH(BL$2,$AH$1:$AV$1,0))="","",INDEX($AH131:$AV131,MATCH(BL$2,$AH$1:$AV$1,0)))</f>
        <v/>
      </c>
      <c r="BM132" s="1" t="str">
        <f t="shared" ref="BM132:BM195" si="55">IF(INDEX($AH131:$AV131,MATCH(BM$2,$AH$1:$AV$1,0))="","",INDEX($AH131:$AV131,MATCH(BM$2,$AH$1:$AV$1,0)))</f>
        <v/>
      </c>
      <c r="BN132" s="1" t="str">
        <f t="shared" ref="BN132:BN195" si="56">IF(INDEX($AH131:$AV131,MATCH(BN$2,$AH$1:$AV$1,0))="","",INDEX($AH131:$AV131,MATCH(BN$2,$AH$1:$AV$1,0)))</f>
        <v/>
      </c>
      <c r="BO132" s="1" t="str">
        <f t="shared" ref="BO132:BO195" si="57">IF(INDEX($AH131:$AV131,MATCH(BO$2,$AH$1:$AV$1,0))="","",INDEX($AH131:$AV131,MATCH(BO$2,$AH$1:$AV$1,0)))</f>
        <v>M14ModGZ</v>
      </c>
      <c r="BP132" s="1" t="str">
        <f t="shared" ref="BP132:BP195" si="58">IF(INDEX($AH131:$AV131,MATCH(BP$2,$AH$1:$AV$1,0))="","",INDEX($AH131:$AV131,MATCH(BP$2,$AH$1:$AV$1,0)))</f>
        <v/>
      </c>
      <c r="BQ132" s="1" t="str">
        <f t="shared" ref="BQ132:BQ195" si="59">IF(INDEX($AH131:$AV131,MATCH(BQ$2,$AH$1:$AV$1,0))="","",INDEX($AH131:$AV131,MATCH(BQ$2,$AH$1:$AV$1,0)))</f>
        <v/>
      </c>
      <c r="BR132" s="1" t="str">
        <f t="shared" ref="BR132:BR195" si="60">IF(INDEX($AH131:$AV131,MATCH(BR$2,$AH$1:$AV$1,0))="","",INDEX($AH131:$AV131,MATCH(BR$2,$AH$1:$AV$1,0)))</f>
        <v/>
      </c>
      <c r="BS132" s="1" t="str">
        <f t="shared" ref="BS132:BS195" si="61">IF(INDEX($AH131:$AV131,MATCH(BS$2,$AH$1:$AV$1,0))="","",INDEX($AH131:$AV131,MATCH(BS$2,$AH$1:$AV$1,0)))</f>
        <v/>
      </c>
    </row>
    <row r="133" spans="48:71" x14ac:dyDescent="0.3">
      <c r="AV133" t="s">
        <v>145</v>
      </c>
      <c r="AZ133" s="1" t="str">
        <f t="shared" si="42"/>
        <v/>
      </c>
      <c r="BA133" s="1" t="str">
        <f t="shared" si="43"/>
        <v/>
      </c>
      <c r="BB133" s="1" t="str">
        <f t="shared" si="44"/>
        <v/>
      </c>
      <c r="BC133" s="1" t="str">
        <f t="shared" si="45"/>
        <v/>
      </c>
      <c r="BD133" s="1" t="str">
        <f t="shared" si="46"/>
        <v/>
      </c>
      <c r="BE133" s="1" t="str">
        <f t="shared" si="47"/>
        <v/>
      </c>
      <c r="BF133" s="1" t="str">
        <f t="shared" si="48"/>
        <v/>
      </c>
      <c r="BG133" s="1" t="str">
        <f t="shared" si="49"/>
        <v/>
      </c>
      <c r="BH133" s="1" t="str">
        <f t="shared" si="50"/>
        <v/>
      </c>
      <c r="BI133" s="1" t="str">
        <f t="shared" si="51"/>
        <v/>
      </c>
      <c r="BJ133" s="1" t="str">
        <f t="shared" si="52"/>
        <v/>
      </c>
      <c r="BK133" s="1" t="str">
        <f t="shared" si="53"/>
        <v/>
      </c>
      <c r="BL133" s="1" t="str">
        <f t="shared" si="54"/>
        <v/>
      </c>
      <c r="BM133" s="1" t="str">
        <f t="shared" si="55"/>
        <v/>
      </c>
      <c r="BN133" s="1" t="str">
        <f t="shared" si="56"/>
        <v/>
      </c>
      <c r="BO133" s="1" t="str">
        <f t="shared" si="57"/>
        <v>M16A1</v>
      </c>
      <c r="BP133" s="1" t="str">
        <f t="shared" si="58"/>
        <v/>
      </c>
      <c r="BQ133" s="1" t="str">
        <f t="shared" si="59"/>
        <v/>
      </c>
      <c r="BR133" s="1" t="str">
        <f t="shared" si="60"/>
        <v/>
      </c>
      <c r="BS133" s="1" t="str">
        <f t="shared" si="61"/>
        <v/>
      </c>
    </row>
    <row r="134" spans="48:71" x14ac:dyDescent="0.3">
      <c r="AV134" t="s">
        <v>784</v>
      </c>
      <c r="AZ134" s="1" t="str">
        <f t="shared" si="42"/>
        <v/>
      </c>
      <c r="BA134" s="1" t="str">
        <f t="shared" si="43"/>
        <v/>
      </c>
      <c r="BB134" s="1" t="str">
        <f t="shared" si="44"/>
        <v/>
      </c>
      <c r="BC134" s="1" t="str">
        <f t="shared" si="45"/>
        <v/>
      </c>
      <c r="BD134" s="1" t="str">
        <f t="shared" si="46"/>
        <v/>
      </c>
      <c r="BE134" s="1" t="str">
        <f t="shared" si="47"/>
        <v/>
      </c>
      <c r="BF134" s="1" t="str">
        <f t="shared" si="48"/>
        <v/>
      </c>
      <c r="BG134" s="1" t="str">
        <f t="shared" si="49"/>
        <v/>
      </c>
      <c r="BH134" s="1" t="str">
        <f t="shared" si="50"/>
        <v/>
      </c>
      <c r="BI134" s="1" t="str">
        <f t="shared" si="51"/>
        <v/>
      </c>
      <c r="BJ134" s="1" t="str">
        <f t="shared" si="52"/>
        <v/>
      </c>
      <c r="BK134" s="1" t="str">
        <f t="shared" si="53"/>
        <v/>
      </c>
      <c r="BL134" s="1" t="str">
        <f t="shared" si="54"/>
        <v/>
      </c>
      <c r="BM134" s="1" t="str">
        <f t="shared" si="55"/>
        <v/>
      </c>
      <c r="BN134" s="1" t="str">
        <f t="shared" si="56"/>
        <v/>
      </c>
      <c r="BO134" s="1" t="str">
        <f t="shared" si="57"/>
        <v>M1887</v>
      </c>
      <c r="BP134" s="1" t="str">
        <f t="shared" si="58"/>
        <v/>
      </c>
      <c r="BQ134" s="1" t="str">
        <f t="shared" si="59"/>
        <v/>
      </c>
      <c r="BR134" s="1" t="str">
        <f t="shared" si="60"/>
        <v/>
      </c>
      <c r="BS134" s="1" t="str">
        <f t="shared" si="61"/>
        <v/>
      </c>
    </row>
    <row r="135" spans="48:71" x14ac:dyDescent="0.3">
      <c r="AV135" t="s">
        <v>9013</v>
      </c>
      <c r="AZ135" s="1" t="str">
        <f t="shared" si="42"/>
        <v/>
      </c>
      <c r="BA135" s="1" t="str">
        <f t="shared" si="43"/>
        <v/>
      </c>
      <c r="BB135" s="1" t="str">
        <f t="shared" si="44"/>
        <v/>
      </c>
      <c r="BC135" s="1" t="str">
        <f t="shared" si="45"/>
        <v/>
      </c>
      <c r="BD135" s="1" t="str">
        <f t="shared" si="46"/>
        <v/>
      </c>
      <c r="BE135" s="1" t="str">
        <f t="shared" si="47"/>
        <v/>
      </c>
      <c r="BF135" s="1" t="str">
        <f t="shared" si="48"/>
        <v/>
      </c>
      <c r="BG135" s="1" t="str">
        <f t="shared" si="49"/>
        <v/>
      </c>
      <c r="BH135" s="1" t="str">
        <f t="shared" si="50"/>
        <v/>
      </c>
      <c r="BI135" s="1" t="str">
        <f t="shared" si="51"/>
        <v/>
      </c>
      <c r="BJ135" s="1" t="str">
        <f t="shared" si="52"/>
        <v/>
      </c>
      <c r="BK135" s="1" t="str">
        <f t="shared" si="53"/>
        <v/>
      </c>
      <c r="BL135" s="1" t="str">
        <f t="shared" si="54"/>
        <v/>
      </c>
      <c r="BM135" s="1" t="str">
        <f t="shared" si="55"/>
        <v/>
      </c>
      <c r="BN135" s="1" t="str">
        <f t="shared" si="56"/>
        <v/>
      </c>
      <c r="BO135" s="1" t="str">
        <f t="shared" si="57"/>
        <v>M1895Mod</v>
      </c>
      <c r="BP135" s="1" t="str">
        <f t="shared" si="58"/>
        <v/>
      </c>
      <c r="BQ135" s="1" t="str">
        <f t="shared" si="59"/>
        <v/>
      </c>
      <c r="BR135" s="1" t="str">
        <f t="shared" si="60"/>
        <v/>
      </c>
      <c r="BS135" s="1" t="str">
        <f t="shared" si="61"/>
        <v/>
      </c>
    </row>
    <row r="136" spans="48:71" x14ac:dyDescent="0.3">
      <c r="AV136" t="s">
        <v>724</v>
      </c>
      <c r="AZ136" s="1" t="str">
        <f t="shared" si="42"/>
        <v/>
      </c>
      <c r="BA136" s="1" t="str">
        <f t="shared" si="43"/>
        <v/>
      </c>
      <c r="BB136" s="1" t="str">
        <f t="shared" si="44"/>
        <v/>
      </c>
      <c r="BC136" s="1" t="str">
        <f t="shared" si="45"/>
        <v/>
      </c>
      <c r="BD136" s="1" t="str">
        <f t="shared" si="46"/>
        <v/>
      </c>
      <c r="BE136" s="1" t="str">
        <f t="shared" si="47"/>
        <v/>
      </c>
      <c r="BF136" s="1" t="str">
        <f t="shared" si="48"/>
        <v/>
      </c>
      <c r="BG136" s="1" t="str">
        <f t="shared" si="49"/>
        <v/>
      </c>
      <c r="BH136" s="1" t="str">
        <f t="shared" si="50"/>
        <v/>
      </c>
      <c r="BI136" s="1" t="str">
        <f t="shared" si="51"/>
        <v/>
      </c>
      <c r="BJ136" s="1" t="str">
        <f t="shared" si="52"/>
        <v/>
      </c>
      <c r="BK136" s="1" t="str">
        <f t="shared" si="53"/>
        <v/>
      </c>
      <c r="BL136" s="1" t="str">
        <f t="shared" si="54"/>
        <v/>
      </c>
      <c r="BM136" s="1" t="str">
        <f t="shared" si="55"/>
        <v/>
      </c>
      <c r="BN136" s="1" t="str">
        <f t="shared" si="56"/>
        <v/>
      </c>
      <c r="BO136" s="1" t="str">
        <f t="shared" si="57"/>
        <v>M1895ModGZ</v>
      </c>
      <c r="BP136" s="1" t="str">
        <f t="shared" si="58"/>
        <v/>
      </c>
      <c r="BQ136" s="1" t="str">
        <f t="shared" si="59"/>
        <v/>
      </c>
      <c r="BR136" s="1" t="str">
        <f t="shared" si="60"/>
        <v/>
      </c>
      <c r="BS136" s="1" t="str">
        <f t="shared" si="61"/>
        <v/>
      </c>
    </row>
    <row r="137" spans="48:71" x14ac:dyDescent="0.3">
      <c r="AV137" t="s">
        <v>252</v>
      </c>
      <c r="AZ137" s="1" t="str">
        <f t="shared" si="42"/>
        <v/>
      </c>
      <c r="BA137" s="1" t="str">
        <f t="shared" si="43"/>
        <v/>
      </c>
      <c r="BB137" s="1" t="str">
        <f t="shared" si="44"/>
        <v/>
      </c>
      <c r="BC137" s="1" t="str">
        <f t="shared" si="45"/>
        <v/>
      </c>
      <c r="BD137" s="1" t="str">
        <f t="shared" si="46"/>
        <v/>
      </c>
      <c r="BE137" s="1" t="str">
        <f t="shared" si="47"/>
        <v/>
      </c>
      <c r="BF137" s="1" t="str">
        <f t="shared" si="48"/>
        <v/>
      </c>
      <c r="BG137" s="1" t="str">
        <f t="shared" si="49"/>
        <v/>
      </c>
      <c r="BH137" s="1" t="str">
        <f t="shared" si="50"/>
        <v/>
      </c>
      <c r="BI137" s="1" t="str">
        <f t="shared" si="51"/>
        <v/>
      </c>
      <c r="BJ137" s="1" t="str">
        <f t="shared" si="52"/>
        <v/>
      </c>
      <c r="BK137" s="1" t="str">
        <f t="shared" si="53"/>
        <v/>
      </c>
      <c r="BL137" s="1" t="str">
        <f t="shared" si="54"/>
        <v/>
      </c>
      <c r="BM137" s="1" t="str">
        <f t="shared" si="55"/>
        <v/>
      </c>
      <c r="BN137" s="1" t="str">
        <f t="shared" si="56"/>
        <v/>
      </c>
      <c r="BO137" s="1" t="str">
        <f t="shared" si="57"/>
        <v>M1897Mod</v>
      </c>
      <c r="BP137" s="1" t="str">
        <f t="shared" si="58"/>
        <v/>
      </c>
      <c r="BQ137" s="1" t="str">
        <f t="shared" si="59"/>
        <v/>
      </c>
      <c r="BR137" s="1" t="str">
        <f t="shared" si="60"/>
        <v/>
      </c>
      <c r="BS137" s="1" t="str">
        <f t="shared" si="61"/>
        <v/>
      </c>
    </row>
    <row r="138" spans="48:71" x14ac:dyDescent="0.3">
      <c r="AV138" t="s">
        <v>8541</v>
      </c>
      <c r="AZ138" s="1" t="str">
        <f t="shared" si="42"/>
        <v/>
      </c>
      <c r="BA138" s="1" t="str">
        <f t="shared" si="43"/>
        <v/>
      </c>
      <c r="BB138" s="1" t="str">
        <f t="shared" si="44"/>
        <v/>
      </c>
      <c r="BC138" s="1" t="str">
        <f t="shared" si="45"/>
        <v/>
      </c>
      <c r="BD138" s="1" t="str">
        <f t="shared" si="46"/>
        <v/>
      </c>
      <c r="BE138" s="1" t="str">
        <f t="shared" si="47"/>
        <v/>
      </c>
      <c r="BF138" s="1" t="str">
        <f t="shared" si="48"/>
        <v/>
      </c>
      <c r="BG138" s="1" t="str">
        <f t="shared" si="49"/>
        <v/>
      </c>
      <c r="BH138" s="1" t="str">
        <f t="shared" si="50"/>
        <v/>
      </c>
      <c r="BI138" s="1" t="str">
        <f t="shared" si="51"/>
        <v/>
      </c>
      <c r="BJ138" s="1" t="str">
        <f t="shared" si="52"/>
        <v/>
      </c>
      <c r="BK138" s="1" t="str">
        <f t="shared" si="53"/>
        <v/>
      </c>
      <c r="BL138" s="1" t="str">
        <f t="shared" si="54"/>
        <v/>
      </c>
      <c r="BM138" s="1" t="str">
        <f t="shared" si="55"/>
        <v/>
      </c>
      <c r="BN138" s="1" t="str">
        <f t="shared" si="56"/>
        <v/>
      </c>
      <c r="BO138" s="1" t="str">
        <f t="shared" si="57"/>
        <v>M1911Mod</v>
      </c>
      <c r="BP138" s="1" t="str">
        <f t="shared" si="58"/>
        <v/>
      </c>
      <c r="BQ138" s="1" t="str">
        <f t="shared" si="59"/>
        <v/>
      </c>
      <c r="BR138" s="1" t="str">
        <f t="shared" si="60"/>
        <v/>
      </c>
      <c r="BS138" s="1" t="str">
        <f t="shared" si="61"/>
        <v/>
      </c>
    </row>
    <row r="139" spans="48:71" x14ac:dyDescent="0.3">
      <c r="AV139" t="s">
        <v>105</v>
      </c>
      <c r="AZ139" s="1" t="str">
        <f t="shared" si="42"/>
        <v/>
      </c>
      <c r="BA139" s="1" t="str">
        <f t="shared" si="43"/>
        <v/>
      </c>
      <c r="BB139" s="1" t="str">
        <f t="shared" si="44"/>
        <v/>
      </c>
      <c r="BC139" s="1" t="str">
        <f t="shared" si="45"/>
        <v/>
      </c>
      <c r="BD139" s="1" t="str">
        <f t="shared" si="46"/>
        <v/>
      </c>
      <c r="BE139" s="1" t="str">
        <f t="shared" si="47"/>
        <v/>
      </c>
      <c r="BF139" s="1" t="str">
        <f t="shared" si="48"/>
        <v/>
      </c>
      <c r="BG139" s="1" t="str">
        <f t="shared" si="49"/>
        <v/>
      </c>
      <c r="BH139" s="1" t="str">
        <f t="shared" si="50"/>
        <v/>
      </c>
      <c r="BI139" s="1" t="str">
        <f t="shared" si="51"/>
        <v/>
      </c>
      <c r="BJ139" s="1" t="str">
        <f t="shared" si="52"/>
        <v/>
      </c>
      <c r="BK139" s="1" t="str">
        <f t="shared" si="53"/>
        <v/>
      </c>
      <c r="BL139" s="1" t="str">
        <f t="shared" si="54"/>
        <v/>
      </c>
      <c r="BM139" s="1" t="str">
        <f t="shared" si="55"/>
        <v/>
      </c>
      <c r="BN139" s="1" t="str">
        <f t="shared" si="56"/>
        <v/>
      </c>
      <c r="BO139" s="1" t="str">
        <f t="shared" si="57"/>
        <v>M1911ModGZ</v>
      </c>
      <c r="BP139" s="1" t="str">
        <f t="shared" si="58"/>
        <v/>
      </c>
      <c r="BQ139" s="1" t="str">
        <f t="shared" si="59"/>
        <v/>
      </c>
      <c r="BR139" s="1" t="str">
        <f t="shared" si="60"/>
        <v/>
      </c>
      <c r="BS139" s="1" t="str">
        <f t="shared" si="61"/>
        <v/>
      </c>
    </row>
    <row r="140" spans="48:71" x14ac:dyDescent="0.3">
      <c r="AV140" t="s">
        <v>259</v>
      </c>
      <c r="AZ140" s="1" t="str">
        <f t="shared" si="42"/>
        <v/>
      </c>
      <c r="BA140" s="1" t="str">
        <f t="shared" si="43"/>
        <v/>
      </c>
      <c r="BB140" s="1" t="str">
        <f t="shared" si="44"/>
        <v/>
      </c>
      <c r="BC140" s="1" t="str">
        <f t="shared" si="45"/>
        <v/>
      </c>
      <c r="BD140" s="1" t="str">
        <f t="shared" si="46"/>
        <v/>
      </c>
      <c r="BE140" s="1" t="str">
        <f t="shared" si="47"/>
        <v/>
      </c>
      <c r="BF140" s="1" t="str">
        <f t="shared" si="48"/>
        <v/>
      </c>
      <c r="BG140" s="1" t="str">
        <f t="shared" si="49"/>
        <v/>
      </c>
      <c r="BH140" s="1" t="str">
        <f t="shared" si="50"/>
        <v/>
      </c>
      <c r="BI140" s="1" t="str">
        <f t="shared" si="51"/>
        <v/>
      </c>
      <c r="BJ140" s="1" t="str">
        <f t="shared" si="52"/>
        <v/>
      </c>
      <c r="BK140" s="1" t="str">
        <f t="shared" si="53"/>
        <v/>
      </c>
      <c r="BL140" s="1" t="str">
        <f t="shared" si="54"/>
        <v/>
      </c>
      <c r="BM140" s="1" t="str">
        <f t="shared" si="55"/>
        <v/>
      </c>
      <c r="BN140" s="1" t="str">
        <f t="shared" si="56"/>
        <v/>
      </c>
      <c r="BO140" s="1" t="str">
        <f t="shared" si="57"/>
        <v>M1918</v>
      </c>
      <c r="BP140" s="1" t="str">
        <f t="shared" si="58"/>
        <v/>
      </c>
      <c r="BQ140" s="1" t="str">
        <f t="shared" si="59"/>
        <v/>
      </c>
      <c r="BR140" s="1" t="str">
        <f t="shared" si="60"/>
        <v/>
      </c>
      <c r="BS140" s="1" t="str">
        <f t="shared" si="61"/>
        <v/>
      </c>
    </row>
    <row r="141" spans="48:71" x14ac:dyDescent="0.3">
      <c r="AV141" t="s">
        <v>7302</v>
      </c>
      <c r="AZ141" s="1" t="str">
        <f t="shared" si="42"/>
        <v/>
      </c>
      <c r="BA141" s="1" t="str">
        <f t="shared" si="43"/>
        <v/>
      </c>
      <c r="BB141" s="1" t="str">
        <f t="shared" si="44"/>
        <v/>
      </c>
      <c r="BC141" s="1" t="str">
        <f t="shared" si="45"/>
        <v/>
      </c>
      <c r="BD141" s="1" t="str">
        <f t="shared" si="46"/>
        <v/>
      </c>
      <c r="BE141" s="1" t="str">
        <f t="shared" si="47"/>
        <v/>
      </c>
      <c r="BF141" s="1" t="str">
        <f t="shared" si="48"/>
        <v/>
      </c>
      <c r="BG141" s="1" t="str">
        <f t="shared" si="49"/>
        <v/>
      </c>
      <c r="BH141" s="1" t="str">
        <f t="shared" si="50"/>
        <v/>
      </c>
      <c r="BI141" s="1" t="str">
        <f t="shared" si="51"/>
        <v/>
      </c>
      <c r="BJ141" s="1" t="str">
        <f t="shared" si="52"/>
        <v/>
      </c>
      <c r="BK141" s="1" t="str">
        <f t="shared" si="53"/>
        <v/>
      </c>
      <c r="BL141" s="1" t="str">
        <f t="shared" si="54"/>
        <v/>
      </c>
      <c r="BM141" s="1" t="str">
        <f t="shared" si="55"/>
        <v/>
      </c>
      <c r="BN141" s="1" t="str">
        <f t="shared" si="56"/>
        <v/>
      </c>
      <c r="BO141" s="1" t="str">
        <f t="shared" si="57"/>
        <v>M1918Mod</v>
      </c>
      <c r="BP141" s="1" t="str">
        <f t="shared" si="58"/>
        <v/>
      </c>
      <c r="BQ141" s="1" t="str">
        <f t="shared" si="59"/>
        <v/>
      </c>
      <c r="BR141" s="1" t="str">
        <f t="shared" si="60"/>
        <v/>
      </c>
      <c r="BS141" s="1" t="str">
        <f t="shared" si="61"/>
        <v/>
      </c>
    </row>
    <row r="142" spans="48:71" x14ac:dyDescent="0.3">
      <c r="AV142" t="s">
        <v>107</v>
      </c>
      <c r="AZ142" s="1" t="str">
        <f t="shared" si="42"/>
        <v/>
      </c>
      <c r="BA142" s="1" t="str">
        <f t="shared" si="43"/>
        <v/>
      </c>
      <c r="BB142" s="1" t="str">
        <f t="shared" si="44"/>
        <v/>
      </c>
      <c r="BC142" s="1" t="str">
        <f t="shared" si="45"/>
        <v/>
      </c>
      <c r="BD142" s="1" t="str">
        <f t="shared" si="46"/>
        <v/>
      </c>
      <c r="BE142" s="1" t="str">
        <f t="shared" si="47"/>
        <v/>
      </c>
      <c r="BF142" s="1" t="str">
        <f t="shared" si="48"/>
        <v/>
      </c>
      <c r="BG142" s="1" t="str">
        <f t="shared" si="49"/>
        <v/>
      </c>
      <c r="BH142" s="1" t="str">
        <f t="shared" si="50"/>
        <v/>
      </c>
      <c r="BI142" s="1" t="str">
        <f t="shared" si="51"/>
        <v/>
      </c>
      <c r="BJ142" s="1" t="str">
        <f t="shared" si="52"/>
        <v/>
      </c>
      <c r="BK142" s="1" t="str">
        <f t="shared" si="53"/>
        <v/>
      </c>
      <c r="BL142" s="1" t="str">
        <f t="shared" si="54"/>
        <v/>
      </c>
      <c r="BM142" s="1" t="str">
        <f t="shared" si="55"/>
        <v/>
      </c>
      <c r="BN142" s="1" t="str">
        <f t="shared" si="56"/>
        <v/>
      </c>
      <c r="BO142" s="1" t="str">
        <f t="shared" si="57"/>
        <v>M1918Ranking</v>
      </c>
      <c r="BP142" s="1" t="str">
        <f t="shared" si="58"/>
        <v/>
      </c>
      <c r="BQ142" s="1" t="str">
        <f t="shared" si="59"/>
        <v/>
      </c>
      <c r="BR142" s="1" t="str">
        <f t="shared" si="60"/>
        <v/>
      </c>
      <c r="BS142" s="1" t="str">
        <f t="shared" si="61"/>
        <v/>
      </c>
    </row>
    <row r="143" spans="48:71" x14ac:dyDescent="0.3">
      <c r="AV143" t="s">
        <v>7141</v>
      </c>
      <c r="AZ143" s="1" t="str">
        <f t="shared" si="42"/>
        <v/>
      </c>
      <c r="BA143" s="1" t="str">
        <f t="shared" si="43"/>
        <v/>
      </c>
      <c r="BB143" s="1" t="str">
        <f t="shared" si="44"/>
        <v/>
      </c>
      <c r="BC143" s="1" t="str">
        <f t="shared" si="45"/>
        <v/>
      </c>
      <c r="BD143" s="1" t="str">
        <f t="shared" si="46"/>
        <v/>
      </c>
      <c r="BE143" s="1" t="str">
        <f t="shared" si="47"/>
        <v/>
      </c>
      <c r="BF143" s="1" t="str">
        <f t="shared" si="48"/>
        <v/>
      </c>
      <c r="BG143" s="1" t="str">
        <f t="shared" si="49"/>
        <v/>
      </c>
      <c r="BH143" s="1" t="str">
        <f t="shared" si="50"/>
        <v/>
      </c>
      <c r="BI143" s="1" t="str">
        <f t="shared" si="51"/>
        <v/>
      </c>
      <c r="BJ143" s="1" t="str">
        <f t="shared" si="52"/>
        <v/>
      </c>
      <c r="BK143" s="1" t="str">
        <f t="shared" si="53"/>
        <v/>
      </c>
      <c r="BL143" s="1" t="str">
        <f t="shared" si="54"/>
        <v/>
      </c>
      <c r="BM143" s="1" t="str">
        <f t="shared" si="55"/>
        <v/>
      </c>
      <c r="BN143" s="1" t="str">
        <f t="shared" si="56"/>
        <v/>
      </c>
      <c r="BO143" s="1" t="str">
        <f t="shared" si="57"/>
        <v>M1919A4</v>
      </c>
      <c r="BP143" s="1" t="str">
        <f t="shared" si="58"/>
        <v/>
      </c>
      <c r="BQ143" s="1" t="str">
        <f t="shared" si="59"/>
        <v/>
      </c>
      <c r="BR143" s="1" t="str">
        <f t="shared" si="60"/>
        <v/>
      </c>
      <c r="BS143" s="1" t="str">
        <f t="shared" si="61"/>
        <v/>
      </c>
    </row>
    <row r="144" spans="48:71" x14ac:dyDescent="0.3">
      <c r="AV144" t="s">
        <v>8300</v>
      </c>
      <c r="AZ144" s="1" t="str">
        <f t="shared" si="42"/>
        <v/>
      </c>
      <c r="BA144" s="1" t="str">
        <f t="shared" si="43"/>
        <v/>
      </c>
      <c r="BB144" s="1" t="str">
        <f t="shared" si="44"/>
        <v/>
      </c>
      <c r="BC144" s="1" t="str">
        <f t="shared" si="45"/>
        <v/>
      </c>
      <c r="BD144" s="1" t="str">
        <f t="shared" si="46"/>
        <v/>
      </c>
      <c r="BE144" s="1" t="str">
        <f t="shared" si="47"/>
        <v/>
      </c>
      <c r="BF144" s="1" t="str">
        <f t="shared" si="48"/>
        <v/>
      </c>
      <c r="BG144" s="1" t="str">
        <f t="shared" si="49"/>
        <v/>
      </c>
      <c r="BH144" s="1" t="str">
        <f t="shared" si="50"/>
        <v/>
      </c>
      <c r="BI144" s="1" t="str">
        <f t="shared" si="51"/>
        <v/>
      </c>
      <c r="BJ144" s="1" t="str">
        <f t="shared" si="52"/>
        <v/>
      </c>
      <c r="BK144" s="1" t="str">
        <f t="shared" si="53"/>
        <v/>
      </c>
      <c r="BL144" s="1" t="str">
        <f t="shared" si="54"/>
        <v/>
      </c>
      <c r="BM144" s="1" t="str">
        <f t="shared" si="55"/>
        <v/>
      </c>
      <c r="BN144" s="1" t="str">
        <f t="shared" si="56"/>
        <v/>
      </c>
      <c r="BO144" s="1" t="str">
        <f t="shared" si="57"/>
        <v>M1919A4Mod</v>
      </c>
      <c r="BP144" s="1" t="str">
        <f t="shared" si="58"/>
        <v/>
      </c>
      <c r="BQ144" s="1" t="str">
        <f t="shared" si="59"/>
        <v/>
      </c>
      <c r="BR144" s="1" t="str">
        <f t="shared" si="60"/>
        <v/>
      </c>
      <c r="BS144" s="1" t="str">
        <f t="shared" si="61"/>
        <v/>
      </c>
    </row>
    <row r="145" spans="48:71" x14ac:dyDescent="0.3">
      <c r="AV145" t="s">
        <v>788</v>
      </c>
      <c r="AZ145" s="1" t="str">
        <f t="shared" si="42"/>
        <v/>
      </c>
      <c r="BA145" s="1" t="str">
        <f t="shared" si="43"/>
        <v/>
      </c>
      <c r="BB145" s="1" t="str">
        <f t="shared" si="44"/>
        <v/>
      </c>
      <c r="BC145" s="1" t="str">
        <f t="shared" si="45"/>
        <v/>
      </c>
      <c r="BD145" s="1" t="str">
        <f t="shared" si="46"/>
        <v/>
      </c>
      <c r="BE145" s="1" t="str">
        <f t="shared" si="47"/>
        <v/>
      </c>
      <c r="BF145" s="1" t="str">
        <f t="shared" si="48"/>
        <v/>
      </c>
      <c r="BG145" s="1" t="str">
        <f t="shared" si="49"/>
        <v/>
      </c>
      <c r="BH145" s="1" t="str">
        <f t="shared" si="50"/>
        <v/>
      </c>
      <c r="BI145" s="1" t="str">
        <f t="shared" si="51"/>
        <v/>
      </c>
      <c r="BJ145" s="1" t="str">
        <f t="shared" si="52"/>
        <v/>
      </c>
      <c r="BK145" s="1" t="str">
        <f t="shared" si="53"/>
        <v/>
      </c>
      <c r="BL145" s="1" t="str">
        <f t="shared" si="54"/>
        <v/>
      </c>
      <c r="BM145" s="1" t="str">
        <f t="shared" si="55"/>
        <v/>
      </c>
      <c r="BN145" s="1" t="str">
        <f t="shared" si="56"/>
        <v/>
      </c>
      <c r="BO145" s="1" t="str">
        <f t="shared" si="57"/>
        <v>M1919A4ModGZ</v>
      </c>
      <c r="BP145" s="1" t="str">
        <f t="shared" si="58"/>
        <v/>
      </c>
      <c r="BQ145" s="1" t="str">
        <f t="shared" si="59"/>
        <v/>
      </c>
      <c r="BR145" s="1" t="str">
        <f t="shared" si="60"/>
        <v/>
      </c>
      <c r="BS145" s="1" t="str">
        <f t="shared" si="61"/>
        <v/>
      </c>
    </row>
    <row r="146" spans="48:71" x14ac:dyDescent="0.3">
      <c r="AV146" t="s">
        <v>89</v>
      </c>
      <c r="AZ146" s="1" t="str">
        <f t="shared" si="42"/>
        <v/>
      </c>
      <c r="BA146" s="1" t="str">
        <f t="shared" si="43"/>
        <v/>
      </c>
      <c r="BB146" s="1" t="str">
        <f t="shared" si="44"/>
        <v/>
      </c>
      <c r="BC146" s="1" t="str">
        <f t="shared" si="45"/>
        <v/>
      </c>
      <c r="BD146" s="1" t="str">
        <f t="shared" si="46"/>
        <v/>
      </c>
      <c r="BE146" s="1" t="str">
        <f t="shared" si="47"/>
        <v/>
      </c>
      <c r="BF146" s="1" t="str">
        <f t="shared" si="48"/>
        <v/>
      </c>
      <c r="BG146" s="1" t="str">
        <f t="shared" si="49"/>
        <v/>
      </c>
      <c r="BH146" s="1" t="str">
        <f t="shared" si="50"/>
        <v/>
      </c>
      <c r="BI146" s="1" t="str">
        <f t="shared" si="51"/>
        <v/>
      </c>
      <c r="BJ146" s="1" t="str">
        <f t="shared" si="52"/>
        <v/>
      </c>
      <c r="BK146" s="1" t="str">
        <f t="shared" si="53"/>
        <v/>
      </c>
      <c r="BL146" s="1" t="str">
        <f t="shared" si="54"/>
        <v/>
      </c>
      <c r="BM146" s="1" t="str">
        <f t="shared" si="55"/>
        <v/>
      </c>
      <c r="BN146" s="1" t="str">
        <f t="shared" si="56"/>
        <v/>
      </c>
      <c r="BO146" s="1" t="str">
        <f t="shared" si="57"/>
        <v>M1A1</v>
      </c>
      <c r="BP146" s="1" t="str">
        <f t="shared" si="58"/>
        <v/>
      </c>
      <c r="BQ146" s="1" t="str">
        <f t="shared" si="59"/>
        <v/>
      </c>
      <c r="BR146" s="1" t="str">
        <f t="shared" si="60"/>
        <v/>
      </c>
      <c r="BS146" s="1" t="str">
        <f t="shared" si="61"/>
        <v/>
      </c>
    </row>
    <row r="147" spans="48:71" x14ac:dyDescent="0.3">
      <c r="AV147" t="s">
        <v>1171</v>
      </c>
      <c r="AZ147" s="1" t="str">
        <f t="shared" si="42"/>
        <v/>
      </c>
      <c r="BA147" s="1" t="str">
        <f t="shared" si="43"/>
        <v/>
      </c>
      <c r="BB147" s="1" t="str">
        <f t="shared" si="44"/>
        <v/>
      </c>
      <c r="BC147" s="1" t="str">
        <f t="shared" si="45"/>
        <v/>
      </c>
      <c r="BD147" s="1" t="str">
        <f t="shared" si="46"/>
        <v/>
      </c>
      <c r="BE147" s="1" t="str">
        <f t="shared" si="47"/>
        <v/>
      </c>
      <c r="BF147" s="1" t="str">
        <f t="shared" si="48"/>
        <v/>
      </c>
      <c r="BG147" s="1" t="str">
        <f t="shared" si="49"/>
        <v/>
      </c>
      <c r="BH147" s="1" t="str">
        <f t="shared" si="50"/>
        <v/>
      </c>
      <c r="BI147" s="1" t="str">
        <f t="shared" si="51"/>
        <v/>
      </c>
      <c r="BJ147" s="1" t="str">
        <f t="shared" si="52"/>
        <v/>
      </c>
      <c r="BK147" s="1" t="str">
        <f t="shared" si="53"/>
        <v/>
      </c>
      <c r="BL147" s="1" t="str">
        <f t="shared" si="54"/>
        <v/>
      </c>
      <c r="BM147" s="1" t="str">
        <f t="shared" si="55"/>
        <v/>
      </c>
      <c r="BN147" s="1" t="str">
        <f t="shared" si="56"/>
        <v/>
      </c>
      <c r="BO147" s="1" t="str">
        <f t="shared" si="57"/>
        <v>M21</v>
      </c>
      <c r="BP147" s="1" t="str">
        <f t="shared" si="58"/>
        <v/>
      </c>
      <c r="BQ147" s="1" t="str">
        <f t="shared" si="59"/>
        <v/>
      </c>
      <c r="BR147" s="1" t="str">
        <f t="shared" si="60"/>
        <v/>
      </c>
      <c r="BS147" s="1" t="str">
        <f t="shared" si="61"/>
        <v/>
      </c>
    </row>
    <row r="148" spans="48:71" x14ac:dyDescent="0.3">
      <c r="AV148" t="s">
        <v>789</v>
      </c>
      <c r="AZ148" s="1" t="str">
        <f t="shared" si="42"/>
        <v/>
      </c>
      <c r="BA148" s="1" t="str">
        <f t="shared" si="43"/>
        <v/>
      </c>
      <c r="BB148" s="1" t="str">
        <f t="shared" si="44"/>
        <v/>
      </c>
      <c r="BC148" s="1" t="str">
        <f t="shared" si="45"/>
        <v/>
      </c>
      <c r="BD148" s="1" t="str">
        <f t="shared" si="46"/>
        <v/>
      </c>
      <c r="BE148" s="1" t="str">
        <f t="shared" si="47"/>
        <v/>
      </c>
      <c r="BF148" s="1" t="str">
        <f t="shared" si="48"/>
        <v/>
      </c>
      <c r="BG148" s="1" t="str">
        <f t="shared" si="49"/>
        <v/>
      </c>
      <c r="BH148" s="1" t="str">
        <f t="shared" si="50"/>
        <v/>
      </c>
      <c r="BI148" s="1" t="str">
        <f t="shared" si="51"/>
        <v/>
      </c>
      <c r="BJ148" s="1" t="str">
        <f t="shared" si="52"/>
        <v/>
      </c>
      <c r="BK148" s="1" t="str">
        <f t="shared" si="53"/>
        <v/>
      </c>
      <c r="BL148" s="1" t="str">
        <f t="shared" si="54"/>
        <v/>
      </c>
      <c r="BM148" s="1" t="str">
        <f t="shared" si="55"/>
        <v/>
      </c>
      <c r="BN148" s="1" t="str">
        <f t="shared" si="56"/>
        <v/>
      </c>
      <c r="BO148" s="1" t="str">
        <f t="shared" si="57"/>
        <v>M249SAW</v>
      </c>
      <c r="BP148" s="1" t="str">
        <f t="shared" si="58"/>
        <v/>
      </c>
      <c r="BQ148" s="1" t="str">
        <f t="shared" si="59"/>
        <v/>
      </c>
      <c r="BR148" s="1" t="str">
        <f t="shared" si="60"/>
        <v/>
      </c>
      <c r="BS148" s="1" t="str">
        <f t="shared" si="61"/>
        <v/>
      </c>
    </row>
    <row r="149" spans="48:71" x14ac:dyDescent="0.3">
      <c r="AV149" t="s">
        <v>77</v>
      </c>
      <c r="AZ149" s="1" t="str">
        <f t="shared" si="42"/>
        <v/>
      </c>
      <c r="BA149" s="1" t="str">
        <f t="shared" si="43"/>
        <v/>
      </c>
      <c r="BB149" s="1" t="str">
        <f t="shared" si="44"/>
        <v/>
      </c>
      <c r="BC149" s="1" t="str">
        <f t="shared" si="45"/>
        <v/>
      </c>
      <c r="BD149" s="1" t="str">
        <f t="shared" si="46"/>
        <v/>
      </c>
      <c r="BE149" s="1" t="str">
        <f t="shared" si="47"/>
        <v/>
      </c>
      <c r="BF149" s="1" t="str">
        <f t="shared" si="48"/>
        <v/>
      </c>
      <c r="BG149" s="1" t="str">
        <f t="shared" si="49"/>
        <v/>
      </c>
      <c r="BH149" s="1" t="str">
        <f t="shared" si="50"/>
        <v/>
      </c>
      <c r="BI149" s="1" t="str">
        <f t="shared" si="51"/>
        <v/>
      </c>
      <c r="BJ149" s="1" t="str">
        <f t="shared" si="52"/>
        <v/>
      </c>
      <c r="BK149" s="1" t="str">
        <f t="shared" si="53"/>
        <v/>
      </c>
      <c r="BL149" s="1" t="str">
        <f t="shared" si="54"/>
        <v/>
      </c>
      <c r="BM149" s="1" t="str">
        <f t="shared" si="55"/>
        <v/>
      </c>
      <c r="BN149" s="1" t="str">
        <f t="shared" si="56"/>
        <v/>
      </c>
      <c r="BO149" s="1" t="str">
        <f t="shared" si="57"/>
        <v>M2HB</v>
      </c>
      <c r="BP149" s="1" t="str">
        <f t="shared" si="58"/>
        <v/>
      </c>
      <c r="BQ149" s="1" t="str">
        <f t="shared" si="59"/>
        <v/>
      </c>
      <c r="BR149" s="1" t="str">
        <f t="shared" si="60"/>
        <v/>
      </c>
      <c r="BS149" s="1" t="str">
        <f t="shared" si="61"/>
        <v/>
      </c>
    </row>
    <row r="150" spans="48:71" x14ac:dyDescent="0.3">
      <c r="AV150" t="s">
        <v>147</v>
      </c>
      <c r="AZ150" s="1" t="str">
        <f t="shared" si="42"/>
        <v/>
      </c>
      <c r="BA150" s="1" t="str">
        <f t="shared" si="43"/>
        <v/>
      </c>
      <c r="BB150" s="1" t="str">
        <f t="shared" si="44"/>
        <v/>
      </c>
      <c r="BC150" s="1" t="str">
        <f t="shared" si="45"/>
        <v/>
      </c>
      <c r="BD150" s="1" t="str">
        <f t="shared" si="46"/>
        <v/>
      </c>
      <c r="BE150" s="1" t="str">
        <f t="shared" si="47"/>
        <v/>
      </c>
      <c r="BF150" s="1" t="str">
        <f t="shared" si="48"/>
        <v/>
      </c>
      <c r="BG150" s="1" t="str">
        <f t="shared" si="49"/>
        <v/>
      </c>
      <c r="BH150" s="1" t="str">
        <f t="shared" si="50"/>
        <v/>
      </c>
      <c r="BI150" s="1" t="str">
        <f t="shared" si="51"/>
        <v/>
      </c>
      <c r="BJ150" s="1" t="str">
        <f t="shared" si="52"/>
        <v/>
      </c>
      <c r="BK150" s="1" t="str">
        <f t="shared" si="53"/>
        <v/>
      </c>
      <c r="BL150" s="1" t="str">
        <f t="shared" si="54"/>
        <v/>
      </c>
      <c r="BM150" s="1" t="str">
        <f t="shared" si="55"/>
        <v/>
      </c>
      <c r="BN150" s="1" t="str">
        <f t="shared" si="56"/>
        <v/>
      </c>
      <c r="BO150" s="1" t="str">
        <f t="shared" si="57"/>
        <v>M3</v>
      </c>
      <c r="BP150" s="1" t="str">
        <f t="shared" si="58"/>
        <v/>
      </c>
      <c r="BQ150" s="1" t="str">
        <f t="shared" si="59"/>
        <v/>
      </c>
      <c r="BR150" s="1" t="str">
        <f t="shared" si="60"/>
        <v/>
      </c>
      <c r="BS150" s="1" t="str">
        <f t="shared" si="61"/>
        <v/>
      </c>
    </row>
    <row r="151" spans="48:71" x14ac:dyDescent="0.3">
      <c r="AV151" t="s">
        <v>714</v>
      </c>
      <c r="AZ151" s="1" t="str">
        <f t="shared" si="42"/>
        <v/>
      </c>
      <c r="BA151" s="1" t="str">
        <f t="shared" si="43"/>
        <v/>
      </c>
      <c r="BB151" s="1" t="str">
        <f t="shared" si="44"/>
        <v/>
      </c>
      <c r="BC151" s="1" t="str">
        <f t="shared" si="45"/>
        <v/>
      </c>
      <c r="BD151" s="1" t="str">
        <f t="shared" si="46"/>
        <v/>
      </c>
      <c r="BE151" s="1" t="str">
        <f t="shared" si="47"/>
        <v/>
      </c>
      <c r="BF151" s="1" t="str">
        <f t="shared" si="48"/>
        <v/>
      </c>
      <c r="BG151" s="1" t="str">
        <f t="shared" si="49"/>
        <v/>
      </c>
      <c r="BH151" s="1" t="str">
        <f t="shared" si="50"/>
        <v/>
      </c>
      <c r="BI151" s="1" t="str">
        <f t="shared" si="51"/>
        <v/>
      </c>
      <c r="BJ151" s="1" t="str">
        <f t="shared" si="52"/>
        <v/>
      </c>
      <c r="BK151" s="1" t="str">
        <f t="shared" si="53"/>
        <v/>
      </c>
      <c r="BL151" s="1" t="str">
        <f t="shared" si="54"/>
        <v/>
      </c>
      <c r="BM151" s="1" t="str">
        <f t="shared" si="55"/>
        <v/>
      </c>
      <c r="BN151" s="1" t="str">
        <f t="shared" si="56"/>
        <v/>
      </c>
      <c r="BO151" s="1" t="str">
        <f t="shared" si="57"/>
        <v>M37</v>
      </c>
      <c r="BP151" s="1" t="str">
        <f t="shared" si="58"/>
        <v/>
      </c>
      <c r="BQ151" s="1" t="str">
        <f t="shared" si="59"/>
        <v/>
      </c>
      <c r="BR151" s="1" t="str">
        <f t="shared" si="60"/>
        <v/>
      </c>
      <c r="BS151" s="1" t="str">
        <f t="shared" si="61"/>
        <v/>
      </c>
    </row>
    <row r="152" spans="48:71" x14ac:dyDescent="0.3">
      <c r="AV152" t="s">
        <v>256</v>
      </c>
      <c r="AZ152" s="1" t="str">
        <f t="shared" si="42"/>
        <v/>
      </c>
      <c r="BA152" s="1" t="str">
        <f t="shared" si="43"/>
        <v/>
      </c>
      <c r="BB152" s="1" t="str">
        <f t="shared" si="44"/>
        <v/>
      </c>
      <c r="BC152" s="1" t="str">
        <f t="shared" si="45"/>
        <v/>
      </c>
      <c r="BD152" s="1" t="str">
        <f t="shared" si="46"/>
        <v/>
      </c>
      <c r="BE152" s="1" t="str">
        <f t="shared" si="47"/>
        <v/>
      </c>
      <c r="BF152" s="1" t="str">
        <f t="shared" si="48"/>
        <v/>
      </c>
      <c r="BG152" s="1" t="str">
        <f t="shared" si="49"/>
        <v/>
      </c>
      <c r="BH152" s="1" t="str">
        <f t="shared" si="50"/>
        <v/>
      </c>
      <c r="BI152" s="1" t="str">
        <f t="shared" si="51"/>
        <v/>
      </c>
      <c r="BJ152" s="1" t="str">
        <f t="shared" si="52"/>
        <v/>
      </c>
      <c r="BK152" s="1" t="str">
        <f t="shared" si="53"/>
        <v/>
      </c>
      <c r="BL152" s="1" t="str">
        <f t="shared" si="54"/>
        <v/>
      </c>
      <c r="BM152" s="1" t="str">
        <f t="shared" si="55"/>
        <v/>
      </c>
      <c r="BN152" s="1" t="str">
        <f t="shared" si="56"/>
        <v/>
      </c>
      <c r="BO152" s="1" t="str">
        <f t="shared" si="57"/>
        <v>M38Mod</v>
      </c>
      <c r="BP152" s="1" t="str">
        <f t="shared" si="58"/>
        <v/>
      </c>
      <c r="BQ152" s="1" t="str">
        <f t="shared" si="59"/>
        <v/>
      </c>
      <c r="BR152" s="1" t="str">
        <f t="shared" si="60"/>
        <v/>
      </c>
      <c r="BS152" s="1" t="str">
        <f t="shared" si="61"/>
        <v/>
      </c>
    </row>
    <row r="153" spans="48:71" x14ac:dyDescent="0.3">
      <c r="AV153" t="s">
        <v>255</v>
      </c>
      <c r="AZ153" s="1" t="str">
        <f t="shared" si="42"/>
        <v/>
      </c>
      <c r="BA153" s="1" t="str">
        <f t="shared" si="43"/>
        <v/>
      </c>
      <c r="BB153" s="1" t="str">
        <f t="shared" si="44"/>
        <v/>
      </c>
      <c r="BC153" s="1" t="str">
        <f t="shared" si="45"/>
        <v/>
      </c>
      <c r="BD153" s="1" t="str">
        <f t="shared" si="46"/>
        <v/>
      </c>
      <c r="BE153" s="1" t="str">
        <f t="shared" si="47"/>
        <v/>
      </c>
      <c r="BF153" s="1" t="str">
        <f t="shared" si="48"/>
        <v/>
      </c>
      <c r="BG153" s="1" t="str">
        <f t="shared" si="49"/>
        <v/>
      </c>
      <c r="BH153" s="1" t="str">
        <f t="shared" si="50"/>
        <v/>
      </c>
      <c r="BI153" s="1" t="str">
        <f t="shared" si="51"/>
        <v/>
      </c>
      <c r="BJ153" s="1" t="str">
        <f t="shared" si="52"/>
        <v/>
      </c>
      <c r="BK153" s="1" t="str">
        <f t="shared" si="53"/>
        <v/>
      </c>
      <c r="BL153" s="1" t="str">
        <f t="shared" si="54"/>
        <v/>
      </c>
      <c r="BM153" s="1" t="str">
        <f t="shared" si="55"/>
        <v/>
      </c>
      <c r="BN153" s="1" t="str">
        <f t="shared" si="56"/>
        <v/>
      </c>
      <c r="BO153" s="1" t="str">
        <f t="shared" si="57"/>
        <v>M4 SOPMOD IIMod</v>
      </c>
      <c r="BP153" s="1" t="str">
        <f t="shared" si="58"/>
        <v/>
      </c>
      <c r="BQ153" s="1" t="str">
        <f t="shared" si="59"/>
        <v/>
      </c>
      <c r="BR153" s="1" t="str">
        <f t="shared" si="60"/>
        <v/>
      </c>
      <c r="BS153" s="1" t="str">
        <f t="shared" si="61"/>
        <v/>
      </c>
    </row>
    <row r="154" spans="48:71" x14ac:dyDescent="0.3">
      <c r="AV154" t="s">
        <v>715</v>
      </c>
      <c r="AZ154" s="1" t="str">
        <f t="shared" si="42"/>
        <v/>
      </c>
      <c r="BA154" s="1" t="str">
        <f t="shared" si="43"/>
        <v/>
      </c>
      <c r="BB154" s="1" t="str">
        <f t="shared" si="44"/>
        <v/>
      </c>
      <c r="BC154" s="1" t="str">
        <f t="shared" si="45"/>
        <v/>
      </c>
      <c r="BD154" s="1" t="str">
        <f t="shared" si="46"/>
        <v/>
      </c>
      <c r="BE154" s="1" t="str">
        <f t="shared" si="47"/>
        <v/>
      </c>
      <c r="BF154" s="1" t="str">
        <f t="shared" si="48"/>
        <v/>
      </c>
      <c r="BG154" s="1" t="str">
        <f t="shared" si="49"/>
        <v/>
      </c>
      <c r="BH154" s="1" t="str">
        <f t="shared" si="50"/>
        <v/>
      </c>
      <c r="BI154" s="1" t="str">
        <f t="shared" si="51"/>
        <v/>
      </c>
      <c r="BJ154" s="1" t="str">
        <f t="shared" si="52"/>
        <v/>
      </c>
      <c r="BK154" s="1" t="str">
        <f t="shared" si="53"/>
        <v/>
      </c>
      <c r="BL154" s="1" t="str">
        <f t="shared" si="54"/>
        <v/>
      </c>
      <c r="BM154" s="1" t="str">
        <f t="shared" si="55"/>
        <v/>
      </c>
      <c r="BN154" s="1" t="str">
        <f t="shared" si="56"/>
        <v/>
      </c>
      <c r="BO154" s="1" t="str">
        <f t="shared" si="57"/>
        <v>M4A1Mod</v>
      </c>
      <c r="BP154" s="1" t="str">
        <f t="shared" si="58"/>
        <v/>
      </c>
      <c r="BQ154" s="1" t="str">
        <f t="shared" si="59"/>
        <v/>
      </c>
      <c r="BR154" s="1" t="str">
        <f t="shared" si="60"/>
        <v/>
      </c>
      <c r="BS154" s="1" t="str">
        <f t="shared" si="61"/>
        <v/>
      </c>
    </row>
    <row r="155" spans="48:71" x14ac:dyDescent="0.3">
      <c r="AV155" t="s">
        <v>9071</v>
      </c>
      <c r="AZ155" s="1" t="str">
        <f t="shared" si="42"/>
        <v/>
      </c>
      <c r="BA155" s="1" t="str">
        <f t="shared" si="43"/>
        <v/>
      </c>
      <c r="BB155" s="1" t="str">
        <f t="shared" si="44"/>
        <v/>
      </c>
      <c r="BC155" s="1" t="str">
        <f t="shared" si="45"/>
        <v/>
      </c>
      <c r="BD155" s="1" t="str">
        <f t="shared" si="46"/>
        <v/>
      </c>
      <c r="BE155" s="1" t="str">
        <f t="shared" si="47"/>
        <v/>
      </c>
      <c r="BF155" s="1" t="str">
        <f t="shared" si="48"/>
        <v/>
      </c>
      <c r="BG155" s="1" t="str">
        <f t="shared" si="49"/>
        <v/>
      </c>
      <c r="BH155" s="1" t="str">
        <f t="shared" si="50"/>
        <v/>
      </c>
      <c r="BI155" s="1" t="str">
        <f t="shared" si="51"/>
        <v/>
      </c>
      <c r="BJ155" s="1" t="str">
        <f t="shared" si="52"/>
        <v/>
      </c>
      <c r="BK155" s="1" t="str">
        <f t="shared" si="53"/>
        <v/>
      </c>
      <c r="BL155" s="1" t="str">
        <f t="shared" si="54"/>
        <v/>
      </c>
      <c r="BM155" s="1" t="str">
        <f t="shared" si="55"/>
        <v/>
      </c>
      <c r="BN155" s="1" t="str">
        <f t="shared" si="56"/>
        <v/>
      </c>
      <c r="BO155" s="1" t="str">
        <f t="shared" si="57"/>
        <v>M500Mod</v>
      </c>
      <c r="BP155" s="1" t="str">
        <f t="shared" si="58"/>
        <v/>
      </c>
      <c r="BQ155" s="1" t="str">
        <f t="shared" si="59"/>
        <v/>
      </c>
      <c r="BR155" s="1" t="str">
        <f t="shared" si="60"/>
        <v/>
      </c>
      <c r="BS155" s="1" t="str">
        <f t="shared" si="61"/>
        <v/>
      </c>
    </row>
    <row r="156" spans="48:71" x14ac:dyDescent="0.3">
      <c r="AV156" t="s">
        <v>811</v>
      </c>
      <c r="AZ156" s="1" t="str">
        <f t="shared" si="42"/>
        <v/>
      </c>
      <c r="BA156" s="1" t="str">
        <f t="shared" si="43"/>
        <v/>
      </c>
      <c r="BB156" s="1" t="str">
        <f t="shared" si="44"/>
        <v/>
      </c>
      <c r="BC156" s="1" t="str">
        <f t="shared" si="45"/>
        <v/>
      </c>
      <c r="BD156" s="1" t="str">
        <f t="shared" si="46"/>
        <v/>
      </c>
      <c r="BE156" s="1" t="str">
        <f t="shared" si="47"/>
        <v/>
      </c>
      <c r="BF156" s="1" t="str">
        <f t="shared" si="48"/>
        <v/>
      </c>
      <c r="BG156" s="1" t="str">
        <f t="shared" si="49"/>
        <v/>
      </c>
      <c r="BH156" s="1" t="str">
        <f t="shared" si="50"/>
        <v/>
      </c>
      <c r="BI156" s="1" t="str">
        <f t="shared" si="51"/>
        <v/>
      </c>
      <c r="BJ156" s="1" t="str">
        <f t="shared" si="52"/>
        <v/>
      </c>
      <c r="BK156" s="1" t="str">
        <f t="shared" si="53"/>
        <v/>
      </c>
      <c r="BL156" s="1" t="str">
        <f t="shared" si="54"/>
        <v/>
      </c>
      <c r="BM156" s="1" t="str">
        <f t="shared" si="55"/>
        <v/>
      </c>
      <c r="BN156" s="1" t="str">
        <f t="shared" si="56"/>
        <v/>
      </c>
      <c r="BO156" s="1" t="str">
        <f t="shared" si="57"/>
        <v>M500ModGZ</v>
      </c>
      <c r="BP156" s="1" t="str">
        <f t="shared" si="58"/>
        <v/>
      </c>
      <c r="BQ156" s="1" t="str">
        <f t="shared" si="59"/>
        <v/>
      </c>
      <c r="BR156" s="1" t="str">
        <f t="shared" si="60"/>
        <v/>
      </c>
      <c r="BS156" s="1" t="str">
        <f t="shared" si="61"/>
        <v/>
      </c>
    </row>
    <row r="157" spans="48:71" x14ac:dyDescent="0.3">
      <c r="AV157" t="s">
        <v>185</v>
      </c>
      <c r="AZ157" s="1" t="str">
        <f t="shared" si="42"/>
        <v/>
      </c>
      <c r="BA157" s="1" t="str">
        <f t="shared" si="43"/>
        <v/>
      </c>
      <c r="BB157" s="1" t="str">
        <f t="shared" si="44"/>
        <v/>
      </c>
      <c r="BC157" s="1" t="str">
        <f t="shared" si="45"/>
        <v/>
      </c>
      <c r="BD157" s="1" t="str">
        <f t="shared" si="46"/>
        <v/>
      </c>
      <c r="BE157" s="1" t="str">
        <f t="shared" si="47"/>
        <v/>
      </c>
      <c r="BF157" s="1" t="str">
        <f t="shared" si="48"/>
        <v/>
      </c>
      <c r="BG157" s="1" t="str">
        <f t="shared" si="49"/>
        <v/>
      </c>
      <c r="BH157" s="1" t="str">
        <f t="shared" si="50"/>
        <v/>
      </c>
      <c r="BI157" s="1" t="str">
        <f t="shared" si="51"/>
        <v/>
      </c>
      <c r="BJ157" s="1" t="str">
        <f t="shared" si="52"/>
        <v/>
      </c>
      <c r="BK157" s="1" t="str">
        <f t="shared" si="53"/>
        <v/>
      </c>
      <c r="BL157" s="1" t="str">
        <f t="shared" si="54"/>
        <v/>
      </c>
      <c r="BM157" s="1" t="str">
        <f t="shared" si="55"/>
        <v/>
      </c>
      <c r="BN157" s="1" t="str">
        <f t="shared" si="56"/>
        <v/>
      </c>
      <c r="BO157" s="1" t="str">
        <f t="shared" si="57"/>
        <v>M6 ASW</v>
      </c>
      <c r="BP157" s="1" t="str">
        <f t="shared" si="58"/>
        <v/>
      </c>
      <c r="BQ157" s="1" t="str">
        <f t="shared" si="59"/>
        <v/>
      </c>
      <c r="BR157" s="1" t="str">
        <f t="shared" si="60"/>
        <v/>
      </c>
      <c r="BS157" s="1" t="str">
        <f t="shared" si="61"/>
        <v/>
      </c>
    </row>
    <row r="158" spans="48:71" x14ac:dyDescent="0.3">
      <c r="AV158" t="s">
        <v>9218</v>
      </c>
      <c r="AZ158" s="1" t="str">
        <f t="shared" si="42"/>
        <v/>
      </c>
      <c r="BA158" s="1" t="str">
        <f t="shared" si="43"/>
        <v/>
      </c>
      <c r="BB158" s="1" t="str">
        <f t="shared" si="44"/>
        <v/>
      </c>
      <c r="BC158" s="1" t="str">
        <f t="shared" si="45"/>
        <v/>
      </c>
      <c r="BD158" s="1" t="str">
        <f t="shared" si="46"/>
        <v/>
      </c>
      <c r="BE158" s="1" t="str">
        <f t="shared" si="47"/>
        <v/>
      </c>
      <c r="BF158" s="1" t="str">
        <f t="shared" si="48"/>
        <v/>
      </c>
      <c r="BG158" s="1" t="str">
        <f t="shared" si="49"/>
        <v/>
      </c>
      <c r="BH158" s="1" t="str">
        <f t="shared" si="50"/>
        <v/>
      </c>
      <c r="BI158" s="1" t="str">
        <f t="shared" si="51"/>
        <v/>
      </c>
      <c r="BJ158" s="1" t="str">
        <f t="shared" si="52"/>
        <v/>
      </c>
      <c r="BK158" s="1" t="str">
        <f t="shared" si="53"/>
        <v/>
      </c>
      <c r="BL158" s="1" t="str">
        <f t="shared" si="54"/>
        <v/>
      </c>
      <c r="BM158" s="1" t="str">
        <f t="shared" si="55"/>
        <v/>
      </c>
      <c r="BN158" s="1" t="str">
        <f t="shared" si="56"/>
        <v/>
      </c>
      <c r="BO158" s="1" t="str">
        <f t="shared" si="57"/>
        <v>M82A1</v>
      </c>
      <c r="BP158" s="1" t="str">
        <f t="shared" si="58"/>
        <v/>
      </c>
      <c r="BQ158" s="1" t="str">
        <f t="shared" si="59"/>
        <v/>
      </c>
      <c r="BR158" s="1" t="str">
        <f t="shared" si="60"/>
        <v/>
      </c>
      <c r="BS158" s="1" t="str">
        <f t="shared" si="61"/>
        <v/>
      </c>
    </row>
    <row r="159" spans="48:71" x14ac:dyDescent="0.3">
      <c r="AV159" t="s">
        <v>5631</v>
      </c>
      <c r="AZ159" s="1" t="str">
        <f t="shared" si="42"/>
        <v/>
      </c>
      <c r="BA159" s="1" t="str">
        <f t="shared" si="43"/>
        <v/>
      </c>
      <c r="BB159" s="1" t="str">
        <f t="shared" si="44"/>
        <v/>
      </c>
      <c r="BC159" s="1" t="str">
        <f t="shared" si="45"/>
        <v/>
      </c>
      <c r="BD159" s="1" t="str">
        <f t="shared" si="46"/>
        <v/>
      </c>
      <c r="BE159" s="1" t="str">
        <f t="shared" si="47"/>
        <v/>
      </c>
      <c r="BF159" s="1" t="str">
        <f t="shared" si="48"/>
        <v/>
      </c>
      <c r="BG159" s="1" t="str">
        <f t="shared" si="49"/>
        <v/>
      </c>
      <c r="BH159" s="1" t="str">
        <f t="shared" si="50"/>
        <v/>
      </c>
      <c r="BI159" s="1" t="str">
        <f t="shared" si="51"/>
        <v/>
      </c>
      <c r="BJ159" s="1" t="str">
        <f t="shared" si="52"/>
        <v/>
      </c>
      <c r="BK159" s="1" t="str">
        <f t="shared" si="53"/>
        <v/>
      </c>
      <c r="BL159" s="1" t="str">
        <f t="shared" si="54"/>
        <v/>
      </c>
      <c r="BM159" s="1" t="str">
        <f t="shared" si="55"/>
        <v/>
      </c>
      <c r="BN159" s="1" t="str">
        <f t="shared" si="56"/>
        <v/>
      </c>
      <c r="BO159" s="1" t="str">
        <f t="shared" si="57"/>
        <v>M82A1GZ</v>
      </c>
      <c r="BP159" s="1" t="str">
        <f t="shared" si="58"/>
        <v/>
      </c>
      <c r="BQ159" s="1" t="str">
        <f t="shared" si="59"/>
        <v/>
      </c>
      <c r="BR159" s="1" t="str">
        <f t="shared" si="60"/>
        <v/>
      </c>
      <c r="BS159" s="1" t="str">
        <f t="shared" si="61"/>
        <v/>
      </c>
    </row>
    <row r="160" spans="48:71" x14ac:dyDescent="0.3">
      <c r="AV160" t="s">
        <v>63</v>
      </c>
      <c r="AZ160" s="1" t="str">
        <f t="shared" si="42"/>
        <v/>
      </c>
      <c r="BA160" s="1" t="str">
        <f t="shared" si="43"/>
        <v/>
      </c>
      <c r="BB160" s="1" t="str">
        <f t="shared" si="44"/>
        <v/>
      </c>
      <c r="BC160" s="1" t="str">
        <f t="shared" si="45"/>
        <v/>
      </c>
      <c r="BD160" s="1" t="str">
        <f t="shared" si="46"/>
        <v/>
      </c>
      <c r="BE160" s="1" t="str">
        <f t="shared" si="47"/>
        <v/>
      </c>
      <c r="BF160" s="1" t="str">
        <f t="shared" si="48"/>
        <v/>
      </c>
      <c r="BG160" s="1" t="str">
        <f t="shared" si="49"/>
        <v/>
      </c>
      <c r="BH160" s="1" t="str">
        <f t="shared" si="50"/>
        <v/>
      </c>
      <c r="BI160" s="1" t="str">
        <f t="shared" si="51"/>
        <v/>
      </c>
      <c r="BJ160" s="1" t="str">
        <f t="shared" si="52"/>
        <v/>
      </c>
      <c r="BK160" s="1" t="str">
        <f t="shared" si="53"/>
        <v/>
      </c>
      <c r="BL160" s="1" t="str">
        <f t="shared" si="54"/>
        <v/>
      </c>
      <c r="BM160" s="1" t="str">
        <f t="shared" si="55"/>
        <v/>
      </c>
      <c r="BN160" s="1" t="str">
        <f t="shared" si="56"/>
        <v/>
      </c>
      <c r="BO160" s="1" t="str">
        <f t="shared" si="57"/>
        <v>M870</v>
      </c>
      <c r="BP160" s="1" t="str">
        <f t="shared" si="58"/>
        <v/>
      </c>
      <c r="BQ160" s="1" t="str">
        <f t="shared" si="59"/>
        <v/>
      </c>
      <c r="BR160" s="1" t="str">
        <f t="shared" si="60"/>
        <v/>
      </c>
      <c r="BS160" s="1" t="str">
        <f t="shared" si="61"/>
        <v/>
      </c>
    </row>
    <row r="161" spans="48:71" x14ac:dyDescent="0.3">
      <c r="AV161" t="s">
        <v>262</v>
      </c>
      <c r="AZ161" s="1" t="str">
        <f t="shared" si="42"/>
        <v/>
      </c>
      <c r="BA161" s="1" t="str">
        <f t="shared" si="43"/>
        <v/>
      </c>
      <c r="BB161" s="1" t="str">
        <f t="shared" si="44"/>
        <v/>
      </c>
      <c r="BC161" s="1" t="str">
        <f t="shared" si="45"/>
        <v/>
      </c>
      <c r="BD161" s="1" t="str">
        <f t="shared" si="46"/>
        <v/>
      </c>
      <c r="BE161" s="1" t="str">
        <f t="shared" si="47"/>
        <v/>
      </c>
      <c r="BF161" s="1" t="str">
        <f t="shared" si="48"/>
        <v/>
      </c>
      <c r="BG161" s="1" t="str">
        <f t="shared" si="49"/>
        <v/>
      </c>
      <c r="BH161" s="1" t="str">
        <f t="shared" si="50"/>
        <v/>
      </c>
      <c r="BI161" s="1" t="str">
        <f t="shared" si="51"/>
        <v/>
      </c>
      <c r="BJ161" s="1" t="str">
        <f t="shared" si="52"/>
        <v/>
      </c>
      <c r="BK161" s="1" t="str">
        <f t="shared" si="53"/>
        <v/>
      </c>
      <c r="BL161" s="1" t="str">
        <f t="shared" si="54"/>
        <v/>
      </c>
      <c r="BM161" s="1" t="str">
        <f t="shared" si="55"/>
        <v/>
      </c>
      <c r="BN161" s="1" t="str">
        <f t="shared" si="56"/>
        <v/>
      </c>
      <c r="BO161" s="1" t="str">
        <f t="shared" si="57"/>
        <v>M9</v>
      </c>
      <c r="BP161" s="1" t="str">
        <f t="shared" si="58"/>
        <v/>
      </c>
      <c r="BQ161" s="1" t="str">
        <f t="shared" si="59"/>
        <v/>
      </c>
      <c r="BR161" s="1" t="str">
        <f t="shared" si="60"/>
        <v/>
      </c>
      <c r="BS161" s="1" t="str">
        <f t="shared" si="61"/>
        <v/>
      </c>
    </row>
    <row r="162" spans="48:71" x14ac:dyDescent="0.3">
      <c r="AV162" t="s">
        <v>8644</v>
      </c>
      <c r="AZ162" s="1" t="str">
        <f t="shared" si="42"/>
        <v/>
      </c>
      <c r="BA162" s="1" t="str">
        <f t="shared" si="43"/>
        <v/>
      </c>
      <c r="BB162" s="1" t="str">
        <f t="shared" si="44"/>
        <v/>
      </c>
      <c r="BC162" s="1" t="str">
        <f t="shared" si="45"/>
        <v/>
      </c>
      <c r="BD162" s="1" t="str">
        <f t="shared" si="46"/>
        <v/>
      </c>
      <c r="BE162" s="1" t="str">
        <f t="shared" si="47"/>
        <v/>
      </c>
      <c r="BF162" s="1" t="str">
        <f t="shared" si="48"/>
        <v/>
      </c>
      <c r="BG162" s="1" t="str">
        <f t="shared" si="49"/>
        <v/>
      </c>
      <c r="BH162" s="1" t="str">
        <f t="shared" si="50"/>
        <v/>
      </c>
      <c r="BI162" s="1" t="str">
        <f t="shared" si="51"/>
        <v/>
      </c>
      <c r="BJ162" s="1" t="str">
        <f t="shared" si="52"/>
        <v/>
      </c>
      <c r="BK162" s="1" t="str">
        <f t="shared" si="53"/>
        <v/>
      </c>
      <c r="BL162" s="1" t="str">
        <f t="shared" si="54"/>
        <v/>
      </c>
      <c r="BM162" s="1" t="str">
        <f t="shared" si="55"/>
        <v/>
      </c>
      <c r="BN162" s="1" t="str">
        <f t="shared" si="56"/>
        <v/>
      </c>
      <c r="BO162" s="1" t="str">
        <f t="shared" si="57"/>
        <v>M950AMod</v>
      </c>
      <c r="BP162" s="1" t="str">
        <f t="shared" si="58"/>
        <v/>
      </c>
      <c r="BQ162" s="1" t="str">
        <f t="shared" si="59"/>
        <v/>
      </c>
      <c r="BR162" s="1" t="str">
        <f t="shared" si="60"/>
        <v/>
      </c>
      <c r="BS162" s="1" t="str">
        <f t="shared" si="61"/>
        <v/>
      </c>
    </row>
    <row r="163" spans="48:71" x14ac:dyDescent="0.3">
      <c r="AV163" t="s">
        <v>68</v>
      </c>
      <c r="AZ163" s="1" t="str">
        <f t="shared" si="42"/>
        <v/>
      </c>
      <c r="BA163" s="1" t="str">
        <f t="shared" si="43"/>
        <v/>
      </c>
      <c r="BB163" s="1" t="str">
        <f t="shared" si="44"/>
        <v/>
      </c>
      <c r="BC163" s="1" t="str">
        <f t="shared" si="45"/>
        <v/>
      </c>
      <c r="BD163" s="1" t="str">
        <f t="shared" si="46"/>
        <v/>
      </c>
      <c r="BE163" s="1" t="str">
        <f t="shared" si="47"/>
        <v/>
      </c>
      <c r="BF163" s="1" t="str">
        <f t="shared" si="48"/>
        <v/>
      </c>
      <c r="BG163" s="1" t="str">
        <f t="shared" si="49"/>
        <v/>
      </c>
      <c r="BH163" s="1" t="str">
        <f t="shared" si="50"/>
        <v/>
      </c>
      <c r="BI163" s="1" t="str">
        <f t="shared" si="51"/>
        <v/>
      </c>
      <c r="BJ163" s="1" t="str">
        <f t="shared" si="52"/>
        <v/>
      </c>
      <c r="BK163" s="1" t="str">
        <f t="shared" si="53"/>
        <v/>
      </c>
      <c r="BL163" s="1" t="str">
        <f t="shared" si="54"/>
        <v/>
      </c>
      <c r="BM163" s="1" t="str">
        <f t="shared" si="55"/>
        <v/>
      </c>
      <c r="BN163" s="1" t="str">
        <f t="shared" si="56"/>
        <v/>
      </c>
      <c r="BO163" s="1" t="str">
        <f t="shared" si="57"/>
        <v>M950AModGZ</v>
      </c>
      <c r="BP163" s="1" t="str">
        <f t="shared" si="58"/>
        <v/>
      </c>
      <c r="BQ163" s="1" t="str">
        <f t="shared" si="59"/>
        <v/>
      </c>
      <c r="BR163" s="1" t="str">
        <f t="shared" si="60"/>
        <v/>
      </c>
      <c r="BS163" s="1" t="str">
        <f t="shared" si="61"/>
        <v/>
      </c>
    </row>
    <row r="164" spans="48:71" x14ac:dyDescent="0.3">
      <c r="AV164" t="s">
        <v>937</v>
      </c>
      <c r="AZ164" s="1" t="str">
        <f t="shared" si="42"/>
        <v/>
      </c>
      <c r="BA164" s="1" t="str">
        <f t="shared" si="43"/>
        <v/>
      </c>
      <c r="BB164" s="1" t="str">
        <f t="shared" si="44"/>
        <v/>
      </c>
      <c r="BC164" s="1" t="str">
        <f t="shared" si="45"/>
        <v/>
      </c>
      <c r="BD164" s="1" t="str">
        <f t="shared" si="46"/>
        <v/>
      </c>
      <c r="BE164" s="1" t="str">
        <f t="shared" si="47"/>
        <v/>
      </c>
      <c r="BF164" s="1" t="str">
        <f t="shared" si="48"/>
        <v/>
      </c>
      <c r="BG164" s="1" t="str">
        <f t="shared" si="49"/>
        <v/>
      </c>
      <c r="BH164" s="1" t="str">
        <f t="shared" si="50"/>
        <v/>
      </c>
      <c r="BI164" s="1" t="str">
        <f t="shared" si="51"/>
        <v/>
      </c>
      <c r="BJ164" s="1" t="str">
        <f t="shared" si="52"/>
        <v/>
      </c>
      <c r="BK164" s="1" t="str">
        <f t="shared" si="53"/>
        <v/>
      </c>
      <c r="BL164" s="1" t="str">
        <f t="shared" si="54"/>
        <v/>
      </c>
      <c r="BM164" s="1" t="str">
        <f t="shared" si="55"/>
        <v/>
      </c>
      <c r="BN164" s="1" t="str">
        <f t="shared" si="56"/>
        <v/>
      </c>
      <c r="BO164" s="1" t="str">
        <f t="shared" si="57"/>
        <v>Makarov</v>
      </c>
      <c r="BP164" s="1" t="str">
        <f t="shared" si="58"/>
        <v/>
      </c>
      <c r="BQ164" s="1" t="str">
        <f t="shared" si="59"/>
        <v/>
      </c>
      <c r="BR164" s="1" t="str">
        <f t="shared" si="60"/>
        <v/>
      </c>
      <c r="BS164" s="1" t="str">
        <f t="shared" si="61"/>
        <v/>
      </c>
    </row>
    <row r="165" spans="48:71" x14ac:dyDescent="0.3">
      <c r="AV165" t="s">
        <v>8123</v>
      </c>
      <c r="AZ165" s="1" t="str">
        <f t="shared" si="42"/>
        <v/>
      </c>
      <c r="BA165" s="1" t="str">
        <f t="shared" si="43"/>
        <v/>
      </c>
      <c r="BB165" s="1" t="str">
        <f t="shared" si="44"/>
        <v/>
      </c>
      <c r="BC165" s="1" t="str">
        <f t="shared" si="45"/>
        <v/>
      </c>
      <c r="BD165" s="1" t="str">
        <f t="shared" si="46"/>
        <v/>
      </c>
      <c r="BE165" s="1" t="str">
        <f t="shared" si="47"/>
        <v/>
      </c>
      <c r="BF165" s="1" t="str">
        <f t="shared" si="48"/>
        <v/>
      </c>
      <c r="BG165" s="1" t="str">
        <f t="shared" si="49"/>
        <v/>
      </c>
      <c r="BH165" s="1" t="str">
        <f t="shared" si="50"/>
        <v/>
      </c>
      <c r="BI165" s="1" t="str">
        <f t="shared" si="51"/>
        <v/>
      </c>
      <c r="BJ165" s="1" t="str">
        <f t="shared" si="52"/>
        <v/>
      </c>
      <c r="BK165" s="1" t="str">
        <f t="shared" si="53"/>
        <v/>
      </c>
      <c r="BL165" s="1" t="str">
        <f t="shared" si="54"/>
        <v/>
      </c>
      <c r="BM165" s="1" t="str">
        <f t="shared" si="55"/>
        <v/>
      </c>
      <c r="BN165" s="1" t="str">
        <f t="shared" si="56"/>
        <v/>
      </c>
      <c r="BO165" s="1" t="str">
        <f t="shared" si="57"/>
        <v>MakarovMod</v>
      </c>
      <c r="BP165" s="1" t="str">
        <f t="shared" si="58"/>
        <v/>
      </c>
      <c r="BQ165" s="1" t="str">
        <f t="shared" si="59"/>
        <v/>
      </c>
      <c r="BR165" s="1" t="str">
        <f t="shared" si="60"/>
        <v/>
      </c>
      <c r="BS165" s="1" t="str">
        <f t="shared" si="61"/>
        <v/>
      </c>
    </row>
    <row r="166" spans="48:71" x14ac:dyDescent="0.3">
      <c r="AV166" t="s">
        <v>179</v>
      </c>
      <c r="AZ166" s="1" t="str">
        <f t="shared" si="42"/>
        <v/>
      </c>
      <c r="BA166" s="1" t="str">
        <f t="shared" si="43"/>
        <v/>
      </c>
      <c r="BB166" s="1" t="str">
        <f t="shared" si="44"/>
        <v/>
      </c>
      <c r="BC166" s="1" t="str">
        <f t="shared" si="45"/>
        <v/>
      </c>
      <c r="BD166" s="1" t="str">
        <f t="shared" si="46"/>
        <v/>
      </c>
      <c r="BE166" s="1" t="str">
        <f t="shared" si="47"/>
        <v/>
      </c>
      <c r="BF166" s="1" t="str">
        <f t="shared" si="48"/>
        <v/>
      </c>
      <c r="BG166" s="1" t="str">
        <f t="shared" si="49"/>
        <v/>
      </c>
      <c r="BH166" s="1" t="str">
        <f t="shared" si="50"/>
        <v/>
      </c>
      <c r="BI166" s="1" t="str">
        <f t="shared" si="51"/>
        <v/>
      </c>
      <c r="BJ166" s="1" t="str">
        <f t="shared" si="52"/>
        <v/>
      </c>
      <c r="BK166" s="1" t="str">
        <f t="shared" si="53"/>
        <v/>
      </c>
      <c r="BL166" s="1" t="str">
        <f t="shared" si="54"/>
        <v/>
      </c>
      <c r="BM166" s="1" t="str">
        <f t="shared" si="55"/>
        <v/>
      </c>
      <c r="BN166" s="1" t="str">
        <f t="shared" si="56"/>
        <v/>
      </c>
      <c r="BO166" s="1" t="str">
        <f t="shared" si="57"/>
        <v>MakarovModGZ</v>
      </c>
      <c r="BP166" s="1" t="str">
        <f t="shared" si="58"/>
        <v/>
      </c>
      <c r="BQ166" s="1" t="str">
        <f t="shared" si="59"/>
        <v/>
      </c>
      <c r="BR166" s="1" t="str">
        <f t="shared" si="60"/>
        <v/>
      </c>
      <c r="BS166" s="1" t="str">
        <f t="shared" si="61"/>
        <v/>
      </c>
    </row>
    <row r="167" spans="48:71" x14ac:dyDescent="0.3">
      <c r="AV167" t="s">
        <v>9296</v>
      </c>
      <c r="AZ167" s="1" t="str">
        <f t="shared" si="42"/>
        <v/>
      </c>
      <c r="BA167" s="1" t="str">
        <f t="shared" si="43"/>
        <v/>
      </c>
      <c r="BB167" s="1" t="str">
        <f t="shared" si="44"/>
        <v/>
      </c>
      <c r="BC167" s="1" t="str">
        <f t="shared" si="45"/>
        <v/>
      </c>
      <c r="BD167" s="1" t="str">
        <f t="shared" si="46"/>
        <v/>
      </c>
      <c r="BE167" s="1" t="str">
        <f t="shared" si="47"/>
        <v/>
      </c>
      <c r="BF167" s="1" t="str">
        <f t="shared" si="48"/>
        <v/>
      </c>
      <c r="BG167" s="1" t="str">
        <f t="shared" si="49"/>
        <v/>
      </c>
      <c r="BH167" s="1" t="str">
        <f t="shared" si="50"/>
        <v/>
      </c>
      <c r="BI167" s="1" t="str">
        <f t="shared" si="51"/>
        <v/>
      </c>
      <c r="BJ167" s="1" t="str">
        <f t="shared" si="52"/>
        <v/>
      </c>
      <c r="BK167" s="1" t="str">
        <f t="shared" si="53"/>
        <v/>
      </c>
      <c r="BL167" s="1" t="str">
        <f t="shared" si="54"/>
        <v/>
      </c>
      <c r="BM167" s="1" t="str">
        <f t="shared" si="55"/>
        <v/>
      </c>
      <c r="BN167" s="1" t="str">
        <f t="shared" si="56"/>
        <v/>
      </c>
      <c r="BO167" s="1" t="str">
        <f t="shared" si="57"/>
        <v>MDR</v>
      </c>
      <c r="BP167" s="1" t="str">
        <f t="shared" si="58"/>
        <v/>
      </c>
      <c r="BQ167" s="1" t="str">
        <f t="shared" si="59"/>
        <v/>
      </c>
      <c r="BR167" s="1" t="str">
        <f t="shared" si="60"/>
        <v/>
      </c>
      <c r="BS167" s="1" t="str">
        <f t="shared" si="61"/>
        <v/>
      </c>
    </row>
    <row r="168" spans="48:71" x14ac:dyDescent="0.3">
      <c r="AV168" t="s">
        <v>1396</v>
      </c>
      <c r="AZ168" s="1" t="str">
        <f t="shared" si="42"/>
        <v/>
      </c>
      <c r="BA168" s="1" t="str">
        <f t="shared" si="43"/>
        <v/>
      </c>
      <c r="BB168" s="1" t="str">
        <f t="shared" si="44"/>
        <v/>
      </c>
      <c r="BC168" s="1" t="str">
        <f t="shared" si="45"/>
        <v/>
      </c>
      <c r="BD168" s="1" t="str">
        <f t="shared" si="46"/>
        <v/>
      </c>
      <c r="BE168" s="1" t="str">
        <f t="shared" si="47"/>
        <v/>
      </c>
      <c r="BF168" s="1" t="str">
        <f t="shared" si="48"/>
        <v/>
      </c>
      <c r="BG168" s="1" t="str">
        <f t="shared" si="49"/>
        <v/>
      </c>
      <c r="BH168" s="1" t="str">
        <f t="shared" si="50"/>
        <v/>
      </c>
      <c r="BI168" s="1" t="str">
        <f t="shared" si="51"/>
        <v/>
      </c>
      <c r="BJ168" s="1" t="str">
        <f t="shared" si="52"/>
        <v/>
      </c>
      <c r="BK168" s="1" t="str">
        <f t="shared" si="53"/>
        <v/>
      </c>
      <c r="BL168" s="1" t="str">
        <f t="shared" si="54"/>
        <v/>
      </c>
      <c r="BM168" s="1" t="str">
        <f t="shared" si="55"/>
        <v/>
      </c>
      <c r="BN168" s="1" t="str">
        <f t="shared" si="56"/>
        <v/>
      </c>
      <c r="BO168" s="1" t="str">
        <f t="shared" si="57"/>
        <v>MDRGZ</v>
      </c>
      <c r="BP168" s="1" t="str">
        <f t="shared" si="58"/>
        <v/>
      </c>
      <c r="BQ168" s="1" t="str">
        <f t="shared" si="59"/>
        <v/>
      </c>
      <c r="BR168" s="1" t="str">
        <f t="shared" si="60"/>
        <v/>
      </c>
      <c r="BS168" s="1" t="str">
        <f t="shared" si="61"/>
        <v/>
      </c>
    </row>
    <row r="169" spans="48:71" x14ac:dyDescent="0.3">
      <c r="AV169" t="s">
        <v>114</v>
      </c>
      <c r="AZ169" s="1" t="str">
        <f t="shared" si="42"/>
        <v/>
      </c>
      <c r="BA169" s="1" t="str">
        <f t="shared" si="43"/>
        <v/>
      </c>
      <c r="BB169" s="1" t="str">
        <f t="shared" si="44"/>
        <v/>
      </c>
      <c r="BC169" s="1" t="str">
        <f t="shared" si="45"/>
        <v/>
      </c>
      <c r="BD169" s="1" t="str">
        <f t="shared" si="46"/>
        <v/>
      </c>
      <c r="BE169" s="1" t="str">
        <f t="shared" si="47"/>
        <v/>
      </c>
      <c r="BF169" s="1" t="str">
        <f t="shared" si="48"/>
        <v/>
      </c>
      <c r="BG169" s="1" t="str">
        <f t="shared" si="49"/>
        <v/>
      </c>
      <c r="BH169" s="1" t="str">
        <f t="shared" si="50"/>
        <v/>
      </c>
      <c r="BI169" s="1" t="str">
        <f t="shared" si="51"/>
        <v/>
      </c>
      <c r="BJ169" s="1" t="str">
        <f t="shared" si="52"/>
        <v/>
      </c>
      <c r="BK169" s="1" t="str">
        <f t="shared" si="53"/>
        <v/>
      </c>
      <c r="BL169" s="1" t="str">
        <f t="shared" si="54"/>
        <v/>
      </c>
      <c r="BM169" s="1" t="str">
        <f t="shared" si="55"/>
        <v/>
      </c>
      <c r="BN169" s="1" t="str">
        <f t="shared" si="56"/>
        <v/>
      </c>
      <c r="BO169" s="1" t="str">
        <f t="shared" si="57"/>
        <v>Medusa</v>
      </c>
      <c r="BP169" s="1" t="str">
        <f t="shared" si="58"/>
        <v/>
      </c>
      <c r="BQ169" s="1" t="str">
        <f t="shared" si="59"/>
        <v/>
      </c>
      <c r="BR169" s="1" t="str">
        <f t="shared" si="60"/>
        <v/>
      </c>
      <c r="BS169" s="1" t="str">
        <f t="shared" si="61"/>
        <v/>
      </c>
    </row>
    <row r="170" spans="48:71" x14ac:dyDescent="0.3">
      <c r="AV170" t="s">
        <v>113</v>
      </c>
      <c r="AZ170" s="1" t="str">
        <f t="shared" si="42"/>
        <v/>
      </c>
      <c r="BA170" s="1" t="str">
        <f t="shared" si="43"/>
        <v/>
      </c>
      <c r="BB170" s="1" t="str">
        <f t="shared" si="44"/>
        <v/>
      </c>
      <c r="BC170" s="1" t="str">
        <f t="shared" si="45"/>
        <v/>
      </c>
      <c r="BD170" s="1" t="str">
        <f t="shared" si="46"/>
        <v/>
      </c>
      <c r="BE170" s="1" t="str">
        <f t="shared" si="47"/>
        <v/>
      </c>
      <c r="BF170" s="1" t="str">
        <f t="shared" si="48"/>
        <v/>
      </c>
      <c r="BG170" s="1" t="str">
        <f t="shared" si="49"/>
        <v/>
      </c>
      <c r="BH170" s="1" t="str">
        <f t="shared" si="50"/>
        <v/>
      </c>
      <c r="BI170" s="1" t="str">
        <f t="shared" si="51"/>
        <v/>
      </c>
      <c r="BJ170" s="1" t="str">
        <f t="shared" si="52"/>
        <v/>
      </c>
      <c r="BK170" s="1" t="str">
        <f t="shared" si="53"/>
        <v/>
      </c>
      <c r="BL170" s="1" t="str">
        <f t="shared" si="54"/>
        <v/>
      </c>
      <c r="BM170" s="1" t="str">
        <f t="shared" si="55"/>
        <v/>
      </c>
      <c r="BN170" s="1" t="str">
        <f t="shared" si="56"/>
        <v/>
      </c>
      <c r="BO170" s="1" t="str">
        <f t="shared" si="57"/>
        <v>MG3</v>
      </c>
      <c r="BP170" s="1" t="str">
        <f t="shared" si="58"/>
        <v/>
      </c>
      <c r="BQ170" s="1" t="str">
        <f t="shared" si="59"/>
        <v/>
      </c>
      <c r="BR170" s="1" t="str">
        <f t="shared" si="60"/>
        <v/>
      </c>
      <c r="BS170" s="1" t="str">
        <f t="shared" si="61"/>
        <v/>
      </c>
    </row>
    <row r="171" spans="48:71" x14ac:dyDescent="0.3">
      <c r="AV171" t="s">
        <v>6470</v>
      </c>
      <c r="AZ171" s="1" t="str">
        <f t="shared" si="42"/>
        <v/>
      </c>
      <c r="BA171" s="1" t="str">
        <f t="shared" si="43"/>
        <v/>
      </c>
      <c r="BB171" s="1" t="str">
        <f t="shared" si="44"/>
        <v/>
      </c>
      <c r="BC171" s="1" t="str">
        <f t="shared" si="45"/>
        <v/>
      </c>
      <c r="BD171" s="1" t="str">
        <f t="shared" si="46"/>
        <v/>
      </c>
      <c r="BE171" s="1" t="str">
        <f t="shared" si="47"/>
        <v/>
      </c>
      <c r="BF171" s="1" t="str">
        <f t="shared" si="48"/>
        <v/>
      </c>
      <c r="BG171" s="1" t="str">
        <f t="shared" si="49"/>
        <v/>
      </c>
      <c r="BH171" s="1" t="str">
        <f t="shared" si="50"/>
        <v/>
      </c>
      <c r="BI171" s="1" t="str">
        <f t="shared" si="51"/>
        <v/>
      </c>
      <c r="BJ171" s="1" t="str">
        <f t="shared" si="52"/>
        <v/>
      </c>
      <c r="BK171" s="1" t="str">
        <f t="shared" si="53"/>
        <v/>
      </c>
      <c r="BL171" s="1" t="str">
        <f t="shared" si="54"/>
        <v/>
      </c>
      <c r="BM171" s="1" t="str">
        <f t="shared" si="55"/>
        <v/>
      </c>
      <c r="BN171" s="1" t="str">
        <f t="shared" si="56"/>
        <v/>
      </c>
      <c r="BO171" s="1" t="str">
        <f t="shared" si="57"/>
        <v>MG34</v>
      </c>
      <c r="BP171" s="1" t="str">
        <f t="shared" si="58"/>
        <v/>
      </c>
      <c r="BQ171" s="1" t="str">
        <f t="shared" si="59"/>
        <v/>
      </c>
      <c r="BR171" s="1" t="str">
        <f t="shared" si="60"/>
        <v/>
      </c>
      <c r="BS171" s="1" t="str">
        <f t="shared" si="61"/>
        <v/>
      </c>
    </row>
    <row r="172" spans="48:71" x14ac:dyDescent="0.3">
      <c r="AV172" t="s">
        <v>8348</v>
      </c>
      <c r="AZ172" s="1" t="str">
        <f t="shared" si="42"/>
        <v/>
      </c>
      <c r="BA172" s="1" t="str">
        <f t="shared" si="43"/>
        <v/>
      </c>
      <c r="BB172" s="1" t="str">
        <f t="shared" si="44"/>
        <v/>
      </c>
      <c r="BC172" s="1" t="str">
        <f t="shared" si="45"/>
        <v/>
      </c>
      <c r="BD172" s="1" t="str">
        <f t="shared" si="46"/>
        <v/>
      </c>
      <c r="BE172" s="1" t="str">
        <f t="shared" si="47"/>
        <v/>
      </c>
      <c r="BF172" s="1" t="str">
        <f t="shared" si="48"/>
        <v/>
      </c>
      <c r="BG172" s="1" t="str">
        <f t="shared" si="49"/>
        <v/>
      </c>
      <c r="BH172" s="1" t="str">
        <f t="shared" si="50"/>
        <v/>
      </c>
      <c r="BI172" s="1" t="str">
        <f t="shared" si="51"/>
        <v/>
      </c>
      <c r="BJ172" s="1" t="str">
        <f t="shared" si="52"/>
        <v/>
      </c>
      <c r="BK172" s="1" t="str">
        <f t="shared" si="53"/>
        <v/>
      </c>
      <c r="BL172" s="1" t="str">
        <f t="shared" si="54"/>
        <v/>
      </c>
      <c r="BM172" s="1" t="str">
        <f t="shared" si="55"/>
        <v/>
      </c>
      <c r="BN172" s="1" t="str">
        <f t="shared" si="56"/>
        <v/>
      </c>
      <c r="BO172" s="1" t="str">
        <f t="shared" si="57"/>
        <v>MG3Mod</v>
      </c>
      <c r="BP172" s="1" t="str">
        <f t="shared" si="58"/>
        <v/>
      </c>
      <c r="BQ172" s="1" t="str">
        <f t="shared" si="59"/>
        <v/>
      </c>
      <c r="BR172" s="1" t="str">
        <f t="shared" si="60"/>
        <v/>
      </c>
      <c r="BS172" s="1" t="str">
        <f t="shared" si="61"/>
        <v/>
      </c>
    </row>
    <row r="173" spans="48:71" x14ac:dyDescent="0.3">
      <c r="AV173" t="s">
        <v>299</v>
      </c>
      <c r="AZ173" s="1" t="str">
        <f t="shared" si="42"/>
        <v/>
      </c>
      <c r="BA173" s="1" t="str">
        <f t="shared" si="43"/>
        <v/>
      </c>
      <c r="BB173" s="1" t="str">
        <f t="shared" si="44"/>
        <v/>
      </c>
      <c r="BC173" s="1" t="str">
        <f t="shared" si="45"/>
        <v/>
      </c>
      <c r="BD173" s="1" t="str">
        <f t="shared" si="46"/>
        <v/>
      </c>
      <c r="BE173" s="1" t="str">
        <f t="shared" si="47"/>
        <v/>
      </c>
      <c r="BF173" s="1" t="str">
        <f t="shared" si="48"/>
        <v/>
      </c>
      <c r="BG173" s="1" t="str">
        <f t="shared" si="49"/>
        <v/>
      </c>
      <c r="BH173" s="1" t="str">
        <f t="shared" si="50"/>
        <v/>
      </c>
      <c r="BI173" s="1" t="str">
        <f t="shared" si="51"/>
        <v/>
      </c>
      <c r="BJ173" s="1" t="str">
        <f t="shared" si="52"/>
        <v/>
      </c>
      <c r="BK173" s="1" t="str">
        <f t="shared" si="53"/>
        <v/>
      </c>
      <c r="BL173" s="1" t="str">
        <f t="shared" si="54"/>
        <v/>
      </c>
      <c r="BM173" s="1" t="str">
        <f t="shared" si="55"/>
        <v/>
      </c>
      <c r="BN173" s="1" t="str">
        <f t="shared" si="56"/>
        <v/>
      </c>
      <c r="BO173" s="1" t="str">
        <f t="shared" si="57"/>
        <v>MG3ModGZ</v>
      </c>
      <c r="BP173" s="1" t="str">
        <f t="shared" si="58"/>
        <v/>
      </c>
      <c r="BQ173" s="1" t="str">
        <f t="shared" si="59"/>
        <v/>
      </c>
      <c r="BR173" s="1" t="str">
        <f t="shared" si="60"/>
        <v/>
      </c>
      <c r="BS173" s="1" t="str">
        <f t="shared" si="61"/>
        <v/>
      </c>
    </row>
    <row r="174" spans="48:71" x14ac:dyDescent="0.3">
      <c r="AV174" t="s">
        <v>112</v>
      </c>
      <c r="AZ174" s="1" t="str">
        <f t="shared" si="42"/>
        <v/>
      </c>
      <c r="BA174" s="1" t="str">
        <f t="shared" si="43"/>
        <v/>
      </c>
      <c r="BB174" s="1" t="str">
        <f t="shared" si="44"/>
        <v/>
      </c>
      <c r="BC174" s="1" t="str">
        <f t="shared" si="45"/>
        <v/>
      </c>
      <c r="BD174" s="1" t="str">
        <f t="shared" si="46"/>
        <v/>
      </c>
      <c r="BE174" s="1" t="str">
        <f t="shared" si="47"/>
        <v/>
      </c>
      <c r="BF174" s="1" t="str">
        <f t="shared" si="48"/>
        <v/>
      </c>
      <c r="BG174" s="1" t="str">
        <f t="shared" si="49"/>
        <v/>
      </c>
      <c r="BH174" s="1" t="str">
        <f t="shared" si="50"/>
        <v/>
      </c>
      <c r="BI174" s="1" t="str">
        <f t="shared" si="51"/>
        <v/>
      </c>
      <c r="BJ174" s="1" t="str">
        <f t="shared" si="52"/>
        <v/>
      </c>
      <c r="BK174" s="1" t="str">
        <f t="shared" si="53"/>
        <v/>
      </c>
      <c r="BL174" s="1" t="str">
        <f t="shared" si="54"/>
        <v/>
      </c>
      <c r="BM174" s="1" t="str">
        <f t="shared" si="55"/>
        <v/>
      </c>
      <c r="BN174" s="1" t="str">
        <f t="shared" si="56"/>
        <v/>
      </c>
      <c r="BO174" s="1" t="str">
        <f t="shared" si="57"/>
        <v>MG4</v>
      </c>
      <c r="BP174" s="1" t="str">
        <f t="shared" si="58"/>
        <v/>
      </c>
      <c r="BQ174" s="1" t="str">
        <f t="shared" si="59"/>
        <v/>
      </c>
      <c r="BR174" s="1" t="str">
        <f t="shared" si="60"/>
        <v/>
      </c>
      <c r="BS174" s="1" t="str">
        <f t="shared" si="61"/>
        <v/>
      </c>
    </row>
    <row r="175" spans="48:71" x14ac:dyDescent="0.3">
      <c r="AV175" t="s">
        <v>926</v>
      </c>
      <c r="AZ175" s="1" t="str">
        <f t="shared" si="42"/>
        <v/>
      </c>
      <c r="BA175" s="1" t="str">
        <f t="shared" si="43"/>
        <v/>
      </c>
      <c r="BB175" s="1" t="str">
        <f t="shared" si="44"/>
        <v/>
      </c>
      <c r="BC175" s="1" t="str">
        <f t="shared" si="45"/>
        <v/>
      </c>
      <c r="BD175" s="1" t="str">
        <f t="shared" si="46"/>
        <v/>
      </c>
      <c r="BE175" s="1" t="str">
        <f t="shared" si="47"/>
        <v/>
      </c>
      <c r="BF175" s="1" t="str">
        <f t="shared" si="48"/>
        <v/>
      </c>
      <c r="BG175" s="1" t="str">
        <f t="shared" si="49"/>
        <v/>
      </c>
      <c r="BH175" s="1" t="str">
        <f t="shared" si="50"/>
        <v/>
      </c>
      <c r="BI175" s="1" t="str">
        <f t="shared" si="51"/>
        <v/>
      </c>
      <c r="BJ175" s="1" t="str">
        <f t="shared" si="52"/>
        <v/>
      </c>
      <c r="BK175" s="1" t="str">
        <f t="shared" si="53"/>
        <v/>
      </c>
      <c r="BL175" s="1" t="str">
        <f t="shared" si="54"/>
        <v/>
      </c>
      <c r="BM175" s="1" t="str">
        <f t="shared" si="55"/>
        <v/>
      </c>
      <c r="BN175" s="1" t="str">
        <f t="shared" si="56"/>
        <v/>
      </c>
      <c r="BO175" s="1" t="str">
        <f t="shared" si="57"/>
        <v>MG42</v>
      </c>
      <c r="BP175" s="1" t="str">
        <f t="shared" si="58"/>
        <v/>
      </c>
      <c r="BQ175" s="1" t="str">
        <f t="shared" si="59"/>
        <v/>
      </c>
      <c r="BR175" s="1" t="str">
        <f t="shared" si="60"/>
        <v/>
      </c>
      <c r="BS175" s="1" t="str">
        <f t="shared" si="61"/>
        <v/>
      </c>
    </row>
    <row r="176" spans="48:71" x14ac:dyDescent="0.3">
      <c r="AV176" t="s">
        <v>8122</v>
      </c>
      <c r="AZ176" s="1" t="str">
        <f t="shared" si="42"/>
        <v/>
      </c>
      <c r="BA176" s="1" t="str">
        <f t="shared" si="43"/>
        <v/>
      </c>
      <c r="BB176" s="1" t="str">
        <f t="shared" si="44"/>
        <v/>
      </c>
      <c r="BC176" s="1" t="str">
        <f t="shared" si="45"/>
        <v/>
      </c>
      <c r="BD176" s="1" t="str">
        <f t="shared" si="46"/>
        <v/>
      </c>
      <c r="BE176" s="1" t="str">
        <f t="shared" si="47"/>
        <v/>
      </c>
      <c r="BF176" s="1" t="str">
        <f t="shared" si="48"/>
        <v/>
      </c>
      <c r="BG176" s="1" t="str">
        <f t="shared" si="49"/>
        <v/>
      </c>
      <c r="BH176" s="1" t="str">
        <f t="shared" si="50"/>
        <v/>
      </c>
      <c r="BI176" s="1" t="str">
        <f t="shared" si="51"/>
        <v/>
      </c>
      <c r="BJ176" s="1" t="str">
        <f t="shared" si="52"/>
        <v/>
      </c>
      <c r="BK176" s="1" t="str">
        <f t="shared" si="53"/>
        <v/>
      </c>
      <c r="BL176" s="1" t="str">
        <f t="shared" si="54"/>
        <v/>
      </c>
      <c r="BM176" s="1" t="str">
        <f t="shared" si="55"/>
        <v/>
      </c>
      <c r="BN176" s="1" t="str">
        <f t="shared" si="56"/>
        <v/>
      </c>
      <c r="BO176" s="1" t="str">
        <f t="shared" si="57"/>
        <v>MG4Mod</v>
      </c>
      <c r="BP176" s="1" t="str">
        <f t="shared" si="58"/>
        <v/>
      </c>
      <c r="BQ176" s="1" t="str">
        <f t="shared" si="59"/>
        <v/>
      </c>
      <c r="BR176" s="1" t="str">
        <f t="shared" si="60"/>
        <v/>
      </c>
      <c r="BS176" s="1" t="str">
        <f t="shared" si="61"/>
        <v/>
      </c>
    </row>
    <row r="177" spans="48:71" x14ac:dyDescent="0.3">
      <c r="AV177" t="s">
        <v>300</v>
      </c>
      <c r="AZ177" s="1" t="str">
        <f t="shared" si="42"/>
        <v/>
      </c>
      <c r="BA177" s="1" t="str">
        <f t="shared" si="43"/>
        <v/>
      </c>
      <c r="BB177" s="1" t="str">
        <f t="shared" si="44"/>
        <v/>
      </c>
      <c r="BC177" s="1" t="str">
        <f t="shared" si="45"/>
        <v/>
      </c>
      <c r="BD177" s="1" t="str">
        <f t="shared" si="46"/>
        <v/>
      </c>
      <c r="BE177" s="1" t="str">
        <f t="shared" si="47"/>
        <v/>
      </c>
      <c r="BF177" s="1" t="str">
        <f t="shared" si="48"/>
        <v/>
      </c>
      <c r="BG177" s="1" t="str">
        <f t="shared" si="49"/>
        <v/>
      </c>
      <c r="BH177" s="1" t="str">
        <f t="shared" si="50"/>
        <v/>
      </c>
      <c r="BI177" s="1" t="str">
        <f t="shared" si="51"/>
        <v/>
      </c>
      <c r="BJ177" s="1" t="str">
        <f t="shared" si="52"/>
        <v/>
      </c>
      <c r="BK177" s="1" t="str">
        <f t="shared" si="53"/>
        <v/>
      </c>
      <c r="BL177" s="1" t="str">
        <f t="shared" si="54"/>
        <v/>
      </c>
      <c r="BM177" s="1" t="str">
        <f t="shared" si="55"/>
        <v/>
      </c>
      <c r="BN177" s="1" t="str">
        <f t="shared" si="56"/>
        <v/>
      </c>
      <c r="BO177" s="1" t="str">
        <f t="shared" si="57"/>
        <v>MG4ModGZ</v>
      </c>
      <c r="BP177" s="1" t="str">
        <f t="shared" si="58"/>
        <v/>
      </c>
      <c r="BQ177" s="1" t="str">
        <f t="shared" si="59"/>
        <v/>
      </c>
      <c r="BR177" s="1" t="str">
        <f t="shared" si="60"/>
        <v/>
      </c>
      <c r="BS177" s="1" t="str">
        <f t="shared" si="61"/>
        <v/>
      </c>
    </row>
    <row r="178" spans="48:71" x14ac:dyDescent="0.3">
      <c r="AV178" t="s">
        <v>253</v>
      </c>
      <c r="AZ178" s="1" t="str">
        <f t="shared" si="42"/>
        <v/>
      </c>
      <c r="BA178" s="1" t="str">
        <f t="shared" si="43"/>
        <v/>
      </c>
      <c r="BB178" s="1" t="str">
        <f t="shared" si="44"/>
        <v/>
      </c>
      <c r="BC178" s="1" t="str">
        <f t="shared" si="45"/>
        <v/>
      </c>
      <c r="BD178" s="1" t="str">
        <f t="shared" si="46"/>
        <v/>
      </c>
      <c r="BE178" s="1" t="str">
        <f t="shared" si="47"/>
        <v/>
      </c>
      <c r="BF178" s="1" t="str">
        <f t="shared" si="48"/>
        <v/>
      </c>
      <c r="BG178" s="1" t="str">
        <f t="shared" si="49"/>
        <v/>
      </c>
      <c r="BH178" s="1" t="str">
        <f t="shared" si="50"/>
        <v/>
      </c>
      <c r="BI178" s="1" t="str">
        <f t="shared" si="51"/>
        <v/>
      </c>
      <c r="BJ178" s="1" t="str">
        <f t="shared" si="52"/>
        <v/>
      </c>
      <c r="BK178" s="1" t="str">
        <f t="shared" si="53"/>
        <v/>
      </c>
      <c r="BL178" s="1" t="str">
        <f t="shared" si="54"/>
        <v/>
      </c>
      <c r="BM178" s="1" t="str">
        <f t="shared" si="55"/>
        <v/>
      </c>
      <c r="BN178" s="1" t="str">
        <f t="shared" si="56"/>
        <v/>
      </c>
      <c r="BO178" s="1" t="str">
        <f t="shared" si="57"/>
        <v>MG5</v>
      </c>
      <c r="BP178" s="1" t="str">
        <f t="shared" si="58"/>
        <v/>
      </c>
      <c r="BQ178" s="1" t="str">
        <f t="shared" si="59"/>
        <v/>
      </c>
      <c r="BR178" s="1" t="str">
        <f t="shared" si="60"/>
        <v/>
      </c>
      <c r="BS178" s="1" t="str">
        <f t="shared" si="61"/>
        <v/>
      </c>
    </row>
    <row r="179" spans="48:71" x14ac:dyDescent="0.3">
      <c r="AV179" t="s">
        <v>1400</v>
      </c>
      <c r="AZ179" s="1" t="str">
        <f t="shared" si="42"/>
        <v/>
      </c>
      <c r="BA179" s="1" t="str">
        <f t="shared" si="43"/>
        <v/>
      </c>
      <c r="BB179" s="1" t="str">
        <f t="shared" si="44"/>
        <v/>
      </c>
      <c r="BC179" s="1" t="str">
        <f t="shared" si="45"/>
        <v/>
      </c>
      <c r="BD179" s="1" t="str">
        <f t="shared" si="46"/>
        <v/>
      </c>
      <c r="BE179" s="1" t="str">
        <f t="shared" si="47"/>
        <v/>
      </c>
      <c r="BF179" s="1" t="str">
        <f t="shared" si="48"/>
        <v/>
      </c>
      <c r="BG179" s="1" t="str">
        <f t="shared" si="49"/>
        <v/>
      </c>
      <c r="BH179" s="1" t="str">
        <f t="shared" si="50"/>
        <v/>
      </c>
      <c r="BI179" s="1" t="str">
        <f t="shared" si="51"/>
        <v/>
      </c>
      <c r="BJ179" s="1" t="str">
        <f t="shared" si="52"/>
        <v/>
      </c>
      <c r="BK179" s="1" t="str">
        <f t="shared" si="53"/>
        <v/>
      </c>
      <c r="BL179" s="1" t="str">
        <f t="shared" si="54"/>
        <v/>
      </c>
      <c r="BM179" s="1" t="str">
        <f t="shared" si="55"/>
        <v/>
      </c>
      <c r="BN179" s="1" t="str">
        <f t="shared" si="56"/>
        <v/>
      </c>
      <c r="BO179" s="1" t="str">
        <f t="shared" si="57"/>
        <v>Micro UziMod</v>
      </c>
      <c r="BP179" s="1" t="str">
        <f t="shared" si="58"/>
        <v/>
      </c>
      <c r="BQ179" s="1" t="str">
        <f t="shared" si="59"/>
        <v/>
      </c>
      <c r="BR179" s="1" t="str">
        <f t="shared" si="60"/>
        <v/>
      </c>
      <c r="BS179" s="1" t="str">
        <f t="shared" si="61"/>
        <v/>
      </c>
    </row>
    <row r="180" spans="48:71" x14ac:dyDescent="0.3">
      <c r="AV180" t="s">
        <v>8686</v>
      </c>
      <c r="AZ180" s="1" t="str">
        <f t="shared" si="42"/>
        <v/>
      </c>
      <c r="BA180" s="1" t="str">
        <f t="shared" si="43"/>
        <v/>
      </c>
      <c r="BB180" s="1" t="str">
        <f t="shared" si="44"/>
        <v/>
      </c>
      <c r="BC180" s="1" t="str">
        <f t="shared" si="45"/>
        <v/>
      </c>
      <c r="BD180" s="1" t="str">
        <f t="shared" si="46"/>
        <v/>
      </c>
      <c r="BE180" s="1" t="str">
        <f t="shared" si="47"/>
        <v/>
      </c>
      <c r="BF180" s="1" t="str">
        <f t="shared" si="48"/>
        <v/>
      </c>
      <c r="BG180" s="1" t="str">
        <f t="shared" si="49"/>
        <v/>
      </c>
      <c r="BH180" s="1" t="str">
        <f t="shared" si="50"/>
        <v/>
      </c>
      <c r="BI180" s="1" t="str">
        <f t="shared" si="51"/>
        <v/>
      </c>
      <c r="BJ180" s="1" t="str">
        <f t="shared" si="52"/>
        <v/>
      </c>
      <c r="BK180" s="1" t="str">
        <f t="shared" si="53"/>
        <v/>
      </c>
      <c r="BL180" s="1" t="str">
        <f t="shared" si="54"/>
        <v/>
      </c>
      <c r="BM180" s="1" t="str">
        <f t="shared" si="55"/>
        <v/>
      </c>
      <c r="BN180" s="1" t="str">
        <f t="shared" si="56"/>
        <v/>
      </c>
      <c r="BO180" s="1" t="str">
        <f t="shared" si="57"/>
        <v>Minos</v>
      </c>
      <c r="BP180" s="1" t="str">
        <f t="shared" si="58"/>
        <v/>
      </c>
      <c r="BQ180" s="1" t="str">
        <f t="shared" si="59"/>
        <v/>
      </c>
      <c r="BR180" s="1" t="str">
        <f t="shared" si="60"/>
        <v/>
      </c>
      <c r="BS180" s="1" t="str">
        <f t="shared" si="61"/>
        <v/>
      </c>
    </row>
    <row r="181" spans="48:71" x14ac:dyDescent="0.3">
      <c r="AV181" t="s">
        <v>1178</v>
      </c>
      <c r="AZ181" s="1" t="str">
        <f t="shared" si="42"/>
        <v/>
      </c>
      <c r="BA181" s="1" t="str">
        <f t="shared" si="43"/>
        <v/>
      </c>
      <c r="BB181" s="1" t="str">
        <f t="shared" si="44"/>
        <v/>
      </c>
      <c r="BC181" s="1" t="str">
        <f t="shared" si="45"/>
        <v/>
      </c>
      <c r="BD181" s="1" t="str">
        <f t="shared" si="46"/>
        <v/>
      </c>
      <c r="BE181" s="1" t="str">
        <f t="shared" si="47"/>
        <v/>
      </c>
      <c r="BF181" s="1" t="str">
        <f t="shared" si="48"/>
        <v/>
      </c>
      <c r="BG181" s="1" t="str">
        <f t="shared" si="49"/>
        <v/>
      </c>
      <c r="BH181" s="1" t="str">
        <f t="shared" si="50"/>
        <v/>
      </c>
      <c r="BI181" s="1" t="str">
        <f t="shared" si="51"/>
        <v/>
      </c>
      <c r="BJ181" s="1" t="str">
        <f t="shared" si="52"/>
        <v/>
      </c>
      <c r="BK181" s="1" t="str">
        <f t="shared" si="53"/>
        <v/>
      </c>
      <c r="BL181" s="1" t="str">
        <f t="shared" si="54"/>
        <v/>
      </c>
      <c r="BM181" s="1" t="str">
        <f t="shared" si="55"/>
        <v/>
      </c>
      <c r="BN181" s="1" t="str">
        <f t="shared" si="56"/>
        <v/>
      </c>
      <c r="BO181" s="1" t="str">
        <f t="shared" si="57"/>
        <v>Mizukane</v>
      </c>
      <c r="BP181" s="1" t="str">
        <f t="shared" si="58"/>
        <v/>
      </c>
      <c r="BQ181" s="1" t="str">
        <f t="shared" si="59"/>
        <v/>
      </c>
      <c r="BR181" s="1" t="str">
        <f t="shared" si="60"/>
        <v/>
      </c>
      <c r="BS181" s="1" t="str">
        <f t="shared" si="61"/>
        <v/>
      </c>
    </row>
    <row r="182" spans="48:71" x14ac:dyDescent="0.3">
      <c r="AV182" t="s">
        <v>128</v>
      </c>
      <c r="AZ182" s="1" t="str">
        <f t="shared" si="42"/>
        <v/>
      </c>
      <c r="BA182" s="1" t="str">
        <f t="shared" si="43"/>
        <v/>
      </c>
      <c r="BB182" s="1" t="str">
        <f t="shared" si="44"/>
        <v/>
      </c>
      <c r="BC182" s="1" t="str">
        <f t="shared" si="45"/>
        <v/>
      </c>
      <c r="BD182" s="1" t="str">
        <f t="shared" si="46"/>
        <v/>
      </c>
      <c r="BE182" s="1" t="str">
        <f t="shared" si="47"/>
        <v/>
      </c>
      <c r="BF182" s="1" t="str">
        <f t="shared" si="48"/>
        <v/>
      </c>
      <c r="BG182" s="1" t="str">
        <f t="shared" si="49"/>
        <v/>
      </c>
      <c r="BH182" s="1" t="str">
        <f t="shared" si="50"/>
        <v/>
      </c>
      <c r="BI182" s="1" t="str">
        <f t="shared" si="51"/>
        <v/>
      </c>
      <c r="BJ182" s="1" t="str">
        <f t="shared" si="52"/>
        <v/>
      </c>
      <c r="BK182" s="1" t="str">
        <f t="shared" si="53"/>
        <v/>
      </c>
      <c r="BL182" s="1" t="str">
        <f t="shared" si="54"/>
        <v/>
      </c>
      <c r="BM182" s="1" t="str">
        <f t="shared" si="55"/>
        <v/>
      </c>
      <c r="BN182" s="1" t="str">
        <f t="shared" si="56"/>
        <v/>
      </c>
      <c r="BO182" s="1" t="str">
        <f t="shared" si="57"/>
        <v>Mk23</v>
      </c>
      <c r="BP182" s="1" t="str">
        <f t="shared" si="58"/>
        <v/>
      </c>
      <c r="BQ182" s="1" t="str">
        <f t="shared" si="59"/>
        <v/>
      </c>
      <c r="BR182" s="1" t="str">
        <f t="shared" si="60"/>
        <v/>
      </c>
      <c r="BS182" s="1" t="str">
        <f t="shared" si="61"/>
        <v/>
      </c>
    </row>
    <row r="183" spans="48:71" x14ac:dyDescent="0.3">
      <c r="AV183" t="s">
        <v>182</v>
      </c>
      <c r="AZ183" s="1" t="str">
        <f t="shared" si="42"/>
        <v/>
      </c>
      <c r="BA183" s="1" t="str">
        <f t="shared" si="43"/>
        <v/>
      </c>
      <c r="BB183" s="1" t="str">
        <f t="shared" si="44"/>
        <v/>
      </c>
      <c r="BC183" s="1" t="str">
        <f t="shared" si="45"/>
        <v/>
      </c>
      <c r="BD183" s="1" t="str">
        <f t="shared" si="46"/>
        <v/>
      </c>
      <c r="BE183" s="1" t="str">
        <f t="shared" si="47"/>
        <v/>
      </c>
      <c r="BF183" s="1" t="str">
        <f t="shared" si="48"/>
        <v/>
      </c>
      <c r="BG183" s="1" t="str">
        <f t="shared" si="49"/>
        <v/>
      </c>
      <c r="BH183" s="1" t="str">
        <f t="shared" si="50"/>
        <v/>
      </c>
      <c r="BI183" s="1" t="str">
        <f t="shared" si="51"/>
        <v/>
      </c>
      <c r="BJ183" s="1" t="str">
        <f t="shared" si="52"/>
        <v/>
      </c>
      <c r="BK183" s="1" t="str">
        <f t="shared" si="53"/>
        <v/>
      </c>
      <c r="BL183" s="1" t="str">
        <f t="shared" si="54"/>
        <v/>
      </c>
      <c r="BM183" s="1" t="str">
        <f t="shared" si="55"/>
        <v/>
      </c>
      <c r="BN183" s="1" t="str">
        <f t="shared" si="56"/>
        <v/>
      </c>
      <c r="BO183" s="1" t="str">
        <f t="shared" si="57"/>
        <v>Mk48</v>
      </c>
      <c r="BP183" s="1" t="str">
        <f t="shared" si="58"/>
        <v/>
      </c>
      <c r="BQ183" s="1" t="str">
        <f t="shared" si="59"/>
        <v/>
      </c>
      <c r="BR183" s="1" t="str">
        <f t="shared" si="60"/>
        <v/>
      </c>
      <c r="BS183" s="1" t="str">
        <f t="shared" si="61"/>
        <v/>
      </c>
    </row>
    <row r="184" spans="48:71" x14ac:dyDescent="0.3">
      <c r="AV184" t="s">
        <v>805</v>
      </c>
      <c r="AZ184" s="1" t="str">
        <f t="shared" si="42"/>
        <v/>
      </c>
      <c r="BA184" s="1" t="str">
        <f t="shared" si="43"/>
        <v/>
      </c>
      <c r="BB184" s="1" t="str">
        <f t="shared" si="44"/>
        <v/>
      </c>
      <c r="BC184" s="1" t="str">
        <f t="shared" si="45"/>
        <v/>
      </c>
      <c r="BD184" s="1" t="str">
        <f t="shared" si="46"/>
        <v/>
      </c>
      <c r="BE184" s="1" t="str">
        <f t="shared" si="47"/>
        <v/>
      </c>
      <c r="BF184" s="1" t="str">
        <f t="shared" si="48"/>
        <v/>
      </c>
      <c r="BG184" s="1" t="str">
        <f t="shared" si="49"/>
        <v/>
      </c>
      <c r="BH184" s="1" t="str">
        <f t="shared" si="50"/>
        <v/>
      </c>
      <c r="BI184" s="1" t="str">
        <f t="shared" si="51"/>
        <v/>
      </c>
      <c r="BJ184" s="1" t="str">
        <f t="shared" si="52"/>
        <v/>
      </c>
      <c r="BK184" s="1" t="str">
        <f t="shared" si="53"/>
        <v/>
      </c>
      <c r="BL184" s="1" t="str">
        <f t="shared" si="54"/>
        <v/>
      </c>
      <c r="BM184" s="1" t="str">
        <f t="shared" si="55"/>
        <v/>
      </c>
      <c r="BN184" s="1" t="str">
        <f t="shared" si="56"/>
        <v/>
      </c>
      <c r="BO184" s="1" t="str">
        <f t="shared" si="57"/>
        <v>Model L</v>
      </c>
      <c r="BP184" s="1" t="str">
        <f t="shared" si="58"/>
        <v/>
      </c>
      <c r="BQ184" s="1" t="str">
        <f t="shared" si="59"/>
        <v/>
      </c>
      <c r="BR184" s="1" t="str">
        <f t="shared" si="60"/>
        <v/>
      </c>
      <c r="BS184" s="1" t="str">
        <f t="shared" si="61"/>
        <v/>
      </c>
    </row>
    <row r="185" spans="48:71" x14ac:dyDescent="0.3">
      <c r="AV185" t="s">
        <v>728</v>
      </c>
      <c r="AZ185" s="1" t="str">
        <f t="shared" si="42"/>
        <v/>
      </c>
      <c r="BA185" s="1" t="str">
        <f t="shared" si="43"/>
        <v/>
      </c>
      <c r="BB185" s="1" t="str">
        <f t="shared" si="44"/>
        <v/>
      </c>
      <c r="BC185" s="1" t="str">
        <f t="shared" si="45"/>
        <v/>
      </c>
      <c r="BD185" s="1" t="str">
        <f t="shared" si="46"/>
        <v/>
      </c>
      <c r="BE185" s="1" t="str">
        <f t="shared" si="47"/>
        <v/>
      </c>
      <c r="BF185" s="1" t="str">
        <f t="shared" si="48"/>
        <v/>
      </c>
      <c r="BG185" s="1" t="str">
        <f t="shared" si="49"/>
        <v/>
      </c>
      <c r="BH185" s="1" t="str">
        <f t="shared" si="50"/>
        <v/>
      </c>
      <c r="BI185" s="1" t="str">
        <f t="shared" si="51"/>
        <v/>
      </c>
      <c r="BJ185" s="1" t="str">
        <f t="shared" si="52"/>
        <v/>
      </c>
      <c r="BK185" s="1" t="str">
        <f t="shared" si="53"/>
        <v/>
      </c>
      <c r="BL185" s="1" t="str">
        <f t="shared" si="54"/>
        <v/>
      </c>
      <c r="BM185" s="1" t="str">
        <f t="shared" si="55"/>
        <v/>
      </c>
      <c r="BN185" s="1" t="str">
        <f t="shared" si="56"/>
        <v/>
      </c>
      <c r="BO185" s="1" t="str">
        <f t="shared" si="57"/>
        <v>MondragonM1908</v>
      </c>
      <c r="BP185" s="1" t="str">
        <f t="shared" si="58"/>
        <v/>
      </c>
      <c r="BQ185" s="1" t="str">
        <f t="shared" si="59"/>
        <v/>
      </c>
      <c r="BR185" s="1" t="str">
        <f t="shared" si="60"/>
        <v/>
      </c>
      <c r="BS185" s="1" t="str">
        <f t="shared" si="61"/>
        <v/>
      </c>
    </row>
    <row r="186" spans="48:71" x14ac:dyDescent="0.3">
      <c r="AV186" t="s">
        <v>1679</v>
      </c>
      <c r="AZ186" s="1" t="str">
        <f t="shared" si="42"/>
        <v/>
      </c>
      <c r="BA186" s="1" t="str">
        <f t="shared" si="43"/>
        <v/>
      </c>
      <c r="BB186" s="1" t="str">
        <f t="shared" si="44"/>
        <v/>
      </c>
      <c r="BC186" s="1" t="str">
        <f t="shared" si="45"/>
        <v/>
      </c>
      <c r="BD186" s="1" t="str">
        <f t="shared" si="46"/>
        <v/>
      </c>
      <c r="BE186" s="1" t="str">
        <f t="shared" si="47"/>
        <v/>
      </c>
      <c r="BF186" s="1" t="str">
        <f t="shared" si="48"/>
        <v/>
      </c>
      <c r="BG186" s="1" t="str">
        <f t="shared" si="49"/>
        <v/>
      </c>
      <c r="BH186" s="1" t="str">
        <f t="shared" si="50"/>
        <v/>
      </c>
      <c r="BI186" s="1" t="str">
        <f t="shared" si="51"/>
        <v/>
      </c>
      <c r="BJ186" s="1" t="str">
        <f t="shared" si="52"/>
        <v/>
      </c>
      <c r="BK186" s="1" t="str">
        <f t="shared" si="53"/>
        <v/>
      </c>
      <c r="BL186" s="1" t="str">
        <f t="shared" si="54"/>
        <v/>
      </c>
      <c r="BM186" s="1" t="str">
        <f t="shared" si="55"/>
        <v/>
      </c>
      <c r="BN186" s="1" t="str">
        <f t="shared" si="56"/>
        <v/>
      </c>
      <c r="BO186" s="1" t="str">
        <f t="shared" si="57"/>
        <v>MosinNagant</v>
      </c>
      <c r="BP186" s="1" t="str">
        <f t="shared" si="58"/>
        <v/>
      </c>
      <c r="BQ186" s="1" t="str">
        <f t="shared" si="59"/>
        <v/>
      </c>
      <c r="BR186" s="1" t="str">
        <f t="shared" si="60"/>
        <v/>
      </c>
      <c r="BS186" s="1" t="str">
        <f t="shared" si="61"/>
        <v/>
      </c>
    </row>
    <row r="187" spans="48:71" x14ac:dyDescent="0.3">
      <c r="AV187" t="s">
        <v>8117</v>
      </c>
      <c r="AZ187" s="1" t="str">
        <f t="shared" si="42"/>
        <v/>
      </c>
      <c r="BA187" s="1" t="str">
        <f t="shared" si="43"/>
        <v/>
      </c>
      <c r="BB187" s="1" t="str">
        <f t="shared" si="44"/>
        <v/>
      </c>
      <c r="BC187" s="1" t="str">
        <f t="shared" si="45"/>
        <v/>
      </c>
      <c r="BD187" s="1" t="str">
        <f t="shared" si="46"/>
        <v/>
      </c>
      <c r="BE187" s="1" t="str">
        <f t="shared" si="47"/>
        <v/>
      </c>
      <c r="BF187" s="1" t="str">
        <f t="shared" si="48"/>
        <v/>
      </c>
      <c r="BG187" s="1" t="str">
        <f t="shared" si="49"/>
        <v/>
      </c>
      <c r="BH187" s="1" t="str">
        <f t="shared" si="50"/>
        <v/>
      </c>
      <c r="BI187" s="1" t="str">
        <f t="shared" si="51"/>
        <v/>
      </c>
      <c r="BJ187" s="1" t="str">
        <f t="shared" si="52"/>
        <v/>
      </c>
      <c r="BK187" s="1" t="str">
        <f t="shared" si="53"/>
        <v/>
      </c>
      <c r="BL187" s="1" t="str">
        <f t="shared" si="54"/>
        <v/>
      </c>
      <c r="BM187" s="1" t="str">
        <f t="shared" si="55"/>
        <v/>
      </c>
      <c r="BN187" s="1" t="str">
        <f t="shared" si="56"/>
        <v/>
      </c>
      <c r="BO187" s="1" t="str">
        <f t="shared" si="57"/>
        <v>MosinNagantMod</v>
      </c>
      <c r="BP187" s="1" t="str">
        <f t="shared" si="58"/>
        <v/>
      </c>
      <c r="BQ187" s="1" t="str">
        <f t="shared" si="59"/>
        <v/>
      </c>
      <c r="BR187" s="1" t="str">
        <f t="shared" si="60"/>
        <v/>
      </c>
      <c r="BS187" s="1" t="str">
        <f t="shared" si="61"/>
        <v/>
      </c>
    </row>
    <row r="188" spans="48:71" x14ac:dyDescent="0.3">
      <c r="AV188" t="s">
        <v>8647</v>
      </c>
      <c r="AZ188" s="1" t="str">
        <f t="shared" si="42"/>
        <v/>
      </c>
      <c r="BA188" s="1" t="str">
        <f t="shared" si="43"/>
        <v/>
      </c>
      <c r="BB188" s="1" t="str">
        <f t="shared" si="44"/>
        <v/>
      </c>
      <c r="BC188" s="1" t="str">
        <f t="shared" si="45"/>
        <v/>
      </c>
      <c r="BD188" s="1" t="str">
        <f t="shared" si="46"/>
        <v/>
      </c>
      <c r="BE188" s="1" t="str">
        <f t="shared" si="47"/>
        <v/>
      </c>
      <c r="BF188" s="1" t="str">
        <f t="shared" si="48"/>
        <v/>
      </c>
      <c r="BG188" s="1" t="str">
        <f t="shared" si="49"/>
        <v/>
      </c>
      <c r="BH188" s="1" t="str">
        <f t="shared" si="50"/>
        <v/>
      </c>
      <c r="BI188" s="1" t="str">
        <f t="shared" si="51"/>
        <v/>
      </c>
      <c r="BJ188" s="1" t="str">
        <f t="shared" si="52"/>
        <v/>
      </c>
      <c r="BK188" s="1" t="str">
        <f t="shared" si="53"/>
        <v/>
      </c>
      <c r="BL188" s="1" t="str">
        <f t="shared" si="54"/>
        <v/>
      </c>
      <c r="BM188" s="1" t="str">
        <f t="shared" si="55"/>
        <v/>
      </c>
      <c r="BN188" s="1" t="str">
        <f t="shared" si="56"/>
        <v/>
      </c>
      <c r="BO188" s="1" t="str">
        <f t="shared" si="57"/>
        <v>MosinNagantModGZ</v>
      </c>
      <c r="BP188" s="1" t="str">
        <f t="shared" si="58"/>
        <v/>
      </c>
      <c r="BQ188" s="1" t="str">
        <f t="shared" si="59"/>
        <v/>
      </c>
      <c r="BR188" s="1" t="str">
        <f t="shared" si="60"/>
        <v/>
      </c>
      <c r="BS188" s="1" t="str">
        <f t="shared" si="61"/>
        <v/>
      </c>
    </row>
    <row r="189" spans="48:71" x14ac:dyDescent="0.3">
      <c r="AV189" t="s">
        <v>9226</v>
      </c>
      <c r="AZ189" s="1" t="str">
        <f t="shared" si="42"/>
        <v/>
      </c>
      <c r="BA189" s="1" t="str">
        <f t="shared" si="43"/>
        <v/>
      </c>
      <c r="BB189" s="1" t="str">
        <f t="shared" si="44"/>
        <v/>
      </c>
      <c r="BC189" s="1" t="str">
        <f t="shared" si="45"/>
        <v/>
      </c>
      <c r="BD189" s="1" t="str">
        <f t="shared" si="46"/>
        <v/>
      </c>
      <c r="BE189" s="1" t="str">
        <f t="shared" si="47"/>
        <v/>
      </c>
      <c r="BF189" s="1" t="str">
        <f t="shared" si="48"/>
        <v/>
      </c>
      <c r="BG189" s="1" t="str">
        <f t="shared" si="49"/>
        <v/>
      </c>
      <c r="BH189" s="1" t="str">
        <f t="shared" si="50"/>
        <v/>
      </c>
      <c r="BI189" s="1" t="str">
        <f t="shared" si="51"/>
        <v/>
      </c>
      <c r="BJ189" s="1" t="str">
        <f t="shared" si="52"/>
        <v/>
      </c>
      <c r="BK189" s="1" t="str">
        <f t="shared" si="53"/>
        <v/>
      </c>
      <c r="BL189" s="1" t="str">
        <f t="shared" si="54"/>
        <v/>
      </c>
      <c r="BM189" s="1" t="str">
        <f t="shared" si="55"/>
        <v/>
      </c>
      <c r="BN189" s="1" t="str">
        <f t="shared" si="56"/>
        <v/>
      </c>
      <c r="BO189" s="1" t="str">
        <f t="shared" si="57"/>
        <v>Motoko</v>
      </c>
      <c r="BP189" s="1" t="str">
        <f t="shared" si="58"/>
        <v/>
      </c>
      <c r="BQ189" s="1" t="str">
        <f t="shared" si="59"/>
        <v/>
      </c>
      <c r="BR189" s="1" t="str">
        <f t="shared" si="60"/>
        <v/>
      </c>
      <c r="BS189" s="1" t="str">
        <f t="shared" si="61"/>
        <v/>
      </c>
    </row>
    <row r="190" spans="48:71" x14ac:dyDescent="0.3">
      <c r="AV190" t="s">
        <v>1753</v>
      </c>
      <c r="AZ190" s="1" t="str">
        <f t="shared" si="42"/>
        <v/>
      </c>
      <c r="BA190" s="1" t="str">
        <f t="shared" si="43"/>
        <v/>
      </c>
      <c r="BB190" s="1" t="str">
        <f t="shared" si="44"/>
        <v/>
      </c>
      <c r="BC190" s="1" t="str">
        <f t="shared" si="45"/>
        <v/>
      </c>
      <c r="BD190" s="1" t="str">
        <f t="shared" si="46"/>
        <v/>
      </c>
      <c r="BE190" s="1" t="str">
        <f t="shared" si="47"/>
        <v/>
      </c>
      <c r="BF190" s="1" t="str">
        <f t="shared" si="48"/>
        <v/>
      </c>
      <c r="BG190" s="1" t="str">
        <f t="shared" si="49"/>
        <v/>
      </c>
      <c r="BH190" s="1" t="str">
        <f t="shared" si="50"/>
        <v/>
      </c>
      <c r="BI190" s="1" t="str">
        <f t="shared" si="51"/>
        <v/>
      </c>
      <c r="BJ190" s="1" t="str">
        <f t="shared" si="52"/>
        <v/>
      </c>
      <c r="BK190" s="1" t="str">
        <f t="shared" si="53"/>
        <v/>
      </c>
      <c r="BL190" s="1" t="str">
        <f t="shared" si="54"/>
        <v/>
      </c>
      <c r="BM190" s="1" t="str">
        <f t="shared" si="55"/>
        <v/>
      </c>
      <c r="BN190" s="1" t="str">
        <f t="shared" si="56"/>
        <v/>
      </c>
      <c r="BO190" s="1" t="str">
        <f t="shared" si="57"/>
        <v>MP41Mod</v>
      </c>
      <c r="BP190" s="1" t="str">
        <f t="shared" si="58"/>
        <v/>
      </c>
      <c r="BQ190" s="1" t="str">
        <f t="shared" si="59"/>
        <v/>
      </c>
      <c r="BR190" s="1" t="str">
        <f t="shared" si="60"/>
        <v/>
      </c>
      <c r="BS190" s="1" t="str">
        <f t="shared" si="61"/>
        <v/>
      </c>
    </row>
    <row r="191" spans="48:71" x14ac:dyDescent="0.3">
      <c r="AV191" t="s">
        <v>1683</v>
      </c>
      <c r="AZ191" s="1" t="str">
        <f t="shared" si="42"/>
        <v/>
      </c>
      <c r="BA191" s="1" t="str">
        <f t="shared" si="43"/>
        <v/>
      </c>
      <c r="BB191" s="1" t="str">
        <f t="shared" si="44"/>
        <v/>
      </c>
      <c r="BC191" s="1" t="str">
        <f t="shared" si="45"/>
        <v/>
      </c>
      <c r="BD191" s="1" t="str">
        <f t="shared" si="46"/>
        <v/>
      </c>
      <c r="BE191" s="1" t="str">
        <f t="shared" si="47"/>
        <v/>
      </c>
      <c r="BF191" s="1" t="str">
        <f t="shared" si="48"/>
        <v/>
      </c>
      <c r="BG191" s="1" t="str">
        <f t="shared" si="49"/>
        <v/>
      </c>
      <c r="BH191" s="1" t="str">
        <f t="shared" si="50"/>
        <v/>
      </c>
      <c r="BI191" s="1" t="str">
        <f t="shared" si="51"/>
        <v/>
      </c>
      <c r="BJ191" s="1" t="str">
        <f t="shared" si="52"/>
        <v/>
      </c>
      <c r="BK191" s="1" t="str">
        <f t="shared" si="53"/>
        <v/>
      </c>
      <c r="BL191" s="1" t="str">
        <f t="shared" si="54"/>
        <v/>
      </c>
      <c r="BM191" s="1" t="str">
        <f t="shared" si="55"/>
        <v/>
      </c>
      <c r="BN191" s="1" t="str">
        <f t="shared" si="56"/>
        <v/>
      </c>
      <c r="BO191" s="1" t="str">
        <f t="shared" si="57"/>
        <v>MP443Mod</v>
      </c>
      <c r="BP191" s="1" t="str">
        <f t="shared" si="58"/>
        <v/>
      </c>
      <c r="BQ191" s="1" t="str">
        <f t="shared" si="59"/>
        <v/>
      </c>
      <c r="BR191" s="1" t="str">
        <f t="shared" si="60"/>
        <v/>
      </c>
      <c r="BS191" s="1" t="str">
        <f t="shared" si="61"/>
        <v/>
      </c>
    </row>
    <row r="192" spans="48:71" x14ac:dyDescent="0.3">
      <c r="AV192" t="s">
        <v>729</v>
      </c>
      <c r="AZ192" s="1" t="str">
        <f t="shared" si="42"/>
        <v/>
      </c>
      <c r="BA192" s="1" t="str">
        <f t="shared" si="43"/>
        <v/>
      </c>
      <c r="BB192" s="1" t="str">
        <f t="shared" si="44"/>
        <v/>
      </c>
      <c r="BC192" s="1" t="str">
        <f t="shared" si="45"/>
        <v/>
      </c>
      <c r="BD192" s="1" t="str">
        <f t="shared" si="46"/>
        <v/>
      </c>
      <c r="BE192" s="1" t="str">
        <f t="shared" si="47"/>
        <v/>
      </c>
      <c r="BF192" s="1" t="str">
        <f t="shared" si="48"/>
        <v/>
      </c>
      <c r="BG192" s="1" t="str">
        <f t="shared" si="49"/>
        <v/>
      </c>
      <c r="BH192" s="1" t="str">
        <f t="shared" si="50"/>
        <v/>
      </c>
      <c r="BI192" s="1" t="str">
        <f t="shared" si="51"/>
        <v/>
      </c>
      <c r="BJ192" s="1" t="str">
        <f t="shared" si="52"/>
        <v/>
      </c>
      <c r="BK192" s="1" t="str">
        <f t="shared" si="53"/>
        <v/>
      </c>
      <c r="BL192" s="1" t="str">
        <f t="shared" si="54"/>
        <v/>
      </c>
      <c r="BM192" s="1" t="str">
        <f t="shared" si="55"/>
        <v/>
      </c>
      <c r="BN192" s="1" t="str">
        <f t="shared" si="56"/>
        <v/>
      </c>
      <c r="BO192" s="1" t="str">
        <f t="shared" si="57"/>
        <v>MP446Mod</v>
      </c>
      <c r="BP192" s="1" t="str">
        <f t="shared" si="58"/>
        <v/>
      </c>
      <c r="BQ192" s="1" t="str">
        <f t="shared" si="59"/>
        <v/>
      </c>
      <c r="BR192" s="1" t="str">
        <f t="shared" si="60"/>
        <v/>
      </c>
      <c r="BS192" s="1" t="str">
        <f t="shared" si="61"/>
        <v/>
      </c>
    </row>
    <row r="193" spans="48:71" x14ac:dyDescent="0.3">
      <c r="AV193" t="s">
        <v>1409</v>
      </c>
      <c r="AZ193" s="1" t="str">
        <f t="shared" si="42"/>
        <v/>
      </c>
      <c r="BA193" s="1" t="str">
        <f t="shared" si="43"/>
        <v/>
      </c>
      <c r="BB193" s="1" t="str">
        <f t="shared" si="44"/>
        <v/>
      </c>
      <c r="BC193" s="1" t="str">
        <f t="shared" si="45"/>
        <v/>
      </c>
      <c r="BD193" s="1" t="str">
        <f t="shared" si="46"/>
        <v/>
      </c>
      <c r="BE193" s="1" t="str">
        <f t="shared" si="47"/>
        <v/>
      </c>
      <c r="BF193" s="1" t="str">
        <f t="shared" si="48"/>
        <v/>
      </c>
      <c r="BG193" s="1" t="str">
        <f t="shared" si="49"/>
        <v/>
      </c>
      <c r="BH193" s="1" t="str">
        <f t="shared" si="50"/>
        <v/>
      </c>
      <c r="BI193" s="1" t="str">
        <f t="shared" si="51"/>
        <v/>
      </c>
      <c r="BJ193" s="1" t="str">
        <f t="shared" si="52"/>
        <v/>
      </c>
      <c r="BK193" s="1" t="str">
        <f t="shared" si="53"/>
        <v/>
      </c>
      <c r="BL193" s="1" t="str">
        <f t="shared" si="54"/>
        <v/>
      </c>
      <c r="BM193" s="1" t="str">
        <f t="shared" si="55"/>
        <v/>
      </c>
      <c r="BN193" s="1" t="str">
        <f t="shared" si="56"/>
        <v/>
      </c>
      <c r="BO193" s="1" t="str">
        <f t="shared" si="57"/>
        <v>MP5</v>
      </c>
      <c r="BP193" s="1" t="str">
        <f t="shared" si="58"/>
        <v/>
      </c>
      <c r="BQ193" s="1" t="str">
        <f t="shared" si="59"/>
        <v/>
      </c>
      <c r="BR193" s="1" t="str">
        <f t="shared" si="60"/>
        <v/>
      </c>
      <c r="BS193" s="1" t="str">
        <f t="shared" si="61"/>
        <v/>
      </c>
    </row>
    <row r="194" spans="48:71" x14ac:dyDescent="0.3">
      <c r="AV194" t="s">
        <v>8121</v>
      </c>
      <c r="AZ194" s="1" t="str">
        <f t="shared" si="42"/>
        <v/>
      </c>
      <c r="BA194" s="1" t="str">
        <f t="shared" si="43"/>
        <v/>
      </c>
      <c r="BB194" s="1" t="str">
        <f t="shared" si="44"/>
        <v/>
      </c>
      <c r="BC194" s="1" t="str">
        <f t="shared" si="45"/>
        <v/>
      </c>
      <c r="BD194" s="1" t="str">
        <f t="shared" si="46"/>
        <v/>
      </c>
      <c r="BE194" s="1" t="str">
        <f t="shared" si="47"/>
        <v/>
      </c>
      <c r="BF194" s="1" t="str">
        <f t="shared" si="48"/>
        <v/>
      </c>
      <c r="BG194" s="1" t="str">
        <f t="shared" si="49"/>
        <v/>
      </c>
      <c r="BH194" s="1" t="str">
        <f t="shared" si="50"/>
        <v/>
      </c>
      <c r="BI194" s="1" t="str">
        <f t="shared" si="51"/>
        <v/>
      </c>
      <c r="BJ194" s="1" t="str">
        <f t="shared" si="52"/>
        <v/>
      </c>
      <c r="BK194" s="1" t="str">
        <f t="shared" si="53"/>
        <v/>
      </c>
      <c r="BL194" s="1" t="str">
        <f t="shared" si="54"/>
        <v/>
      </c>
      <c r="BM194" s="1" t="str">
        <f t="shared" si="55"/>
        <v/>
      </c>
      <c r="BN194" s="1" t="str">
        <f t="shared" si="56"/>
        <v/>
      </c>
      <c r="BO194" s="1" t="str">
        <f t="shared" si="57"/>
        <v>MP5Mod</v>
      </c>
      <c r="BP194" s="1" t="str">
        <f t="shared" si="58"/>
        <v/>
      </c>
      <c r="BQ194" s="1" t="str">
        <f t="shared" si="59"/>
        <v/>
      </c>
      <c r="BR194" s="1" t="str">
        <f t="shared" si="60"/>
        <v/>
      </c>
      <c r="BS194" s="1" t="str">
        <f t="shared" si="61"/>
        <v/>
      </c>
    </row>
    <row r="195" spans="48:71" x14ac:dyDescent="0.3">
      <c r="AV195" t="s">
        <v>82</v>
      </c>
      <c r="AZ195" s="1" t="str">
        <f t="shared" si="42"/>
        <v/>
      </c>
      <c r="BA195" s="1" t="str">
        <f t="shared" si="43"/>
        <v/>
      </c>
      <c r="BB195" s="1" t="str">
        <f t="shared" si="44"/>
        <v/>
      </c>
      <c r="BC195" s="1" t="str">
        <f t="shared" si="45"/>
        <v/>
      </c>
      <c r="BD195" s="1" t="str">
        <f t="shared" si="46"/>
        <v/>
      </c>
      <c r="BE195" s="1" t="str">
        <f t="shared" si="47"/>
        <v/>
      </c>
      <c r="BF195" s="1" t="str">
        <f t="shared" si="48"/>
        <v/>
      </c>
      <c r="BG195" s="1" t="str">
        <f t="shared" si="49"/>
        <v/>
      </c>
      <c r="BH195" s="1" t="str">
        <f t="shared" si="50"/>
        <v/>
      </c>
      <c r="BI195" s="1" t="str">
        <f t="shared" si="51"/>
        <v/>
      </c>
      <c r="BJ195" s="1" t="str">
        <f t="shared" si="52"/>
        <v/>
      </c>
      <c r="BK195" s="1" t="str">
        <f t="shared" si="53"/>
        <v/>
      </c>
      <c r="BL195" s="1" t="str">
        <f t="shared" si="54"/>
        <v/>
      </c>
      <c r="BM195" s="1" t="str">
        <f t="shared" si="55"/>
        <v/>
      </c>
      <c r="BN195" s="1" t="str">
        <f t="shared" si="56"/>
        <v/>
      </c>
      <c r="BO195" s="1" t="str">
        <f t="shared" si="57"/>
        <v>MP5ModGZ</v>
      </c>
      <c r="BP195" s="1" t="str">
        <f t="shared" si="58"/>
        <v/>
      </c>
      <c r="BQ195" s="1" t="str">
        <f t="shared" si="59"/>
        <v/>
      </c>
      <c r="BR195" s="1" t="str">
        <f t="shared" si="60"/>
        <v/>
      </c>
      <c r="BS195" s="1" t="str">
        <f t="shared" si="61"/>
        <v/>
      </c>
    </row>
    <row r="196" spans="48:71" x14ac:dyDescent="0.3">
      <c r="AV196" t="s">
        <v>1681</v>
      </c>
      <c r="AZ196" s="1" t="str">
        <f t="shared" ref="AZ196:AZ259" si="62">IF(INDEX($C195:$AF195,MATCH(AZ$2,$C$1:$AF$1,0))="","",INDEX($C195:$AF195,MATCH(AZ$2,$C$1:$AF$1,0)))</f>
        <v/>
      </c>
      <c r="BA196" s="1" t="str">
        <f t="shared" ref="BA196:BA259" si="63">IF(INDEX($C195:$AF195,MATCH(BA$2,$C$1:$AF$1,0))="","",INDEX($C195:$AF195,MATCH(BA$2,$C$1:$AF$1,0)))</f>
        <v/>
      </c>
      <c r="BB196" s="1" t="str">
        <f t="shared" ref="BB196:BB259" si="64">IF(INDEX($C195:$AF195,MATCH(BB$2,$C$1:$AF$1,0))="","",INDEX($C195:$AF195,MATCH(BB$2,$C$1:$AF$1,0)))</f>
        <v/>
      </c>
      <c r="BC196" s="1" t="str">
        <f t="shared" ref="BC196:BC259" si="65">IF(INDEX($C195:$AF195,MATCH(BC$2,$C$1:$AF$1,0))="","",INDEX($C195:$AF195,MATCH(BC$2,$C$1:$AF$1,0)))</f>
        <v/>
      </c>
      <c r="BD196" s="1" t="str">
        <f t="shared" ref="BD196:BD259" si="66">IF(INDEX($C195:$AF195,MATCH(BD$2,$C$1:$AF$1,0))="","",INDEX($C195:$AF195,MATCH(BD$2,$C$1:$AF$1,0)))</f>
        <v/>
      </c>
      <c r="BE196" s="1" t="str">
        <f t="shared" ref="BE196:BE259" si="67">IF(INDEX($AH195:$AV195,MATCH(BE$2,$AH$1:$AV$1,0))="","",INDEX($AH195:$AV195,MATCH(BE$2,$AH$1:$AV$1,0)))</f>
        <v/>
      </c>
      <c r="BF196" s="1" t="str">
        <f t="shared" ref="BF196:BF259" si="68">IF(INDEX($AH195:$AV195,MATCH(BF$2,$AH$1:$AV$1,0))="","",INDEX($AH195:$AV195,MATCH(BF$2,$AH$1:$AV$1,0)))</f>
        <v/>
      </c>
      <c r="BG196" s="1" t="str">
        <f t="shared" ref="BG196:BG259" si="69">IF(INDEX($AH195:$AV195,MATCH(BG$2,$AH$1:$AV$1,0))="","",INDEX($AH195:$AV195,MATCH(BG$2,$AH$1:$AV$1,0)))</f>
        <v/>
      </c>
      <c r="BH196" s="1" t="str">
        <f t="shared" ref="BH196:BH259" si="70">IF(INDEX($AH195:$AV195,MATCH(BH$2,$AH$1:$AV$1,0))="","",INDEX($AH195:$AV195,MATCH(BH$2,$AH$1:$AV$1,0)))</f>
        <v/>
      </c>
      <c r="BI196" s="1" t="str">
        <f t="shared" ref="BI196:BI259" si="71">IF(INDEX($AH195:$AV195,MATCH(BI$2,$AH$1:$AV$1,0))="","",INDEX($AH195:$AV195,MATCH(BI$2,$AH$1:$AV$1,0)))</f>
        <v/>
      </c>
      <c r="BJ196" s="1" t="str">
        <f t="shared" ref="BJ196:BJ259" si="72">IF(INDEX($AH195:$AV195,MATCH(BJ$2,$AH$1:$AV$1,0))="","",INDEX($AH195:$AV195,MATCH(BJ$2,$AH$1:$AV$1,0)))</f>
        <v/>
      </c>
      <c r="BK196" s="1" t="str">
        <f t="shared" ref="BK196:BK259" si="73">IF(INDEX($AH195:$AV195,MATCH(BK$2,$AH$1:$AV$1,0))="","",INDEX($AH195:$AV195,MATCH(BK$2,$AH$1:$AV$1,0)))</f>
        <v/>
      </c>
      <c r="BL196" s="1" t="str">
        <f t="shared" ref="BL196:BL259" si="74">IF(INDEX($AH195:$AV195,MATCH(BL$2,$AH$1:$AV$1,0))="","",INDEX($AH195:$AV195,MATCH(BL$2,$AH$1:$AV$1,0)))</f>
        <v/>
      </c>
      <c r="BM196" s="1" t="str">
        <f t="shared" ref="BM196:BM259" si="75">IF(INDEX($AH195:$AV195,MATCH(BM$2,$AH$1:$AV$1,0))="","",INDEX($AH195:$AV195,MATCH(BM$2,$AH$1:$AV$1,0)))</f>
        <v/>
      </c>
      <c r="BN196" s="1" t="str">
        <f t="shared" ref="BN196:BN259" si="76">IF(INDEX($AH195:$AV195,MATCH(BN$2,$AH$1:$AV$1,0))="","",INDEX($AH195:$AV195,MATCH(BN$2,$AH$1:$AV$1,0)))</f>
        <v/>
      </c>
      <c r="BO196" s="1" t="str">
        <f t="shared" ref="BO196:BO259" si="77">IF(INDEX($AH195:$AV195,MATCH(BO$2,$AH$1:$AV$1,0))="","",INDEX($AH195:$AV195,MATCH(BO$2,$AH$1:$AV$1,0)))</f>
        <v>MP7</v>
      </c>
      <c r="BP196" s="1" t="str">
        <f t="shared" ref="BP196:BP259" si="78">IF(INDEX($AH195:$AV195,MATCH(BP$2,$AH$1:$AV$1,0))="","",INDEX($AH195:$AV195,MATCH(BP$2,$AH$1:$AV$1,0)))</f>
        <v/>
      </c>
      <c r="BQ196" s="1" t="str">
        <f t="shared" ref="BQ196:BQ259" si="79">IF(INDEX($AH195:$AV195,MATCH(BQ$2,$AH$1:$AV$1,0))="","",INDEX($AH195:$AV195,MATCH(BQ$2,$AH$1:$AV$1,0)))</f>
        <v/>
      </c>
      <c r="BR196" s="1" t="str">
        <f t="shared" ref="BR196:BR259" si="80">IF(INDEX($AH195:$AV195,MATCH(BR$2,$AH$1:$AV$1,0))="","",INDEX($AH195:$AV195,MATCH(BR$2,$AH$1:$AV$1,0)))</f>
        <v/>
      </c>
      <c r="BS196" s="1" t="str">
        <f t="shared" ref="BS196:BS259" si="81">IF(INDEX($AH195:$AV195,MATCH(BS$2,$AH$1:$AV$1,0))="","",INDEX($AH195:$AV195,MATCH(BS$2,$AH$1:$AV$1,0)))</f>
        <v/>
      </c>
    </row>
    <row r="197" spans="48:71" x14ac:dyDescent="0.3">
      <c r="AV197" t="s">
        <v>8524</v>
      </c>
      <c r="AZ197" s="1" t="str">
        <f t="shared" si="62"/>
        <v/>
      </c>
      <c r="BA197" s="1" t="str">
        <f t="shared" si="63"/>
        <v/>
      </c>
      <c r="BB197" s="1" t="str">
        <f t="shared" si="64"/>
        <v/>
      </c>
      <c r="BC197" s="1" t="str">
        <f t="shared" si="65"/>
        <v/>
      </c>
      <c r="BD197" s="1" t="str">
        <f t="shared" si="66"/>
        <v/>
      </c>
      <c r="BE197" s="1" t="str">
        <f t="shared" si="67"/>
        <v/>
      </c>
      <c r="BF197" s="1" t="str">
        <f t="shared" si="68"/>
        <v/>
      </c>
      <c r="BG197" s="1" t="str">
        <f t="shared" si="69"/>
        <v/>
      </c>
      <c r="BH197" s="1" t="str">
        <f t="shared" si="70"/>
        <v/>
      </c>
      <c r="BI197" s="1" t="str">
        <f t="shared" si="71"/>
        <v/>
      </c>
      <c r="BJ197" s="1" t="str">
        <f t="shared" si="72"/>
        <v/>
      </c>
      <c r="BK197" s="1" t="str">
        <f t="shared" si="73"/>
        <v/>
      </c>
      <c r="BL197" s="1" t="str">
        <f t="shared" si="74"/>
        <v/>
      </c>
      <c r="BM197" s="1" t="str">
        <f t="shared" si="75"/>
        <v/>
      </c>
      <c r="BN197" s="1" t="str">
        <f t="shared" si="76"/>
        <v/>
      </c>
      <c r="BO197" s="1" t="str">
        <f t="shared" si="77"/>
        <v>NTW20Mod</v>
      </c>
      <c r="BP197" s="1" t="str">
        <f t="shared" si="78"/>
        <v/>
      </c>
      <c r="BQ197" s="1" t="str">
        <f t="shared" si="79"/>
        <v/>
      </c>
      <c r="BR197" s="1" t="str">
        <f t="shared" si="80"/>
        <v/>
      </c>
      <c r="BS197" s="1" t="str">
        <f t="shared" si="81"/>
        <v/>
      </c>
    </row>
    <row r="198" spans="48:71" x14ac:dyDescent="0.3">
      <c r="AV198" t="s">
        <v>131</v>
      </c>
      <c r="AZ198" s="1" t="str">
        <f t="shared" si="62"/>
        <v/>
      </c>
      <c r="BA198" s="1" t="str">
        <f t="shared" si="63"/>
        <v/>
      </c>
      <c r="BB198" s="1" t="str">
        <f t="shared" si="64"/>
        <v/>
      </c>
      <c r="BC198" s="1" t="str">
        <f t="shared" si="65"/>
        <v/>
      </c>
      <c r="BD198" s="1" t="str">
        <f t="shared" si="66"/>
        <v/>
      </c>
      <c r="BE198" s="1" t="str">
        <f t="shared" si="67"/>
        <v/>
      </c>
      <c r="BF198" s="1" t="str">
        <f t="shared" si="68"/>
        <v/>
      </c>
      <c r="BG198" s="1" t="str">
        <f t="shared" si="69"/>
        <v/>
      </c>
      <c r="BH198" s="1" t="str">
        <f t="shared" si="70"/>
        <v/>
      </c>
      <c r="BI198" s="1" t="str">
        <f t="shared" si="71"/>
        <v/>
      </c>
      <c r="BJ198" s="1" t="str">
        <f t="shared" si="72"/>
        <v/>
      </c>
      <c r="BK198" s="1" t="str">
        <f t="shared" si="73"/>
        <v/>
      </c>
      <c r="BL198" s="1" t="str">
        <f t="shared" si="74"/>
        <v/>
      </c>
      <c r="BM198" s="1" t="str">
        <f t="shared" si="75"/>
        <v/>
      </c>
      <c r="BN198" s="1" t="str">
        <f t="shared" si="76"/>
        <v/>
      </c>
      <c r="BO198" s="1" t="str">
        <f t="shared" si="77"/>
        <v>NTW20ModGZ</v>
      </c>
      <c r="BP198" s="1" t="str">
        <f t="shared" si="78"/>
        <v/>
      </c>
      <c r="BQ198" s="1" t="str">
        <f t="shared" si="79"/>
        <v/>
      </c>
      <c r="BR198" s="1" t="str">
        <f t="shared" si="80"/>
        <v/>
      </c>
      <c r="BS198" s="1" t="str">
        <f t="shared" si="81"/>
        <v/>
      </c>
    </row>
    <row r="199" spans="48:71" x14ac:dyDescent="0.3">
      <c r="AV199" t="s">
        <v>6483</v>
      </c>
      <c r="AZ199" s="1" t="str">
        <f t="shared" si="62"/>
        <v/>
      </c>
      <c r="BA199" s="1" t="str">
        <f t="shared" si="63"/>
        <v/>
      </c>
      <c r="BB199" s="1" t="str">
        <f t="shared" si="64"/>
        <v/>
      </c>
      <c r="BC199" s="1" t="str">
        <f t="shared" si="65"/>
        <v/>
      </c>
      <c r="BD199" s="1" t="str">
        <f t="shared" si="66"/>
        <v/>
      </c>
      <c r="BE199" s="1" t="str">
        <f t="shared" si="67"/>
        <v/>
      </c>
      <c r="BF199" s="1" t="str">
        <f t="shared" si="68"/>
        <v/>
      </c>
      <c r="BG199" s="1" t="str">
        <f t="shared" si="69"/>
        <v/>
      </c>
      <c r="BH199" s="1" t="str">
        <f t="shared" si="70"/>
        <v/>
      </c>
      <c r="BI199" s="1" t="str">
        <f t="shared" si="71"/>
        <v/>
      </c>
      <c r="BJ199" s="1" t="str">
        <f t="shared" si="72"/>
        <v/>
      </c>
      <c r="BK199" s="1" t="str">
        <f t="shared" si="73"/>
        <v/>
      </c>
      <c r="BL199" s="1" t="str">
        <f t="shared" si="74"/>
        <v/>
      </c>
      <c r="BM199" s="1" t="str">
        <f t="shared" si="75"/>
        <v/>
      </c>
      <c r="BN199" s="1" t="str">
        <f t="shared" si="76"/>
        <v/>
      </c>
      <c r="BO199" s="1" t="str">
        <f t="shared" si="77"/>
        <v>NZ75</v>
      </c>
      <c r="BP199" s="1" t="str">
        <f t="shared" si="78"/>
        <v/>
      </c>
      <c r="BQ199" s="1" t="str">
        <f t="shared" si="79"/>
        <v/>
      </c>
      <c r="BR199" s="1" t="str">
        <f t="shared" si="80"/>
        <v/>
      </c>
      <c r="BS199" s="1" t="str">
        <f t="shared" si="81"/>
        <v/>
      </c>
    </row>
    <row r="200" spans="48:71" x14ac:dyDescent="0.3">
      <c r="AV200" t="s">
        <v>1693</v>
      </c>
      <c r="AZ200" s="1" t="str">
        <f t="shared" si="62"/>
        <v/>
      </c>
      <c r="BA200" s="1" t="str">
        <f t="shared" si="63"/>
        <v/>
      </c>
      <c r="BB200" s="1" t="str">
        <f t="shared" si="64"/>
        <v/>
      </c>
      <c r="BC200" s="1" t="str">
        <f t="shared" si="65"/>
        <v/>
      </c>
      <c r="BD200" s="1" t="str">
        <f t="shared" si="66"/>
        <v/>
      </c>
      <c r="BE200" s="1" t="str">
        <f t="shared" si="67"/>
        <v/>
      </c>
      <c r="BF200" s="1" t="str">
        <f t="shared" si="68"/>
        <v/>
      </c>
      <c r="BG200" s="1" t="str">
        <f t="shared" si="69"/>
        <v/>
      </c>
      <c r="BH200" s="1" t="str">
        <f t="shared" si="70"/>
        <v/>
      </c>
      <c r="BI200" s="1" t="str">
        <f t="shared" si="71"/>
        <v/>
      </c>
      <c r="BJ200" s="1" t="str">
        <f t="shared" si="72"/>
        <v/>
      </c>
      <c r="BK200" s="1" t="str">
        <f t="shared" si="73"/>
        <v/>
      </c>
      <c r="BL200" s="1" t="str">
        <f t="shared" si="74"/>
        <v/>
      </c>
      <c r="BM200" s="1" t="str">
        <f t="shared" si="75"/>
        <v/>
      </c>
      <c r="BN200" s="1" t="str">
        <f t="shared" si="76"/>
        <v/>
      </c>
      <c r="BO200" s="1" t="str">
        <f t="shared" si="77"/>
        <v>OBRMod</v>
      </c>
      <c r="BP200" s="1" t="str">
        <f t="shared" si="78"/>
        <v/>
      </c>
      <c r="BQ200" s="1" t="str">
        <f t="shared" si="79"/>
        <v/>
      </c>
      <c r="BR200" s="1" t="str">
        <f t="shared" si="80"/>
        <v/>
      </c>
      <c r="BS200" s="1" t="str">
        <f t="shared" si="81"/>
        <v/>
      </c>
    </row>
    <row r="201" spans="48:71" x14ac:dyDescent="0.3">
      <c r="AV201" t="s">
        <v>1624</v>
      </c>
      <c r="AZ201" s="1" t="str">
        <f t="shared" si="62"/>
        <v/>
      </c>
      <c r="BA201" s="1" t="str">
        <f t="shared" si="63"/>
        <v/>
      </c>
      <c r="BB201" s="1" t="str">
        <f t="shared" si="64"/>
        <v/>
      </c>
      <c r="BC201" s="1" t="str">
        <f t="shared" si="65"/>
        <v/>
      </c>
      <c r="BD201" s="1" t="str">
        <f t="shared" si="66"/>
        <v/>
      </c>
      <c r="BE201" s="1" t="str">
        <f t="shared" si="67"/>
        <v/>
      </c>
      <c r="BF201" s="1" t="str">
        <f t="shared" si="68"/>
        <v/>
      </c>
      <c r="BG201" s="1" t="str">
        <f t="shared" si="69"/>
        <v/>
      </c>
      <c r="BH201" s="1" t="str">
        <f t="shared" si="70"/>
        <v/>
      </c>
      <c r="BI201" s="1" t="str">
        <f t="shared" si="71"/>
        <v/>
      </c>
      <c r="BJ201" s="1" t="str">
        <f t="shared" si="72"/>
        <v/>
      </c>
      <c r="BK201" s="1" t="str">
        <f t="shared" si="73"/>
        <v/>
      </c>
      <c r="BL201" s="1" t="str">
        <f t="shared" si="74"/>
        <v/>
      </c>
      <c r="BM201" s="1" t="str">
        <f t="shared" si="75"/>
        <v/>
      </c>
      <c r="BN201" s="1" t="str">
        <f t="shared" si="76"/>
        <v/>
      </c>
      <c r="BO201" s="1" t="str">
        <f t="shared" si="77"/>
        <v>Ots12</v>
      </c>
      <c r="BP201" s="1" t="str">
        <f t="shared" si="78"/>
        <v/>
      </c>
      <c r="BQ201" s="1" t="str">
        <f t="shared" si="79"/>
        <v/>
      </c>
      <c r="BR201" s="1" t="str">
        <f t="shared" si="80"/>
        <v/>
      </c>
      <c r="BS201" s="1" t="str">
        <f t="shared" si="81"/>
        <v/>
      </c>
    </row>
    <row r="202" spans="48:71" x14ac:dyDescent="0.3">
      <c r="AV202" t="s">
        <v>1694</v>
      </c>
      <c r="AZ202" s="1" t="str">
        <f t="shared" si="62"/>
        <v/>
      </c>
      <c r="BA202" s="1" t="str">
        <f t="shared" si="63"/>
        <v/>
      </c>
      <c r="BB202" s="1" t="str">
        <f t="shared" si="64"/>
        <v/>
      </c>
      <c r="BC202" s="1" t="str">
        <f t="shared" si="65"/>
        <v/>
      </c>
      <c r="BD202" s="1" t="str">
        <f t="shared" si="66"/>
        <v/>
      </c>
      <c r="BE202" s="1" t="str">
        <f t="shared" si="67"/>
        <v/>
      </c>
      <c r="BF202" s="1" t="str">
        <f t="shared" si="68"/>
        <v/>
      </c>
      <c r="BG202" s="1" t="str">
        <f t="shared" si="69"/>
        <v/>
      </c>
      <c r="BH202" s="1" t="str">
        <f t="shared" si="70"/>
        <v/>
      </c>
      <c r="BI202" s="1" t="str">
        <f t="shared" si="71"/>
        <v/>
      </c>
      <c r="BJ202" s="1" t="str">
        <f t="shared" si="72"/>
        <v/>
      </c>
      <c r="BK202" s="1" t="str">
        <f t="shared" si="73"/>
        <v/>
      </c>
      <c r="BL202" s="1" t="str">
        <f t="shared" si="74"/>
        <v/>
      </c>
      <c r="BM202" s="1" t="str">
        <f t="shared" si="75"/>
        <v/>
      </c>
      <c r="BN202" s="1" t="str">
        <f t="shared" si="76"/>
        <v/>
      </c>
      <c r="BO202" s="1" t="str">
        <f t="shared" si="77"/>
        <v>OTs14</v>
      </c>
      <c r="BP202" s="1" t="str">
        <f t="shared" si="78"/>
        <v/>
      </c>
      <c r="BQ202" s="1" t="str">
        <f t="shared" si="79"/>
        <v/>
      </c>
      <c r="BR202" s="1" t="str">
        <f t="shared" si="80"/>
        <v/>
      </c>
      <c r="BS202" s="1" t="str">
        <f t="shared" si="81"/>
        <v/>
      </c>
    </row>
    <row r="203" spans="48:71" x14ac:dyDescent="0.3">
      <c r="AV203" t="s">
        <v>71</v>
      </c>
      <c r="AZ203" s="1" t="str">
        <f t="shared" si="62"/>
        <v/>
      </c>
      <c r="BA203" s="1" t="str">
        <f t="shared" si="63"/>
        <v/>
      </c>
      <c r="BB203" s="1" t="str">
        <f t="shared" si="64"/>
        <v/>
      </c>
      <c r="BC203" s="1" t="str">
        <f t="shared" si="65"/>
        <v/>
      </c>
      <c r="BD203" s="1" t="str">
        <f t="shared" si="66"/>
        <v/>
      </c>
      <c r="BE203" s="1" t="str">
        <f t="shared" si="67"/>
        <v/>
      </c>
      <c r="BF203" s="1" t="str">
        <f t="shared" si="68"/>
        <v/>
      </c>
      <c r="BG203" s="1" t="str">
        <f t="shared" si="69"/>
        <v/>
      </c>
      <c r="BH203" s="1" t="str">
        <f t="shared" si="70"/>
        <v/>
      </c>
      <c r="BI203" s="1" t="str">
        <f t="shared" si="71"/>
        <v/>
      </c>
      <c r="BJ203" s="1" t="str">
        <f t="shared" si="72"/>
        <v/>
      </c>
      <c r="BK203" s="1" t="str">
        <f t="shared" si="73"/>
        <v/>
      </c>
      <c r="BL203" s="1" t="str">
        <f t="shared" si="74"/>
        <v/>
      </c>
      <c r="BM203" s="1" t="str">
        <f t="shared" si="75"/>
        <v/>
      </c>
      <c r="BN203" s="1" t="str">
        <f t="shared" si="76"/>
        <v/>
      </c>
      <c r="BO203" s="1" t="str">
        <f t="shared" si="77"/>
        <v>Ots44</v>
      </c>
      <c r="BP203" s="1" t="str">
        <f t="shared" si="78"/>
        <v/>
      </c>
      <c r="BQ203" s="1" t="str">
        <f t="shared" si="79"/>
        <v/>
      </c>
      <c r="BR203" s="1" t="str">
        <f t="shared" si="80"/>
        <v/>
      </c>
      <c r="BS203" s="1" t="str">
        <f t="shared" si="81"/>
        <v/>
      </c>
    </row>
    <row r="204" spans="48:71" x14ac:dyDescent="0.3">
      <c r="AV204" t="s">
        <v>197</v>
      </c>
      <c r="AZ204" s="1" t="str">
        <f t="shared" si="62"/>
        <v/>
      </c>
      <c r="BA204" s="1" t="str">
        <f t="shared" si="63"/>
        <v/>
      </c>
      <c r="BB204" s="1" t="str">
        <f t="shared" si="64"/>
        <v/>
      </c>
      <c r="BC204" s="1" t="str">
        <f t="shared" si="65"/>
        <v/>
      </c>
      <c r="BD204" s="1" t="str">
        <f t="shared" si="66"/>
        <v/>
      </c>
      <c r="BE204" s="1" t="str">
        <f t="shared" si="67"/>
        <v/>
      </c>
      <c r="BF204" s="1" t="str">
        <f t="shared" si="68"/>
        <v/>
      </c>
      <c r="BG204" s="1" t="str">
        <f t="shared" si="69"/>
        <v/>
      </c>
      <c r="BH204" s="1" t="str">
        <f t="shared" si="70"/>
        <v/>
      </c>
      <c r="BI204" s="1" t="str">
        <f t="shared" si="71"/>
        <v/>
      </c>
      <c r="BJ204" s="1" t="str">
        <f t="shared" si="72"/>
        <v/>
      </c>
      <c r="BK204" s="1" t="str">
        <f t="shared" si="73"/>
        <v/>
      </c>
      <c r="BL204" s="1" t="str">
        <f t="shared" si="74"/>
        <v/>
      </c>
      <c r="BM204" s="1" t="str">
        <f t="shared" si="75"/>
        <v/>
      </c>
      <c r="BN204" s="1" t="str">
        <f t="shared" si="76"/>
        <v/>
      </c>
      <c r="BO204" s="1" t="str">
        <f t="shared" si="77"/>
        <v>P08</v>
      </c>
      <c r="BP204" s="1" t="str">
        <f t="shared" si="78"/>
        <v/>
      </c>
      <c r="BQ204" s="1" t="str">
        <f t="shared" si="79"/>
        <v/>
      </c>
      <c r="BR204" s="1" t="str">
        <f t="shared" si="80"/>
        <v/>
      </c>
      <c r="BS204" s="1" t="str">
        <f t="shared" si="81"/>
        <v/>
      </c>
    </row>
    <row r="205" spans="48:71" x14ac:dyDescent="0.3">
      <c r="AV205" t="s">
        <v>69</v>
      </c>
      <c r="AZ205" s="1" t="str">
        <f t="shared" si="62"/>
        <v/>
      </c>
      <c r="BA205" s="1" t="str">
        <f t="shared" si="63"/>
        <v/>
      </c>
      <c r="BB205" s="1" t="str">
        <f t="shared" si="64"/>
        <v/>
      </c>
      <c r="BC205" s="1" t="str">
        <f t="shared" si="65"/>
        <v/>
      </c>
      <c r="BD205" s="1" t="str">
        <f t="shared" si="66"/>
        <v/>
      </c>
      <c r="BE205" s="1" t="str">
        <f t="shared" si="67"/>
        <v/>
      </c>
      <c r="BF205" s="1" t="str">
        <f t="shared" si="68"/>
        <v/>
      </c>
      <c r="BG205" s="1" t="str">
        <f t="shared" si="69"/>
        <v/>
      </c>
      <c r="BH205" s="1" t="str">
        <f t="shared" si="70"/>
        <v/>
      </c>
      <c r="BI205" s="1" t="str">
        <f t="shared" si="71"/>
        <v/>
      </c>
      <c r="BJ205" s="1" t="str">
        <f t="shared" si="72"/>
        <v/>
      </c>
      <c r="BK205" s="1" t="str">
        <f t="shared" si="73"/>
        <v/>
      </c>
      <c r="BL205" s="1" t="str">
        <f t="shared" si="74"/>
        <v/>
      </c>
      <c r="BM205" s="1" t="str">
        <f t="shared" si="75"/>
        <v/>
      </c>
      <c r="BN205" s="1" t="str">
        <f t="shared" si="76"/>
        <v/>
      </c>
      <c r="BO205" s="1" t="str">
        <f t="shared" si="77"/>
        <v>P22</v>
      </c>
      <c r="BP205" s="1" t="str">
        <f t="shared" si="78"/>
        <v/>
      </c>
      <c r="BQ205" s="1" t="str">
        <f t="shared" si="79"/>
        <v/>
      </c>
      <c r="BR205" s="1" t="str">
        <f t="shared" si="80"/>
        <v/>
      </c>
      <c r="BS205" s="1" t="str">
        <f t="shared" si="81"/>
        <v/>
      </c>
    </row>
    <row r="206" spans="48:71" x14ac:dyDescent="0.3">
      <c r="AV206" t="s">
        <v>122</v>
      </c>
      <c r="AZ206" s="1" t="str">
        <f t="shared" si="62"/>
        <v/>
      </c>
      <c r="BA206" s="1" t="str">
        <f t="shared" si="63"/>
        <v/>
      </c>
      <c r="BB206" s="1" t="str">
        <f t="shared" si="64"/>
        <v/>
      </c>
      <c r="BC206" s="1" t="str">
        <f t="shared" si="65"/>
        <v/>
      </c>
      <c r="BD206" s="1" t="str">
        <f t="shared" si="66"/>
        <v/>
      </c>
      <c r="BE206" s="1" t="str">
        <f t="shared" si="67"/>
        <v/>
      </c>
      <c r="BF206" s="1" t="str">
        <f t="shared" si="68"/>
        <v/>
      </c>
      <c r="BG206" s="1" t="str">
        <f t="shared" si="69"/>
        <v/>
      </c>
      <c r="BH206" s="1" t="str">
        <f t="shared" si="70"/>
        <v/>
      </c>
      <c r="BI206" s="1" t="str">
        <f t="shared" si="71"/>
        <v/>
      </c>
      <c r="BJ206" s="1" t="str">
        <f t="shared" si="72"/>
        <v/>
      </c>
      <c r="BK206" s="1" t="str">
        <f t="shared" si="73"/>
        <v/>
      </c>
      <c r="BL206" s="1" t="str">
        <f t="shared" si="74"/>
        <v/>
      </c>
      <c r="BM206" s="1" t="str">
        <f t="shared" si="75"/>
        <v/>
      </c>
      <c r="BN206" s="1" t="str">
        <f t="shared" si="76"/>
        <v/>
      </c>
      <c r="BO206" s="1" t="str">
        <f t="shared" si="77"/>
        <v>P38</v>
      </c>
      <c r="BP206" s="1" t="str">
        <f t="shared" si="78"/>
        <v/>
      </c>
      <c r="BQ206" s="1" t="str">
        <f t="shared" si="79"/>
        <v/>
      </c>
      <c r="BR206" s="1" t="str">
        <f t="shared" si="80"/>
        <v/>
      </c>
      <c r="BS206" s="1" t="str">
        <f t="shared" si="81"/>
        <v/>
      </c>
    </row>
    <row r="207" spans="48:71" x14ac:dyDescent="0.3">
      <c r="AV207" t="s">
        <v>190</v>
      </c>
      <c r="AZ207" s="1" t="str">
        <f t="shared" si="62"/>
        <v/>
      </c>
      <c r="BA207" s="1" t="str">
        <f t="shared" si="63"/>
        <v/>
      </c>
      <c r="BB207" s="1" t="str">
        <f t="shared" si="64"/>
        <v/>
      </c>
      <c r="BC207" s="1" t="str">
        <f t="shared" si="65"/>
        <v/>
      </c>
      <c r="BD207" s="1" t="str">
        <f t="shared" si="66"/>
        <v/>
      </c>
      <c r="BE207" s="1" t="str">
        <f t="shared" si="67"/>
        <v/>
      </c>
      <c r="BF207" s="1" t="str">
        <f t="shared" si="68"/>
        <v/>
      </c>
      <c r="BG207" s="1" t="str">
        <f t="shared" si="69"/>
        <v/>
      </c>
      <c r="BH207" s="1" t="str">
        <f t="shared" si="70"/>
        <v/>
      </c>
      <c r="BI207" s="1" t="str">
        <f t="shared" si="71"/>
        <v/>
      </c>
      <c r="BJ207" s="1" t="str">
        <f t="shared" si="72"/>
        <v/>
      </c>
      <c r="BK207" s="1" t="str">
        <f t="shared" si="73"/>
        <v/>
      </c>
      <c r="BL207" s="1" t="str">
        <f t="shared" si="74"/>
        <v/>
      </c>
      <c r="BM207" s="1" t="str">
        <f t="shared" si="75"/>
        <v/>
      </c>
      <c r="BN207" s="1" t="str">
        <f t="shared" si="76"/>
        <v/>
      </c>
      <c r="BO207" s="1" t="str">
        <f t="shared" si="77"/>
        <v>P7</v>
      </c>
      <c r="BP207" s="1" t="str">
        <f t="shared" si="78"/>
        <v/>
      </c>
      <c r="BQ207" s="1" t="str">
        <f t="shared" si="79"/>
        <v/>
      </c>
      <c r="BR207" s="1" t="str">
        <f t="shared" si="80"/>
        <v/>
      </c>
      <c r="BS207" s="1" t="str">
        <f t="shared" si="81"/>
        <v/>
      </c>
    </row>
    <row r="208" spans="48:71" x14ac:dyDescent="0.3">
      <c r="AV208" t="s">
        <v>129</v>
      </c>
      <c r="AZ208" s="1" t="str">
        <f t="shared" si="62"/>
        <v/>
      </c>
      <c r="BA208" s="1" t="str">
        <f t="shared" si="63"/>
        <v/>
      </c>
      <c r="BB208" s="1" t="str">
        <f t="shared" si="64"/>
        <v/>
      </c>
      <c r="BC208" s="1" t="str">
        <f t="shared" si="65"/>
        <v/>
      </c>
      <c r="BD208" s="1" t="str">
        <f t="shared" si="66"/>
        <v/>
      </c>
      <c r="BE208" s="1" t="str">
        <f t="shared" si="67"/>
        <v/>
      </c>
      <c r="BF208" s="1" t="str">
        <f t="shared" si="68"/>
        <v/>
      </c>
      <c r="BG208" s="1" t="str">
        <f t="shared" si="69"/>
        <v/>
      </c>
      <c r="BH208" s="1" t="str">
        <f t="shared" si="70"/>
        <v/>
      </c>
      <c r="BI208" s="1" t="str">
        <f t="shared" si="71"/>
        <v/>
      </c>
      <c r="BJ208" s="1" t="str">
        <f t="shared" si="72"/>
        <v/>
      </c>
      <c r="BK208" s="1" t="str">
        <f t="shared" si="73"/>
        <v/>
      </c>
      <c r="BL208" s="1" t="str">
        <f t="shared" si="74"/>
        <v/>
      </c>
      <c r="BM208" s="1" t="str">
        <f t="shared" si="75"/>
        <v/>
      </c>
      <c r="BN208" s="1" t="str">
        <f t="shared" si="76"/>
        <v/>
      </c>
      <c r="BO208" s="1" t="str">
        <f t="shared" si="77"/>
        <v>P90</v>
      </c>
      <c r="BP208" s="1" t="str">
        <f t="shared" si="78"/>
        <v/>
      </c>
      <c r="BQ208" s="1" t="str">
        <f t="shared" si="79"/>
        <v/>
      </c>
      <c r="BR208" s="1" t="str">
        <f t="shared" si="80"/>
        <v/>
      </c>
      <c r="BS208" s="1" t="str">
        <f t="shared" si="81"/>
        <v/>
      </c>
    </row>
    <row r="209" spans="48:71" x14ac:dyDescent="0.3">
      <c r="AV209" t="s">
        <v>1653</v>
      </c>
      <c r="AZ209" s="1" t="str">
        <f t="shared" si="62"/>
        <v/>
      </c>
      <c r="BA209" s="1" t="str">
        <f t="shared" si="63"/>
        <v/>
      </c>
      <c r="BB209" s="1" t="str">
        <f t="shared" si="64"/>
        <v/>
      </c>
      <c r="BC209" s="1" t="str">
        <f t="shared" si="65"/>
        <v/>
      </c>
      <c r="BD209" s="1" t="str">
        <f t="shared" si="66"/>
        <v/>
      </c>
      <c r="BE209" s="1" t="str">
        <f t="shared" si="67"/>
        <v/>
      </c>
      <c r="BF209" s="1" t="str">
        <f t="shared" si="68"/>
        <v/>
      </c>
      <c r="BG209" s="1" t="str">
        <f t="shared" si="69"/>
        <v/>
      </c>
      <c r="BH209" s="1" t="str">
        <f t="shared" si="70"/>
        <v/>
      </c>
      <c r="BI209" s="1" t="str">
        <f t="shared" si="71"/>
        <v/>
      </c>
      <c r="BJ209" s="1" t="str">
        <f t="shared" si="72"/>
        <v/>
      </c>
      <c r="BK209" s="1" t="str">
        <f t="shared" si="73"/>
        <v/>
      </c>
      <c r="BL209" s="1" t="str">
        <f t="shared" si="74"/>
        <v/>
      </c>
      <c r="BM209" s="1" t="str">
        <f t="shared" si="75"/>
        <v/>
      </c>
      <c r="BN209" s="1" t="str">
        <f t="shared" si="76"/>
        <v/>
      </c>
      <c r="BO209" s="1" t="str">
        <f t="shared" si="77"/>
        <v>P99</v>
      </c>
      <c r="BP209" s="1" t="str">
        <f t="shared" si="78"/>
        <v/>
      </c>
      <c r="BQ209" s="1" t="str">
        <f t="shared" si="79"/>
        <v/>
      </c>
      <c r="BR209" s="1" t="str">
        <f t="shared" si="80"/>
        <v/>
      </c>
      <c r="BS209" s="1" t="str">
        <f t="shared" si="81"/>
        <v/>
      </c>
    </row>
    <row r="210" spans="48:71" x14ac:dyDescent="0.3">
      <c r="AV210" t="s">
        <v>1393</v>
      </c>
      <c r="AZ210" s="1" t="str">
        <f t="shared" si="62"/>
        <v/>
      </c>
      <c r="BA210" s="1" t="str">
        <f t="shared" si="63"/>
        <v/>
      </c>
      <c r="BB210" s="1" t="str">
        <f t="shared" si="64"/>
        <v/>
      </c>
      <c r="BC210" s="1" t="str">
        <f t="shared" si="65"/>
        <v/>
      </c>
      <c r="BD210" s="1" t="str">
        <f t="shared" si="66"/>
        <v/>
      </c>
      <c r="BE210" s="1" t="str">
        <f t="shared" si="67"/>
        <v/>
      </c>
      <c r="BF210" s="1" t="str">
        <f t="shared" si="68"/>
        <v/>
      </c>
      <c r="BG210" s="1" t="str">
        <f t="shared" si="69"/>
        <v/>
      </c>
      <c r="BH210" s="1" t="str">
        <f t="shared" si="70"/>
        <v/>
      </c>
      <c r="BI210" s="1" t="str">
        <f t="shared" si="71"/>
        <v/>
      </c>
      <c r="BJ210" s="1" t="str">
        <f t="shared" si="72"/>
        <v/>
      </c>
      <c r="BK210" s="1" t="str">
        <f t="shared" si="73"/>
        <v/>
      </c>
      <c r="BL210" s="1" t="str">
        <f t="shared" si="74"/>
        <v/>
      </c>
      <c r="BM210" s="1" t="str">
        <f t="shared" si="75"/>
        <v/>
      </c>
      <c r="BN210" s="1" t="str">
        <f t="shared" si="76"/>
        <v/>
      </c>
      <c r="BO210" s="1" t="str">
        <f t="shared" si="77"/>
        <v>PA15</v>
      </c>
      <c r="BP210" s="1" t="str">
        <f t="shared" si="78"/>
        <v/>
      </c>
      <c r="BQ210" s="1" t="str">
        <f t="shared" si="79"/>
        <v/>
      </c>
      <c r="BR210" s="1" t="str">
        <f t="shared" si="80"/>
        <v/>
      </c>
      <c r="BS210" s="1" t="str">
        <f t="shared" si="81"/>
        <v/>
      </c>
    </row>
    <row r="211" spans="48:71" x14ac:dyDescent="0.3">
      <c r="AV211" t="s">
        <v>111</v>
      </c>
      <c r="AZ211" s="1" t="str">
        <f t="shared" si="62"/>
        <v/>
      </c>
      <c r="BA211" s="1" t="str">
        <f t="shared" si="63"/>
        <v/>
      </c>
      <c r="BB211" s="1" t="str">
        <f t="shared" si="64"/>
        <v/>
      </c>
      <c r="BC211" s="1" t="str">
        <f t="shared" si="65"/>
        <v/>
      </c>
      <c r="BD211" s="1" t="str">
        <f t="shared" si="66"/>
        <v/>
      </c>
      <c r="BE211" s="1" t="str">
        <f t="shared" si="67"/>
        <v/>
      </c>
      <c r="BF211" s="1" t="str">
        <f t="shared" si="68"/>
        <v/>
      </c>
      <c r="BG211" s="1" t="str">
        <f t="shared" si="69"/>
        <v/>
      </c>
      <c r="BH211" s="1" t="str">
        <f t="shared" si="70"/>
        <v/>
      </c>
      <c r="BI211" s="1" t="str">
        <f t="shared" si="71"/>
        <v/>
      </c>
      <c r="BJ211" s="1" t="str">
        <f t="shared" si="72"/>
        <v/>
      </c>
      <c r="BK211" s="1" t="str">
        <f t="shared" si="73"/>
        <v/>
      </c>
      <c r="BL211" s="1" t="str">
        <f t="shared" si="74"/>
        <v/>
      </c>
      <c r="BM211" s="1" t="str">
        <f t="shared" si="75"/>
        <v/>
      </c>
      <c r="BN211" s="1" t="str">
        <f t="shared" si="76"/>
        <v/>
      </c>
      <c r="BO211" s="1" t="str">
        <f t="shared" si="77"/>
        <v>Pekola</v>
      </c>
      <c r="BP211" s="1" t="str">
        <f t="shared" si="78"/>
        <v/>
      </c>
      <c r="BQ211" s="1" t="str">
        <f t="shared" si="79"/>
        <v/>
      </c>
      <c r="BR211" s="1" t="str">
        <f t="shared" si="80"/>
        <v/>
      </c>
      <c r="BS211" s="1" t="str">
        <f t="shared" si="81"/>
        <v/>
      </c>
    </row>
    <row r="212" spans="48:71" x14ac:dyDescent="0.3">
      <c r="AV212" t="s">
        <v>154</v>
      </c>
      <c r="AZ212" s="1" t="str">
        <f t="shared" si="62"/>
        <v/>
      </c>
      <c r="BA212" s="1" t="str">
        <f t="shared" si="63"/>
        <v/>
      </c>
      <c r="BB212" s="1" t="str">
        <f t="shared" si="64"/>
        <v/>
      </c>
      <c r="BC212" s="1" t="str">
        <f t="shared" si="65"/>
        <v/>
      </c>
      <c r="BD212" s="1" t="str">
        <f t="shared" si="66"/>
        <v/>
      </c>
      <c r="BE212" s="1" t="str">
        <f t="shared" si="67"/>
        <v/>
      </c>
      <c r="BF212" s="1" t="str">
        <f t="shared" si="68"/>
        <v/>
      </c>
      <c r="BG212" s="1" t="str">
        <f t="shared" si="69"/>
        <v/>
      </c>
      <c r="BH212" s="1" t="str">
        <f t="shared" si="70"/>
        <v/>
      </c>
      <c r="BI212" s="1" t="str">
        <f t="shared" si="71"/>
        <v/>
      </c>
      <c r="BJ212" s="1" t="str">
        <f t="shared" si="72"/>
        <v/>
      </c>
      <c r="BK212" s="1" t="str">
        <f t="shared" si="73"/>
        <v/>
      </c>
      <c r="BL212" s="1" t="str">
        <f t="shared" si="74"/>
        <v/>
      </c>
      <c r="BM212" s="1" t="str">
        <f t="shared" si="75"/>
        <v/>
      </c>
      <c r="BN212" s="1" t="str">
        <f t="shared" si="76"/>
        <v/>
      </c>
      <c r="BO212" s="1" t="str">
        <f t="shared" si="77"/>
        <v>PK</v>
      </c>
      <c r="BP212" s="1" t="str">
        <f t="shared" si="78"/>
        <v/>
      </c>
      <c r="BQ212" s="1" t="str">
        <f t="shared" si="79"/>
        <v/>
      </c>
      <c r="BR212" s="1" t="str">
        <f t="shared" si="80"/>
        <v/>
      </c>
      <c r="BS212" s="1" t="str">
        <f t="shared" si="81"/>
        <v/>
      </c>
    </row>
    <row r="213" spans="48:71" x14ac:dyDescent="0.3">
      <c r="AV213" t="s">
        <v>8903</v>
      </c>
      <c r="AZ213" s="1" t="str">
        <f t="shared" si="62"/>
        <v/>
      </c>
      <c r="BA213" s="1" t="str">
        <f t="shared" si="63"/>
        <v/>
      </c>
      <c r="BB213" s="1" t="str">
        <f t="shared" si="64"/>
        <v/>
      </c>
      <c r="BC213" s="1" t="str">
        <f t="shared" si="65"/>
        <v/>
      </c>
      <c r="BD213" s="1" t="str">
        <f t="shared" si="66"/>
        <v/>
      </c>
      <c r="BE213" s="1" t="str">
        <f t="shared" si="67"/>
        <v/>
      </c>
      <c r="BF213" s="1" t="str">
        <f t="shared" si="68"/>
        <v/>
      </c>
      <c r="BG213" s="1" t="str">
        <f t="shared" si="69"/>
        <v/>
      </c>
      <c r="BH213" s="1" t="str">
        <f t="shared" si="70"/>
        <v/>
      </c>
      <c r="BI213" s="1" t="str">
        <f t="shared" si="71"/>
        <v/>
      </c>
      <c r="BJ213" s="1" t="str">
        <f t="shared" si="72"/>
        <v/>
      </c>
      <c r="BK213" s="1" t="str">
        <f t="shared" si="73"/>
        <v/>
      </c>
      <c r="BL213" s="1" t="str">
        <f t="shared" si="74"/>
        <v/>
      </c>
      <c r="BM213" s="1" t="str">
        <f t="shared" si="75"/>
        <v/>
      </c>
      <c r="BN213" s="1" t="str">
        <f t="shared" si="76"/>
        <v/>
      </c>
      <c r="BO213" s="1" t="str">
        <f t="shared" si="77"/>
        <v>PKP</v>
      </c>
      <c r="BP213" s="1" t="str">
        <f t="shared" si="78"/>
        <v/>
      </c>
      <c r="BQ213" s="1" t="str">
        <f t="shared" si="79"/>
        <v/>
      </c>
      <c r="BR213" s="1" t="str">
        <f t="shared" si="80"/>
        <v/>
      </c>
      <c r="BS213" s="1" t="str">
        <f t="shared" si="81"/>
        <v/>
      </c>
    </row>
    <row r="214" spans="48:71" x14ac:dyDescent="0.3">
      <c r="AV214" t="s">
        <v>1684</v>
      </c>
      <c r="AZ214" s="1" t="str">
        <f t="shared" si="62"/>
        <v/>
      </c>
      <c r="BA214" s="1" t="str">
        <f t="shared" si="63"/>
        <v/>
      </c>
      <c r="BB214" s="1" t="str">
        <f t="shared" si="64"/>
        <v/>
      </c>
      <c r="BC214" s="1" t="str">
        <f t="shared" si="65"/>
        <v/>
      </c>
      <c r="BD214" s="1" t="str">
        <f t="shared" si="66"/>
        <v/>
      </c>
      <c r="BE214" s="1" t="str">
        <f t="shared" si="67"/>
        <v/>
      </c>
      <c r="BF214" s="1" t="str">
        <f t="shared" si="68"/>
        <v/>
      </c>
      <c r="BG214" s="1" t="str">
        <f t="shared" si="69"/>
        <v/>
      </c>
      <c r="BH214" s="1" t="str">
        <f t="shared" si="70"/>
        <v/>
      </c>
      <c r="BI214" s="1" t="str">
        <f t="shared" si="71"/>
        <v/>
      </c>
      <c r="BJ214" s="1" t="str">
        <f t="shared" si="72"/>
        <v/>
      </c>
      <c r="BK214" s="1" t="str">
        <f t="shared" si="73"/>
        <v/>
      </c>
      <c r="BL214" s="1" t="str">
        <f t="shared" si="74"/>
        <v/>
      </c>
      <c r="BM214" s="1" t="str">
        <f t="shared" si="75"/>
        <v/>
      </c>
      <c r="BN214" s="1" t="str">
        <f t="shared" si="76"/>
        <v/>
      </c>
      <c r="BO214" s="1" t="str">
        <f t="shared" si="77"/>
        <v>PKPGZ</v>
      </c>
      <c r="BP214" s="1" t="str">
        <f t="shared" si="78"/>
        <v/>
      </c>
      <c r="BQ214" s="1" t="str">
        <f t="shared" si="79"/>
        <v/>
      </c>
      <c r="BR214" s="1" t="str">
        <f t="shared" si="80"/>
        <v/>
      </c>
      <c r="BS214" s="1" t="str">
        <f t="shared" si="81"/>
        <v/>
      </c>
    </row>
    <row r="215" spans="48:71" x14ac:dyDescent="0.3">
      <c r="AV215" t="s">
        <v>1133</v>
      </c>
      <c r="AZ215" s="1" t="str">
        <f t="shared" si="62"/>
        <v/>
      </c>
      <c r="BA215" s="1" t="str">
        <f t="shared" si="63"/>
        <v/>
      </c>
      <c r="BB215" s="1" t="str">
        <f t="shared" si="64"/>
        <v/>
      </c>
      <c r="BC215" s="1" t="str">
        <f t="shared" si="65"/>
        <v/>
      </c>
      <c r="BD215" s="1" t="str">
        <f t="shared" si="66"/>
        <v/>
      </c>
      <c r="BE215" s="1" t="str">
        <f t="shared" si="67"/>
        <v/>
      </c>
      <c r="BF215" s="1" t="str">
        <f t="shared" si="68"/>
        <v/>
      </c>
      <c r="BG215" s="1" t="str">
        <f t="shared" si="69"/>
        <v/>
      </c>
      <c r="BH215" s="1" t="str">
        <f t="shared" si="70"/>
        <v/>
      </c>
      <c r="BI215" s="1" t="str">
        <f t="shared" si="71"/>
        <v/>
      </c>
      <c r="BJ215" s="1" t="str">
        <f t="shared" si="72"/>
        <v/>
      </c>
      <c r="BK215" s="1" t="str">
        <f t="shared" si="73"/>
        <v/>
      </c>
      <c r="BL215" s="1" t="str">
        <f t="shared" si="74"/>
        <v/>
      </c>
      <c r="BM215" s="1" t="str">
        <f t="shared" si="75"/>
        <v/>
      </c>
      <c r="BN215" s="1" t="str">
        <f t="shared" si="76"/>
        <v/>
      </c>
      <c r="BO215" s="1" t="str">
        <f t="shared" si="77"/>
        <v>PP19Mod</v>
      </c>
      <c r="BP215" s="1" t="str">
        <f t="shared" si="78"/>
        <v/>
      </c>
      <c r="BQ215" s="1" t="str">
        <f t="shared" si="79"/>
        <v/>
      </c>
      <c r="BR215" s="1" t="str">
        <f t="shared" si="80"/>
        <v/>
      </c>
      <c r="BS215" s="1" t="str">
        <f t="shared" si="81"/>
        <v/>
      </c>
    </row>
    <row r="216" spans="48:71" x14ac:dyDescent="0.3">
      <c r="AV216" t="s">
        <v>1611</v>
      </c>
      <c r="AZ216" s="1" t="str">
        <f t="shared" si="62"/>
        <v/>
      </c>
      <c r="BA216" s="1" t="str">
        <f t="shared" si="63"/>
        <v/>
      </c>
      <c r="BB216" s="1" t="str">
        <f t="shared" si="64"/>
        <v/>
      </c>
      <c r="BC216" s="1" t="str">
        <f t="shared" si="65"/>
        <v/>
      </c>
      <c r="BD216" s="1" t="str">
        <f t="shared" si="66"/>
        <v/>
      </c>
      <c r="BE216" s="1" t="str">
        <f t="shared" si="67"/>
        <v/>
      </c>
      <c r="BF216" s="1" t="str">
        <f t="shared" si="68"/>
        <v/>
      </c>
      <c r="BG216" s="1" t="str">
        <f t="shared" si="69"/>
        <v/>
      </c>
      <c r="BH216" s="1" t="str">
        <f t="shared" si="70"/>
        <v/>
      </c>
      <c r="BI216" s="1" t="str">
        <f t="shared" si="71"/>
        <v/>
      </c>
      <c r="BJ216" s="1" t="str">
        <f t="shared" si="72"/>
        <v/>
      </c>
      <c r="BK216" s="1" t="str">
        <f t="shared" si="73"/>
        <v/>
      </c>
      <c r="BL216" s="1" t="str">
        <f t="shared" si="74"/>
        <v/>
      </c>
      <c r="BM216" s="1" t="str">
        <f t="shared" si="75"/>
        <v/>
      </c>
      <c r="BN216" s="1" t="str">
        <f t="shared" si="76"/>
        <v/>
      </c>
      <c r="BO216" s="1" t="str">
        <f t="shared" si="77"/>
        <v>PP2000</v>
      </c>
      <c r="BP216" s="1" t="str">
        <f t="shared" si="78"/>
        <v/>
      </c>
      <c r="BQ216" s="1" t="str">
        <f t="shared" si="79"/>
        <v/>
      </c>
      <c r="BR216" s="1" t="str">
        <f t="shared" si="80"/>
        <v/>
      </c>
      <c r="BS216" s="1" t="str">
        <f t="shared" si="81"/>
        <v/>
      </c>
    </row>
    <row r="217" spans="48:71" x14ac:dyDescent="0.3">
      <c r="AV217" t="s">
        <v>70</v>
      </c>
      <c r="AZ217" s="1" t="str">
        <f t="shared" si="62"/>
        <v/>
      </c>
      <c r="BA217" s="1" t="str">
        <f t="shared" si="63"/>
        <v/>
      </c>
      <c r="BB217" s="1" t="str">
        <f t="shared" si="64"/>
        <v/>
      </c>
      <c r="BC217" s="1" t="str">
        <f t="shared" si="65"/>
        <v/>
      </c>
      <c r="BD217" s="1" t="str">
        <f t="shared" si="66"/>
        <v/>
      </c>
      <c r="BE217" s="1" t="str">
        <f t="shared" si="67"/>
        <v/>
      </c>
      <c r="BF217" s="1" t="str">
        <f t="shared" si="68"/>
        <v/>
      </c>
      <c r="BG217" s="1" t="str">
        <f t="shared" si="69"/>
        <v/>
      </c>
      <c r="BH217" s="1" t="str">
        <f t="shared" si="70"/>
        <v/>
      </c>
      <c r="BI217" s="1" t="str">
        <f t="shared" si="71"/>
        <v/>
      </c>
      <c r="BJ217" s="1" t="str">
        <f t="shared" si="72"/>
        <v/>
      </c>
      <c r="BK217" s="1" t="str">
        <f t="shared" si="73"/>
        <v/>
      </c>
      <c r="BL217" s="1" t="str">
        <f t="shared" si="74"/>
        <v/>
      </c>
      <c r="BM217" s="1" t="str">
        <f t="shared" si="75"/>
        <v/>
      </c>
      <c r="BN217" s="1" t="str">
        <f t="shared" si="76"/>
        <v/>
      </c>
      <c r="BO217" s="1" t="str">
        <f t="shared" si="77"/>
        <v>PP90</v>
      </c>
      <c r="BP217" s="1" t="str">
        <f t="shared" si="78"/>
        <v/>
      </c>
      <c r="BQ217" s="1" t="str">
        <f t="shared" si="79"/>
        <v/>
      </c>
      <c r="BR217" s="1" t="str">
        <f t="shared" si="80"/>
        <v/>
      </c>
      <c r="BS217" s="1" t="str">
        <f t="shared" si="81"/>
        <v/>
      </c>
    </row>
    <row r="218" spans="48:71" x14ac:dyDescent="0.3">
      <c r="AV218" t="s">
        <v>6462</v>
      </c>
      <c r="AZ218" s="1" t="str">
        <f t="shared" si="62"/>
        <v/>
      </c>
      <c r="BA218" s="1" t="str">
        <f t="shared" si="63"/>
        <v/>
      </c>
      <c r="BB218" s="1" t="str">
        <f t="shared" si="64"/>
        <v/>
      </c>
      <c r="BC218" s="1" t="str">
        <f t="shared" si="65"/>
        <v/>
      </c>
      <c r="BD218" s="1" t="str">
        <f t="shared" si="66"/>
        <v/>
      </c>
      <c r="BE218" s="1" t="str">
        <f t="shared" si="67"/>
        <v/>
      </c>
      <c r="BF218" s="1" t="str">
        <f t="shared" si="68"/>
        <v/>
      </c>
      <c r="BG218" s="1" t="str">
        <f t="shared" si="69"/>
        <v/>
      </c>
      <c r="BH218" s="1" t="str">
        <f t="shared" si="70"/>
        <v/>
      </c>
      <c r="BI218" s="1" t="str">
        <f t="shared" si="71"/>
        <v/>
      </c>
      <c r="BJ218" s="1" t="str">
        <f t="shared" si="72"/>
        <v/>
      </c>
      <c r="BK218" s="1" t="str">
        <f t="shared" si="73"/>
        <v/>
      </c>
      <c r="BL218" s="1" t="str">
        <f t="shared" si="74"/>
        <v/>
      </c>
      <c r="BM218" s="1" t="str">
        <f t="shared" si="75"/>
        <v/>
      </c>
      <c r="BN218" s="1" t="str">
        <f t="shared" si="76"/>
        <v/>
      </c>
      <c r="BO218" s="1" t="str">
        <f t="shared" si="77"/>
        <v>PPK</v>
      </c>
      <c r="BP218" s="1" t="str">
        <f t="shared" si="78"/>
        <v/>
      </c>
      <c r="BQ218" s="1" t="str">
        <f t="shared" si="79"/>
        <v/>
      </c>
      <c r="BR218" s="1" t="str">
        <f t="shared" si="80"/>
        <v/>
      </c>
      <c r="BS218" s="1" t="str">
        <f t="shared" si="81"/>
        <v/>
      </c>
    </row>
    <row r="219" spans="48:71" x14ac:dyDescent="0.3">
      <c r="AV219" t="s">
        <v>8115</v>
      </c>
      <c r="AZ219" s="1" t="str">
        <f t="shared" si="62"/>
        <v/>
      </c>
      <c r="BA219" s="1" t="str">
        <f t="shared" si="63"/>
        <v/>
      </c>
      <c r="BB219" s="1" t="str">
        <f t="shared" si="64"/>
        <v/>
      </c>
      <c r="BC219" s="1" t="str">
        <f t="shared" si="65"/>
        <v/>
      </c>
      <c r="BD219" s="1" t="str">
        <f t="shared" si="66"/>
        <v/>
      </c>
      <c r="BE219" s="1" t="str">
        <f t="shared" si="67"/>
        <v/>
      </c>
      <c r="BF219" s="1" t="str">
        <f t="shared" si="68"/>
        <v/>
      </c>
      <c r="BG219" s="1" t="str">
        <f t="shared" si="69"/>
        <v/>
      </c>
      <c r="BH219" s="1" t="str">
        <f t="shared" si="70"/>
        <v/>
      </c>
      <c r="BI219" s="1" t="str">
        <f t="shared" si="71"/>
        <v/>
      </c>
      <c r="BJ219" s="1" t="str">
        <f t="shared" si="72"/>
        <v/>
      </c>
      <c r="BK219" s="1" t="str">
        <f t="shared" si="73"/>
        <v/>
      </c>
      <c r="BL219" s="1" t="str">
        <f t="shared" si="74"/>
        <v/>
      </c>
      <c r="BM219" s="1" t="str">
        <f t="shared" si="75"/>
        <v/>
      </c>
      <c r="BN219" s="1" t="str">
        <f t="shared" si="76"/>
        <v/>
      </c>
      <c r="BO219" s="1" t="str">
        <f t="shared" si="77"/>
        <v>PPKMod</v>
      </c>
      <c r="BP219" s="1" t="str">
        <f t="shared" si="78"/>
        <v/>
      </c>
      <c r="BQ219" s="1" t="str">
        <f t="shared" si="79"/>
        <v/>
      </c>
      <c r="BR219" s="1" t="str">
        <f t="shared" si="80"/>
        <v/>
      </c>
      <c r="BS219" s="1" t="str">
        <f t="shared" si="81"/>
        <v/>
      </c>
    </row>
    <row r="220" spans="48:71" x14ac:dyDescent="0.3">
      <c r="AV220" t="s">
        <v>904</v>
      </c>
      <c r="AZ220" s="1" t="str">
        <f t="shared" si="62"/>
        <v/>
      </c>
      <c r="BA220" s="1" t="str">
        <f t="shared" si="63"/>
        <v/>
      </c>
      <c r="BB220" s="1" t="str">
        <f t="shared" si="64"/>
        <v/>
      </c>
      <c r="BC220" s="1" t="str">
        <f t="shared" si="65"/>
        <v/>
      </c>
      <c r="BD220" s="1" t="str">
        <f t="shared" si="66"/>
        <v/>
      </c>
      <c r="BE220" s="1" t="str">
        <f t="shared" si="67"/>
        <v/>
      </c>
      <c r="BF220" s="1" t="str">
        <f t="shared" si="68"/>
        <v/>
      </c>
      <c r="BG220" s="1" t="str">
        <f t="shared" si="69"/>
        <v/>
      </c>
      <c r="BH220" s="1" t="str">
        <f t="shared" si="70"/>
        <v/>
      </c>
      <c r="BI220" s="1" t="str">
        <f t="shared" si="71"/>
        <v/>
      </c>
      <c r="BJ220" s="1" t="str">
        <f t="shared" si="72"/>
        <v/>
      </c>
      <c r="BK220" s="1" t="str">
        <f t="shared" si="73"/>
        <v/>
      </c>
      <c r="BL220" s="1" t="str">
        <f t="shared" si="74"/>
        <v/>
      </c>
      <c r="BM220" s="1" t="str">
        <f t="shared" si="75"/>
        <v/>
      </c>
      <c r="BN220" s="1" t="str">
        <f t="shared" si="76"/>
        <v/>
      </c>
      <c r="BO220" s="1" t="str">
        <f t="shared" si="77"/>
        <v>PPKModGZ</v>
      </c>
      <c r="BP220" s="1" t="str">
        <f t="shared" si="78"/>
        <v/>
      </c>
      <c r="BQ220" s="1" t="str">
        <f t="shared" si="79"/>
        <v/>
      </c>
      <c r="BR220" s="1" t="str">
        <f t="shared" si="80"/>
        <v/>
      </c>
      <c r="BS220" s="1" t="str">
        <f t="shared" si="81"/>
        <v/>
      </c>
    </row>
    <row r="221" spans="48:71" x14ac:dyDescent="0.3">
      <c r="AV221" t="s">
        <v>5720</v>
      </c>
      <c r="AZ221" s="1" t="str">
        <f t="shared" si="62"/>
        <v/>
      </c>
      <c r="BA221" s="1" t="str">
        <f t="shared" si="63"/>
        <v/>
      </c>
      <c r="BB221" s="1" t="str">
        <f t="shared" si="64"/>
        <v/>
      </c>
      <c r="BC221" s="1" t="str">
        <f t="shared" si="65"/>
        <v/>
      </c>
      <c r="BD221" s="1" t="str">
        <f t="shared" si="66"/>
        <v/>
      </c>
      <c r="BE221" s="1" t="str">
        <f t="shared" si="67"/>
        <v/>
      </c>
      <c r="BF221" s="1" t="str">
        <f t="shared" si="68"/>
        <v/>
      </c>
      <c r="BG221" s="1" t="str">
        <f t="shared" si="69"/>
        <v/>
      </c>
      <c r="BH221" s="1" t="str">
        <f t="shared" si="70"/>
        <v/>
      </c>
      <c r="BI221" s="1" t="str">
        <f t="shared" si="71"/>
        <v/>
      </c>
      <c r="BJ221" s="1" t="str">
        <f t="shared" si="72"/>
        <v/>
      </c>
      <c r="BK221" s="1" t="str">
        <f t="shared" si="73"/>
        <v/>
      </c>
      <c r="BL221" s="1" t="str">
        <f t="shared" si="74"/>
        <v/>
      </c>
      <c r="BM221" s="1" t="str">
        <f t="shared" si="75"/>
        <v/>
      </c>
      <c r="BN221" s="1" t="str">
        <f t="shared" si="76"/>
        <v/>
      </c>
      <c r="BO221" s="1" t="str">
        <f t="shared" si="77"/>
        <v>PPSh41</v>
      </c>
      <c r="BP221" s="1" t="str">
        <f t="shared" si="78"/>
        <v/>
      </c>
      <c r="BQ221" s="1" t="str">
        <f t="shared" si="79"/>
        <v/>
      </c>
      <c r="BR221" s="1" t="str">
        <f t="shared" si="80"/>
        <v/>
      </c>
      <c r="BS221" s="1" t="str">
        <f t="shared" si="81"/>
        <v/>
      </c>
    </row>
    <row r="222" spans="48:71" x14ac:dyDescent="0.3">
      <c r="AV222" t="s">
        <v>8116</v>
      </c>
      <c r="AZ222" s="1" t="str">
        <f t="shared" si="62"/>
        <v/>
      </c>
      <c r="BA222" s="1" t="str">
        <f t="shared" si="63"/>
        <v/>
      </c>
      <c r="BB222" s="1" t="str">
        <f t="shared" si="64"/>
        <v/>
      </c>
      <c r="BC222" s="1" t="str">
        <f t="shared" si="65"/>
        <v/>
      </c>
      <c r="BD222" s="1" t="str">
        <f t="shared" si="66"/>
        <v/>
      </c>
      <c r="BE222" s="1" t="str">
        <f t="shared" si="67"/>
        <v/>
      </c>
      <c r="BF222" s="1" t="str">
        <f t="shared" si="68"/>
        <v/>
      </c>
      <c r="BG222" s="1" t="str">
        <f t="shared" si="69"/>
        <v/>
      </c>
      <c r="BH222" s="1" t="str">
        <f t="shared" si="70"/>
        <v/>
      </c>
      <c r="BI222" s="1" t="str">
        <f t="shared" si="71"/>
        <v/>
      </c>
      <c r="BJ222" s="1" t="str">
        <f t="shared" si="72"/>
        <v/>
      </c>
      <c r="BK222" s="1" t="str">
        <f t="shared" si="73"/>
        <v/>
      </c>
      <c r="BL222" s="1" t="str">
        <f t="shared" si="74"/>
        <v/>
      </c>
      <c r="BM222" s="1" t="str">
        <f t="shared" si="75"/>
        <v/>
      </c>
      <c r="BN222" s="1" t="str">
        <f t="shared" si="76"/>
        <v/>
      </c>
      <c r="BO222" s="1" t="str">
        <f t="shared" si="77"/>
        <v>PPsh41Mod</v>
      </c>
      <c r="BP222" s="1" t="str">
        <f t="shared" si="78"/>
        <v/>
      </c>
      <c r="BQ222" s="1" t="str">
        <f t="shared" si="79"/>
        <v/>
      </c>
      <c r="BR222" s="1" t="str">
        <f t="shared" si="80"/>
        <v/>
      </c>
      <c r="BS222" s="1" t="str">
        <f t="shared" si="81"/>
        <v/>
      </c>
    </row>
    <row r="223" spans="48:71" x14ac:dyDescent="0.3">
      <c r="AV223" t="s">
        <v>91</v>
      </c>
      <c r="AZ223" s="1" t="str">
        <f t="shared" si="62"/>
        <v/>
      </c>
      <c r="BA223" s="1" t="str">
        <f t="shared" si="63"/>
        <v/>
      </c>
      <c r="BB223" s="1" t="str">
        <f t="shared" si="64"/>
        <v/>
      </c>
      <c r="BC223" s="1" t="str">
        <f t="shared" si="65"/>
        <v/>
      </c>
      <c r="BD223" s="1" t="str">
        <f t="shared" si="66"/>
        <v/>
      </c>
      <c r="BE223" s="1" t="str">
        <f t="shared" si="67"/>
        <v/>
      </c>
      <c r="BF223" s="1" t="str">
        <f t="shared" si="68"/>
        <v/>
      </c>
      <c r="BG223" s="1" t="str">
        <f t="shared" si="69"/>
        <v/>
      </c>
      <c r="BH223" s="1" t="str">
        <f t="shared" si="70"/>
        <v/>
      </c>
      <c r="BI223" s="1" t="str">
        <f t="shared" si="71"/>
        <v/>
      </c>
      <c r="BJ223" s="1" t="str">
        <f t="shared" si="72"/>
        <v/>
      </c>
      <c r="BK223" s="1" t="str">
        <f t="shared" si="73"/>
        <v/>
      </c>
      <c r="BL223" s="1" t="str">
        <f t="shared" si="74"/>
        <v/>
      </c>
      <c r="BM223" s="1" t="str">
        <f t="shared" si="75"/>
        <v/>
      </c>
      <c r="BN223" s="1" t="str">
        <f t="shared" si="76"/>
        <v/>
      </c>
      <c r="BO223" s="1" t="str">
        <f t="shared" si="77"/>
        <v>PPSh41ModGZ</v>
      </c>
      <c r="BP223" s="1" t="str">
        <f t="shared" si="78"/>
        <v/>
      </c>
      <c r="BQ223" s="1" t="str">
        <f t="shared" si="79"/>
        <v/>
      </c>
      <c r="BR223" s="1" t="str">
        <f t="shared" si="80"/>
        <v/>
      </c>
      <c r="BS223" s="1" t="str">
        <f t="shared" si="81"/>
        <v/>
      </c>
    </row>
    <row r="224" spans="48:71" x14ac:dyDescent="0.3">
      <c r="AV224" t="s">
        <v>186</v>
      </c>
      <c r="AZ224" s="1" t="str">
        <f t="shared" si="62"/>
        <v/>
      </c>
      <c r="BA224" s="1" t="str">
        <f t="shared" si="63"/>
        <v/>
      </c>
      <c r="BB224" s="1" t="str">
        <f t="shared" si="64"/>
        <v/>
      </c>
      <c r="BC224" s="1" t="str">
        <f t="shared" si="65"/>
        <v/>
      </c>
      <c r="BD224" s="1" t="str">
        <f t="shared" si="66"/>
        <v/>
      </c>
      <c r="BE224" s="1" t="str">
        <f t="shared" si="67"/>
        <v/>
      </c>
      <c r="BF224" s="1" t="str">
        <f t="shared" si="68"/>
        <v/>
      </c>
      <c r="BG224" s="1" t="str">
        <f t="shared" si="69"/>
        <v/>
      </c>
      <c r="BH224" s="1" t="str">
        <f t="shared" si="70"/>
        <v/>
      </c>
      <c r="BI224" s="1" t="str">
        <f t="shared" si="71"/>
        <v/>
      </c>
      <c r="BJ224" s="1" t="str">
        <f t="shared" si="72"/>
        <v/>
      </c>
      <c r="BK224" s="1" t="str">
        <f t="shared" si="73"/>
        <v/>
      </c>
      <c r="BL224" s="1" t="str">
        <f t="shared" si="74"/>
        <v/>
      </c>
      <c r="BM224" s="1" t="str">
        <f t="shared" si="75"/>
        <v/>
      </c>
      <c r="BN224" s="1" t="str">
        <f t="shared" si="76"/>
        <v/>
      </c>
      <c r="BO224" s="1" t="str">
        <f t="shared" si="77"/>
        <v>PTRD</v>
      </c>
      <c r="BP224" s="1" t="str">
        <f t="shared" si="78"/>
        <v/>
      </c>
      <c r="BQ224" s="1" t="str">
        <f t="shared" si="79"/>
        <v/>
      </c>
      <c r="BR224" s="1" t="str">
        <f t="shared" si="80"/>
        <v/>
      </c>
      <c r="BS224" s="1" t="str">
        <f t="shared" si="81"/>
        <v/>
      </c>
    </row>
    <row r="225" spans="48:71" x14ac:dyDescent="0.3">
      <c r="AV225" t="s">
        <v>8622</v>
      </c>
      <c r="AZ225" s="1" t="str">
        <f t="shared" si="62"/>
        <v/>
      </c>
      <c r="BA225" s="1" t="str">
        <f t="shared" si="63"/>
        <v/>
      </c>
      <c r="BB225" s="1" t="str">
        <f t="shared" si="64"/>
        <v/>
      </c>
      <c r="BC225" s="1" t="str">
        <f t="shared" si="65"/>
        <v/>
      </c>
      <c r="BD225" s="1" t="str">
        <f t="shared" si="66"/>
        <v/>
      </c>
      <c r="BE225" s="1" t="str">
        <f t="shared" si="67"/>
        <v/>
      </c>
      <c r="BF225" s="1" t="str">
        <f t="shared" si="68"/>
        <v/>
      </c>
      <c r="BG225" s="1" t="str">
        <f t="shared" si="69"/>
        <v/>
      </c>
      <c r="BH225" s="1" t="str">
        <f t="shared" si="70"/>
        <v/>
      </c>
      <c r="BI225" s="1" t="str">
        <f t="shared" si="71"/>
        <v/>
      </c>
      <c r="BJ225" s="1" t="str">
        <f t="shared" si="72"/>
        <v/>
      </c>
      <c r="BK225" s="1" t="str">
        <f t="shared" si="73"/>
        <v/>
      </c>
      <c r="BL225" s="1" t="str">
        <f t="shared" si="74"/>
        <v/>
      </c>
      <c r="BM225" s="1" t="str">
        <f t="shared" si="75"/>
        <v/>
      </c>
      <c r="BN225" s="1" t="str">
        <f t="shared" si="76"/>
        <v/>
      </c>
      <c r="BO225" s="1" t="str">
        <f t="shared" si="77"/>
        <v>Px4 Storm</v>
      </c>
      <c r="BP225" s="1" t="str">
        <f t="shared" si="78"/>
        <v/>
      </c>
      <c r="BQ225" s="1" t="str">
        <f t="shared" si="79"/>
        <v/>
      </c>
      <c r="BR225" s="1" t="str">
        <f t="shared" si="80"/>
        <v/>
      </c>
      <c r="BS225" s="1" t="str">
        <f t="shared" si="81"/>
        <v/>
      </c>
    </row>
    <row r="226" spans="48:71" x14ac:dyDescent="0.3">
      <c r="AV226" t="s">
        <v>64</v>
      </c>
      <c r="AZ226" s="1" t="str">
        <f t="shared" si="62"/>
        <v/>
      </c>
      <c r="BA226" s="1" t="str">
        <f t="shared" si="63"/>
        <v/>
      </c>
      <c r="BB226" s="1" t="str">
        <f t="shared" si="64"/>
        <v/>
      </c>
      <c r="BC226" s="1" t="str">
        <f t="shared" si="65"/>
        <v/>
      </c>
      <c r="BD226" s="1" t="str">
        <f t="shared" si="66"/>
        <v/>
      </c>
      <c r="BE226" s="1" t="str">
        <f t="shared" si="67"/>
        <v/>
      </c>
      <c r="BF226" s="1" t="str">
        <f t="shared" si="68"/>
        <v/>
      </c>
      <c r="BG226" s="1" t="str">
        <f t="shared" si="69"/>
        <v/>
      </c>
      <c r="BH226" s="1" t="str">
        <f t="shared" si="70"/>
        <v/>
      </c>
      <c r="BI226" s="1" t="str">
        <f t="shared" si="71"/>
        <v/>
      </c>
      <c r="BJ226" s="1" t="str">
        <f t="shared" si="72"/>
        <v/>
      </c>
      <c r="BK226" s="1" t="str">
        <f t="shared" si="73"/>
        <v/>
      </c>
      <c r="BL226" s="1" t="str">
        <f t="shared" si="74"/>
        <v/>
      </c>
      <c r="BM226" s="1" t="str">
        <f t="shared" si="75"/>
        <v/>
      </c>
      <c r="BN226" s="1" t="str">
        <f t="shared" si="76"/>
        <v/>
      </c>
      <c r="BO226" s="1" t="str">
        <f t="shared" si="77"/>
        <v>Px4 StormMod</v>
      </c>
      <c r="BP226" s="1" t="str">
        <f t="shared" si="78"/>
        <v/>
      </c>
      <c r="BQ226" s="1" t="str">
        <f t="shared" si="79"/>
        <v/>
      </c>
      <c r="BR226" s="1" t="str">
        <f t="shared" si="80"/>
        <v/>
      </c>
      <c r="BS226" s="1" t="str">
        <f t="shared" si="81"/>
        <v/>
      </c>
    </row>
    <row r="227" spans="48:71" x14ac:dyDescent="0.3">
      <c r="AV227" t="s">
        <v>159</v>
      </c>
      <c r="AZ227" s="1" t="str">
        <f t="shared" si="62"/>
        <v/>
      </c>
      <c r="BA227" s="1" t="str">
        <f t="shared" si="63"/>
        <v/>
      </c>
      <c r="BB227" s="1" t="str">
        <f t="shared" si="64"/>
        <v/>
      </c>
      <c r="BC227" s="1" t="str">
        <f t="shared" si="65"/>
        <v/>
      </c>
      <c r="BD227" s="1" t="str">
        <f t="shared" si="66"/>
        <v/>
      </c>
      <c r="BE227" s="1" t="str">
        <f t="shared" si="67"/>
        <v/>
      </c>
      <c r="BF227" s="1" t="str">
        <f t="shared" si="68"/>
        <v/>
      </c>
      <c r="BG227" s="1" t="str">
        <f t="shared" si="69"/>
        <v/>
      </c>
      <c r="BH227" s="1" t="str">
        <f t="shared" si="70"/>
        <v/>
      </c>
      <c r="BI227" s="1" t="str">
        <f t="shared" si="71"/>
        <v/>
      </c>
      <c r="BJ227" s="1" t="str">
        <f t="shared" si="72"/>
        <v/>
      </c>
      <c r="BK227" s="1" t="str">
        <f t="shared" si="73"/>
        <v/>
      </c>
      <c r="BL227" s="1" t="str">
        <f t="shared" si="74"/>
        <v/>
      </c>
      <c r="BM227" s="1" t="str">
        <f t="shared" si="75"/>
        <v/>
      </c>
      <c r="BN227" s="1" t="str">
        <f t="shared" si="76"/>
        <v/>
      </c>
      <c r="BO227" s="1" t="str">
        <f t="shared" si="77"/>
        <v>Python</v>
      </c>
      <c r="BP227" s="1" t="str">
        <f t="shared" si="78"/>
        <v/>
      </c>
      <c r="BQ227" s="1" t="str">
        <f t="shared" si="79"/>
        <v/>
      </c>
      <c r="BR227" s="1" t="str">
        <f t="shared" si="80"/>
        <v/>
      </c>
      <c r="BS227" s="1" t="str">
        <f t="shared" si="81"/>
        <v/>
      </c>
    </row>
    <row r="228" spans="48:71" x14ac:dyDescent="0.3">
      <c r="AV228" t="s">
        <v>1654</v>
      </c>
      <c r="AZ228" s="1" t="str">
        <f t="shared" si="62"/>
        <v/>
      </c>
      <c r="BA228" s="1" t="str">
        <f t="shared" si="63"/>
        <v/>
      </c>
      <c r="BB228" s="1" t="str">
        <f t="shared" si="64"/>
        <v/>
      </c>
      <c r="BC228" s="1" t="str">
        <f t="shared" si="65"/>
        <v/>
      </c>
      <c r="BD228" s="1" t="str">
        <f t="shared" si="66"/>
        <v/>
      </c>
      <c r="BE228" s="1" t="str">
        <f t="shared" si="67"/>
        <v/>
      </c>
      <c r="BF228" s="1" t="str">
        <f t="shared" si="68"/>
        <v/>
      </c>
      <c r="BG228" s="1" t="str">
        <f t="shared" si="69"/>
        <v/>
      </c>
      <c r="BH228" s="1" t="str">
        <f t="shared" si="70"/>
        <v/>
      </c>
      <c r="BI228" s="1" t="str">
        <f t="shared" si="71"/>
        <v/>
      </c>
      <c r="BJ228" s="1" t="str">
        <f t="shared" si="72"/>
        <v/>
      </c>
      <c r="BK228" s="1" t="str">
        <f t="shared" si="73"/>
        <v/>
      </c>
      <c r="BL228" s="1" t="str">
        <f t="shared" si="74"/>
        <v/>
      </c>
      <c r="BM228" s="1" t="str">
        <f t="shared" si="75"/>
        <v/>
      </c>
      <c r="BN228" s="1" t="str">
        <f t="shared" si="76"/>
        <v/>
      </c>
      <c r="BO228" s="1" t="str">
        <f t="shared" si="77"/>
        <v>PzB39</v>
      </c>
      <c r="BP228" s="1" t="str">
        <f t="shared" si="78"/>
        <v/>
      </c>
      <c r="BQ228" s="1" t="str">
        <f t="shared" si="79"/>
        <v/>
      </c>
      <c r="BR228" s="1" t="str">
        <f t="shared" si="80"/>
        <v/>
      </c>
      <c r="BS228" s="1" t="str">
        <f t="shared" si="81"/>
        <v/>
      </c>
    </row>
    <row r="229" spans="48:71" x14ac:dyDescent="0.3">
      <c r="AV229" t="s">
        <v>8959</v>
      </c>
      <c r="AZ229" s="1" t="str">
        <f t="shared" si="62"/>
        <v/>
      </c>
      <c r="BA229" s="1" t="str">
        <f t="shared" si="63"/>
        <v/>
      </c>
      <c r="BB229" s="1" t="str">
        <f t="shared" si="64"/>
        <v/>
      </c>
      <c r="BC229" s="1" t="str">
        <f t="shared" si="65"/>
        <v/>
      </c>
      <c r="BD229" s="1" t="str">
        <f t="shared" si="66"/>
        <v/>
      </c>
      <c r="BE229" s="1" t="str">
        <f t="shared" si="67"/>
        <v/>
      </c>
      <c r="BF229" s="1" t="str">
        <f t="shared" si="68"/>
        <v/>
      </c>
      <c r="BG229" s="1" t="str">
        <f t="shared" si="69"/>
        <v/>
      </c>
      <c r="BH229" s="1" t="str">
        <f t="shared" si="70"/>
        <v/>
      </c>
      <c r="BI229" s="1" t="str">
        <f t="shared" si="71"/>
        <v/>
      </c>
      <c r="BJ229" s="1" t="str">
        <f t="shared" si="72"/>
        <v/>
      </c>
      <c r="BK229" s="1" t="str">
        <f t="shared" si="73"/>
        <v/>
      </c>
      <c r="BL229" s="1" t="str">
        <f t="shared" si="74"/>
        <v/>
      </c>
      <c r="BM229" s="1" t="str">
        <f t="shared" si="75"/>
        <v/>
      </c>
      <c r="BN229" s="1" t="str">
        <f t="shared" si="76"/>
        <v/>
      </c>
      <c r="BO229" s="1" t="str">
        <f t="shared" si="77"/>
        <v>QBU88</v>
      </c>
      <c r="BP229" s="1" t="str">
        <f t="shared" si="78"/>
        <v/>
      </c>
      <c r="BQ229" s="1" t="str">
        <f t="shared" si="79"/>
        <v/>
      </c>
      <c r="BR229" s="1" t="str">
        <f t="shared" si="80"/>
        <v/>
      </c>
      <c r="BS229" s="1" t="str">
        <f t="shared" si="81"/>
        <v/>
      </c>
    </row>
    <row r="230" spans="48:71" x14ac:dyDescent="0.3">
      <c r="AV230" t="s">
        <v>229</v>
      </c>
      <c r="AZ230" s="1" t="str">
        <f t="shared" si="62"/>
        <v/>
      </c>
      <c r="BA230" s="1" t="str">
        <f t="shared" si="63"/>
        <v/>
      </c>
      <c r="BB230" s="1" t="str">
        <f t="shared" si="64"/>
        <v/>
      </c>
      <c r="BC230" s="1" t="str">
        <f t="shared" si="65"/>
        <v/>
      </c>
      <c r="BD230" s="1" t="str">
        <f t="shared" si="66"/>
        <v/>
      </c>
      <c r="BE230" s="1" t="str">
        <f t="shared" si="67"/>
        <v/>
      </c>
      <c r="BF230" s="1" t="str">
        <f t="shared" si="68"/>
        <v/>
      </c>
      <c r="BG230" s="1" t="str">
        <f t="shared" si="69"/>
        <v/>
      </c>
      <c r="BH230" s="1" t="str">
        <f t="shared" si="70"/>
        <v/>
      </c>
      <c r="BI230" s="1" t="str">
        <f t="shared" si="71"/>
        <v/>
      </c>
      <c r="BJ230" s="1" t="str">
        <f t="shared" si="72"/>
        <v/>
      </c>
      <c r="BK230" s="1" t="str">
        <f t="shared" si="73"/>
        <v/>
      </c>
      <c r="BL230" s="1" t="str">
        <f t="shared" si="74"/>
        <v/>
      </c>
      <c r="BM230" s="1" t="str">
        <f t="shared" si="75"/>
        <v/>
      </c>
      <c r="BN230" s="1" t="str">
        <f t="shared" si="76"/>
        <v/>
      </c>
      <c r="BO230" s="1" t="str">
        <f t="shared" si="77"/>
        <v>Rex Zero 1Mod</v>
      </c>
      <c r="BP230" s="1" t="str">
        <f t="shared" si="78"/>
        <v/>
      </c>
      <c r="BQ230" s="1" t="str">
        <f t="shared" si="79"/>
        <v/>
      </c>
      <c r="BR230" s="1" t="str">
        <f t="shared" si="80"/>
        <v/>
      </c>
      <c r="BS230" s="1" t="str">
        <f t="shared" si="81"/>
        <v/>
      </c>
    </row>
    <row r="231" spans="48:71" x14ac:dyDescent="0.3">
      <c r="AV231" t="s">
        <v>9150</v>
      </c>
      <c r="AZ231" s="1" t="str">
        <f t="shared" si="62"/>
        <v/>
      </c>
      <c r="BA231" s="1" t="str">
        <f t="shared" si="63"/>
        <v/>
      </c>
      <c r="BB231" s="1" t="str">
        <f t="shared" si="64"/>
        <v/>
      </c>
      <c r="BC231" s="1" t="str">
        <f t="shared" si="65"/>
        <v/>
      </c>
      <c r="BD231" s="1" t="str">
        <f t="shared" si="66"/>
        <v/>
      </c>
      <c r="BE231" s="1" t="str">
        <f t="shared" si="67"/>
        <v/>
      </c>
      <c r="BF231" s="1" t="str">
        <f t="shared" si="68"/>
        <v/>
      </c>
      <c r="BG231" s="1" t="str">
        <f t="shared" si="69"/>
        <v/>
      </c>
      <c r="BH231" s="1" t="str">
        <f t="shared" si="70"/>
        <v/>
      </c>
      <c r="BI231" s="1" t="str">
        <f t="shared" si="71"/>
        <v/>
      </c>
      <c r="BJ231" s="1" t="str">
        <f t="shared" si="72"/>
        <v/>
      </c>
      <c r="BK231" s="1" t="str">
        <f t="shared" si="73"/>
        <v/>
      </c>
      <c r="BL231" s="1" t="str">
        <f t="shared" si="74"/>
        <v/>
      </c>
      <c r="BM231" s="1" t="str">
        <f t="shared" si="75"/>
        <v/>
      </c>
      <c r="BN231" s="1" t="str">
        <f t="shared" si="76"/>
        <v/>
      </c>
      <c r="BO231" s="1" t="str">
        <f t="shared" si="77"/>
        <v>RFB</v>
      </c>
      <c r="BP231" s="1" t="str">
        <f t="shared" si="78"/>
        <v/>
      </c>
      <c r="BQ231" s="1" t="str">
        <f t="shared" si="79"/>
        <v/>
      </c>
      <c r="BR231" s="1" t="str">
        <f t="shared" si="80"/>
        <v/>
      </c>
      <c r="BS231" s="1" t="str">
        <f t="shared" si="81"/>
        <v/>
      </c>
    </row>
    <row r="232" spans="48:71" x14ac:dyDescent="0.3">
      <c r="AV232" t="s">
        <v>1754</v>
      </c>
      <c r="AZ232" s="1" t="str">
        <f t="shared" si="62"/>
        <v/>
      </c>
      <c r="BA232" s="1" t="str">
        <f t="shared" si="63"/>
        <v/>
      </c>
      <c r="BB232" s="1" t="str">
        <f t="shared" si="64"/>
        <v/>
      </c>
      <c r="BC232" s="1" t="str">
        <f t="shared" si="65"/>
        <v/>
      </c>
      <c r="BD232" s="1" t="str">
        <f t="shared" si="66"/>
        <v/>
      </c>
      <c r="BE232" s="1" t="str">
        <f t="shared" si="67"/>
        <v/>
      </c>
      <c r="BF232" s="1" t="str">
        <f t="shared" si="68"/>
        <v/>
      </c>
      <c r="BG232" s="1" t="str">
        <f t="shared" si="69"/>
        <v/>
      </c>
      <c r="BH232" s="1" t="str">
        <f t="shared" si="70"/>
        <v/>
      </c>
      <c r="BI232" s="1" t="str">
        <f t="shared" si="71"/>
        <v/>
      </c>
      <c r="BJ232" s="1" t="str">
        <f t="shared" si="72"/>
        <v/>
      </c>
      <c r="BK232" s="1" t="str">
        <f t="shared" si="73"/>
        <v/>
      </c>
      <c r="BL232" s="1" t="str">
        <f t="shared" si="74"/>
        <v/>
      </c>
      <c r="BM232" s="1" t="str">
        <f t="shared" si="75"/>
        <v/>
      </c>
      <c r="BN232" s="1" t="str">
        <f t="shared" si="76"/>
        <v/>
      </c>
      <c r="BO232" s="1" t="str">
        <f t="shared" si="77"/>
        <v>RFBGZ</v>
      </c>
      <c r="BP232" s="1" t="str">
        <f t="shared" si="78"/>
        <v/>
      </c>
      <c r="BQ232" s="1" t="str">
        <f t="shared" si="79"/>
        <v/>
      </c>
      <c r="BR232" s="1" t="str">
        <f t="shared" si="80"/>
        <v/>
      </c>
      <c r="BS232" s="1" t="str">
        <f t="shared" si="81"/>
        <v/>
      </c>
    </row>
    <row r="233" spans="48:71" x14ac:dyDescent="0.3">
      <c r="AV233" t="s">
        <v>248</v>
      </c>
      <c r="AZ233" s="1" t="str">
        <f t="shared" si="62"/>
        <v/>
      </c>
      <c r="BA233" s="1" t="str">
        <f t="shared" si="63"/>
        <v/>
      </c>
      <c r="BB233" s="1" t="str">
        <f t="shared" si="64"/>
        <v/>
      </c>
      <c r="BC233" s="1" t="str">
        <f t="shared" si="65"/>
        <v/>
      </c>
      <c r="BD233" s="1" t="str">
        <f t="shared" si="66"/>
        <v/>
      </c>
      <c r="BE233" s="1" t="str">
        <f t="shared" si="67"/>
        <v/>
      </c>
      <c r="BF233" s="1" t="str">
        <f t="shared" si="68"/>
        <v/>
      </c>
      <c r="BG233" s="1" t="str">
        <f t="shared" si="69"/>
        <v/>
      </c>
      <c r="BH233" s="1" t="str">
        <f t="shared" si="70"/>
        <v/>
      </c>
      <c r="BI233" s="1" t="str">
        <f t="shared" si="71"/>
        <v/>
      </c>
      <c r="BJ233" s="1" t="str">
        <f t="shared" si="72"/>
        <v/>
      </c>
      <c r="BK233" s="1" t="str">
        <f t="shared" si="73"/>
        <v/>
      </c>
      <c r="BL233" s="1" t="str">
        <f t="shared" si="74"/>
        <v/>
      </c>
      <c r="BM233" s="1" t="str">
        <f t="shared" si="75"/>
        <v/>
      </c>
      <c r="BN233" s="1" t="str">
        <f t="shared" si="76"/>
        <v/>
      </c>
      <c r="BO233" s="1" t="str">
        <f t="shared" si="77"/>
        <v>Ribeyrolles1918Mod</v>
      </c>
      <c r="BP233" s="1" t="str">
        <f t="shared" si="78"/>
        <v/>
      </c>
      <c r="BQ233" s="1" t="str">
        <f t="shared" si="79"/>
        <v/>
      </c>
      <c r="BR233" s="1" t="str">
        <f t="shared" si="80"/>
        <v/>
      </c>
      <c r="BS233" s="1" t="str">
        <f t="shared" si="81"/>
        <v/>
      </c>
    </row>
    <row r="234" spans="48:71" x14ac:dyDescent="0.3">
      <c r="AV234" t="s">
        <v>927</v>
      </c>
      <c r="AZ234" s="1" t="str">
        <f t="shared" si="62"/>
        <v/>
      </c>
      <c r="BA234" s="1" t="str">
        <f t="shared" si="63"/>
        <v/>
      </c>
      <c r="BB234" s="1" t="str">
        <f t="shared" si="64"/>
        <v/>
      </c>
      <c r="BC234" s="1" t="str">
        <f t="shared" si="65"/>
        <v/>
      </c>
      <c r="BD234" s="1" t="str">
        <f t="shared" si="66"/>
        <v/>
      </c>
      <c r="BE234" s="1" t="str">
        <f t="shared" si="67"/>
        <v/>
      </c>
      <c r="BF234" s="1" t="str">
        <f t="shared" si="68"/>
        <v/>
      </c>
      <c r="BG234" s="1" t="str">
        <f t="shared" si="69"/>
        <v/>
      </c>
      <c r="BH234" s="1" t="str">
        <f t="shared" si="70"/>
        <v/>
      </c>
      <c r="BI234" s="1" t="str">
        <f t="shared" si="71"/>
        <v/>
      </c>
      <c r="BJ234" s="1" t="str">
        <f t="shared" si="72"/>
        <v/>
      </c>
      <c r="BK234" s="1" t="str">
        <f t="shared" si="73"/>
        <v/>
      </c>
      <c r="BL234" s="1" t="str">
        <f t="shared" si="74"/>
        <v/>
      </c>
      <c r="BM234" s="1" t="str">
        <f t="shared" si="75"/>
        <v/>
      </c>
      <c r="BN234" s="1" t="str">
        <f t="shared" si="76"/>
        <v/>
      </c>
      <c r="BO234" s="1" t="str">
        <f t="shared" si="77"/>
        <v>Rico</v>
      </c>
      <c r="BP234" s="1" t="str">
        <f t="shared" si="78"/>
        <v/>
      </c>
      <c r="BQ234" s="1" t="str">
        <f t="shared" si="79"/>
        <v/>
      </c>
      <c r="BR234" s="1" t="str">
        <f t="shared" si="80"/>
        <v/>
      </c>
      <c r="BS234" s="1" t="str">
        <f t="shared" si="81"/>
        <v/>
      </c>
    </row>
    <row r="235" spans="48:71" x14ac:dyDescent="0.3">
      <c r="AV235" t="s">
        <v>825</v>
      </c>
      <c r="AZ235" s="1" t="str">
        <f t="shared" si="62"/>
        <v/>
      </c>
      <c r="BA235" s="1" t="str">
        <f t="shared" si="63"/>
        <v/>
      </c>
      <c r="BB235" s="1" t="str">
        <f t="shared" si="64"/>
        <v/>
      </c>
      <c r="BC235" s="1" t="str">
        <f t="shared" si="65"/>
        <v/>
      </c>
      <c r="BD235" s="1" t="str">
        <f t="shared" si="66"/>
        <v/>
      </c>
      <c r="BE235" s="1" t="str">
        <f t="shared" si="67"/>
        <v/>
      </c>
      <c r="BF235" s="1" t="str">
        <f t="shared" si="68"/>
        <v/>
      </c>
      <c r="BG235" s="1" t="str">
        <f t="shared" si="69"/>
        <v/>
      </c>
      <c r="BH235" s="1" t="str">
        <f t="shared" si="70"/>
        <v/>
      </c>
      <c r="BI235" s="1" t="str">
        <f t="shared" si="71"/>
        <v/>
      </c>
      <c r="BJ235" s="1" t="str">
        <f t="shared" si="72"/>
        <v/>
      </c>
      <c r="BK235" s="1" t="str">
        <f t="shared" si="73"/>
        <v/>
      </c>
      <c r="BL235" s="1" t="str">
        <f t="shared" si="74"/>
        <v/>
      </c>
      <c r="BM235" s="1" t="str">
        <f t="shared" si="75"/>
        <v/>
      </c>
      <c r="BN235" s="1" t="str">
        <f t="shared" si="76"/>
        <v/>
      </c>
      <c r="BO235" s="1" t="str">
        <f t="shared" si="77"/>
        <v>RMB93Mod</v>
      </c>
      <c r="BP235" s="1" t="str">
        <f t="shared" si="78"/>
        <v/>
      </c>
      <c r="BQ235" s="1" t="str">
        <f t="shared" si="79"/>
        <v/>
      </c>
      <c r="BR235" s="1" t="str">
        <f t="shared" si="80"/>
        <v/>
      </c>
      <c r="BS235" s="1" t="str">
        <f t="shared" si="81"/>
        <v/>
      </c>
    </row>
    <row r="236" spans="48:71" x14ac:dyDescent="0.3">
      <c r="AV236" t="s">
        <v>8699</v>
      </c>
      <c r="AZ236" s="1" t="str">
        <f t="shared" si="62"/>
        <v/>
      </c>
      <c r="BA236" s="1" t="str">
        <f t="shared" si="63"/>
        <v/>
      </c>
      <c r="BB236" s="1" t="str">
        <f t="shared" si="64"/>
        <v/>
      </c>
      <c r="BC236" s="1" t="str">
        <f t="shared" si="65"/>
        <v/>
      </c>
      <c r="BD236" s="1" t="str">
        <f t="shared" si="66"/>
        <v/>
      </c>
      <c r="BE236" s="1" t="str">
        <f t="shared" si="67"/>
        <v/>
      </c>
      <c r="BF236" s="1" t="str">
        <f t="shared" si="68"/>
        <v/>
      </c>
      <c r="BG236" s="1" t="str">
        <f t="shared" si="69"/>
        <v/>
      </c>
      <c r="BH236" s="1" t="str">
        <f t="shared" si="70"/>
        <v/>
      </c>
      <c r="BI236" s="1" t="str">
        <f t="shared" si="71"/>
        <v/>
      </c>
      <c r="BJ236" s="1" t="str">
        <f t="shared" si="72"/>
        <v/>
      </c>
      <c r="BK236" s="1" t="str">
        <f t="shared" si="73"/>
        <v/>
      </c>
      <c r="BL236" s="1" t="str">
        <f t="shared" si="74"/>
        <v/>
      </c>
      <c r="BM236" s="1" t="str">
        <f t="shared" si="75"/>
        <v/>
      </c>
      <c r="BN236" s="1" t="str">
        <f t="shared" si="76"/>
        <v/>
      </c>
      <c r="BO236" s="1" t="str">
        <f t="shared" si="77"/>
        <v>RO635Mod</v>
      </c>
      <c r="BP236" s="1" t="str">
        <f t="shared" si="78"/>
        <v/>
      </c>
      <c r="BQ236" s="1" t="str">
        <f t="shared" si="79"/>
        <v/>
      </c>
      <c r="BR236" s="1" t="str">
        <f t="shared" si="80"/>
        <v/>
      </c>
      <c r="BS236" s="1" t="str">
        <f t="shared" si="81"/>
        <v/>
      </c>
    </row>
    <row r="237" spans="48:71" x14ac:dyDescent="0.3">
      <c r="AV237" t="s">
        <v>110</v>
      </c>
      <c r="AZ237" s="1" t="str">
        <f t="shared" si="62"/>
        <v/>
      </c>
      <c r="BA237" s="1" t="str">
        <f t="shared" si="63"/>
        <v/>
      </c>
      <c r="BB237" s="1" t="str">
        <f t="shared" si="64"/>
        <v/>
      </c>
      <c r="BC237" s="1" t="str">
        <f t="shared" si="65"/>
        <v/>
      </c>
      <c r="BD237" s="1" t="str">
        <f t="shared" si="66"/>
        <v/>
      </c>
      <c r="BE237" s="1" t="str">
        <f t="shared" si="67"/>
        <v/>
      </c>
      <c r="BF237" s="1" t="str">
        <f t="shared" si="68"/>
        <v/>
      </c>
      <c r="BG237" s="1" t="str">
        <f t="shared" si="69"/>
        <v/>
      </c>
      <c r="BH237" s="1" t="str">
        <f t="shared" si="70"/>
        <v/>
      </c>
      <c r="BI237" s="1" t="str">
        <f t="shared" si="71"/>
        <v/>
      </c>
      <c r="BJ237" s="1" t="str">
        <f t="shared" si="72"/>
        <v/>
      </c>
      <c r="BK237" s="1" t="str">
        <f t="shared" si="73"/>
        <v/>
      </c>
      <c r="BL237" s="1" t="str">
        <f t="shared" si="74"/>
        <v/>
      </c>
      <c r="BM237" s="1" t="str">
        <f t="shared" si="75"/>
        <v/>
      </c>
      <c r="BN237" s="1" t="str">
        <f t="shared" si="76"/>
        <v/>
      </c>
      <c r="BO237" s="1" t="str">
        <f t="shared" si="77"/>
        <v>RO635ModGZ</v>
      </c>
      <c r="BP237" s="1" t="str">
        <f t="shared" si="78"/>
        <v/>
      </c>
      <c r="BQ237" s="1" t="str">
        <f t="shared" si="79"/>
        <v/>
      </c>
      <c r="BR237" s="1" t="str">
        <f t="shared" si="80"/>
        <v/>
      </c>
      <c r="BS237" s="1" t="str">
        <f t="shared" si="81"/>
        <v/>
      </c>
    </row>
    <row r="238" spans="48:71" x14ac:dyDescent="0.3">
      <c r="AV238" t="s">
        <v>266</v>
      </c>
      <c r="AZ238" s="1" t="str">
        <f t="shared" si="62"/>
        <v/>
      </c>
      <c r="BA238" s="1" t="str">
        <f t="shared" si="63"/>
        <v/>
      </c>
      <c r="BB238" s="1" t="str">
        <f t="shared" si="64"/>
        <v/>
      </c>
      <c r="BC238" s="1" t="str">
        <f t="shared" si="65"/>
        <v/>
      </c>
      <c r="BD238" s="1" t="str">
        <f t="shared" si="66"/>
        <v/>
      </c>
      <c r="BE238" s="1" t="str">
        <f t="shared" si="67"/>
        <v/>
      </c>
      <c r="BF238" s="1" t="str">
        <f t="shared" si="68"/>
        <v/>
      </c>
      <c r="BG238" s="1" t="str">
        <f t="shared" si="69"/>
        <v/>
      </c>
      <c r="BH238" s="1" t="str">
        <f t="shared" si="70"/>
        <v/>
      </c>
      <c r="BI238" s="1" t="str">
        <f t="shared" si="71"/>
        <v/>
      </c>
      <c r="BJ238" s="1" t="str">
        <f t="shared" si="72"/>
        <v/>
      </c>
      <c r="BK238" s="1" t="str">
        <f t="shared" si="73"/>
        <v/>
      </c>
      <c r="BL238" s="1" t="str">
        <f t="shared" si="74"/>
        <v/>
      </c>
      <c r="BM238" s="1" t="str">
        <f t="shared" si="75"/>
        <v/>
      </c>
      <c r="BN238" s="1" t="str">
        <f t="shared" si="76"/>
        <v/>
      </c>
      <c r="BO238" s="1" t="str">
        <f t="shared" si="77"/>
        <v>RPD</v>
      </c>
      <c r="BP238" s="1" t="str">
        <f t="shared" si="78"/>
        <v/>
      </c>
      <c r="BQ238" s="1" t="str">
        <f t="shared" si="79"/>
        <v/>
      </c>
      <c r="BR238" s="1" t="str">
        <f t="shared" si="80"/>
        <v/>
      </c>
      <c r="BS238" s="1" t="str">
        <f t="shared" si="81"/>
        <v/>
      </c>
    </row>
    <row r="239" spans="48:71" x14ac:dyDescent="0.3">
      <c r="AV239" t="s">
        <v>9151</v>
      </c>
      <c r="AZ239" s="1" t="str">
        <f t="shared" si="62"/>
        <v/>
      </c>
      <c r="BA239" s="1" t="str">
        <f t="shared" si="63"/>
        <v/>
      </c>
      <c r="BB239" s="1" t="str">
        <f t="shared" si="64"/>
        <v/>
      </c>
      <c r="BC239" s="1" t="str">
        <f t="shared" si="65"/>
        <v/>
      </c>
      <c r="BD239" s="1" t="str">
        <f t="shared" si="66"/>
        <v/>
      </c>
      <c r="BE239" s="1" t="str">
        <f t="shared" si="67"/>
        <v/>
      </c>
      <c r="BF239" s="1" t="str">
        <f t="shared" si="68"/>
        <v/>
      </c>
      <c r="BG239" s="1" t="str">
        <f t="shared" si="69"/>
        <v/>
      </c>
      <c r="BH239" s="1" t="str">
        <f t="shared" si="70"/>
        <v/>
      </c>
      <c r="BI239" s="1" t="str">
        <f t="shared" si="71"/>
        <v/>
      </c>
      <c r="BJ239" s="1" t="str">
        <f t="shared" si="72"/>
        <v/>
      </c>
      <c r="BK239" s="1" t="str">
        <f t="shared" si="73"/>
        <v/>
      </c>
      <c r="BL239" s="1" t="str">
        <f t="shared" si="74"/>
        <v/>
      </c>
      <c r="BM239" s="1" t="str">
        <f t="shared" si="75"/>
        <v/>
      </c>
      <c r="BN239" s="1" t="str">
        <f t="shared" si="76"/>
        <v/>
      </c>
      <c r="BO239" s="1" t="str">
        <f t="shared" si="77"/>
        <v>SAAMod</v>
      </c>
      <c r="BP239" s="1" t="str">
        <f t="shared" si="78"/>
        <v/>
      </c>
      <c r="BQ239" s="1" t="str">
        <f t="shared" si="79"/>
        <v/>
      </c>
      <c r="BR239" s="1" t="str">
        <f t="shared" si="80"/>
        <v/>
      </c>
      <c r="BS239" s="1" t="str">
        <f t="shared" si="81"/>
        <v/>
      </c>
    </row>
    <row r="240" spans="48:71" x14ac:dyDescent="0.3">
      <c r="AV240" t="s">
        <v>1634</v>
      </c>
      <c r="AZ240" s="1" t="str">
        <f t="shared" si="62"/>
        <v/>
      </c>
      <c r="BA240" s="1" t="str">
        <f t="shared" si="63"/>
        <v/>
      </c>
      <c r="BB240" s="1" t="str">
        <f t="shared" si="64"/>
        <v/>
      </c>
      <c r="BC240" s="1" t="str">
        <f t="shared" si="65"/>
        <v/>
      </c>
      <c r="BD240" s="1" t="str">
        <f t="shared" si="66"/>
        <v/>
      </c>
      <c r="BE240" s="1" t="str">
        <f t="shared" si="67"/>
        <v/>
      </c>
      <c r="BF240" s="1" t="str">
        <f t="shared" si="68"/>
        <v/>
      </c>
      <c r="BG240" s="1" t="str">
        <f t="shared" si="69"/>
        <v/>
      </c>
      <c r="BH240" s="1" t="str">
        <f t="shared" si="70"/>
        <v/>
      </c>
      <c r="BI240" s="1" t="str">
        <f t="shared" si="71"/>
        <v/>
      </c>
      <c r="BJ240" s="1" t="str">
        <f t="shared" si="72"/>
        <v/>
      </c>
      <c r="BK240" s="1" t="str">
        <f t="shared" si="73"/>
        <v/>
      </c>
      <c r="BL240" s="1" t="str">
        <f t="shared" si="74"/>
        <v/>
      </c>
      <c r="BM240" s="1" t="str">
        <f t="shared" si="75"/>
        <v/>
      </c>
      <c r="BN240" s="1" t="str">
        <f t="shared" si="76"/>
        <v/>
      </c>
      <c r="BO240" s="1" t="str">
        <f t="shared" si="77"/>
        <v>SAAModGZ</v>
      </c>
      <c r="BP240" s="1" t="str">
        <f t="shared" si="78"/>
        <v/>
      </c>
      <c r="BQ240" s="1" t="str">
        <f t="shared" si="79"/>
        <v/>
      </c>
      <c r="BR240" s="1" t="str">
        <f t="shared" si="80"/>
        <v/>
      </c>
      <c r="BS240" s="1" t="str">
        <f t="shared" si="81"/>
        <v/>
      </c>
    </row>
    <row r="241" spans="48:71" x14ac:dyDescent="0.3">
      <c r="AV241" t="s">
        <v>7019</v>
      </c>
      <c r="AZ241" s="1" t="str">
        <f t="shared" si="62"/>
        <v/>
      </c>
      <c r="BA241" s="1" t="str">
        <f t="shared" si="63"/>
        <v/>
      </c>
      <c r="BB241" s="1" t="str">
        <f t="shared" si="64"/>
        <v/>
      </c>
      <c r="BC241" s="1" t="str">
        <f t="shared" si="65"/>
        <v/>
      </c>
      <c r="BD241" s="1" t="str">
        <f t="shared" si="66"/>
        <v/>
      </c>
      <c r="BE241" s="1" t="str">
        <f t="shared" si="67"/>
        <v/>
      </c>
      <c r="BF241" s="1" t="str">
        <f t="shared" si="68"/>
        <v/>
      </c>
      <c r="BG241" s="1" t="str">
        <f t="shared" si="69"/>
        <v/>
      </c>
      <c r="BH241" s="1" t="str">
        <f t="shared" si="70"/>
        <v/>
      </c>
      <c r="BI241" s="1" t="str">
        <f t="shared" si="71"/>
        <v/>
      </c>
      <c r="BJ241" s="1" t="str">
        <f t="shared" si="72"/>
        <v/>
      </c>
      <c r="BK241" s="1" t="str">
        <f t="shared" si="73"/>
        <v/>
      </c>
      <c r="BL241" s="1" t="str">
        <f t="shared" si="74"/>
        <v/>
      </c>
      <c r="BM241" s="1" t="str">
        <f t="shared" si="75"/>
        <v/>
      </c>
      <c r="BN241" s="1" t="str">
        <f t="shared" si="76"/>
        <v/>
      </c>
      <c r="BO241" s="1" t="str">
        <f t="shared" si="77"/>
        <v>Saiga12</v>
      </c>
      <c r="BP241" s="1" t="str">
        <f t="shared" si="78"/>
        <v/>
      </c>
      <c r="BQ241" s="1" t="str">
        <f t="shared" si="79"/>
        <v/>
      </c>
      <c r="BR241" s="1" t="str">
        <f t="shared" si="80"/>
        <v/>
      </c>
      <c r="BS241" s="1" t="str">
        <f t="shared" si="81"/>
        <v/>
      </c>
    </row>
    <row r="242" spans="48:71" x14ac:dyDescent="0.3">
      <c r="AV242" t="s">
        <v>235</v>
      </c>
      <c r="AZ242" s="1" t="str">
        <f t="shared" si="62"/>
        <v/>
      </c>
      <c r="BA242" s="1" t="str">
        <f t="shared" si="63"/>
        <v/>
      </c>
      <c r="BB242" s="1" t="str">
        <f t="shared" si="64"/>
        <v/>
      </c>
      <c r="BC242" s="1" t="str">
        <f t="shared" si="65"/>
        <v/>
      </c>
      <c r="BD242" s="1" t="str">
        <f t="shared" si="66"/>
        <v/>
      </c>
      <c r="BE242" s="1" t="str">
        <f t="shared" si="67"/>
        <v/>
      </c>
      <c r="BF242" s="1" t="str">
        <f t="shared" si="68"/>
        <v/>
      </c>
      <c r="BG242" s="1" t="str">
        <f t="shared" si="69"/>
        <v/>
      </c>
      <c r="BH242" s="1" t="str">
        <f t="shared" si="70"/>
        <v/>
      </c>
      <c r="BI242" s="1" t="str">
        <f t="shared" si="71"/>
        <v/>
      </c>
      <c r="BJ242" s="1" t="str">
        <f t="shared" si="72"/>
        <v/>
      </c>
      <c r="BK242" s="1" t="str">
        <f t="shared" si="73"/>
        <v/>
      </c>
      <c r="BL242" s="1" t="str">
        <f t="shared" si="74"/>
        <v/>
      </c>
      <c r="BM242" s="1" t="str">
        <f t="shared" si="75"/>
        <v/>
      </c>
      <c r="BN242" s="1" t="str">
        <f t="shared" si="76"/>
        <v/>
      </c>
      <c r="BO242" s="1" t="str">
        <f t="shared" si="77"/>
        <v>Saki</v>
      </c>
      <c r="BP242" s="1" t="str">
        <f t="shared" si="78"/>
        <v/>
      </c>
      <c r="BQ242" s="1" t="str">
        <f t="shared" si="79"/>
        <v/>
      </c>
      <c r="BR242" s="1" t="str">
        <f t="shared" si="80"/>
        <v/>
      </c>
      <c r="BS242" s="1" t="str">
        <f t="shared" si="81"/>
        <v/>
      </c>
    </row>
    <row r="243" spans="48:71" x14ac:dyDescent="0.3">
      <c r="AV243" t="s">
        <v>6893</v>
      </c>
      <c r="AZ243" s="1" t="str">
        <f t="shared" si="62"/>
        <v/>
      </c>
      <c r="BA243" s="1" t="str">
        <f t="shared" si="63"/>
        <v/>
      </c>
      <c r="BB243" s="1" t="str">
        <f t="shared" si="64"/>
        <v/>
      </c>
      <c r="BC243" s="1" t="str">
        <f t="shared" si="65"/>
        <v/>
      </c>
      <c r="BD243" s="1" t="str">
        <f t="shared" si="66"/>
        <v/>
      </c>
      <c r="BE243" s="1" t="str">
        <f t="shared" si="67"/>
        <v/>
      </c>
      <c r="BF243" s="1" t="str">
        <f t="shared" si="68"/>
        <v/>
      </c>
      <c r="BG243" s="1" t="str">
        <f t="shared" si="69"/>
        <v/>
      </c>
      <c r="BH243" s="1" t="str">
        <f t="shared" si="70"/>
        <v/>
      </c>
      <c r="BI243" s="1" t="str">
        <f t="shared" si="71"/>
        <v/>
      </c>
      <c r="BJ243" s="1" t="str">
        <f t="shared" si="72"/>
        <v/>
      </c>
      <c r="BK243" s="1" t="str">
        <f t="shared" si="73"/>
        <v/>
      </c>
      <c r="BL243" s="1" t="str">
        <f t="shared" si="74"/>
        <v/>
      </c>
      <c r="BM243" s="1" t="str">
        <f t="shared" si="75"/>
        <v/>
      </c>
      <c r="BN243" s="1" t="str">
        <f t="shared" si="76"/>
        <v/>
      </c>
      <c r="BO243" s="1" t="str">
        <f t="shared" si="77"/>
        <v>Sakura</v>
      </c>
      <c r="BP243" s="1" t="str">
        <f t="shared" si="78"/>
        <v/>
      </c>
      <c r="BQ243" s="1" t="str">
        <f t="shared" si="79"/>
        <v/>
      </c>
      <c r="BR243" s="1" t="str">
        <f t="shared" si="80"/>
        <v/>
      </c>
      <c r="BS243" s="1" t="str">
        <f t="shared" si="81"/>
        <v/>
      </c>
    </row>
    <row r="244" spans="48:71" x14ac:dyDescent="0.3">
      <c r="AV244" t="s">
        <v>6901</v>
      </c>
      <c r="AZ244" s="1" t="str">
        <f t="shared" si="62"/>
        <v/>
      </c>
      <c r="BA244" s="1" t="str">
        <f t="shared" si="63"/>
        <v/>
      </c>
      <c r="BB244" s="1" t="str">
        <f t="shared" si="64"/>
        <v/>
      </c>
      <c r="BC244" s="1" t="str">
        <f t="shared" si="65"/>
        <v/>
      </c>
      <c r="BD244" s="1" t="str">
        <f t="shared" si="66"/>
        <v/>
      </c>
      <c r="BE244" s="1" t="str">
        <f t="shared" si="67"/>
        <v/>
      </c>
      <c r="BF244" s="1" t="str">
        <f t="shared" si="68"/>
        <v/>
      </c>
      <c r="BG244" s="1" t="str">
        <f t="shared" si="69"/>
        <v/>
      </c>
      <c r="BH244" s="1" t="str">
        <f t="shared" si="70"/>
        <v/>
      </c>
      <c r="BI244" s="1" t="str">
        <f t="shared" si="71"/>
        <v/>
      </c>
      <c r="BJ244" s="1" t="str">
        <f t="shared" si="72"/>
        <v/>
      </c>
      <c r="BK244" s="1" t="str">
        <f t="shared" si="73"/>
        <v/>
      </c>
      <c r="BL244" s="1" t="str">
        <f t="shared" si="74"/>
        <v/>
      </c>
      <c r="BM244" s="1" t="str">
        <f t="shared" si="75"/>
        <v/>
      </c>
      <c r="BN244" s="1" t="str">
        <f t="shared" si="76"/>
        <v/>
      </c>
      <c r="BO244" s="1" t="str">
        <f t="shared" si="77"/>
        <v>SCAR-H</v>
      </c>
      <c r="BP244" s="1" t="str">
        <f t="shared" si="78"/>
        <v/>
      </c>
      <c r="BQ244" s="1" t="str">
        <f t="shared" si="79"/>
        <v/>
      </c>
      <c r="BR244" s="1" t="str">
        <f t="shared" si="80"/>
        <v/>
      </c>
      <c r="BS244" s="1" t="str">
        <f t="shared" si="81"/>
        <v/>
      </c>
    </row>
    <row r="245" spans="48:71" x14ac:dyDescent="0.3">
      <c r="AV245" t="s">
        <v>750</v>
      </c>
      <c r="AZ245" s="1" t="str">
        <f t="shared" si="62"/>
        <v/>
      </c>
      <c r="BA245" s="1" t="str">
        <f t="shared" si="63"/>
        <v/>
      </c>
      <c r="BB245" s="1" t="str">
        <f t="shared" si="64"/>
        <v/>
      </c>
      <c r="BC245" s="1" t="str">
        <f t="shared" si="65"/>
        <v/>
      </c>
      <c r="BD245" s="1" t="str">
        <f t="shared" si="66"/>
        <v/>
      </c>
      <c r="BE245" s="1" t="str">
        <f t="shared" si="67"/>
        <v/>
      </c>
      <c r="BF245" s="1" t="str">
        <f t="shared" si="68"/>
        <v/>
      </c>
      <c r="BG245" s="1" t="str">
        <f t="shared" si="69"/>
        <v/>
      </c>
      <c r="BH245" s="1" t="str">
        <f t="shared" si="70"/>
        <v/>
      </c>
      <c r="BI245" s="1" t="str">
        <f t="shared" si="71"/>
        <v/>
      </c>
      <c r="BJ245" s="1" t="str">
        <f t="shared" si="72"/>
        <v/>
      </c>
      <c r="BK245" s="1" t="str">
        <f t="shared" si="73"/>
        <v/>
      </c>
      <c r="BL245" s="1" t="str">
        <f t="shared" si="74"/>
        <v/>
      </c>
      <c r="BM245" s="1" t="str">
        <f t="shared" si="75"/>
        <v/>
      </c>
      <c r="BN245" s="1" t="str">
        <f t="shared" si="76"/>
        <v/>
      </c>
      <c r="BO245" s="1" t="str">
        <f t="shared" si="77"/>
        <v>SCAR-L</v>
      </c>
      <c r="BP245" s="1" t="str">
        <f t="shared" si="78"/>
        <v/>
      </c>
      <c r="BQ245" s="1" t="str">
        <f t="shared" si="79"/>
        <v/>
      </c>
      <c r="BR245" s="1" t="str">
        <f t="shared" si="80"/>
        <v/>
      </c>
      <c r="BS245" s="1" t="str">
        <f t="shared" si="81"/>
        <v/>
      </c>
    </row>
    <row r="246" spans="48:71" x14ac:dyDescent="0.3">
      <c r="AV246" t="s">
        <v>731</v>
      </c>
      <c r="AZ246" s="1" t="str">
        <f t="shared" si="62"/>
        <v/>
      </c>
      <c r="BA246" s="1" t="str">
        <f t="shared" si="63"/>
        <v/>
      </c>
      <c r="BB246" s="1" t="str">
        <f t="shared" si="64"/>
        <v/>
      </c>
      <c r="BC246" s="1" t="str">
        <f t="shared" si="65"/>
        <v/>
      </c>
      <c r="BD246" s="1" t="str">
        <f t="shared" si="66"/>
        <v/>
      </c>
      <c r="BE246" s="1" t="str">
        <f t="shared" si="67"/>
        <v/>
      </c>
      <c r="BF246" s="1" t="str">
        <f t="shared" si="68"/>
        <v/>
      </c>
      <c r="BG246" s="1" t="str">
        <f t="shared" si="69"/>
        <v/>
      </c>
      <c r="BH246" s="1" t="str">
        <f t="shared" si="70"/>
        <v/>
      </c>
      <c r="BI246" s="1" t="str">
        <f t="shared" si="71"/>
        <v/>
      </c>
      <c r="BJ246" s="1" t="str">
        <f t="shared" si="72"/>
        <v/>
      </c>
      <c r="BK246" s="1" t="str">
        <f t="shared" si="73"/>
        <v/>
      </c>
      <c r="BL246" s="1" t="str">
        <f t="shared" si="74"/>
        <v/>
      </c>
      <c r="BM246" s="1" t="str">
        <f t="shared" si="75"/>
        <v/>
      </c>
      <c r="BN246" s="1" t="str">
        <f t="shared" si="76"/>
        <v/>
      </c>
      <c r="BO246" s="1" t="str">
        <f t="shared" si="77"/>
        <v>SCW</v>
      </c>
      <c r="BP246" s="1" t="str">
        <f t="shared" si="78"/>
        <v/>
      </c>
      <c r="BQ246" s="1" t="str">
        <f t="shared" si="79"/>
        <v/>
      </c>
      <c r="BR246" s="1" t="str">
        <f t="shared" si="80"/>
        <v/>
      </c>
      <c r="BS246" s="1" t="str">
        <f t="shared" si="81"/>
        <v/>
      </c>
    </row>
    <row r="247" spans="48:71" x14ac:dyDescent="0.3">
      <c r="AV247" t="s">
        <v>749</v>
      </c>
      <c r="AZ247" s="1" t="str">
        <f t="shared" si="62"/>
        <v/>
      </c>
      <c r="BA247" s="1" t="str">
        <f t="shared" si="63"/>
        <v/>
      </c>
      <c r="BB247" s="1" t="str">
        <f t="shared" si="64"/>
        <v/>
      </c>
      <c r="BC247" s="1" t="str">
        <f t="shared" si="65"/>
        <v/>
      </c>
      <c r="BD247" s="1" t="str">
        <f t="shared" si="66"/>
        <v/>
      </c>
      <c r="BE247" s="1" t="str">
        <f t="shared" si="67"/>
        <v/>
      </c>
      <c r="BF247" s="1" t="str">
        <f t="shared" si="68"/>
        <v/>
      </c>
      <c r="BG247" s="1" t="str">
        <f t="shared" si="69"/>
        <v/>
      </c>
      <c r="BH247" s="1" t="str">
        <f t="shared" si="70"/>
        <v/>
      </c>
      <c r="BI247" s="1" t="str">
        <f t="shared" si="71"/>
        <v/>
      </c>
      <c r="BJ247" s="1" t="str">
        <f t="shared" si="72"/>
        <v/>
      </c>
      <c r="BK247" s="1" t="str">
        <f t="shared" si="73"/>
        <v/>
      </c>
      <c r="BL247" s="1" t="str">
        <f t="shared" si="74"/>
        <v/>
      </c>
      <c r="BM247" s="1" t="str">
        <f t="shared" si="75"/>
        <v/>
      </c>
      <c r="BN247" s="1" t="str">
        <f t="shared" si="76"/>
        <v/>
      </c>
      <c r="BO247" s="1" t="str">
        <f t="shared" si="77"/>
        <v>Sei</v>
      </c>
      <c r="BP247" s="1" t="str">
        <f t="shared" si="78"/>
        <v/>
      </c>
      <c r="BQ247" s="1" t="str">
        <f t="shared" si="79"/>
        <v/>
      </c>
      <c r="BR247" s="1" t="str">
        <f t="shared" si="80"/>
        <v/>
      </c>
      <c r="BS247" s="1" t="str">
        <f t="shared" si="81"/>
        <v/>
      </c>
    </row>
    <row r="248" spans="48:71" x14ac:dyDescent="0.3">
      <c r="AV248" t="s">
        <v>144</v>
      </c>
      <c r="AZ248" s="1" t="str">
        <f t="shared" si="62"/>
        <v/>
      </c>
      <c r="BA248" s="1" t="str">
        <f t="shared" si="63"/>
        <v/>
      </c>
      <c r="BB248" s="1" t="str">
        <f t="shared" si="64"/>
        <v/>
      </c>
      <c r="BC248" s="1" t="str">
        <f t="shared" si="65"/>
        <v/>
      </c>
      <c r="BD248" s="1" t="str">
        <f t="shared" si="66"/>
        <v/>
      </c>
      <c r="BE248" s="1" t="str">
        <f t="shared" si="67"/>
        <v/>
      </c>
      <c r="BF248" s="1" t="str">
        <f t="shared" si="68"/>
        <v/>
      </c>
      <c r="BG248" s="1" t="str">
        <f t="shared" si="69"/>
        <v/>
      </c>
      <c r="BH248" s="1" t="str">
        <f t="shared" si="70"/>
        <v/>
      </c>
      <c r="BI248" s="1" t="str">
        <f t="shared" si="71"/>
        <v/>
      </c>
      <c r="BJ248" s="1" t="str">
        <f t="shared" si="72"/>
        <v/>
      </c>
      <c r="BK248" s="1" t="str">
        <f t="shared" si="73"/>
        <v/>
      </c>
      <c r="BL248" s="1" t="str">
        <f t="shared" si="74"/>
        <v/>
      </c>
      <c r="BM248" s="1" t="str">
        <f t="shared" si="75"/>
        <v/>
      </c>
      <c r="BN248" s="1" t="str">
        <f t="shared" si="76"/>
        <v/>
      </c>
      <c r="BO248" s="1" t="str">
        <f t="shared" si="77"/>
        <v>Serdyukov</v>
      </c>
      <c r="BP248" s="1" t="str">
        <f t="shared" si="78"/>
        <v/>
      </c>
      <c r="BQ248" s="1" t="str">
        <f t="shared" si="79"/>
        <v/>
      </c>
      <c r="BR248" s="1" t="str">
        <f t="shared" si="80"/>
        <v/>
      </c>
      <c r="BS248" s="1" t="str">
        <f t="shared" si="81"/>
        <v/>
      </c>
    </row>
    <row r="249" spans="48:71" x14ac:dyDescent="0.3">
      <c r="AV249" t="s">
        <v>744</v>
      </c>
      <c r="AZ249" s="1" t="str">
        <f t="shared" si="62"/>
        <v/>
      </c>
      <c r="BA249" s="1" t="str">
        <f t="shared" si="63"/>
        <v/>
      </c>
      <c r="BB249" s="1" t="str">
        <f t="shared" si="64"/>
        <v/>
      </c>
      <c r="BC249" s="1" t="str">
        <f t="shared" si="65"/>
        <v/>
      </c>
      <c r="BD249" s="1" t="str">
        <f t="shared" si="66"/>
        <v/>
      </c>
      <c r="BE249" s="1" t="str">
        <f t="shared" si="67"/>
        <v/>
      </c>
      <c r="BF249" s="1" t="str">
        <f t="shared" si="68"/>
        <v/>
      </c>
      <c r="BG249" s="1" t="str">
        <f t="shared" si="69"/>
        <v/>
      </c>
      <c r="BH249" s="1" t="str">
        <f t="shared" si="70"/>
        <v/>
      </c>
      <c r="BI249" s="1" t="str">
        <f t="shared" si="71"/>
        <v/>
      </c>
      <c r="BJ249" s="1" t="str">
        <f t="shared" si="72"/>
        <v/>
      </c>
      <c r="BK249" s="1" t="str">
        <f t="shared" si="73"/>
        <v/>
      </c>
      <c r="BL249" s="1" t="str">
        <f t="shared" si="74"/>
        <v/>
      </c>
      <c r="BM249" s="1" t="str">
        <f t="shared" si="75"/>
        <v/>
      </c>
      <c r="BN249" s="1" t="str">
        <f t="shared" si="76"/>
        <v/>
      </c>
      <c r="BO249" s="1" t="str">
        <f t="shared" si="77"/>
        <v>Shipka</v>
      </c>
      <c r="BP249" s="1" t="str">
        <f t="shared" si="78"/>
        <v/>
      </c>
      <c r="BQ249" s="1" t="str">
        <f t="shared" si="79"/>
        <v/>
      </c>
      <c r="BR249" s="1" t="str">
        <f t="shared" si="80"/>
        <v/>
      </c>
      <c r="BS249" s="1" t="str">
        <f t="shared" si="81"/>
        <v/>
      </c>
    </row>
    <row r="250" spans="48:71" x14ac:dyDescent="0.3">
      <c r="AV250" t="s">
        <v>81</v>
      </c>
      <c r="AZ250" s="1" t="str">
        <f t="shared" si="62"/>
        <v/>
      </c>
      <c r="BA250" s="1" t="str">
        <f t="shared" si="63"/>
        <v/>
      </c>
      <c r="BB250" s="1" t="str">
        <f t="shared" si="64"/>
        <v/>
      </c>
      <c r="BC250" s="1" t="str">
        <f t="shared" si="65"/>
        <v/>
      </c>
      <c r="BD250" s="1" t="str">
        <f t="shared" si="66"/>
        <v/>
      </c>
      <c r="BE250" s="1" t="str">
        <f t="shared" si="67"/>
        <v/>
      </c>
      <c r="BF250" s="1" t="str">
        <f t="shared" si="68"/>
        <v/>
      </c>
      <c r="BG250" s="1" t="str">
        <f t="shared" si="69"/>
        <v/>
      </c>
      <c r="BH250" s="1" t="str">
        <f t="shared" si="70"/>
        <v/>
      </c>
      <c r="BI250" s="1" t="str">
        <f t="shared" si="71"/>
        <v/>
      </c>
      <c r="BJ250" s="1" t="str">
        <f t="shared" si="72"/>
        <v/>
      </c>
      <c r="BK250" s="1" t="str">
        <f t="shared" si="73"/>
        <v/>
      </c>
      <c r="BL250" s="1" t="str">
        <f t="shared" si="74"/>
        <v/>
      </c>
      <c r="BM250" s="1" t="str">
        <f t="shared" si="75"/>
        <v/>
      </c>
      <c r="BN250" s="1" t="str">
        <f t="shared" si="76"/>
        <v/>
      </c>
      <c r="BO250" s="1" t="str">
        <f t="shared" si="77"/>
        <v>SIG510</v>
      </c>
      <c r="BP250" s="1" t="str">
        <f t="shared" si="78"/>
        <v/>
      </c>
      <c r="BQ250" s="1" t="str">
        <f t="shared" si="79"/>
        <v/>
      </c>
      <c r="BR250" s="1" t="str">
        <f t="shared" si="80"/>
        <v/>
      </c>
      <c r="BS250" s="1" t="str">
        <f t="shared" si="81"/>
        <v/>
      </c>
    </row>
    <row r="251" spans="48:71" x14ac:dyDescent="0.3">
      <c r="AV251" t="s">
        <v>794</v>
      </c>
      <c r="AZ251" s="1" t="str">
        <f t="shared" si="62"/>
        <v/>
      </c>
      <c r="BA251" s="1" t="str">
        <f t="shared" si="63"/>
        <v/>
      </c>
      <c r="BB251" s="1" t="str">
        <f t="shared" si="64"/>
        <v/>
      </c>
      <c r="BC251" s="1" t="str">
        <f t="shared" si="65"/>
        <v/>
      </c>
      <c r="BD251" s="1" t="str">
        <f t="shared" si="66"/>
        <v/>
      </c>
      <c r="BE251" s="1" t="str">
        <f t="shared" si="67"/>
        <v/>
      </c>
      <c r="BF251" s="1" t="str">
        <f t="shared" si="68"/>
        <v/>
      </c>
      <c r="BG251" s="1" t="str">
        <f t="shared" si="69"/>
        <v/>
      </c>
      <c r="BH251" s="1" t="str">
        <f t="shared" si="70"/>
        <v/>
      </c>
      <c r="BI251" s="1" t="str">
        <f t="shared" si="71"/>
        <v/>
      </c>
      <c r="BJ251" s="1" t="str">
        <f t="shared" si="72"/>
        <v/>
      </c>
      <c r="BK251" s="1" t="str">
        <f t="shared" si="73"/>
        <v/>
      </c>
      <c r="BL251" s="1" t="str">
        <f t="shared" si="74"/>
        <v/>
      </c>
      <c r="BM251" s="1" t="str">
        <f t="shared" si="75"/>
        <v/>
      </c>
      <c r="BN251" s="1" t="str">
        <f t="shared" si="76"/>
        <v/>
      </c>
      <c r="BO251" s="1" t="str">
        <f t="shared" si="77"/>
        <v>Skorpion</v>
      </c>
      <c r="BP251" s="1" t="str">
        <f t="shared" si="78"/>
        <v/>
      </c>
      <c r="BQ251" s="1" t="str">
        <f t="shared" si="79"/>
        <v/>
      </c>
      <c r="BR251" s="1" t="str">
        <f t="shared" si="80"/>
        <v/>
      </c>
      <c r="BS251" s="1" t="str">
        <f t="shared" si="81"/>
        <v/>
      </c>
    </row>
    <row r="252" spans="48:71" x14ac:dyDescent="0.3">
      <c r="AV252" t="s">
        <v>9017</v>
      </c>
      <c r="AZ252" s="1" t="str">
        <f t="shared" si="62"/>
        <v/>
      </c>
      <c r="BA252" s="1" t="str">
        <f t="shared" si="63"/>
        <v/>
      </c>
      <c r="BB252" s="1" t="str">
        <f t="shared" si="64"/>
        <v/>
      </c>
      <c r="BC252" s="1" t="str">
        <f t="shared" si="65"/>
        <v/>
      </c>
      <c r="BD252" s="1" t="str">
        <f t="shared" si="66"/>
        <v/>
      </c>
      <c r="BE252" s="1" t="str">
        <f t="shared" si="67"/>
        <v/>
      </c>
      <c r="BF252" s="1" t="str">
        <f t="shared" si="68"/>
        <v/>
      </c>
      <c r="BG252" s="1" t="str">
        <f t="shared" si="69"/>
        <v/>
      </c>
      <c r="BH252" s="1" t="str">
        <f t="shared" si="70"/>
        <v/>
      </c>
      <c r="BI252" s="1" t="str">
        <f t="shared" si="71"/>
        <v/>
      </c>
      <c r="BJ252" s="1" t="str">
        <f t="shared" si="72"/>
        <v/>
      </c>
      <c r="BK252" s="1" t="str">
        <f t="shared" si="73"/>
        <v/>
      </c>
      <c r="BL252" s="1" t="str">
        <f t="shared" si="74"/>
        <v/>
      </c>
      <c r="BM252" s="1" t="str">
        <f t="shared" si="75"/>
        <v/>
      </c>
      <c r="BN252" s="1" t="str">
        <f t="shared" si="76"/>
        <v/>
      </c>
      <c r="BO252" s="1" t="str">
        <f t="shared" si="77"/>
        <v>SL8</v>
      </c>
      <c r="BP252" s="1" t="str">
        <f t="shared" si="78"/>
        <v/>
      </c>
      <c r="BQ252" s="1" t="str">
        <f t="shared" si="79"/>
        <v/>
      </c>
      <c r="BR252" s="1" t="str">
        <f t="shared" si="80"/>
        <v/>
      </c>
      <c r="BS252" s="1" t="str">
        <f t="shared" si="81"/>
        <v/>
      </c>
    </row>
    <row r="253" spans="48:71" x14ac:dyDescent="0.3">
      <c r="AV253" t="s">
        <v>116</v>
      </c>
      <c r="AZ253" s="1" t="str">
        <f t="shared" si="62"/>
        <v/>
      </c>
      <c r="BA253" s="1" t="str">
        <f t="shared" si="63"/>
        <v/>
      </c>
      <c r="BB253" s="1" t="str">
        <f t="shared" si="64"/>
        <v/>
      </c>
      <c r="BC253" s="1" t="str">
        <f t="shared" si="65"/>
        <v/>
      </c>
      <c r="BD253" s="1" t="str">
        <f t="shared" si="66"/>
        <v/>
      </c>
      <c r="BE253" s="1" t="str">
        <f t="shared" si="67"/>
        <v/>
      </c>
      <c r="BF253" s="1" t="str">
        <f t="shared" si="68"/>
        <v/>
      </c>
      <c r="BG253" s="1" t="str">
        <f t="shared" si="69"/>
        <v/>
      </c>
      <c r="BH253" s="1" t="str">
        <f t="shared" si="70"/>
        <v/>
      </c>
      <c r="BI253" s="1" t="str">
        <f t="shared" si="71"/>
        <v/>
      </c>
      <c r="BJ253" s="1" t="str">
        <f t="shared" si="72"/>
        <v/>
      </c>
      <c r="BK253" s="1" t="str">
        <f t="shared" si="73"/>
        <v/>
      </c>
      <c r="BL253" s="1" t="str">
        <f t="shared" si="74"/>
        <v/>
      </c>
      <c r="BM253" s="1" t="str">
        <f t="shared" si="75"/>
        <v/>
      </c>
      <c r="BN253" s="1" t="str">
        <f t="shared" si="76"/>
        <v/>
      </c>
      <c r="BO253" s="1" t="str">
        <f t="shared" si="77"/>
        <v>SPAS12Mod</v>
      </c>
      <c r="BP253" s="1" t="str">
        <f t="shared" si="78"/>
        <v/>
      </c>
      <c r="BQ253" s="1" t="str">
        <f t="shared" si="79"/>
        <v/>
      </c>
      <c r="BR253" s="1" t="str">
        <f t="shared" si="80"/>
        <v/>
      </c>
      <c r="BS253" s="1" t="str">
        <f t="shared" si="81"/>
        <v/>
      </c>
    </row>
    <row r="254" spans="48:71" x14ac:dyDescent="0.3">
      <c r="AV254" t="s">
        <v>87</v>
      </c>
      <c r="AZ254" s="1" t="str">
        <f t="shared" si="62"/>
        <v/>
      </c>
      <c r="BA254" s="1" t="str">
        <f t="shared" si="63"/>
        <v/>
      </c>
      <c r="BB254" s="1" t="str">
        <f t="shared" si="64"/>
        <v/>
      </c>
      <c r="BC254" s="1" t="str">
        <f t="shared" si="65"/>
        <v/>
      </c>
      <c r="BD254" s="1" t="str">
        <f t="shared" si="66"/>
        <v/>
      </c>
      <c r="BE254" s="1" t="str">
        <f t="shared" si="67"/>
        <v/>
      </c>
      <c r="BF254" s="1" t="str">
        <f t="shared" si="68"/>
        <v/>
      </c>
      <c r="BG254" s="1" t="str">
        <f t="shared" si="69"/>
        <v/>
      </c>
      <c r="BH254" s="1" t="str">
        <f t="shared" si="70"/>
        <v/>
      </c>
      <c r="BI254" s="1" t="str">
        <f t="shared" si="71"/>
        <v/>
      </c>
      <c r="BJ254" s="1" t="str">
        <f t="shared" si="72"/>
        <v/>
      </c>
      <c r="BK254" s="1" t="str">
        <f t="shared" si="73"/>
        <v/>
      </c>
      <c r="BL254" s="1" t="str">
        <f t="shared" si="74"/>
        <v/>
      </c>
      <c r="BM254" s="1" t="str">
        <f t="shared" si="75"/>
        <v/>
      </c>
      <c r="BN254" s="1" t="str">
        <f t="shared" si="76"/>
        <v/>
      </c>
      <c r="BO254" s="1" t="str">
        <f t="shared" si="77"/>
        <v>Spectre M4</v>
      </c>
      <c r="BP254" s="1" t="str">
        <f t="shared" si="78"/>
        <v/>
      </c>
      <c r="BQ254" s="1" t="str">
        <f t="shared" si="79"/>
        <v/>
      </c>
      <c r="BR254" s="1" t="str">
        <f t="shared" si="80"/>
        <v/>
      </c>
      <c r="BS254" s="1" t="str">
        <f t="shared" si="81"/>
        <v/>
      </c>
    </row>
    <row r="255" spans="48:71" x14ac:dyDescent="0.3">
      <c r="AV255" t="s">
        <v>1626</v>
      </c>
      <c r="AZ255" s="1" t="str">
        <f t="shared" si="62"/>
        <v/>
      </c>
      <c r="BA255" s="1" t="str">
        <f t="shared" si="63"/>
        <v/>
      </c>
      <c r="BB255" s="1" t="str">
        <f t="shared" si="64"/>
        <v/>
      </c>
      <c r="BC255" s="1" t="str">
        <f t="shared" si="65"/>
        <v/>
      </c>
      <c r="BD255" s="1" t="str">
        <f t="shared" si="66"/>
        <v/>
      </c>
      <c r="BE255" s="1" t="str">
        <f t="shared" si="67"/>
        <v/>
      </c>
      <c r="BF255" s="1" t="str">
        <f t="shared" si="68"/>
        <v/>
      </c>
      <c r="BG255" s="1" t="str">
        <f t="shared" si="69"/>
        <v/>
      </c>
      <c r="BH255" s="1" t="str">
        <f t="shared" si="70"/>
        <v/>
      </c>
      <c r="BI255" s="1" t="str">
        <f t="shared" si="71"/>
        <v/>
      </c>
      <c r="BJ255" s="1" t="str">
        <f t="shared" si="72"/>
        <v/>
      </c>
      <c r="BK255" s="1" t="str">
        <f t="shared" si="73"/>
        <v/>
      </c>
      <c r="BL255" s="1" t="str">
        <f t="shared" si="74"/>
        <v/>
      </c>
      <c r="BM255" s="1" t="str">
        <f t="shared" si="75"/>
        <v/>
      </c>
      <c r="BN255" s="1" t="str">
        <f t="shared" si="76"/>
        <v/>
      </c>
      <c r="BO255" s="1" t="str">
        <f t="shared" si="77"/>
        <v>Springfield</v>
      </c>
      <c r="BP255" s="1" t="str">
        <f t="shared" si="78"/>
        <v/>
      </c>
      <c r="BQ255" s="1" t="str">
        <f t="shared" si="79"/>
        <v/>
      </c>
      <c r="BR255" s="1" t="str">
        <f t="shared" si="80"/>
        <v/>
      </c>
      <c r="BS255" s="1" t="str">
        <f t="shared" si="81"/>
        <v/>
      </c>
    </row>
    <row r="256" spans="48:71" x14ac:dyDescent="0.3">
      <c r="AV256" t="s">
        <v>8974</v>
      </c>
      <c r="AZ256" s="1" t="str">
        <f t="shared" si="62"/>
        <v/>
      </c>
      <c r="BA256" s="1" t="str">
        <f t="shared" si="63"/>
        <v/>
      </c>
      <c r="BB256" s="1" t="str">
        <f t="shared" si="64"/>
        <v/>
      </c>
      <c r="BC256" s="1" t="str">
        <f t="shared" si="65"/>
        <v/>
      </c>
      <c r="BD256" s="1" t="str">
        <f t="shared" si="66"/>
        <v/>
      </c>
      <c r="BE256" s="1" t="str">
        <f t="shared" si="67"/>
        <v/>
      </c>
      <c r="BF256" s="1" t="str">
        <f t="shared" si="68"/>
        <v/>
      </c>
      <c r="BG256" s="1" t="str">
        <f t="shared" si="69"/>
        <v/>
      </c>
      <c r="BH256" s="1" t="str">
        <f t="shared" si="70"/>
        <v/>
      </c>
      <c r="BI256" s="1" t="str">
        <f t="shared" si="71"/>
        <v/>
      </c>
      <c r="BJ256" s="1" t="str">
        <f t="shared" si="72"/>
        <v/>
      </c>
      <c r="BK256" s="1" t="str">
        <f t="shared" si="73"/>
        <v/>
      </c>
      <c r="BL256" s="1" t="str">
        <f t="shared" si="74"/>
        <v/>
      </c>
      <c r="BM256" s="1" t="str">
        <f t="shared" si="75"/>
        <v/>
      </c>
      <c r="BN256" s="1" t="str">
        <f t="shared" si="76"/>
        <v/>
      </c>
      <c r="BO256" s="1" t="str">
        <f t="shared" si="77"/>
        <v>SR3MP</v>
      </c>
      <c r="BP256" s="1" t="str">
        <f t="shared" si="78"/>
        <v/>
      </c>
      <c r="BQ256" s="1" t="str">
        <f t="shared" si="79"/>
        <v/>
      </c>
      <c r="BR256" s="1" t="str">
        <f t="shared" si="80"/>
        <v/>
      </c>
      <c r="BS256" s="1" t="str">
        <f t="shared" si="81"/>
        <v/>
      </c>
    </row>
    <row r="257" spans="48:71" x14ac:dyDescent="0.3">
      <c r="AV257" t="s">
        <v>100</v>
      </c>
      <c r="AZ257" s="1" t="str">
        <f t="shared" si="62"/>
        <v/>
      </c>
      <c r="BA257" s="1" t="str">
        <f t="shared" si="63"/>
        <v/>
      </c>
      <c r="BB257" s="1" t="str">
        <f t="shared" si="64"/>
        <v/>
      </c>
      <c r="BC257" s="1" t="str">
        <f t="shared" si="65"/>
        <v/>
      </c>
      <c r="BD257" s="1" t="str">
        <f t="shared" si="66"/>
        <v/>
      </c>
      <c r="BE257" s="1" t="str">
        <f t="shared" si="67"/>
        <v/>
      </c>
      <c r="BF257" s="1" t="str">
        <f t="shared" si="68"/>
        <v/>
      </c>
      <c r="BG257" s="1" t="str">
        <f t="shared" si="69"/>
        <v/>
      </c>
      <c r="BH257" s="1" t="str">
        <f t="shared" si="70"/>
        <v/>
      </c>
      <c r="BI257" s="1" t="str">
        <f t="shared" si="71"/>
        <v/>
      </c>
      <c r="BJ257" s="1" t="str">
        <f t="shared" si="72"/>
        <v/>
      </c>
      <c r="BK257" s="1" t="str">
        <f t="shared" si="73"/>
        <v/>
      </c>
      <c r="BL257" s="1" t="str">
        <f t="shared" si="74"/>
        <v/>
      </c>
      <c r="BM257" s="1" t="str">
        <f t="shared" si="75"/>
        <v/>
      </c>
      <c r="BN257" s="1" t="str">
        <f t="shared" si="76"/>
        <v/>
      </c>
      <c r="BO257" s="1" t="str">
        <f t="shared" si="77"/>
        <v>SR3MPGZ</v>
      </c>
      <c r="BP257" s="1" t="str">
        <f t="shared" si="78"/>
        <v/>
      </c>
      <c r="BQ257" s="1" t="str">
        <f t="shared" si="79"/>
        <v/>
      </c>
      <c r="BR257" s="1" t="str">
        <f t="shared" si="80"/>
        <v/>
      </c>
      <c r="BS257" s="1" t="str">
        <f t="shared" si="81"/>
        <v/>
      </c>
    </row>
    <row r="258" spans="48:71" x14ac:dyDescent="0.3">
      <c r="AV258" t="s">
        <v>1682</v>
      </c>
      <c r="AZ258" s="1" t="str">
        <f t="shared" si="62"/>
        <v/>
      </c>
      <c r="BA258" s="1" t="str">
        <f t="shared" si="63"/>
        <v/>
      </c>
      <c r="BB258" s="1" t="str">
        <f t="shared" si="64"/>
        <v/>
      </c>
      <c r="BC258" s="1" t="str">
        <f t="shared" si="65"/>
        <v/>
      </c>
      <c r="BD258" s="1" t="str">
        <f t="shared" si="66"/>
        <v/>
      </c>
      <c r="BE258" s="1" t="str">
        <f t="shared" si="67"/>
        <v/>
      </c>
      <c r="BF258" s="1" t="str">
        <f t="shared" si="68"/>
        <v/>
      </c>
      <c r="BG258" s="1" t="str">
        <f t="shared" si="69"/>
        <v/>
      </c>
      <c r="BH258" s="1" t="str">
        <f t="shared" si="70"/>
        <v/>
      </c>
      <c r="BI258" s="1" t="str">
        <f t="shared" si="71"/>
        <v/>
      </c>
      <c r="BJ258" s="1" t="str">
        <f t="shared" si="72"/>
        <v/>
      </c>
      <c r="BK258" s="1" t="str">
        <f t="shared" si="73"/>
        <v/>
      </c>
      <c r="BL258" s="1" t="str">
        <f t="shared" si="74"/>
        <v/>
      </c>
      <c r="BM258" s="1" t="str">
        <f t="shared" si="75"/>
        <v/>
      </c>
      <c r="BN258" s="1" t="str">
        <f t="shared" si="76"/>
        <v/>
      </c>
      <c r="BO258" s="1" t="str">
        <f t="shared" si="77"/>
        <v>ST AR-15</v>
      </c>
      <c r="BP258" s="1" t="str">
        <f t="shared" si="78"/>
        <v/>
      </c>
      <c r="BQ258" s="1" t="str">
        <f t="shared" si="79"/>
        <v/>
      </c>
      <c r="BR258" s="1" t="str">
        <f t="shared" si="80"/>
        <v/>
      </c>
      <c r="BS258" s="1" t="str">
        <f t="shared" si="81"/>
        <v/>
      </c>
    </row>
    <row r="259" spans="48:71" x14ac:dyDescent="0.3">
      <c r="AV259" t="s">
        <v>8118</v>
      </c>
      <c r="AZ259" s="1" t="str">
        <f t="shared" si="62"/>
        <v/>
      </c>
      <c r="BA259" s="1" t="str">
        <f t="shared" si="63"/>
        <v/>
      </c>
      <c r="BB259" s="1" t="str">
        <f t="shared" si="64"/>
        <v/>
      </c>
      <c r="BC259" s="1" t="str">
        <f t="shared" si="65"/>
        <v/>
      </c>
      <c r="BD259" s="1" t="str">
        <f t="shared" si="66"/>
        <v/>
      </c>
      <c r="BE259" s="1" t="str">
        <f t="shared" si="67"/>
        <v/>
      </c>
      <c r="BF259" s="1" t="str">
        <f t="shared" si="68"/>
        <v/>
      </c>
      <c r="BG259" s="1" t="str">
        <f t="shared" si="69"/>
        <v/>
      </c>
      <c r="BH259" s="1" t="str">
        <f t="shared" si="70"/>
        <v/>
      </c>
      <c r="BI259" s="1" t="str">
        <f t="shared" si="71"/>
        <v/>
      </c>
      <c r="BJ259" s="1" t="str">
        <f t="shared" si="72"/>
        <v/>
      </c>
      <c r="BK259" s="1" t="str">
        <f t="shared" si="73"/>
        <v/>
      </c>
      <c r="BL259" s="1" t="str">
        <f t="shared" si="74"/>
        <v/>
      </c>
      <c r="BM259" s="1" t="str">
        <f t="shared" si="75"/>
        <v/>
      </c>
      <c r="BN259" s="1" t="str">
        <f t="shared" si="76"/>
        <v/>
      </c>
      <c r="BO259" s="1" t="str">
        <f t="shared" si="77"/>
        <v>ST AR15Mod</v>
      </c>
      <c r="BP259" s="1" t="str">
        <f t="shared" si="78"/>
        <v/>
      </c>
      <c r="BQ259" s="1" t="str">
        <f t="shared" si="79"/>
        <v/>
      </c>
      <c r="BR259" s="1" t="str">
        <f t="shared" si="80"/>
        <v/>
      </c>
      <c r="BS259" s="1" t="str">
        <f t="shared" si="81"/>
        <v/>
      </c>
    </row>
    <row r="260" spans="48:71" x14ac:dyDescent="0.3">
      <c r="AV260" t="s">
        <v>67</v>
      </c>
      <c r="AZ260" s="1" t="str">
        <f t="shared" ref="AZ260:BD275" si="82">IF(INDEX($C259:$AF259,MATCH(AZ$2,$C$1:$AF$1,0))="","",INDEX($C259:$AF259,MATCH(AZ$2,$C$1:$AF$1,0)))</f>
        <v/>
      </c>
      <c r="BA260" s="1" t="str">
        <f t="shared" si="82"/>
        <v/>
      </c>
      <c r="BB260" s="1" t="str">
        <f t="shared" si="82"/>
        <v/>
      </c>
      <c r="BC260" s="1" t="str">
        <f t="shared" si="82"/>
        <v/>
      </c>
      <c r="BD260" s="1" t="str">
        <f t="shared" si="82"/>
        <v/>
      </c>
      <c r="BE260" s="1" t="str">
        <f t="shared" ref="BE260:BS275" si="83">IF(INDEX($AH259:$AV259,MATCH(BE$2,$AH$1:$AV$1,0))="","",INDEX($AH259:$AV259,MATCH(BE$2,$AH$1:$AV$1,0)))</f>
        <v/>
      </c>
      <c r="BF260" s="1" t="str">
        <f t="shared" si="83"/>
        <v/>
      </c>
      <c r="BG260" s="1" t="str">
        <f t="shared" si="83"/>
        <v/>
      </c>
      <c r="BH260" s="1" t="str">
        <f t="shared" si="83"/>
        <v/>
      </c>
      <c r="BI260" s="1" t="str">
        <f t="shared" si="83"/>
        <v/>
      </c>
      <c r="BJ260" s="1" t="str">
        <f t="shared" si="83"/>
        <v/>
      </c>
      <c r="BK260" s="1" t="str">
        <f t="shared" si="83"/>
        <v/>
      </c>
      <c r="BL260" s="1" t="str">
        <f t="shared" si="83"/>
        <v/>
      </c>
      <c r="BM260" s="1" t="str">
        <f t="shared" si="83"/>
        <v/>
      </c>
      <c r="BN260" s="1" t="str">
        <f t="shared" si="83"/>
        <v/>
      </c>
      <c r="BO260" s="1" t="str">
        <f t="shared" si="83"/>
        <v>ST AR15ModGZ</v>
      </c>
      <c r="BP260" s="1" t="str">
        <f t="shared" si="83"/>
        <v/>
      </c>
      <c r="BQ260" s="1" t="str">
        <f t="shared" si="83"/>
        <v/>
      </c>
      <c r="BR260" s="1" t="str">
        <f t="shared" si="83"/>
        <v/>
      </c>
      <c r="BS260" s="1" t="str">
        <f t="shared" si="83"/>
        <v/>
      </c>
    </row>
    <row r="261" spans="48:71" x14ac:dyDescent="0.3">
      <c r="AV261" t="s">
        <v>739</v>
      </c>
      <c r="AZ261" s="1" t="str">
        <f t="shared" si="82"/>
        <v/>
      </c>
      <c r="BA261" s="1" t="str">
        <f t="shared" si="82"/>
        <v/>
      </c>
      <c r="BB261" s="1" t="str">
        <f t="shared" si="82"/>
        <v/>
      </c>
      <c r="BC261" s="1" t="str">
        <f t="shared" si="82"/>
        <v/>
      </c>
      <c r="BD261" s="1" t="str">
        <f t="shared" si="82"/>
        <v/>
      </c>
      <c r="BE261" s="1" t="str">
        <f t="shared" si="83"/>
        <v/>
      </c>
      <c r="BF261" s="1" t="str">
        <f t="shared" si="83"/>
        <v/>
      </c>
      <c r="BG261" s="1" t="str">
        <f t="shared" si="83"/>
        <v/>
      </c>
      <c r="BH261" s="1" t="str">
        <f t="shared" si="83"/>
        <v/>
      </c>
      <c r="BI261" s="1" t="str">
        <f t="shared" si="83"/>
        <v/>
      </c>
      <c r="BJ261" s="1" t="str">
        <f t="shared" si="83"/>
        <v/>
      </c>
      <c r="BK261" s="1" t="str">
        <f t="shared" si="83"/>
        <v/>
      </c>
      <c r="BL261" s="1" t="str">
        <f t="shared" si="83"/>
        <v/>
      </c>
      <c r="BM261" s="1" t="str">
        <f t="shared" si="83"/>
        <v/>
      </c>
      <c r="BN261" s="1" t="str">
        <f t="shared" si="83"/>
        <v/>
      </c>
      <c r="BO261" s="1" t="str">
        <f t="shared" si="83"/>
        <v>Stechkin</v>
      </c>
      <c r="BP261" s="1" t="str">
        <f t="shared" si="83"/>
        <v/>
      </c>
      <c r="BQ261" s="1" t="str">
        <f t="shared" si="83"/>
        <v/>
      </c>
      <c r="BR261" s="1" t="str">
        <f t="shared" si="83"/>
        <v/>
      </c>
      <c r="BS261" s="1" t="str">
        <f t="shared" si="83"/>
        <v/>
      </c>
    </row>
    <row r="262" spans="48:71" x14ac:dyDescent="0.3">
      <c r="AV262" t="s">
        <v>8119</v>
      </c>
      <c r="AZ262" s="1" t="str">
        <f t="shared" si="82"/>
        <v/>
      </c>
      <c r="BA262" s="1" t="str">
        <f t="shared" si="82"/>
        <v/>
      </c>
      <c r="BB262" s="1" t="str">
        <f t="shared" si="82"/>
        <v/>
      </c>
      <c r="BC262" s="1" t="str">
        <f t="shared" si="82"/>
        <v/>
      </c>
      <c r="BD262" s="1" t="str">
        <f t="shared" si="82"/>
        <v/>
      </c>
      <c r="BE262" s="1" t="str">
        <f t="shared" si="83"/>
        <v/>
      </c>
      <c r="BF262" s="1" t="str">
        <f t="shared" si="83"/>
        <v/>
      </c>
      <c r="BG262" s="1" t="str">
        <f t="shared" si="83"/>
        <v/>
      </c>
      <c r="BH262" s="1" t="str">
        <f t="shared" si="83"/>
        <v/>
      </c>
      <c r="BI262" s="1" t="str">
        <f t="shared" si="83"/>
        <v/>
      </c>
      <c r="BJ262" s="1" t="str">
        <f t="shared" si="83"/>
        <v/>
      </c>
      <c r="BK262" s="1" t="str">
        <f t="shared" si="83"/>
        <v/>
      </c>
      <c r="BL262" s="1" t="str">
        <f t="shared" si="83"/>
        <v/>
      </c>
      <c r="BM262" s="1" t="str">
        <f t="shared" si="83"/>
        <v/>
      </c>
      <c r="BN262" s="1" t="str">
        <f t="shared" si="83"/>
        <v/>
      </c>
      <c r="BO262" s="1" t="str">
        <f t="shared" si="83"/>
        <v>StechkinMod</v>
      </c>
      <c r="BP262" s="1" t="str">
        <f t="shared" si="83"/>
        <v/>
      </c>
      <c r="BQ262" s="1" t="str">
        <f t="shared" si="83"/>
        <v/>
      </c>
      <c r="BR262" s="1" t="str">
        <f t="shared" si="83"/>
        <v/>
      </c>
      <c r="BS262" s="1" t="str">
        <f t="shared" si="83"/>
        <v/>
      </c>
    </row>
    <row r="263" spans="48:71" x14ac:dyDescent="0.3">
      <c r="AV263" t="s">
        <v>736</v>
      </c>
      <c r="AZ263" s="1" t="str">
        <f t="shared" si="82"/>
        <v/>
      </c>
      <c r="BA263" s="1" t="str">
        <f t="shared" si="82"/>
        <v/>
      </c>
      <c r="BB263" s="1" t="str">
        <f t="shared" si="82"/>
        <v/>
      </c>
      <c r="BC263" s="1" t="str">
        <f t="shared" si="82"/>
        <v/>
      </c>
      <c r="BD263" s="1" t="str">
        <f t="shared" si="82"/>
        <v/>
      </c>
      <c r="BE263" s="1" t="str">
        <f t="shared" si="83"/>
        <v/>
      </c>
      <c r="BF263" s="1" t="str">
        <f t="shared" si="83"/>
        <v/>
      </c>
      <c r="BG263" s="1" t="str">
        <f t="shared" si="83"/>
        <v/>
      </c>
      <c r="BH263" s="1" t="str">
        <f t="shared" si="83"/>
        <v/>
      </c>
      <c r="BI263" s="1" t="str">
        <f t="shared" si="83"/>
        <v/>
      </c>
      <c r="BJ263" s="1" t="str">
        <f t="shared" si="83"/>
        <v/>
      </c>
      <c r="BK263" s="1" t="str">
        <f t="shared" si="83"/>
        <v/>
      </c>
      <c r="BL263" s="1" t="str">
        <f t="shared" si="83"/>
        <v/>
      </c>
      <c r="BM263" s="1" t="str">
        <f t="shared" si="83"/>
        <v/>
      </c>
      <c r="BN263" s="1" t="str">
        <f t="shared" si="83"/>
        <v/>
      </c>
      <c r="BO263" s="1" t="str">
        <f t="shared" si="83"/>
        <v>StechkinModGZ</v>
      </c>
      <c r="BP263" s="1" t="str">
        <f t="shared" si="83"/>
        <v/>
      </c>
      <c r="BQ263" s="1" t="str">
        <f t="shared" si="83"/>
        <v/>
      </c>
      <c r="BR263" s="1" t="str">
        <f t="shared" si="83"/>
        <v/>
      </c>
      <c r="BS263" s="1" t="str">
        <f t="shared" si="83"/>
        <v/>
      </c>
    </row>
    <row r="264" spans="48:71" x14ac:dyDescent="0.3">
      <c r="AV264" t="s">
        <v>828</v>
      </c>
      <c r="AZ264" s="1" t="str">
        <f t="shared" si="82"/>
        <v/>
      </c>
      <c r="BA264" s="1" t="str">
        <f t="shared" si="82"/>
        <v/>
      </c>
      <c r="BB264" s="1" t="str">
        <f t="shared" si="82"/>
        <v/>
      </c>
      <c r="BC264" s="1" t="str">
        <f t="shared" si="82"/>
        <v/>
      </c>
      <c r="BD264" s="1" t="str">
        <f t="shared" si="82"/>
        <v/>
      </c>
      <c r="BE264" s="1" t="str">
        <f t="shared" si="83"/>
        <v/>
      </c>
      <c r="BF264" s="1" t="str">
        <f t="shared" si="83"/>
        <v/>
      </c>
      <c r="BG264" s="1" t="str">
        <f t="shared" si="83"/>
        <v/>
      </c>
      <c r="BH264" s="1" t="str">
        <f t="shared" si="83"/>
        <v/>
      </c>
      <c r="BI264" s="1" t="str">
        <f t="shared" si="83"/>
        <v/>
      </c>
      <c r="BJ264" s="1" t="str">
        <f t="shared" si="83"/>
        <v/>
      </c>
      <c r="BK264" s="1" t="str">
        <f t="shared" si="83"/>
        <v/>
      </c>
      <c r="BL264" s="1" t="str">
        <f t="shared" si="83"/>
        <v/>
      </c>
      <c r="BM264" s="1" t="str">
        <f t="shared" si="83"/>
        <v/>
      </c>
      <c r="BN264" s="1" t="str">
        <f t="shared" si="83"/>
        <v/>
      </c>
      <c r="BO264" s="1" t="str">
        <f t="shared" si="83"/>
        <v>Stella</v>
      </c>
      <c r="BP264" s="1" t="str">
        <f t="shared" si="83"/>
        <v/>
      </c>
      <c r="BQ264" s="1" t="str">
        <f t="shared" si="83"/>
        <v/>
      </c>
      <c r="BR264" s="1" t="str">
        <f t="shared" si="83"/>
        <v/>
      </c>
      <c r="BS264" s="1" t="str">
        <f t="shared" si="83"/>
        <v/>
      </c>
    </row>
    <row r="265" spans="48:71" x14ac:dyDescent="0.3">
      <c r="AV265" t="s">
        <v>8961</v>
      </c>
      <c r="AZ265" s="1" t="str">
        <f t="shared" si="82"/>
        <v/>
      </c>
      <c r="BA265" s="1" t="str">
        <f t="shared" si="82"/>
        <v/>
      </c>
      <c r="BB265" s="1" t="str">
        <f t="shared" si="82"/>
        <v/>
      </c>
      <c r="BC265" s="1" t="str">
        <f t="shared" si="82"/>
        <v/>
      </c>
      <c r="BD265" s="1" t="str">
        <f t="shared" si="82"/>
        <v/>
      </c>
      <c r="BE265" s="1" t="str">
        <f t="shared" si="83"/>
        <v/>
      </c>
      <c r="BF265" s="1" t="str">
        <f t="shared" si="83"/>
        <v/>
      </c>
      <c r="BG265" s="1" t="str">
        <f t="shared" si="83"/>
        <v/>
      </c>
      <c r="BH265" s="1" t="str">
        <f t="shared" si="83"/>
        <v/>
      </c>
      <c r="BI265" s="1" t="str">
        <f t="shared" si="83"/>
        <v/>
      </c>
      <c r="BJ265" s="1" t="str">
        <f t="shared" si="83"/>
        <v/>
      </c>
      <c r="BK265" s="1" t="str">
        <f t="shared" si="83"/>
        <v/>
      </c>
      <c r="BL265" s="1" t="str">
        <f t="shared" si="83"/>
        <v/>
      </c>
      <c r="BM265" s="1" t="str">
        <f t="shared" si="83"/>
        <v/>
      </c>
      <c r="BN265" s="1" t="str">
        <f t="shared" si="83"/>
        <v/>
      </c>
      <c r="BO265" s="1" t="str">
        <f t="shared" si="83"/>
        <v>STEN MkIIMod</v>
      </c>
      <c r="BP265" s="1" t="str">
        <f t="shared" si="83"/>
        <v/>
      </c>
      <c r="BQ265" s="1" t="str">
        <f t="shared" si="83"/>
        <v/>
      </c>
      <c r="BR265" s="1" t="str">
        <f t="shared" si="83"/>
        <v/>
      </c>
      <c r="BS265" s="1" t="str">
        <f t="shared" si="83"/>
        <v/>
      </c>
    </row>
    <row r="266" spans="48:71" x14ac:dyDescent="0.3">
      <c r="AV266" t="s">
        <v>725</v>
      </c>
      <c r="AZ266" s="1" t="str">
        <f t="shared" si="82"/>
        <v/>
      </c>
      <c r="BA266" s="1" t="str">
        <f t="shared" si="82"/>
        <v/>
      </c>
      <c r="BB266" s="1" t="str">
        <f t="shared" si="82"/>
        <v/>
      </c>
      <c r="BC266" s="1" t="str">
        <f t="shared" si="82"/>
        <v/>
      </c>
      <c r="BD266" s="1" t="str">
        <f t="shared" si="82"/>
        <v/>
      </c>
      <c r="BE266" s="1" t="str">
        <f t="shared" si="83"/>
        <v/>
      </c>
      <c r="BF266" s="1" t="str">
        <f t="shared" si="83"/>
        <v/>
      </c>
      <c r="BG266" s="1" t="str">
        <f t="shared" si="83"/>
        <v/>
      </c>
      <c r="BH266" s="1" t="str">
        <f t="shared" si="83"/>
        <v/>
      </c>
      <c r="BI266" s="1" t="str">
        <f t="shared" si="83"/>
        <v/>
      </c>
      <c r="BJ266" s="1" t="str">
        <f t="shared" si="83"/>
        <v/>
      </c>
      <c r="BK266" s="1" t="str">
        <f t="shared" si="83"/>
        <v/>
      </c>
      <c r="BL266" s="1" t="str">
        <f t="shared" si="83"/>
        <v/>
      </c>
      <c r="BM266" s="1" t="str">
        <f t="shared" si="83"/>
        <v/>
      </c>
      <c r="BN266" s="1" t="str">
        <f t="shared" si="83"/>
        <v/>
      </c>
      <c r="BO266" s="1" t="str">
        <f t="shared" si="83"/>
        <v>STEN MkIIModGZ</v>
      </c>
      <c r="BP266" s="1" t="str">
        <f t="shared" si="83"/>
        <v/>
      </c>
      <c r="BQ266" s="1" t="str">
        <f t="shared" si="83"/>
        <v/>
      </c>
      <c r="BR266" s="1" t="str">
        <f t="shared" si="83"/>
        <v/>
      </c>
      <c r="BS266" s="1" t="str">
        <f t="shared" si="83"/>
        <v/>
      </c>
    </row>
    <row r="267" spans="48:71" x14ac:dyDescent="0.3">
      <c r="AV267" t="s">
        <v>8973</v>
      </c>
      <c r="AZ267" s="1" t="str">
        <f t="shared" si="82"/>
        <v/>
      </c>
      <c r="BA267" s="1" t="str">
        <f t="shared" si="82"/>
        <v/>
      </c>
      <c r="BB267" s="1" t="str">
        <f t="shared" si="82"/>
        <v/>
      </c>
      <c r="BC267" s="1" t="str">
        <f t="shared" si="82"/>
        <v/>
      </c>
      <c r="BD267" s="1" t="str">
        <f t="shared" si="82"/>
        <v/>
      </c>
      <c r="BE267" s="1" t="str">
        <f t="shared" si="83"/>
        <v/>
      </c>
      <c r="BF267" s="1" t="str">
        <f t="shared" si="83"/>
        <v/>
      </c>
      <c r="BG267" s="1" t="str">
        <f t="shared" si="83"/>
        <v/>
      </c>
      <c r="BH267" s="1" t="str">
        <f t="shared" si="83"/>
        <v/>
      </c>
      <c r="BI267" s="1" t="str">
        <f t="shared" si="83"/>
        <v/>
      </c>
      <c r="BJ267" s="1" t="str">
        <f t="shared" si="83"/>
        <v/>
      </c>
      <c r="BK267" s="1" t="str">
        <f t="shared" si="83"/>
        <v/>
      </c>
      <c r="BL267" s="1" t="str">
        <f t="shared" si="83"/>
        <v/>
      </c>
      <c r="BM267" s="1" t="str">
        <f t="shared" si="83"/>
        <v/>
      </c>
      <c r="BN267" s="1" t="str">
        <f t="shared" si="83"/>
        <v/>
      </c>
      <c r="BO267" s="1" t="str">
        <f t="shared" si="83"/>
        <v>Stg44Mod</v>
      </c>
      <c r="BP267" s="1" t="str">
        <f t="shared" si="83"/>
        <v/>
      </c>
      <c r="BQ267" s="1" t="str">
        <f t="shared" si="83"/>
        <v/>
      </c>
      <c r="BR267" s="1" t="str">
        <f t="shared" si="83"/>
        <v/>
      </c>
      <c r="BS267" s="1" t="str">
        <f t="shared" si="83"/>
        <v/>
      </c>
    </row>
    <row r="268" spans="48:71" x14ac:dyDescent="0.3">
      <c r="AV268" t="s">
        <v>127</v>
      </c>
      <c r="AZ268" s="1" t="str">
        <f t="shared" si="82"/>
        <v/>
      </c>
      <c r="BA268" s="1" t="str">
        <f t="shared" si="82"/>
        <v/>
      </c>
      <c r="BB268" s="1" t="str">
        <f t="shared" si="82"/>
        <v/>
      </c>
      <c r="BC268" s="1" t="str">
        <f t="shared" si="82"/>
        <v/>
      </c>
      <c r="BD268" s="1" t="str">
        <f t="shared" si="82"/>
        <v/>
      </c>
      <c r="BE268" s="1" t="str">
        <f t="shared" si="83"/>
        <v/>
      </c>
      <c r="BF268" s="1" t="str">
        <f t="shared" si="83"/>
        <v/>
      </c>
      <c r="BG268" s="1" t="str">
        <f t="shared" si="83"/>
        <v/>
      </c>
      <c r="BH268" s="1" t="str">
        <f t="shared" si="83"/>
        <v/>
      </c>
      <c r="BI268" s="1" t="str">
        <f t="shared" si="83"/>
        <v/>
      </c>
      <c r="BJ268" s="1" t="str">
        <f t="shared" si="83"/>
        <v/>
      </c>
      <c r="BK268" s="1" t="str">
        <f t="shared" si="83"/>
        <v/>
      </c>
      <c r="BL268" s="1" t="str">
        <f t="shared" si="83"/>
        <v/>
      </c>
      <c r="BM268" s="1" t="str">
        <f t="shared" si="83"/>
        <v/>
      </c>
      <c r="BN268" s="1" t="str">
        <f t="shared" si="83"/>
        <v/>
      </c>
      <c r="BO268" s="1" t="str">
        <f t="shared" si="83"/>
        <v>StG44ModGZ</v>
      </c>
      <c r="BP268" s="1" t="str">
        <f t="shared" si="83"/>
        <v/>
      </c>
      <c r="BQ268" s="1" t="str">
        <f t="shared" si="83"/>
        <v/>
      </c>
      <c r="BR268" s="1" t="str">
        <f t="shared" si="83"/>
        <v/>
      </c>
      <c r="BS268" s="1" t="str">
        <f t="shared" si="83"/>
        <v/>
      </c>
    </row>
    <row r="269" spans="48:71" x14ac:dyDescent="0.3">
      <c r="AV269" t="s">
        <v>6508</v>
      </c>
      <c r="AZ269" s="1" t="str">
        <f t="shared" si="82"/>
        <v/>
      </c>
      <c r="BA269" s="1" t="str">
        <f t="shared" si="82"/>
        <v/>
      </c>
      <c r="BB269" s="1" t="str">
        <f t="shared" si="82"/>
        <v/>
      </c>
      <c r="BC269" s="1" t="str">
        <f t="shared" si="82"/>
        <v/>
      </c>
      <c r="BD269" s="1" t="str">
        <f t="shared" si="82"/>
        <v/>
      </c>
      <c r="BE269" s="1" t="str">
        <f t="shared" si="83"/>
        <v/>
      </c>
      <c r="BF269" s="1" t="str">
        <f t="shared" si="83"/>
        <v/>
      </c>
      <c r="BG269" s="1" t="str">
        <f t="shared" si="83"/>
        <v/>
      </c>
      <c r="BH269" s="1" t="str">
        <f t="shared" si="83"/>
        <v/>
      </c>
      <c r="BI269" s="1" t="str">
        <f t="shared" si="83"/>
        <v/>
      </c>
      <c r="BJ269" s="1" t="str">
        <f t="shared" si="83"/>
        <v/>
      </c>
      <c r="BK269" s="1" t="str">
        <f t="shared" si="83"/>
        <v/>
      </c>
      <c r="BL269" s="1" t="str">
        <f t="shared" si="83"/>
        <v/>
      </c>
      <c r="BM269" s="1" t="str">
        <f t="shared" si="83"/>
        <v/>
      </c>
      <c r="BN269" s="1" t="str">
        <f t="shared" si="83"/>
        <v/>
      </c>
      <c r="BO269" s="1" t="str">
        <f t="shared" si="83"/>
        <v>Suomi</v>
      </c>
      <c r="BP269" s="1" t="str">
        <f t="shared" si="83"/>
        <v/>
      </c>
      <c r="BQ269" s="1" t="str">
        <f t="shared" si="83"/>
        <v/>
      </c>
      <c r="BR269" s="1" t="str">
        <f t="shared" si="83"/>
        <v/>
      </c>
      <c r="BS269" s="1" t="str">
        <f t="shared" si="83"/>
        <v/>
      </c>
    </row>
    <row r="270" spans="48:71" x14ac:dyDescent="0.3">
      <c r="AV270" t="s">
        <v>832</v>
      </c>
      <c r="AZ270" s="1" t="str">
        <f t="shared" si="82"/>
        <v/>
      </c>
      <c r="BA270" s="1" t="str">
        <f t="shared" si="82"/>
        <v/>
      </c>
      <c r="BB270" s="1" t="str">
        <f t="shared" si="82"/>
        <v/>
      </c>
      <c r="BC270" s="1" t="str">
        <f t="shared" si="82"/>
        <v/>
      </c>
      <c r="BD270" s="1" t="str">
        <f t="shared" si="82"/>
        <v/>
      </c>
      <c r="BE270" s="1" t="str">
        <f t="shared" si="83"/>
        <v/>
      </c>
      <c r="BF270" s="1" t="str">
        <f t="shared" si="83"/>
        <v/>
      </c>
      <c r="BG270" s="1" t="str">
        <f t="shared" si="83"/>
        <v/>
      </c>
      <c r="BH270" s="1" t="str">
        <f t="shared" si="83"/>
        <v/>
      </c>
      <c r="BI270" s="1" t="str">
        <f t="shared" si="83"/>
        <v/>
      </c>
      <c r="BJ270" s="1" t="str">
        <f t="shared" si="83"/>
        <v/>
      </c>
      <c r="BK270" s="1" t="str">
        <f t="shared" si="83"/>
        <v/>
      </c>
      <c r="BL270" s="1" t="str">
        <f t="shared" si="83"/>
        <v/>
      </c>
      <c r="BM270" s="1" t="str">
        <f t="shared" si="83"/>
        <v/>
      </c>
      <c r="BN270" s="1" t="str">
        <f t="shared" si="83"/>
        <v/>
      </c>
      <c r="BO270" s="1" t="str">
        <f t="shared" si="83"/>
        <v>SuomiMod</v>
      </c>
      <c r="BP270" s="1" t="str">
        <f t="shared" si="83"/>
        <v/>
      </c>
      <c r="BQ270" s="1" t="str">
        <f t="shared" si="83"/>
        <v/>
      </c>
      <c r="BR270" s="1" t="str">
        <f t="shared" si="83"/>
        <v/>
      </c>
      <c r="BS270" s="1" t="str">
        <f t="shared" si="83"/>
        <v/>
      </c>
    </row>
    <row r="271" spans="48:71" x14ac:dyDescent="0.3">
      <c r="AV271" t="s">
        <v>1680</v>
      </c>
      <c r="AZ271" s="1" t="str">
        <f t="shared" si="82"/>
        <v/>
      </c>
      <c r="BA271" s="1" t="str">
        <f t="shared" si="82"/>
        <v/>
      </c>
      <c r="BB271" s="1" t="str">
        <f t="shared" si="82"/>
        <v/>
      </c>
      <c r="BC271" s="1" t="str">
        <f t="shared" si="82"/>
        <v/>
      </c>
      <c r="BD271" s="1" t="str">
        <f t="shared" si="82"/>
        <v/>
      </c>
      <c r="BE271" s="1" t="str">
        <f t="shared" si="83"/>
        <v/>
      </c>
      <c r="BF271" s="1" t="str">
        <f t="shared" si="83"/>
        <v/>
      </c>
      <c r="BG271" s="1" t="str">
        <f t="shared" si="83"/>
        <v/>
      </c>
      <c r="BH271" s="1" t="str">
        <f t="shared" si="83"/>
        <v/>
      </c>
      <c r="BI271" s="1" t="str">
        <f t="shared" si="83"/>
        <v/>
      </c>
      <c r="BJ271" s="1" t="str">
        <f t="shared" si="83"/>
        <v/>
      </c>
      <c r="BK271" s="1" t="str">
        <f t="shared" si="83"/>
        <v/>
      </c>
      <c r="BL271" s="1" t="str">
        <f t="shared" si="83"/>
        <v/>
      </c>
      <c r="BM271" s="1" t="str">
        <f t="shared" si="83"/>
        <v/>
      </c>
      <c r="BN271" s="1" t="str">
        <f t="shared" si="83"/>
        <v/>
      </c>
      <c r="BO271" s="1" t="str">
        <f t="shared" si="83"/>
        <v>Super SASSMod</v>
      </c>
      <c r="BP271" s="1" t="str">
        <f t="shared" si="83"/>
        <v/>
      </c>
      <c r="BQ271" s="1" t="str">
        <f t="shared" si="83"/>
        <v/>
      </c>
      <c r="BR271" s="1" t="str">
        <f t="shared" si="83"/>
        <v/>
      </c>
      <c r="BS271" s="1" t="str">
        <f t="shared" si="83"/>
        <v/>
      </c>
    </row>
    <row r="272" spans="48:71" x14ac:dyDescent="0.3">
      <c r="AV272" t="s">
        <v>8904</v>
      </c>
      <c r="AZ272" s="1" t="str">
        <f t="shared" si="82"/>
        <v/>
      </c>
      <c r="BA272" s="1" t="str">
        <f t="shared" si="82"/>
        <v/>
      </c>
      <c r="BB272" s="1" t="str">
        <f t="shared" si="82"/>
        <v/>
      </c>
      <c r="BC272" s="1" t="str">
        <f t="shared" si="82"/>
        <v/>
      </c>
      <c r="BD272" s="1" t="str">
        <f t="shared" si="82"/>
        <v/>
      </c>
      <c r="BE272" s="1" t="str">
        <f t="shared" si="83"/>
        <v/>
      </c>
      <c r="BF272" s="1" t="str">
        <f t="shared" si="83"/>
        <v/>
      </c>
      <c r="BG272" s="1" t="str">
        <f t="shared" si="83"/>
        <v/>
      </c>
      <c r="BH272" s="1" t="str">
        <f t="shared" si="83"/>
        <v/>
      </c>
      <c r="BI272" s="1" t="str">
        <f t="shared" si="83"/>
        <v/>
      </c>
      <c r="BJ272" s="1" t="str">
        <f t="shared" si="83"/>
        <v/>
      </c>
      <c r="BK272" s="1" t="str">
        <f t="shared" si="83"/>
        <v/>
      </c>
      <c r="BL272" s="1" t="str">
        <f t="shared" si="83"/>
        <v/>
      </c>
      <c r="BM272" s="1" t="str">
        <f t="shared" si="83"/>
        <v/>
      </c>
      <c r="BN272" s="1" t="str">
        <f t="shared" si="83"/>
        <v/>
      </c>
      <c r="BO272" s="1" t="str">
        <f t="shared" si="83"/>
        <v>SV98Mod</v>
      </c>
      <c r="BP272" s="1" t="str">
        <f t="shared" si="83"/>
        <v/>
      </c>
      <c r="BQ272" s="1" t="str">
        <f t="shared" si="83"/>
        <v/>
      </c>
      <c r="BR272" s="1" t="str">
        <f t="shared" si="83"/>
        <v/>
      </c>
      <c r="BS272" s="1" t="str">
        <f t="shared" si="83"/>
        <v/>
      </c>
    </row>
    <row r="273" spans="48:71" x14ac:dyDescent="0.3">
      <c r="AV273" t="s">
        <v>92</v>
      </c>
      <c r="AZ273" s="1" t="str">
        <f t="shared" si="82"/>
        <v/>
      </c>
      <c r="BA273" s="1" t="str">
        <f t="shared" si="82"/>
        <v/>
      </c>
      <c r="BB273" s="1" t="str">
        <f t="shared" si="82"/>
        <v/>
      </c>
      <c r="BC273" s="1" t="str">
        <f t="shared" si="82"/>
        <v/>
      </c>
      <c r="BD273" s="1" t="str">
        <f t="shared" si="82"/>
        <v/>
      </c>
      <c r="BE273" s="1" t="str">
        <f t="shared" si="83"/>
        <v/>
      </c>
      <c r="BF273" s="1" t="str">
        <f t="shared" si="83"/>
        <v/>
      </c>
      <c r="BG273" s="1" t="str">
        <f t="shared" si="83"/>
        <v/>
      </c>
      <c r="BH273" s="1" t="str">
        <f t="shared" si="83"/>
        <v/>
      </c>
      <c r="BI273" s="1" t="str">
        <f t="shared" si="83"/>
        <v/>
      </c>
      <c r="BJ273" s="1" t="str">
        <f t="shared" si="83"/>
        <v/>
      </c>
      <c r="BK273" s="1" t="str">
        <f t="shared" si="83"/>
        <v/>
      </c>
      <c r="BL273" s="1" t="str">
        <f t="shared" si="83"/>
        <v/>
      </c>
      <c r="BM273" s="1" t="str">
        <f t="shared" si="83"/>
        <v/>
      </c>
      <c r="BN273" s="1" t="str">
        <f t="shared" si="83"/>
        <v/>
      </c>
      <c r="BO273" s="1" t="str">
        <f t="shared" si="83"/>
        <v>SV98ModGZ</v>
      </c>
      <c r="BP273" s="1" t="str">
        <f t="shared" si="83"/>
        <v/>
      </c>
      <c r="BQ273" s="1" t="str">
        <f t="shared" si="83"/>
        <v/>
      </c>
      <c r="BR273" s="1" t="str">
        <f t="shared" si="83"/>
        <v/>
      </c>
      <c r="BS273" s="1" t="str">
        <f t="shared" si="83"/>
        <v/>
      </c>
    </row>
    <row r="274" spans="48:71" x14ac:dyDescent="0.3">
      <c r="AV274" t="s">
        <v>1612</v>
      </c>
      <c r="AZ274" s="1" t="str">
        <f t="shared" si="82"/>
        <v/>
      </c>
      <c r="BA274" s="1" t="str">
        <f t="shared" si="82"/>
        <v/>
      </c>
      <c r="BB274" s="1" t="str">
        <f t="shared" si="82"/>
        <v/>
      </c>
      <c r="BC274" s="1" t="str">
        <f t="shared" si="82"/>
        <v/>
      </c>
      <c r="BD274" s="1" t="str">
        <f t="shared" si="82"/>
        <v/>
      </c>
      <c r="BE274" s="1" t="str">
        <f t="shared" si="83"/>
        <v/>
      </c>
      <c r="BF274" s="1" t="str">
        <f t="shared" si="83"/>
        <v/>
      </c>
      <c r="BG274" s="1" t="str">
        <f t="shared" si="83"/>
        <v/>
      </c>
      <c r="BH274" s="1" t="str">
        <f t="shared" si="83"/>
        <v/>
      </c>
      <c r="BI274" s="1" t="str">
        <f t="shared" si="83"/>
        <v/>
      </c>
      <c r="BJ274" s="1" t="str">
        <f t="shared" si="83"/>
        <v/>
      </c>
      <c r="BK274" s="1" t="str">
        <f t="shared" si="83"/>
        <v/>
      </c>
      <c r="BL274" s="1" t="str">
        <f t="shared" si="83"/>
        <v/>
      </c>
      <c r="BM274" s="1" t="str">
        <f t="shared" si="83"/>
        <v/>
      </c>
      <c r="BN274" s="1" t="str">
        <f t="shared" si="83"/>
        <v/>
      </c>
      <c r="BO274" s="1" t="str">
        <f t="shared" si="83"/>
        <v>SVD</v>
      </c>
      <c r="BP274" s="1" t="str">
        <f t="shared" si="83"/>
        <v/>
      </c>
      <c r="BQ274" s="1" t="str">
        <f t="shared" si="83"/>
        <v/>
      </c>
      <c r="BR274" s="1" t="str">
        <f t="shared" si="83"/>
        <v/>
      </c>
      <c r="BS274" s="1" t="str">
        <f t="shared" si="83"/>
        <v/>
      </c>
    </row>
    <row r="275" spans="48:71" x14ac:dyDescent="0.3">
      <c r="AV275" t="s">
        <v>181</v>
      </c>
      <c r="AZ275" s="1" t="str">
        <f t="shared" si="82"/>
        <v/>
      </c>
      <c r="BA275" s="1" t="str">
        <f t="shared" si="82"/>
        <v/>
      </c>
      <c r="BB275" s="1" t="str">
        <f t="shared" si="82"/>
        <v/>
      </c>
      <c r="BC275" s="1" t="str">
        <f t="shared" si="82"/>
        <v/>
      </c>
      <c r="BD275" s="1" t="str">
        <f t="shared" si="82"/>
        <v/>
      </c>
      <c r="BE275" s="1" t="str">
        <f t="shared" si="83"/>
        <v/>
      </c>
      <c r="BF275" s="1" t="str">
        <f t="shared" si="83"/>
        <v/>
      </c>
      <c r="BG275" s="1" t="str">
        <f t="shared" si="83"/>
        <v/>
      </c>
      <c r="BH275" s="1" t="str">
        <f t="shared" si="83"/>
        <v/>
      </c>
      <c r="BI275" s="1" t="str">
        <f t="shared" si="83"/>
        <v/>
      </c>
      <c r="BJ275" s="1" t="str">
        <f t="shared" si="83"/>
        <v/>
      </c>
      <c r="BK275" s="1" t="str">
        <f t="shared" si="83"/>
        <v/>
      </c>
      <c r="BL275" s="1" t="str">
        <f t="shared" si="83"/>
        <v/>
      </c>
      <c r="BM275" s="1" t="str">
        <f t="shared" si="83"/>
        <v/>
      </c>
      <c r="BN275" s="1" t="str">
        <f t="shared" si="83"/>
        <v/>
      </c>
      <c r="BO275" s="1" t="str">
        <f t="shared" si="83"/>
        <v>SVT38</v>
      </c>
      <c r="BP275" s="1" t="str">
        <f t="shared" si="83"/>
        <v/>
      </c>
      <c r="BQ275" s="1" t="str">
        <f t="shared" si="83"/>
        <v/>
      </c>
      <c r="BR275" s="1" t="str">
        <f t="shared" si="83"/>
        <v/>
      </c>
      <c r="BS275" s="1" t="str">
        <f t="shared" si="83"/>
        <v/>
      </c>
    </row>
    <row r="276" spans="48:71" x14ac:dyDescent="0.3">
      <c r="AV276" t="s">
        <v>1237</v>
      </c>
      <c r="AZ276" s="1" t="str">
        <f t="shared" ref="AZ276:BD291" si="84">IF(INDEX($C275:$AF275,MATCH(AZ$2,$C$1:$AF$1,0))="","",INDEX($C275:$AF275,MATCH(AZ$2,$C$1:$AF$1,0)))</f>
        <v/>
      </c>
      <c r="BA276" s="1" t="str">
        <f t="shared" si="84"/>
        <v/>
      </c>
      <c r="BB276" s="1" t="str">
        <f t="shared" si="84"/>
        <v/>
      </c>
      <c r="BC276" s="1" t="str">
        <f t="shared" si="84"/>
        <v/>
      </c>
      <c r="BD276" s="1" t="str">
        <f t="shared" si="84"/>
        <v/>
      </c>
      <c r="BE276" s="1" t="str">
        <f t="shared" ref="BE276:BS291" si="85">IF(INDEX($AH275:$AV275,MATCH(BE$2,$AH$1:$AV$1,0))="","",INDEX($AH275:$AV275,MATCH(BE$2,$AH$1:$AV$1,0)))</f>
        <v/>
      </c>
      <c r="BF276" s="1" t="str">
        <f t="shared" si="85"/>
        <v/>
      </c>
      <c r="BG276" s="1" t="str">
        <f t="shared" si="85"/>
        <v/>
      </c>
      <c r="BH276" s="1" t="str">
        <f t="shared" si="85"/>
        <v/>
      </c>
      <c r="BI276" s="1" t="str">
        <f t="shared" si="85"/>
        <v/>
      </c>
      <c r="BJ276" s="1" t="str">
        <f t="shared" si="85"/>
        <v/>
      </c>
      <c r="BK276" s="1" t="str">
        <f t="shared" si="85"/>
        <v/>
      </c>
      <c r="BL276" s="1" t="str">
        <f t="shared" si="85"/>
        <v/>
      </c>
      <c r="BM276" s="1" t="str">
        <f t="shared" si="85"/>
        <v/>
      </c>
      <c r="BN276" s="1" t="str">
        <f t="shared" si="85"/>
        <v/>
      </c>
      <c r="BO276" s="1" t="str">
        <f t="shared" si="85"/>
        <v>T77</v>
      </c>
      <c r="BP276" s="1" t="str">
        <f t="shared" si="85"/>
        <v/>
      </c>
      <c r="BQ276" s="1" t="str">
        <f t="shared" si="85"/>
        <v/>
      </c>
      <c r="BR276" s="1" t="str">
        <f t="shared" si="85"/>
        <v/>
      </c>
      <c r="BS276" s="1" t="str">
        <f t="shared" si="85"/>
        <v/>
      </c>
    </row>
    <row r="277" spans="48:71" x14ac:dyDescent="0.3">
      <c r="AV277" t="s">
        <v>6970</v>
      </c>
      <c r="AZ277" s="1" t="str">
        <f t="shared" si="84"/>
        <v/>
      </c>
      <c r="BA277" s="1" t="str">
        <f t="shared" si="84"/>
        <v/>
      </c>
      <c r="BB277" s="1" t="str">
        <f t="shared" si="84"/>
        <v/>
      </c>
      <c r="BC277" s="1" t="str">
        <f t="shared" si="84"/>
        <v/>
      </c>
      <c r="BD277" s="1" t="str">
        <f t="shared" si="84"/>
        <v/>
      </c>
      <c r="BE277" s="1" t="str">
        <f t="shared" si="85"/>
        <v/>
      </c>
      <c r="BF277" s="1" t="str">
        <f t="shared" si="85"/>
        <v/>
      </c>
      <c r="BG277" s="1" t="str">
        <f t="shared" si="85"/>
        <v/>
      </c>
      <c r="BH277" s="1" t="str">
        <f t="shared" si="85"/>
        <v/>
      </c>
      <c r="BI277" s="1" t="str">
        <f t="shared" si="85"/>
        <v/>
      </c>
      <c r="BJ277" s="1" t="str">
        <f t="shared" si="85"/>
        <v/>
      </c>
      <c r="BK277" s="1" t="str">
        <f t="shared" si="85"/>
        <v/>
      </c>
      <c r="BL277" s="1" t="str">
        <f t="shared" si="85"/>
        <v/>
      </c>
      <c r="BM277" s="1" t="str">
        <f t="shared" si="85"/>
        <v/>
      </c>
      <c r="BN277" s="1" t="str">
        <f t="shared" si="85"/>
        <v/>
      </c>
      <c r="BO277" s="1" t="str">
        <f t="shared" si="85"/>
        <v>TAC50</v>
      </c>
      <c r="BP277" s="1" t="str">
        <f t="shared" si="85"/>
        <v/>
      </c>
      <c r="BQ277" s="1" t="str">
        <f t="shared" si="85"/>
        <v/>
      </c>
      <c r="BR277" s="1" t="str">
        <f t="shared" si="85"/>
        <v/>
      </c>
      <c r="BS277" s="1" t="str">
        <f t="shared" si="85"/>
        <v/>
      </c>
    </row>
    <row r="278" spans="48:71" x14ac:dyDescent="0.3">
      <c r="AV278" t="s">
        <v>738</v>
      </c>
      <c r="AZ278" s="1" t="str">
        <f t="shared" si="84"/>
        <v/>
      </c>
      <c r="BA278" s="1" t="str">
        <f t="shared" si="84"/>
        <v/>
      </c>
      <c r="BB278" s="1" t="str">
        <f t="shared" si="84"/>
        <v/>
      </c>
      <c r="BC278" s="1" t="str">
        <f t="shared" si="84"/>
        <v/>
      </c>
      <c r="BD278" s="1" t="str">
        <f t="shared" si="84"/>
        <v/>
      </c>
      <c r="BE278" s="1" t="str">
        <f t="shared" si="85"/>
        <v/>
      </c>
      <c r="BF278" s="1" t="str">
        <f t="shared" si="85"/>
        <v/>
      </c>
      <c r="BG278" s="1" t="str">
        <f t="shared" si="85"/>
        <v/>
      </c>
      <c r="BH278" s="1" t="str">
        <f t="shared" si="85"/>
        <v/>
      </c>
      <c r="BI278" s="1" t="str">
        <f t="shared" si="85"/>
        <v/>
      </c>
      <c r="BJ278" s="1" t="str">
        <f t="shared" si="85"/>
        <v/>
      </c>
      <c r="BK278" s="1" t="str">
        <f t="shared" si="85"/>
        <v/>
      </c>
      <c r="BL278" s="1" t="str">
        <f t="shared" si="85"/>
        <v/>
      </c>
      <c r="BM278" s="1" t="str">
        <f t="shared" si="85"/>
        <v/>
      </c>
      <c r="BN278" s="1" t="str">
        <f t="shared" si="85"/>
        <v/>
      </c>
      <c r="BO278" s="1" t="str">
        <f t="shared" si="85"/>
        <v>Tae</v>
      </c>
      <c r="BP278" s="1" t="str">
        <f t="shared" si="85"/>
        <v/>
      </c>
      <c r="BQ278" s="1" t="str">
        <f t="shared" si="85"/>
        <v/>
      </c>
      <c r="BR278" s="1" t="str">
        <f t="shared" si="85"/>
        <v/>
      </c>
      <c r="BS278" s="1" t="str">
        <f t="shared" si="85"/>
        <v/>
      </c>
    </row>
    <row r="279" spans="48:71" x14ac:dyDescent="0.3">
      <c r="AV279" t="s">
        <v>76</v>
      </c>
      <c r="AZ279" s="1" t="str">
        <f t="shared" si="84"/>
        <v/>
      </c>
      <c r="BA279" s="1" t="str">
        <f t="shared" si="84"/>
        <v/>
      </c>
      <c r="BB279" s="1" t="str">
        <f t="shared" si="84"/>
        <v/>
      </c>
      <c r="BC279" s="1" t="str">
        <f t="shared" si="84"/>
        <v/>
      </c>
      <c r="BD279" s="1" t="str">
        <f t="shared" si="84"/>
        <v/>
      </c>
      <c r="BE279" s="1" t="str">
        <f t="shared" si="85"/>
        <v/>
      </c>
      <c r="BF279" s="1" t="str">
        <f t="shared" si="85"/>
        <v/>
      </c>
      <c r="BG279" s="1" t="str">
        <f t="shared" si="85"/>
        <v/>
      </c>
      <c r="BH279" s="1" t="str">
        <f t="shared" si="85"/>
        <v/>
      </c>
      <c r="BI279" s="1" t="str">
        <f t="shared" si="85"/>
        <v/>
      </c>
      <c r="BJ279" s="1" t="str">
        <f t="shared" si="85"/>
        <v/>
      </c>
      <c r="BK279" s="1" t="str">
        <f t="shared" si="85"/>
        <v/>
      </c>
      <c r="BL279" s="1" t="str">
        <f t="shared" si="85"/>
        <v/>
      </c>
      <c r="BM279" s="1" t="str">
        <f t="shared" si="85"/>
        <v/>
      </c>
      <c r="BN279" s="1" t="str">
        <f t="shared" si="85"/>
        <v/>
      </c>
      <c r="BO279" s="1" t="str">
        <f t="shared" si="85"/>
        <v>TAR21</v>
      </c>
      <c r="BP279" s="1" t="str">
        <f t="shared" si="85"/>
        <v/>
      </c>
      <c r="BQ279" s="1" t="str">
        <f t="shared" si="85"/>
        <v/>
      </c>
      <c r="BR279" s="1" t="str">
        <f t="shared" si="85"/>
        <v/>
      </c>
      <c r="BS279" s="1" t="str">
        <f t="shared" si="85"/>
        <v/>
      </c>
    </row>
    <row r="280" spans="48:71" x14ac:dyDescent="0.3">
      <c r="AV280" t="s">
        <v>9279</v>
      </c>
      <c r="AZ280" s="1" t="str">
        <f t="shared" si="84"/>
        <v/>
      </c>
      <c r="BA280" s="1" t="str">
        <f t="shared" si="84"/>
        <v/>
      </c>
      <c r="BB280" s="1" t="str">
        <f t="shared" si="84"/>
        <v/>
      </c>
      <c r="BC280" s="1" t="str">
        <f t="shared" si="84"/>
        <v/>
      </c>
      <c r="BD280" s="1" t="str">
        <f t="shared" si="84"/>
        <v/>
      </c>
      <c r="BE280" s="1" t="str">
        <f t="shared" si="85"/>
        <v/>
      </c>
      <c r="BF280" s="1" t="str">
        <f t="shared" si="85"/>
        <v/>
      </c>
      <c r="BG280" s="1" t="str">
        <f t="shared" si="85"/>
        <v/>
      </c>
      <c r="BH280" s="1" t="str">
        <f t="shared" si="85"/>
        <v/>
      </c>
      <c r="BI280" s="1" t="str">
        <f t="shared" si="85"/>
        <v/>
      </c>
      <c r="BJ280" s="1" t="str">
        <f t="shared" si="85"/>
        <v/>
      </c>
      <c r="BK280" s="1" t="str">
        <f t="shared" si="85"/>
        <v/>
      </c>
      <c r="BL280" s="1" t="str">
        <f t="shared" si="85"/>
        <v/>
      </c>
      <c r="BM280" s="1" t="str">
        <f t="shared" si="85"/>
        <v/>
      </c>
      <c r="BN280" s="1" t="str">
        <f t="shared" si="85"/>
        <v/>
      </c>
      <c r="BO280" s="1" t="str">
        <f t="shared" si="85"/>
        <v>Thompson</v>
      </c>
      <c r="BP280" s="1" t="str">
        <f t="shared" si="85"/>
        <v/>
      </c>
      <c r="BQ280" s="1" t="str">
        <f t="shared" si="85"/>
        <v/>
      </c>
      <c r="BR280" s="1" t="str">
        <f t="shared" si="85"/>
        <v/>
      </c>
      <c r="BS280" s="1" t="str">
        <f t="shared" si="85"/>
        <v/>
      </c>
    </row>
    <row r="281" spans="48:71" x14ac:dyDescent="0.3">
      <c r="AV281" t="s">
        <v>9279</v>
      </c>
      <c r="AZ281" s="1" t="str">
        <f t="shared" si="84"/>
        <v/>
      </c>
      <c r="BA281" s="1" t="str">
        <f t="shared" si="84"/>
        <v/>
      </c>
      <c r="BB281" s="1" t="str">
        <f t="shared" si="84"/>
        <v/>
      </c>
      <c r="BC281" s="1" t="str">
        <f t="shared" si="84"/>
        <v/>
      </c>
      <c r="BD281" s="1" t="str">
        <f t="shared" si="84"/>
        <v/>
      </c>
      <c r="BE281" s="1" t="str">
        <f t="shared" si="85"/>
        <v/>
      </c>
      <c r="BF281" s="1" t="str">
        <f t="shared" si="85"/>
        <v/>
      </c>
      <c r="BG281" s="1" t="str">
        <f t="shared" si="85"/>
        <v/>
      </c>
      <c r="BH281" s="1" t="str">
        <f t="shared" si="85"/>
        <v/>
      </c>
      <c r="BI281" s="1" t="str">
        <f t="shared" si="85"/>
        <v/>
      </c>
      <c r="BJ281" s="1" t="str">
        <f t="shared" si="85"/>
        <v/>
      </c>
      <c r="BK281" s="1" t="str">
        <f t="shared" si="85"/>
        <v/>
      </c>
      <c r="BL281" s="1" t="str">
        <f t="shared" si="85"/>
        <v/>
      </c>
      <c r="BM281" s="1" t="str">
        <f t="shared" si="85"/>
        <v/>
      </c>
      <c r="BN281" s="1" t="str">
        <f t="shared" si="85"/>
        <v/>
      </c>
      <c r="BO281" s="1" t="str">
        <f t="shared" si="85"/>
        <v>ThompsonGZ</v>
      </c>
      <c r="BP281" s="1" t="str">
        <f t="shared" si="85"/>
        <v/>
      </c>
      <c r="BQ281" s="1" t="str">
        <f t="shared" si="85"/>
        <v/>
      </c>
      <c r="BR281" s="1" t="str">
        <f t="shared" si="85"/>
        <v/>
      </c>
      <c r="BS281" s="1" t="str">
        <f t="shared" si="85"/>
        <v/>
      </c>
    </row>
    <row r="282" spans="48:71" x14ac:dyDescent="0.3">
      <c r="AV282" t="s">
        <v>5492</v>
      </c>
      <c r="AZ282" s="1" t="str">
        <f t="shared" si="84"/>
        <v/>
      </c>
      <c r="BA282" s="1" t="str">
        <f t="shared" si="84"/>
        <v/>
      </c>
      <c r="BB282" s="1" t="str">
        <f t="shared" si="84"/>
        <v/>
      </c>
      <c r="BC282" s="1" t="str">
        <f t="shared" si="84"/>
        <v/>
      </c>
      <c r="BD282" s="1" t="str">
        <f t="shared" si="84"/>
        <v/>
      </c>
      <c r="BE282" s="1" t="str">
        <f t="shared" si="85"/>
        <v/>
      </c>
      <c r="BF282" s="1" t="str">
        <f t="shared" si="85"/>
        <v/>
      </c>
      <c r="BG282" s="1" t="str">
        <f t="shared" si="85"/>
        <v/>
      </c>
      <c r="BH282" s="1" t="str">
        <f t="shared" si="85"/>
        <v/>
      </c>
      <c r="BI282" s="1" t="str">
        <f t="shared" si="85"/>
        <v/>
      </c>
      <c r="BJ282" s="1" t="str">
        <f t="shared" si="85"/>
        <v/>
      </c>
      <c r="BK282" s="1" t="str">
        <f t="shared" si="85"/>
        <v/>
      </c>
      <c r="BL282" s="1" t="str">
        <f t="shared" si="85"/>
        <v/>
      </c>
      <c r="BM282" s="1" t="str">
        <f t="shared" si="85"/>
        <v/>
      </c>
      <c r="BN282" s="1" t="str">
        <f t="shared" si="85"/>
        <v/>
      </c>
      <c r="BO282" s="1" t="str">
        <f t="shared" si="85"/>
        <v>ThompsonGZ</v>
      </c>
      <c r="BP282" s="1" t="str">
        <f t="shared" si="85"/>
        <v/>
      </c>
      <c r="BQ282" s="1" t="str">
        <f t="shared" si="85"/>
        <v/>
      </c>
      <c r="BR282" s="1" t="str">
        <f t="shared" si="85"/>
        <v/>
      </c>
      <c r="BS282" s="1" t="str">
        <f t="shared" si="85"/>
        <v/>
      </c>
    </row>
    <row r="283" spans="48:71" x14ac:dyDescent="0.3">
      <c r="AV283" t="s">
        <v>156</v>
      </c>
      <c r="AZ283" s="1" t="str">
        <f t="shared" si="84"/>
        <v/>
      </c>
      <c r="BA283" s="1" t="str">
        <f t="shared" si="84"/>
        <v/>
      </c>
      <c r="BB283" s="1" t="str">
        <f t="shared" si="84"/>
        <v/>
      </c>
      <c r="BC283" s="1" t="str">
        <f t="shared" si="84"/>
        <v/>
      </c>
      <c r="BD283" s="1" t="str">
        <f t="shared" si="84"/>
        <v/>
      </c>
      <c r="BE283" s="1" t="str">
        <f t="shared" si="85"/>
        <v/>
      </c>
      <c r="BF283" s="1" t="str">
        <f t="shared" si="85"/>
        <v/>
      </c>
      <c r="BG283" s="1" t="str">
        <f t="shared" si="85"/>
        <v/>
      </c>
      <c r="BH283" s="1" t="str">
        <f t="shared" si="85"/>
        <v/>
      </c>
      <c r="BI283" s="1" t="str">
        <f t="shared" si="85"/>
        <v/>
      </c>
      <c r="BJ283" s="1" t="str">
        <f t="shared" si="85"/>
        <v/>
      </c>
      <c r="BK283" s="1" t="str">
        <f t="shared" si="85"/>
        <v/>
      </c>
      <c r="BL283" s="1" t="str">
        <f t="shared" si="85"/>
        <v/>
      </c>
      <c r="BM283" s="1" t="str">
        <f t="shared" si="85"/>
        <v/>
      </c>
      <c r="BN283" s="1" t="str">
        <f t="shared" si="85"/>
        <v/>
      </c>
      <c r="BO283" s="1" t="str">
        <f t="shared" si="85"/>
        <v>Thunder</v>
      </c>
      <c r="BP283" s="1" t="str">
        <f t="shared" si="85"/>
        <v/>
      </c>
      <c r="BQ283" s="1" t="str">
        <f t="shared" si="85"/>
        <v/>
      </c>
      <c r="BR283" s="1" t="str">
        <f t="shared" si="85"/>
        <v/>
      </c>
      <c r="BS283" s="1" t="str">
        <f t="shared" si="85"/>
        <v/>
      </c>
    </row>
    <row r="284" spans="48:71" x14ac:dyDescent="0.3">
      <c r="AV284" t="s">
        <v>66</v>
      </c>
      <c r="AZ284" s="1" t="str">
        <f t="shared" si="84"/>
        <v/>
      </c>
      <c r="BA284" s="1" t="str">
        <f t="shared" si="84"/>
        <v/>
      </c>
      <c r="BB284" s="1" t="str">
        <f t="shared" si="84"/>
        <v/>
      </c>
      <c r="BC284" s="1" t="str">
        <f t="shared" si="84"/>
        <v/>
      </c>
      <c r="BD284" s="1" t="str">
        <f t="shared" si="84"/>
        <v/>
      </c>
      <c r="BE284" s="1" t="str">
        <f t="shared" si="85"/>
        <v/>
      </c>
      <c r="BF284" s="1" t="str">
        <f t="shared" si="85"/>
        <v/>
      </c>
      <c r="BG284" s="1" t="str">
        <f t="shared" si="85"/>
        <v/>
      </c>
      <c r="BH284" s="1" t="str">
        <f t="shared" si="85"/>
        <v/>
      </c>
      <c r="BI284" s="1" t="str">
        <f t="shared" si="85"/>
        <v/>
      </c>
      <c r="BJ284" s="1" t="str">
        <f t="shared" si="85"/>
        <v/>
      </c>
      <c r="BK284" s="1" t="str">
        <f t="shared" si="85"/>
        <v/>
      </c>
      <c r="BL284" s="1" t="str">
        <f t="shared" si="85"/>
        <v/>
      </c>
      <c r="BM284" s="1" t="str">
        <f t="shared" si="85"/>
        <v/>
      </c>
      <c r="BN284" s="1" t="str">
        <f t="shared" si="85"/>
        <v/>
      </c>
      <c r="BO284" s="1" t="str">
        <f t="shared" si="85"/>
        <v>TMP</v>
      </c>
      <c r="BP284" s="1" t="str">
        <f t="shared" si="85"/>
        <v/>
      </c>
      <c r="BQ284" s="1" t="str">
        <f t="shared" si="85"/>
        <v/>
      </c>
      <c r="BR284" s="1" t="str">
        <f t="shared" si="85"/>
        <v/>
      </c>
      <c r="BS284" s="1" t="str">
        <f t="shared" si="85"/>
        <v/>
      </c>
    </row>
    <row r="285" spans="48:71" x14ac:dyDescent="0.3">
      <c r="AV285" t="s">
        <v>249</v>
      </c>
      <c r="AZ285" s="1" t="str">
        <f t="shared" si="84"/>
        <v/>
      </c>
      <c r="BA285" s="1" t="str">
        <f t="shared" si="84"/>
        <v/>
      </c>
      <c r="BB285" s="1" t="str">
        <f t="shared" si="84"/>
        <v/>
      </c>
      <c r="BC285" s="1" t="str">
        <f t="shared" si="84"/>
        <v/>
      </c>
      <c r="BD285" s="1" t="str">
        <f t="shared" si="84"/>
        <v/>
      </c>
      <c r="BE285" s="1" t="str">
        <f t="shared" si="85"/>
        <v/>
      </c>
      <c r="BF285" s="1" t="str">
        <f t="shared" si="85"/>
        <v/>
      </c>
      <c r="BG285" s="1" t="str">
        <f t="shared" si="85"/>
        <v/>
      </c>
      <c r="BH285" s="1" t="str">
        <f t="shared" si="85"/>
        <v/>
      </c>
      <c r="BI285" s="1" t="str">
        <f t="shared" si="85"/>
        <v/>
      </c>
      <c r="BJ285" s="1" t="str">
        <f t="shared" si="85"/>
        <v/>
      </c>
      <c r="BK285" s="1" t="str">
        <f t="shared" si="85"/>
        <v/>
      </c>
      <c r="BL285" s="1" t="str">
        <f t="shared" si="85"/>
        <v/>
      </c>
      <c r="BM285" s="1" t="str">
        <f t="shared" si="85"/>
        <v/>
      </c>
      <c r="BN285" s="1" t="str">
        <f t="shared" si="85"/>
        <v/>
      </c>
      <c r="BO285" s="1" t="str">
        <f t="shared" si="85"/>
        <v>Tokarev</v>
      </c>
      <c r="BP285" s="1" t="str">
        <f t="shared" si="85"/>
        <v/>
      </c>
      <c r="BQ285" s="1" t="str">
        <f t="shared" si="85"/>
        <v/>
      </c>
      <c r="BR285" s="1" t="str">
        <f t="shared" si="85"/>
        <v/>
      </c>
      <c r="BS285" s="1" t="str">
        <f t="shared" si="85"/>
        <v/>
      </c>
    </row>
    <row r="286" spans="48:71" x14ac:dyDescent="0.3">
      <c r="AV286" t="s">
        <v>242</v>
      </c>
      <c r="AZ286" s="1" t="str">
        <f t="shared" si="84"/>
        <v/>
      </c>
      <c r="BA286" s="1" t="str">
        <f t="shared" si="84"/>
        <v/>
      </c>
      <c r="BB286" s="1" t="str">
        <f t="shared" si="84"/>
        <v/>
      </c>
      <c r="BC286" s="1" t="str">
        <f t="shared" si="84"/>
        <v/>
      </c>
      <c r="BD286" s="1" t="str">
        <f t="shared" si="84"/>
        <v/>
      </c>
      <c r="BE286" s="1" t="str">
        <f t="shared" si="85"/>
        <v/>
      </c>
      <c r="BF286" s="1" t="str">
        <f t="shared" si="85"/>
        <v/>
      </c>
      <c r="BG286" s="1" t="str">
        <f t="shared" si="85"/>
        <v/>
      </c>
      <c r="BH286" s="1" t="str">
        <f t="shared" si="85"/>
        <v/>
      </c>
      <c r="BI286" s="1" t="str">
        <f t="shared" si="85"/>
        <v/>
      </c>
      <c r="BJ286" s="1" t="str">
        <f t="shared" si="85"/>
        <v/>
      </c>
      <c r="BK286" s="1" t="str">
        <f t="shared" si="85"/>
        <v/>
      </c>
      <c r="BL286" s="1" t="str">
        <f t="shared" si="85"/>
        <v/>
      </c>
      <c r="BM286" s="1" t="str">
        <f t="shared" si="85"/>
        <v/>
      </c>
      <c r="BN286" s="1" t="str">
        <f t="shared" si="85"/>
        <v/>
      </c>
      <c r="BO286" s="1" t="str">
        <f t="shared" si="85"/>
        <v>Triela</v>
      </c>
      <c r="BP286" s="1" t="str">
        <f t="shared" si="85"/>
        <v/>
      </c>
      <c r="BQ286" s="1" t="str">
        <f t="shared" si="85"/>
        <v/>
      </c>
      <c r="BR286" s="1" t="str">
        <f t="shared" si="85"/>
        <v/>
      </c>
      <c r="BS286" s="1" t="str">
        <f t="shared" si="85"/>
        <v/>
      </c>
    </row>
    <row r="287" spans="48:71" x14ac:dyDescent="0.3">
      <c r="AV287" t="s">
        <v>829</v>
      </c>
      <c r="AZ287" s="1" t="str">
        <f t="shared" si="84"/>
        <v/>
      </c>
      <c r="BA287" s="1" t="str">
        <f t="shared" si="84"/>
        <v/>
      </c>
      <c r="BB287" s="1" t="str">
        <f t="shared" si="84"/>
        <v/>
      </c>
      <c r="BC287" s="1" t="str">
        <f t="shared" si="84"/>
        <v/>
      </c>
      <c r="BD287" s="1" t="str">
        <f t="shared" si="84"/>
        <v/>
      </c>
      <c r="BE287" s="1" t="str">
        <f t="shared" si="85"/>
        <v/>
      </c>
      <c r="BF287" s="1" t="str">
        <f t="shared" si="85"/>
        <v/>
      </c>
      <c r="BG287" s="1" t="str">
        <f t="shared" si="85"/>
        <v/>
      </c>
      <c r="BH287" s="1" t="str">
        <f t="shared" si="85"/>
        <v/>
      </c>
      <c r="BI287" s="1" t="str">
        <f t="shared" si="85"/>
        <v/>
      </c>
      <c r="BJ287" s="1" t="str">
        <f t="shared" si="85"/>
        <v/>
      </c>
      <c r="BK287" s="1" t="str">
        <f t="shared" si="85"/>
        <v/>
      </c>
      <c r="BL287" s="1" t="str">
        <f t="shared" si="85"/>
        <v/>
      </c>
      <c r="BM287" s="1" t="str">
        <f t="shared" si="85"/>
        <v/>
      </c>
      <c r="BN287" s="1" t="str">
        <f t="shared" si="85"/>
        <v/>
      </c>
      <c r="BO287" s="1" t="str">
        <f t="shared" si="85"/>
        <v>Type 4</v>
      </c>
      <c r="BP287" s="1" t="str">
        <f t="shared" si="85"/>
        <v/>
      </c>
      <c r="BQ287" s="1" t="str">
        <f t="shared" si="85"/>
        <v/>
      </c>
      <c r="BR287" s="1" t="str">
        <f t="shared" si="85"/>
        <v/>
      </c>
      <c r="BS287" s="1" t="str">
        <f t="shared" si="85"/>
        <v/>
      </c>
    </row>
    <row r="288" spans="48:71" x14ac:dyDescent="0.3">
      <c r="AV288" t="s">
        <v>1603</v>
      </c>
      <c r="AZ288" s="1" t="str">
        <f t="shared" si="84"/>
        <v/>
      </c>
      <c r="BA288" s="1" t="str">
        <f t="shared" si="84"/>
        <v/>
      </c>
      <c r="BB288" s="1" t="str">
        <f t="shared" si="84"/>
        <v/>
      </c>
      <c r="BC288" s="1" t="str">
        <f t="shared" si="84"/>
        <v/>
      </c>
      <c r="BD288" s="1" t="str">
        <f t="shared" si="84"/>
        <v/>
      </c>
      <c r="BE288" s="1" t="str">
        <f t="shared" si="85"/>
        <v/>
      </c>
      <c r="BF288" s="1" t="str">
        <f t="shared" si="85"/>
        <v/>
      </c>
      <c r="BG288" s="1" t="str">
        <f t="shared" si="85"/>
        <v/>
      </c>
      <c r="BH288" s="1" t="str">
        <f t="shared" si="85"/>
        <v/>
      </c>
      <c r="BI288" s="1" t="str">
        <f t="shared" si="85"/>
        <v/>
      </c>
      <c r="BJ288" s="1" t="str">
        <f t="shared" si="85"/>
        <v/>
      </c>
      <c r="BK288" s="1" t="str">
        <f t="shared" si="85"/>
        <v/>
      </c>
      <c r="BL288" s="1" t="str">
        <f t="shared" si="85"/>
        <v/>
      </c>
      <c r="BM288" s="1" t="str">
        <f t="shared" si="85"/>
        <v/>
      </c>
      <c r="BN288" s="1" t="str">
        <f t="shared" si="85"/>
        <v/>
      </c>
      <c r="BO288" s="1" t="str">
        <f t="shared" si="85"/>
        <v>Type 56 RMod</v>
      </c>
      <c r="BP288" s="1" t="str">
        <f t="shared" si="85"/>
        <v/>
      </c>
      <c r="BQ288" s="1" t="str">
        <f t="shared" si="85"/>
        <v/>
      </c>
      <c r="BR288" s="1" t="str">
        <f t="shared" si="85"/>
        <v/>
      </c>
      <c r="BS288" s="1" t="str">
        <f t="shared" si="85"/>
        <v/>
      </c>
    </row>
    <row r="289" spans="48:71" x14ac:dyDescent="0.3">
      <c r="AV289" t="s">
        <v>238</v>
      </c>
      <c r="AZ289" s="1" t="str">
        <f t="shared" si="84"/>
        <v/>
      </c>
      <c r="BA289" s="1" t="str">
        <f t="shared" si="84"/>
        <v/>
      </c>
      <c r="BB289" s="1" t="str">
        <f t="shared" si="84"/>
        <v/>
      </c>
      <c r="BC289" s="1" t="str">
        <f t="shared" si="84"/>
        <v/>
      </c>
      <c r="BD289" s="1" t="str">
        <f t="shared" si="84"/>
        <v/>
      </c>
      <c r="BE289" s="1" t="str">
        <f t="shared" si="85"/>
        <v/>
      </c>
      <c r="BF289" s="1" t="str">
        <f t="shared" si="85"/>
        <v/>
      </c>
      <c r="BG289" s="1" t="str">
        <f t="shared" si="85"/>
        <v/>
      </c>
      <c r="BH289" s="1" t="str">
        <f t="shared" si="85"/>
        <v/>
      </c>
      <c r="BI289" s="1" t="str">
        <f t="shared" si="85"/>
        <v/>
      </c>
      <c r="BJ289" s="1" t="str">
        <f t="shared" si="85"/>
        <v/>
      </c>
      <c r="BK289" s="1" t="str">
        <f t="shared" si="85"/>
        <v/>
      </c>
      <c r="BL289" s="1" t="str">
        <f t="shared" si="85"/>
        <v/>
      </c>
      <c r="BM289" s="1" t="str">
        <f t="shared" si="85"/>
        <v/>
      </c>
      <c r="BN289" s="1" t="str">
        <f t="shared" si="85"/>
        <v/>
      </c>
      <c r="BO289" s="1" t="str">
        <f t="shared" si="85"/>
        <v>Type 81 R</v>
      </c>
      <c r="BP289" s="1" t="str">
        <f t="shared" si="85"/>
        <v/>
      </c>
      <c r="BQ289" s="1" t="str">
        <f t="shared" si="85"/>
        <v/>
      </c>
      <c r="BR289" s="1" t="str">
        <f t="shared" si="85"/>
        <v/>
      </c>
      <c r="BS289" s="1" t="str">
        <f t="shared" si="85"/>
        <v/>
      </c>
    </row>
    <row r="290" spans="48:71" x14ac:dyDescent="0.3">
      <c r="AV290" t="s">
        <v>6758</v>
      </c>
      <c r="AZ290" s="1" t="str">
        <f t="shared" si="84"/>
        <v/>
      </c>
      <c r="BA290" s="1" t="str">
        <f t="shared" si="84"/>
        <v/>
      </c>
      <c r="BB290" s="1" t="str">
        <f t="shared" si="84"/>
        <v/>
      </c>
      <c r="BC290" s="1" t="str">
        <f t="shared" si="84"/>
        <v/>
      </c>
      <c r="BD290" s="1" t="str">
        <f t="shared" si="84"/>
        <v/>
      </c>
      <c r="BE290" s="1" t="str">
        <f t="shared" si="85"/>
        <v/>
      </c>
      <c r="BF290" s="1" t="str">
        <f t="shared" si="85"/>
        <v/>
      </c>
      <c r="BG290" s="1" t="str">
        <f t="shared" si="85"/>
        <v/>
      </c>
      <c r="BH290" s="1" t="str">
        <f t="shared" si="85"/>
        <v/>
      </c>
      <c r="BI290" s="1" t="str">
        <f t="shared" si="85"/>
        <v/>
      </c>
      <c r="BJ290" s="1" t="str">
        <f t="shared" si="85"/>
        <v/>
      </c>
      <c r="BK290" s="1" t="str">
        <f t="shared" si="85"/>
        <v/>
      </c>
      <c r="BL290" s="1" t="str">
        <f t="shared" si="85"/>
        <v/>
      </c>
      <c r="BM290" s="1" t="str">
        <f t="shared" si="85"/>
        <v/>
      </c>
      <c r="BN290" s="1" t="str">
        <f t="shared" si="85"/>
        <v/>
      </c>
      <c r="BO290" s="1" t="str">
        <f t="shared" si="85"/>
        <v>Type03</v>
      </c>
      <c r="BP290" s="1" t="str">
        <f t="shared" si="85"/>
        <v/>
      </c>
      <c r="BQ290" s="1" t="str">
        <f t="shared" si="85"/>
        <v/>
      </c>
      <c r="BR290" s="1" t="str">
        <f t="shared" si="85"/>
        <v/>
      </c>
      <c r="BS290" s="1" t="str">
        <f t="shared" si="85"/>
        <v/>
      </c>
    </row>
    <row r="291" spans="48:71" x14ac:dyDescent="0.3">
      <c r="AV291" t="s">
        <v>8349</v>
      </c>
      <c r="AZ291" s="1" t="str">
        <f t="shared" si="84"/>
        <v/>
      </c>
      <c r="BA291" s="1" t="str">
        <f t="shared" si="84"/>
        <v/>
      </c>
      <c r="BB291" s="1" t="str">
        <f t="shared" si="84"/>
        <v/>
      </c>
      <c r="BC291" s="1" t="str">
        <f t="shared" si="84"/>
        <v/>
      </c>
      <c r="BD291" s="1" t="str">
        <f t="shared" si="84"/>
        <v/>
      </c>
      <c r="BE291" s="1" t="str">
        <f t="shared" si="85"/>
        <v/>
      </c>
      <c r="BF291" s="1" t="str">
        <f t="shared" si="85"/>
        <v/>
      </c>
      <c r="BG291" s="1" t="str">
        <f t="shared" si="85"/>
        <v/>
      </c>
      <c r="BH291" s="1" t="str">
        <f t="shared" si="85"/>
        <v/>
      </c>
      <c r="BI291" s="1" t="str">
        <f t="shared" si="85"/>
        <v/>
      </c>
      <c r="BJ291" s="1" t="str">
        <f t="shared" si="85"/>
        <v/>
      </c>
      <c r="BK291" s="1" t="str">
        <f t="shared" si="85"/>
        <v/>
      </c>
      <c r="BL291" s="1" t="str">
        <f t="shared" si="85"/>
        <v/>
      </c>
      <c r="BM291" s="1" t="str">
        <f t="shared" si="85"/>
        <v/>
      </c>
      <c r="BN291" s="1" t="str">
        <f t="shared" si="85"/>
        <v/>
      </c>
      <c r="BO291" s="1" t="str">
        <f t="shared" si="85"/>
        <v>Type56-1mod</v>
      </c>
      <c r="BP291" s="1" t="str">
        <f t="shared" si="85"/>
        <v/>
      </c>
      <c r="BQ291" s="1" t="str">
        <f t="shared" si="85"/>
        <v/>
      </c>
      <c r="BR291" s="1" t="str">
        <f t="shared" si="85"/>
        <v/>
      </c>
      <c r="BS291" s="1" t="str">
        <f t="shared" si="85"/>
        <v/>
      </c>
    </row>
    <row r="292" spans="48:71" x14ac:dyDescent="0.3">
      <c r="AV292" t="s">
        <v>136</v>
      </c>
      <c r="AZ292" s="1" t="str">
        <f t="shared" ref="AZ292:BD307" si="86">IF(INDEX($C291:$AF291,MATCH(AZ$2,$C$1:$AF$1,0))="","",INDEX($C291:$AF291,MATCH(AZ$2,$C$1:$AF$1,0)))</f>
        <v/>
      </c>
      <c r="BA292" s="1" t="str">
        <f t="shared" si="86"/>
        <v/>
      </c>
      <c r="BB292" s="1" t="str">
        <f t="shared" si="86"/>
        <v/>
      </c>
      <c r="BC292" s="1" t="str">
        <f t="shared" si="86"/>
        <v/>
      </c>
      <c r="BD292" s="1" t="str">
        <f t="shared" si="86"/>
        <v/>
      </c>
      <c r="BE292" s="1" t="str">
        <f t="shared" ref="BE292:BS307" si="87">IF(INDEX($AH291:$AV291,MATCH(BE$2,$AH$1:$AV$1,0))="","",INDEX($AH291:$AV291,MATCH(BE$2,$AH$1:$AV$1,0)))</f>
        <v/>
      </c>
      <c r="BF292" s="1" t="str">
        <f t="shared" si="87"/>
        <v/>
      </c>
      <c r="BG292" s="1" t="str">
        <f t="shared" si="87"/>
        <v/>
      </c>
      <c r="BH292" s="1" t="str">
        <f t="shared" si="87"/>
        <v/>
      </c>
      <c r="BI292" s="1" t="str">
        <f t="shared" si="87"/>
        <v/>
      </c>
      <c r="BJ292" s="1" t="str">
        <f t="shared" si="87"/>
        <v/>
      </c>
      <c r="BK292" s="1" t="str">
        <f t="shared" si="87"/>
        <v/>
      </c>
      <c r="BL292" s="1" t="str">
        <f t="shared" si="87"/>
        <v/>
      </c>
      <c r="BM292" s="1" t="str">
        <f t="shared" si="87"/>
        <v/>
      </c>
      <c r="BN292" s="1" t="str">
        <f t="shared" si="87"/>
        <v/>
      </c>
      <c r="BO292" s="1" t="str">
        <f t="shared" si="87"/>
        <v>Type56-1modGZ</v>
      </c>
      <c r="BP292" s="1" t="str">
        <f t="shared" si="87"/>
        <v/>
      </c>
      <c r="BQ292" s="1" t="str">
        <f t="shared" si="87"/>
        <v/>
      </c>
      <c r="BR292" s="1" t="str">
        <f t="shared" si="87"/>
        <v/>
      </c>
      <c r="BS292" s="1" t="str">
        <f t="shared" si="87"/>
        <v/>
      </c>
    </row>
    <row r="293" spans="48:71" x14ac:dyDescent="0.3">
      <c r="AV293" t="s">
        <v>118</v>
      </c>
      <c r="AZ293" s="1" t="str">
        <f t="shared" si="86"/>
        <v/>
      </c>
      <c r="BA293" s="1" t="str">
        <f t="shared" si="86"/>
        <v/>
      </c>
      <c r="BB293" s="1" t="str">
        <f t="shared" si="86"/>
        <v/>
      </c>
      <c r="BC293" s="1" t="str">
        <f t="shared" si="86"/>
        <v/>
      </c>
      <c r="BD293" s="1" t="str">
        <f t="shared" si="86"/>
        <v/>
      </c>
      <c r="BE293" s="1" t="str">
        <f t="shared" si="87"/>
        <v/>
      </c>
      <c r="BF293" s="1" t="str">
        <f t="shared" si="87"/>
        <v/>
      </c>
      <c r="BG293" s="1" t="str">
        <f t="shared" si="87"/>
        <v/>
      </c>
      <c r="BH293" s="1" t="str">
        <f t="shared" si="87"/>
        <v/>
      </c>
      <c r="BI293" s="1" t="str">
        <f t="shared" si="87"/>
        <v/>
      </c>
      <c r="BJ293" s="1" t="str">
        <f t="shared" si="87"/>
        <v/>
      </c>
      <c r="BK293" s="1" t="str">
        <f t="shared" si="87"/>
        <v/>
      </c>
      <c r="BL293" s="1" t="str">
        <f t="shared" si="87"/>
        <v/>
      </c>
      <c r="BM293" s="1" t="str">
        <f t="shared" si="87"/>
        <v/>
      </c>
      <c r="BN293" s="1" t="str">
        <f t="shared" si="87"/>
        <v/>
      </c>
      <c r="BO293" s="1" t="str">
        <f t="shared" si="87"/>
        <v>Type63</v>
      </c>
      <c r="BP293" s="1" t="str">
        <f t="shared" si="87"/>
        <v/>
      </c>
      <c r="BQ293" s="1" t="str">
        <f t="shared" si="87"/>
        <v/>
      </c>
      <c r="BR293" s="1" t="str">
        <f t="shared" si="87"/>
        <v/>
      </c>
      <c r="BS293" s="1" t="str">
        <f t="shared" si="87"/>
        <v/>
      </c>
    </row>
    <row r="294" spans="48:71" x14ac:dyDescent="0.3">
      <c r="AV294" t="s">
        <v>740</v>
      </c>
      <c r="AZ294" s="1" t="str">
        <f t="shared" si="86"/>
        <v/>
      </c>
      <c r="BA294" s="1" t="str">
        <f t="shared" si="86"/>
        <v/>
      </c>
      <c r="BB294" s="1" t="str">
        <f t="shared" si="86"/>
        <v/>
      </c>
      <c r="BC294" s="1" t="str">
        <f t="shared" si="86"/>
        <v/>
      </c>
      <c r="BD294" s="1" t="str">
        <f t="shared" si="86"/>
        <v/>
      </c>
      <c r="BE294" s="1" t="str">
        <f t="shared" si="87"/>
        <v/>
      </c>
      <c r="BF294" s="1" t="str">
        <f t="shared" si="87"/>
        <v/>
      </c>
      <c r="BG294" s="1" t="str">
        <f t="shared" si="87"/>
        <v/>
      </c>
      <c r="BH294" s="1" t="str">
        <f t="shared" si="87"/>
        <v/>
      </c>
      <c r="BI294" s="1" t="str">
        <f t="shared" si="87"/>
        <v/>
      </c>
      <c r="BJ294" s="1" t="str">
        <f t="shared" si="87"/>
        <v/>
      </c>
      <c r="BK294" s="1" t="str">
        <f t="shared" si="87"/>
        <v/>
      </c>
      <c r="BL294" s="1" t="str">
        <f t="shared" si="87"/>
        <v/>
      </c>
      <c r="BM294" s="1" t="str">
        <f t="shared" si="87"/>
        <v/>
      </c>
      <c r="BN294" s="1" t="str">
        <f t="shared" si="87"/>
        <v/>
      </c>
      <c r="BO294" s="1" t="str">
        <f t="shared" si="87"/>
        <v>Type64</v>
      </c>
      <c r="BP294" s="1" t="str">
        <f t="shared" si="87"/>
        <v/>
      </c>
      <c r="BQ294" s="1" t="str">
        <f t="shared" si="87"/>
        <v/>
      </c>
      <c r="BR294" s="1" t="str">
        <f t="shared" si="87"/>
        <v/>
      </c>
      <c r="BS294" s="1" t="str">
        <f t="shared" si="87"/>
        <v/>
      </c>
    </row>
    <row r="295" spans="48:71" x14ac:dyDescent="0.3">
      <c r="AV295" t="s">
        <v>8120</v>
      </c>
      <c r="AZ295" s="1" t="str">
        <f t="shared" si="86"/>
        <v/>
      </c>
      <c r="BA295" s="1" t="str">
        <f t="shared" si="86"/>
        <v/>
      </c>
      <c r="BB295" s="1" t="str">
        <f t="shared" si="86"/>
        <v/>
      </c>
      <c r="BC295" s="1" t="str">
        <f t="shared" si="86"/>
        <v/>
      </c>
      <c r="BD295" s="1" t="str">
        <f t="shared" si="86"/>
        <v/>
      </c>
      <c r="BE295" s="1" t="str">
        <f t="shared" si="87"/>
        <v/>
      </c>
      <c r="BF295" s="1" t="str">
        <f t="shared" si="87"/>
        <v/>
      </c>
      <c r="BG295" s="1" t="str">
        <f t="shared" si="87"/>
        <v/>
      </c>
      <c r="BH295" s="1" t="str">
        <f t="shared" si="87"/>
        <v/>
      </c>
      <c r="BI295" s="1" t="str">
        <f t="shared" si="87"/>
        <v/>
      </c>
      <c r="BJ295" s="1" t="str">
        <f t="shared" si="87"/>
        <v/>
      </c>
      <c r="BK295" s="1" t="str">
        <f t="shared" si="87"/>
        <v/>
      </c>
      <c r="BL295" s="1" t="str">
        <f t="shared" si="87"/>
        <v/>
      </c>
      <c r="BM295" s="1" t="str">
        <f t="shared" si="87"/>
        <v/>
      </c>
      <c r="BN295" s="1" t="str">
        <f t="shared" si="87"/>
        <v/>
      </c>
      <c r="BO295" s="1" t="str">
        <f t="shared" si="87"/>
        <v>Type64Mod</v>
      </c>
      <c r="BP295" s="1" t="str">
        <f t="shared" si="87"/>
        <v/>
      </c>
      <c r="BQ295" s="1" t="str">
        <f t="shared" si="87"/>
        <v/>
      </c>
      <c r="BR295" s="1" t="str">
        <f t="shared" si="87"/>
        <v/>
      </c>
      <c r="BS295" s="1" t="str">
        <f t="shared" si="87"/>
        <v/>
      </c>
    </row>
    <row r="296" spans="48:71" x14ac:dyDescent="0.3">
      <c r="AV296" t="s">
        <v>8741</v>
      </c>
      <c r="AZ296" s="1" t="str">
        <f t="shared" si="86"/>
        <v/>
      </c>
      <c r="BA296" s="1" t="str">
        <f t="shared" si="86"/>
        <v/>
      </c>
      <c r="BB296" s="1" t="str">
        <f t="shared" si="86"/>
        <v/>
      </c>
      <c r="BC296" s="1" t="str">
        <f t="shared" si="86"/>
        <v/>
      </c>
      <c r="BD296" s="1" t="str">
        <f t="shared" si="86"/>
        <v/>
      </c>
      <c r="BE296" s="1" t="str">
        <f t="shared" si="87"/>
        <v/>
      </c>
      <c r="BF296" s="1" t="str">
        <f t="shared" si="87"/>
        <v/>
      </c>
      <c r="BG296" s="1" t="str">
        <f t="shared" si="87"/>
        <v/>
      </c>
      <c r="BH296" s="1" t="str">
        <f t="shared" si="87"/>
        <v/>
      </c>
      <c r="BI296" s="1" t="str">
        <f t="shared" si="87"/>
        <v/>
      </c>
      <c r="BJ296" s="1" t="str">
        <f t="shared" si="87"/>
        <v/>
      </c>
      <c r="BK296" s="1" t="str">
        <f t="shared" si="87"/>
        <v/>
      </c>
      <c r="BL296" s="1" t="str">
        <f t="shared" si="87"/>
        <v/>
      </c>
      <c r="BM296" s="1" t="str">
        <f t="shared" si="87"/>
        <v/>
      </c>
      <c r="BN296" s="1" t="str">
        <f t="shared" si="87"/>
        <v/>
      </c>
      <c r="BO296" s="1" t="str">
        <f t="shared" si="87"/>
        <v>Type64ModGZ</v>
      </c>
      <c r="BP296" s="1" t="str">
        <f t="shared" si="87"/>
        <v/>
      </c>
      <c r="BQ296" s="1" t="str">
        <f t="shared" si="87"/>
        <v/>
      </c>
      <c r="BR296" s="1" t="str">
        <f t="shared" si="87"/>
        <v/>
      </c>
      <c r="BS296" s="1" t="str">
        <f t="shared" si="87"/>
        <v/>
      </c>
    </row>
    <row r="297" spans="48:71" x14ac:dyDescent="0.3">
      <c r="AV297" t="s">
        <v>8742</v>
      </c>
      <c r="AZ297" s="1" t="str">
        <f t="shared" si="86"/>
        <v/>
      </c>
      <c r="BA297" s="1" t="str">
        <f t="shared" si="86"/>
        <v/>
      </c>
      <c r="BB297" s="1" t="str">
        <f t="shared" si="86"/>
        <v/>
      </c>
      <c r="BC297" s="1" t="str">
        <f t="shared" si="86"/>
        <v/>
      </c>
      <c r="BD297" s="1" t="str">
        <f t="shared" si="86"/>
        <v/>
      </c>
      <c r="BE297" s="1" t="str">
        <f t="shared" si="87"/>
        <v/>
      </c>
      <c r="BF297" s="1" t="str">
        <f t="shared" si="87"/>
        <v/>
      </c>
      <c r="BG297" s="1" t="str">
        <f t="shared" si="87"/>
        <v/>
      </c>
      <c r="BH297" s="1" t="str">
        <f t="shared" si="87"/>
        <v/>
      </c>
      <c r="BI297" s="1" t="str">
        <f t="shared" si="87"/>
        <v/>
      </c>
      <c r="BJ297" s="1" t="str">
        <f t="shared" si="87"/>
        <v/>
      </c>
      <c r="BK297" s="1" t="str">
        <f t="shared" si="87"/>
        <v/>
      </c>
      <c r="BL297" s="1" t="str">
        <f t="shared" si="87"/>
        <v/>
      </c>
      <c r="BM297" s="1" t="str">
        <f t="shared" si="87"/>
        <v/>
      </c>
      <c r="BN297" s="1" t="str">
        <f t="shared" si="87"/>
        <v/>
      </c>
      <c r="BO297" s="1" t="str">
        <f t="shared" si="87"/>
        <v>Type79</v>
      </c>
      <c r="BP297" s="1" t="str">
        <f t="shared" si="87"/>
        <v/>
      </c>
      <c r="BQ297" s="1" t="str">
        <f t="shared" si="87"/>
        <v/>
      </c>
      <c r="BR297" s="1" t="str">
        <f t="shared" si="87"/>
        <v/>
      </c>
      <c r="BS297" s="1" t="str">
        <f t="shared" si="87"/>
        <v/>
      </c>
    </row>
    <row r="298" spans="48:71" x14ac:dyDescent="0.3">
      <c r="AV298" t="s">
        <v>833</v>
      </c>
      <c r="AZ298" s="1" t="str">
        <f t="shared" si="86"/>
        <v/>
      </c>
      <c r="BA298" s="1" t="str">
        <f t="shared" si="86"/>
        <v/>
      </c>
      <c r="BB298" s="1" t="str">
        <f t="shared" si="86"/>
        <v/>
      </c>
      <c r="BC298" s="1" t="str">
        <f t="shared" si="86"/>
        <v/>
      </c>
      <c r="BD298" s="1" t="str">
        <f t="shared" si="86"/>
        <v/>
      </c>
      <c r="BE298" s="1" t="str">
        <f t="shared" si="87"/>
        <v/>
      </c>
      <c r="BF298" s="1" t="str">
        <f t="shared" si="87"/>
        <v/>
      </c>
      <c r="BG298" s="1" t="str">
        <f t="shared" si="87"/>
        <v/>
      </c>
      <c r="BH298" s="1" t="str">
        <f t="shared" si="87"/>
        <v/>
      </c>
      <c r="BI298" s="1" t="str">
        <f t="shared" si="87"/>
        <v/>
      </c>
      <c r="BJ298" s="1" t="str">
        <f t="shared" si="87"/>
        <v/>
      </c>
      <c r="BK298" s="1" t="str">
        <f t="shared" si="87"/>
        <v/>
      </c>
      <c r="BL298" s="1" t="str">
        <f t="shared" si="87"/>
        <v/>
      </c>
      <c r="BM298" s="1" t="str">
        <f t="shared" si="87"/>
        <v/>
      </c>
      <c r="BN298" s="1" t="str">
        <f t="shared" si="87"/>
        <v/>
      </c>
      <c r="BO298" s="1" t="str">
        <f t="shared" si="87"/>
        <v>Type79Mod</v>
      </c>
      <c r="BP298" s="1" t="str">
        <f t="shared" si="87"/>
        <v/>
      </c>
      <c r="BQ298" s="1" t="str">
        <f t="shared" si="87"/>
        <v/>
      </c>
      <c r="BR298" s="1" t="str">
        <f t="shared" si="87"/>
        <v/>
      </c>
      <c r="BS298" s="1" t="str">
        <f t="shared" si="87"/>
        <v/>
      </c>
    </row>
    <row r="299" spans="48:71" x14ac:dyDescent="0.3">
      <c r="AV299" t="s">
        <v>119</v>
      </c>
      <c r="AZ299" s="1" t="str">
        <f t="shared" si="86"/>
        <v/>
      </c>
      <c r="BA299" s="1" t="str">
        <f t="shared" si="86"/>
        <v/>
      </c>
      <c r="BB299" s="1" t="str">
        <f t="shared" si="86"/>
        <v/>
      </c>
      <c r="BC299" s="1" t="str">
        <f t="shared" si="86"/>
        <v/>
      </c>
      <c r="BD299" s="1" t="str">
        <f t="shared" si="86"/>
        <v/>
      </c>
      <c r="BE299" s="1" t="str">
        <f t="shared" si="87"/>
        <v/>
      </c>
      <c r="BF299" s="1" t="str">
        <f t="shared" si="87"/>
        <v/>
      </c>
      <c r="BG299" s="1" t="str">
        <f t="shared" si="87"/>
        <v/>
      </c>
      <c r="BH299" s="1" t="str">
        <f t="shared" si="87"/>
        <v/>
      </c>
      <c r="BI299" s="1" t="str">
        <f t="shared" si="87"/>
        <v/>
      </c>
      <c r="BJ299" s="1" t="str">
        <f t="shared" si="87"/>
        <v/>
      </c>
      <c r="BK299" s="1" t="str">
        <f t="shared" si="87"/>
        <v/>
      </c>
      <c r="BL299" s="1" t="str">
        <f t="shared" si="87"/>
        <v/>
      </c>
      <c r="BM299" s="1" t="str">
        <f t="shared" si="87"/>
        <v/>
      </c>
      <c r="BN299" s="1" t="str">
        <f t="shared" si="87"/>
        <v/>
      </c>
      <c r="BO299" s="1" t="str">
        <f t="shared" si="87"/>
        <v>Type80Mod</v>
      </c>
      <c r="BP299" s="1" t="str">
        <f t="shared" si="87"/>
        <v/>
      </c>
      <c r="BQ299" s="1" t="str">
        <f t="shared" si="87"/>
        <v/>
      </c>
      <c r="BR299" s="1" t="str">
        <f t="shared" si="87"/>
        <v/>
      </c>
      <c r="BS299" s="1" t="str">
        <f t="shared" si="87"/>
        <v/>
      </c>
    </row>
    <row r="300" spans="48:71" x14ac:dyDescent="0.3">
      <c r="AV300" t="s">
        <v>838</v>
      </c>
      <c r="AZ300" s="1" t="str">
        <f t="shared" si="86"/>
        <v/>
      </c>
      <c r="BA300" s="1" t="str">
        <f t="shared" si="86"/>
        <v/>
      </c>
      <c r="BB300" s="1" t="str">
        <f t="shared" si="86"/>
        <v/>
      </c>
      <c r="BC300" s="1" t="str">
        <f t="shared" si="86"/>
        <v/>
      </c>
      <c r="BD300" s="1" t="str">
        <f t="shared" si="86"/>
        <v/>
      </c>
      <c r="BE300" s="1" t="str">
        <f t="shared" si="87"/>
        <v/>
      </c>
      <c r="BF300" s="1" t="str">
        <f t="shared" si="87"/>
        <v/>
      </c>
      <c r="BG300" s="1" t="str">
        <f t="shared" si="87"/>
        <v/>
      </c>
      <c r="BH300" s="1" t="str">
        <f t="shared" si="87"/>
        <v/>
      </c>
      <c r="BI300" s="1" t="str">
        <f t="shared" si="87"/>
        <v/>
      </c>
      <c r="BJ300" s="1" t="str">
        <f t="shared" si="87"/>
        <v/>
      </c>
      <c r="BK300" s="1" t="str">
        <f t="shared" si="87"/>
        <v/>
      </c>
      <c r="BL300" s="1" t="str">
        <f t="shared" si="87"/>
        <v/>
      </c>
      <c r="BM300" s="1" t="str">
        <f t="shared" si="87"/>
        <v/>
      </c>
      <c r="BN300" s="1" t="str">
        <f t="shared" si="87"/>
        <v/>
      </c>
      <c r="BO300" s="1" t="str">
        <f t="shared" si="87"/>
        <v>Type88</v>
      </c>
      <c r="BP300" s="1" t="str">
        <f t="shared" si="87"/>
        <v/>
      </c>
      <c r="BQ300" s="1" t="str">
        <f t="shared" si="87"/>
        <v/>
      </c>
      <c r="BR300" s="1" t="str">
        <f t="shared" si="87"/>
        <v/>
      </c>
      <c r="BS300" s="1" t="str">
        <f t="shared" si="87"/>
        <v/>
      </c>
    </row>
    <row r="301" spans="48:71" x14ac:dyDescent="0.3">
      <c r="AV301" t="s">
        <v>8301</v>
      </c>
      <c r="AZ301" s="1" t="str">
        <f t="shared" si="86"/>
        <v/>
      </c>
      <c r="BA301" s="1" t="str">
        <f t="shared" si="86"/>
        <v/>
      </c>
      <c r="BB301" s="1" t="str">
        <f t="shared" si="86"/>
        <v/>
      </c>
      <c r="BC301" s="1" t="str">
        <f t="shared" si="86"/>
        <v/>
      </c>
      <c r="BD301" s="1" t="str">
        <f t="shared" si="86"/>
        <v/>
      </c>
      <c r="BE301" s="1" t="str">
        <f t="shared" si="87"/>
        <v/>
      </c>
      <c r="BF301" s="1" t="str">
        <f t="shared" si="87"/>
        <v/>
      </c>
      <c r="BG301" s="1" t="str">
        <f t="shared" si="87"/>
        <v/>
      </c>
      <c r="BH301" s="1" t="str">
        <f t="shared" si="87"/>
        <v/>
      </c>
      <c r="BI301" s="1" t="str">
        <f t="shared" si="87"/>
        <v/>
      </c>
      <c r="BJ301" s="1" t="str">
        <f t="shared" si="87"/>
        <v/>
      </c>
      <c r="BK301" s="1" t="str">
        <f t="shared" si="87"/>
        <v/>
      </c>
      <c r="BL301" s="1" t="str">
        <f t="shared" si="87"/>
        <v/>
      </c>
      <c r="BM301" s="1" t="str">
        <f t="shared" si="87"/>
        <v/>
      </c>
      <c r="BN301" s="1" t="str">
        <f t="shared" si="87"/>
        <v/>
      </c>
      <c r="BO301" s="1" t="str">
        <f t="shared" si="87"/>
        <v>Type88Mod</v>
      </c>
      <c r="BP301" s="1" t="str">
        <f t="shared" si="87"/>
        <v/>
      </c>
      <c r="BQ301" s="1" t="str">
        <f t="shared" si="87"/>
        <v/>
      </c>
      <c r="BR301" s="1" t="str">
        <f t="shared" si="87"/>
        <v/>
      </c>
      <c r="BS301" s="1" t="str">
        <f t="shared" si="87"/>
        <v/>
      </c>
    </row>
    <row r="302" spans="48:71" x14ac:dyDescent="0.3">
      <c r="AV302" t="s">
        <v>6754</v>
      </c>
      <c r="AZ302" s="1" t="str">
        <f t="shared" si="86"/>
        <v/>
      </c>
      <c r="BA302" s="1" t="str">
        <f t="shared" si="86"/>
        <v/>
      </c>
      <c r="BB302" s="1" t="str">
        <f t="shared" si="86"/>
        <v/>
      </c>
      <c r="BC302" s="1" t="str">
        <f t="shared" si="86"/>
        <v/>
      </c>
      <c r="BD302" s="1" t="str">
        <f t="shared" si="86"/>
        <v/>
      </c>
      <c r="BE302" s="1" t="str">
        <f t="shared" si="87"/>
        <v/>
      </c>
      <c r="BF302" s="1" t="str">
        <f t="shared" si="87"/>
        <v/>
      </c>
      <c r="BG302" s="1" t="str">
        <f t="shared" si="87"/>
        <v/>
      </c>
      <c r="BH302" s="1" t="str">
        <f t="shared" si="87"/>
        <v/>
      </c>
      <c r="BI302" s="1" t="str">
        <f t="shared" si="87"/>
        <v/>
      </c>
      <c r="BJ302" s="1" t="str">
        <f t="shared" si="87"/>
        <v/>
      </c>
      <c r="BK302" s="1" t="str">
        <f t="shared" si="87"/>
        <v/>
      </c>
      <c r="BL302" s="1" t="str">
        <f t="shared" si="87"/>
        <v/>
      </c>
      <c r="BM302" s="1" t="str">
        <f t="shared" si="87"/>
        <v/>
      </c>
      <c r="BN302" s="1" t="str">
        <f t="shared" si="87"/>
        <v/>
      </c>
      <c r="BO302" s="1" t="str">
        <f t="shared" si="87"/>
        <v>Type88ModGZ</v>
      </c>
      <c r="BP302" s="1" t="str">
        <f t="shared" si="87"/>
        <v/>
      </c>
      <c r="BQ302" s="1" t="str">
        <f t="shared" si="87"/>
        <v/>
      </c>
      <c r="BR302" s="1" t="str">
        <f t="shared" si="87"/>
        <v/>
      </c>
      <c r="BS302" s="1" t="str">
        <f t="shared" si="87"/>
        <v/>
      </c>
    </row>
    <row r="303" spans="48:71" x14ac:dyDescent="0.3">
      <c r="AV303" t="s">
        <v>9280</v>
      </c>
      <c r="AZ303" s="1" t="str">
        <f t="shared" si="86"/>
        <v/>
      </c>
      <c r="BA303" s="1" t="str">
        <f t="shared" si="86"/>
        <v/>
      </c>
      <c r="BB303" s="1" t="str">
        <f t="shared" si="86"/>
        <v/>
      </c>
      <c r="BC303" s="1" t="str">
        <f t="shared" si="86"/>
        <v/>
      </c>
      <c r="BD303" s="1" t="str">
        <f t="shared" si="86"/>
        <v/>
      </c>
      <c r="BE303" s="1" t="str">
        <f t="shared" si="87"/>
        <v/>
      </c>
      <c r="BF303" s="1" t="str">
        <f t="shared" si="87"/>
        <v/>
      </c>
      <c r="BG303" s="1" t="str">
        <f t="shared" si="87"/>
        <v/>
      </c>
      <c r="BH303" s="1" t="str">
        <f t="shared" si="87"/>
        <v/>
      </c>
      <c r="BI303" s="1" t="str">
        <f t="shared" si="87"/>
        <v/>
      </c>
      <c r="BJ303" s="1" t="str">
        <f t="shared" si="87"/>
        <v/>
      </c>
      <c r="BK303" s="1" t="str">
        <f t="shared" si="87"/>
        <v/>
      </c>
      <c r="BL303" s="1" t="str">
        <f t="shared" si="87"/>
        <v/>
      </c>
      <c r="BM303" s="1" t="str">
        <f t="shared" si="87"/>
        <v/>
      </c>
      <c r="BN303" s="1" t="str">
        <f t="shared" si="87"/>
        <v/>
      </c>
      <c r="BO303" s="1" t="str">
        <f t="shared" si="87"/>
        <v>Type92mod</v>
      </c>
      <c r="BP303" s="1" t="str">
        <f t="shared" si="87"/>
        <v/>
      </c>
      <c r="BQ303" s="1" t="str">
        <f t="shared" si="87"/>
        <v/>
      </c>
      <c r="BR303" s="1" t="str">
        <f t="shared" si="87"/>
        <v/>
      </c>
      <c r="BS303" s="1" t="str">
        <f t="shared" si="87"/>
        <v/>
      </c>
    </row>
    <row r="304" spans="48:71" x14ac:dyDescent="0.3">
      <c r="AV304" t="s">
        <v>9280</v>
      </c>
      <c r="AZ304" s="1" t="str">
        <f t="shared" si="86"/>
        <v/>
      </c>
      <c r="BA304" s="1" t="str">
        <f t="shared" si="86"/>
        <v/>
      </c>
      <c r="BB304" s="1" t="str">
        <f t="shared" si="86"/>
        <v/>
      </c>
      <c r="BC304" s="1" t="str">
        <f t="shared" si="86"/>
        <v/>
      </c>
      <c r="BD304" s="1" t="str">
        <f t="shared" si="86"/>
        <v/>
      </c>
      <c r="BE304" s="1" t="str">
        <f t="shared" si="87"/>
        <v/>
      </c>
      <c r="BF304" s="1" t="str">
        <f t="shared" si="87"/>
        <v/>
      </c>
      <c r="BG304" s="1" t="str">
        <f t="shared" si="87"/>
        <v/>
      </c>
      <c r="BH304" s="1" t="str">
        <f t="shared" si="87"/>
        <v/>
      </c>
      <c r="BI304" s="1" t="str">
        <f t="shared" si="87"/>
        <v/>
      </c>
      <c r="BJ304" s="1" t="str">
        <f t="shared" si="87"/>
        <v/>
      </c>
      <c r="BK304" s="1" t="str">
        <f t="shared" si="87"/>
        <v/>
      </c>
      <c r="BL304" s="1" t="str">
        <f t="shared" si="87"/>
        <v/>
      </c>
      <c r="BM304" s="1" t="str">
        <f t="shared" si="87"/>
        <v/>
      </c>
      <c r="BN304" s="1" t="str">
        <f t="shared" si="87"/>
        <v/>
      </c>
      <c r="BO304" s="1" t="str">
        <f t="shared" si="87"/>
        <v>Type92modGZ</v>
      </c>
      <c r="BP304" s="1" t="str">
        <f t="shared" si="87"/>
        <v/>
      </c>
      <c r="BQ304" s="1" t="str">
        <f t="shared" si="87"/>
        <v/>
      </c>
      <c r="BR304" s="1" t="str">
        <f t="shared" si="87"/>
        <v/>
      </c>
      <c r="BS304" s="1" t="str">
        <f t="shared" si="87"/>
        <v/>
      </c>
    </row>
    <row r="305" spans="48:71" x14ac:dyDescent="0.3">
      <c r="AV305" t="s">
        <v>711</v>
      </c>
      <c r="AZ305" s="1" t="str">
        <f t="shared" si="86"/>
        <v/>
      </c>
      <c r="BA305" s="1" t="str">
        <f t="shared" si="86"/>
        <v/>
      </c>
      <c r="BB305" s="1" t="str">
        <f t="shared" si="86"/>
        <v/>
      </c>
      <c r="BC305" s="1" t="str">
        <f t="shared" si="86"/>
        <v/>
      </c>
      <c r="BD305" s="1" t="str">
        <f t="shared" si="86"/>
        <v/>
      </c>
      <c r="BE305" s="1" t="str">
        <f t="shared" si="87"/>
        <v/>
      </c>
      <c r="BF305" s="1" t="str">
        <f t="shared" si="87"/>
        <v/>
      </c>
      <c r="BG305" s="1" t="str">
        <f t="shared" si="87"/>
        <v/>
      </c>
      <c r="BH305" s="1" t="str">
        <f t="shared" si="87"/>
        <v/>
      </c>
      <c r="BI305" s="1" t="str">
        <f t="shared" si="87"/>
        <v/>
      </c>
      <c r="BJ305" s="1" t="str">
        <f t="shared" si="87"/>
        <v/>
      </c>
      <c r="BK305" s="1" t="str">
        <f t="shared" si="87"/>
        <v/>
      </c>
      <c r="BL305" s="1" t="str">
        <f t="shared" si="87"/>
        <v/>
      </c>
      <c r="BM305" s="1" t="str">
        <f t="shared" si="87"/>
        <v/>
      </c>
      <c r="BN305" s="1" t="str">
        <f t="shared" si="87"/>
        <v/>
      </c>
      <c r="BO305" s="1" t="str">
        <f t="shared" si="87"/>
        <v>Type92modGZ</v>
      </c>
      <c r="BP305" s="1" t="str">
        <f t="shared" si="87"/>
        <v/>
      </c>
      <c r="BQ305" s="1" t="str">
        <f t="shared" si="87"/>
        <v/>
      </c>
      <c r="BR305" s="1" t="str">
        <f t="shared" si="87"/>
        <v/>
      </c>
      <c r="BS305" s="1" t="str">
        <f t="shared" si="87"/>
        <v/>
      </c>
    </row>
    <row r="306" spans="48:71" x14ac:dyDescent="0.3">
      <c r="AV306" t="s">
        <v>733</v>
      </c>
      <c r="AZ306" s="1" t="str">
        <f t="shared" si="86"/>
        <v/>
      </c>
      <c r="BA306" s="1" t="str">
        <f t="shared" si="86"/>
        <v/>
      </c>
      <c r="BB306" s="1" t="str">
        <f t="shared" si="86"/>
        <v/>
      </c>
      <c r="BC306" s="1" t="str">
        <f t="shared" si="86"/>
        <v/>
      </c>
      <c r="BD306" s="1" t="str">
        <f t="shared" si="86"/>
        <v/>
      </c>
      <c r="BE306" s="1" t="str">
        <f t="shared" si="87"/>
        <v/>
      </c>
      <c r="BF306" s="1" t="str">
        <f t="shared" si="87"/>
        <v/>
      </c>
      <c r="BG306" s="1" t="str">
        <f t="shared" si="87"/>
        <v/>
      </c>
      <c r="BH306" s="1" t="str">
        <f t="shared" si="87"/>
        <v/>
      </c>
      <c r="BI306" s="1" t="str">
        <f t="shared" si="87"/>
        <v/>
      </c>
      <c r="BJ306" s="1" t="str">
        <f t="shared" si="87"/>
        <v/>
      </c>
      <c r="BK306" s="1" t="str">
        <f t="shared" si="87"/>
        <v/>
      </c>
      <c r="BL306" s="1" t="str">
        <f t="shared" si="87"/>
        <v/>
      </c>
      <c r="BM306" s="1" t="str">
        <f t="shared" si="87"/>
        <v/>
      </c>
      <c r="BN306" s="1" t="str">
        <f t="shared" si="87"/>
        <v/>
      </c>
      <c r="BO306" s="1" t="str">
        <f t="shared" si="87"/>
        <v>Type95/97</v>
      </c>
      <c r="BP306" s="1" t="str">
        <f t="shared" si="87"/>
        <v/>
      </c>
      <c r="BQ306" s="1" t="str">
        <f t="shared" si="87"/>
        <v/>
      </c>
      <c r="BR306" s="1" t="str">
        <f t="shared" si="87"/>
        <v/>
      </c>
      <c r="BS306" s="1" t="str">
        <f t="shared" si="87"/>
        <v/>
      </c>
    </row>
    <row r="307" spans="48:71" x14ac:dyDescent="0.3">
      <c r="AV307" t="s">
        <v>8525</v>
      </c>
      <c r="AZ307" s="1" t="str">
        <f t="shared" si="86"/>
        <v/>
      </c>
      <c r="BA307" s="1" t="str">
        <f t="shared" si="86"/>
        <v/>
      </c>
      <c r="BB307" s="1" t="str">
        <f t="shared" si="86"/>
        <v/>
      </c>
      <c r="BC307" s="1" t="str">
        <f t="shared" si="86"/>
        <v/>
      </c>
      <c r="BD307" s="1" t="str">
        <f t="shared" si="86"/>
        <v/>
      </c>
      <c r="BE307" s="1" t="str">
        <f t="shared" si="87"/>
        <v/>
      </c>
      <c r="BF307" s="1" t="str">
        <f t="shared" si="87"/>
        <v/>
      </c>
      <c r="BG307" s="1" t="str">
        <f t="shared" si="87"/>
        <v/>
      </c>
      <c r="BH307" s="1" t="str">
        <f t="shared" si="87"/>
        <v/>
      </c>
      <c r="BI307" s="1" t="str">
        <f t="shared" si="87"/>
        <v/>
      </c>
      <c r="BJ307" s="1" t="str">
        <f t="shared" si="87"/>
        <v/>
      </c>
      <c r="BK307" s="1" t="str">
        <f t="shared" si="87"/>
        <v/>
      </c>
      <c r="BL307" s="1" t="str">
        <f t="shared" si="87"/>
        <v/>
      </c>
      <c r="BM307" s="1" t="str">
        <f t="shared" si="87"/>
        <v/>
      </c>
      <c r="BN307" s="1" t="str">
        <f t="shared" si="87"/>
        <v/>
      </c>
      <c r="BO307" s="1" t="str">
        <f t="shared" si="87"/>
        <v>Type97SMod</v>
      </c>
      <c r="BP307" s="1" t="str">
        <f t="shared" si="87"/>
        <v/>
      </c>
      <c r="BQ307" s="1" t="str">
        <f t="shared" si="87"/>
        <v/>
      </c>
      <c r="BR307" s="1" t="str">
        <f t="shared" si="87"/>
        <v/>
      </c>
      <c r="BS307" s="1" t="str">
        <f t="shared" si="87"/>
        <v/>
      </c>
    </row>
    <row r="308" spans="48:71" x14ac:dyDescent="0.3">
      <c r="AV308" t="s">
        <v>1651</v>
      </c>
      <c r="AZ308" s="1" t="str">
        <f t="shared" ref="AZ308:BD323" si="88">IF(INDEX($C307:$AF307,MATCH(AZ$2,$C$1:$AF$1,0))="","",INDEX($C307:$AF307,MATCH(AZ$2,$C$1:$AF$1,0)))</f>
        <v/>
      </c>
      <c r="BA308" s="1" t="str">
        <f t="shared" si="88"/>
        <v/>
      </c>
      <c r="BB308" s="1" t="str">
        <f t="shared" si="88"/>
        <v/>
      </c>
      <c r="BC308" s="1" t="str">
        <f t="shared" si="88"/>
        <v/>
      </c>
      <c r="BD308" s="1" t="str">
        <f t="shared" si="88"/>
        <v/>
      </c>
      <c r="BE308" s="1" t="str">
        <f t="shared" ref="BE308:BS323" si="89">IF(INDEX($AH307:$AV307,MATCH(BE$2,$AH$1:$AV$1,0))="","",INDEX($AH307:$AV307,MATCH(BE$2,$AH$1:$AV$1,0)))</f>
        <v/>
      </c>
      <c r="BF308" s="1" t="str">
        <f t="shared" si="89"/>
        <v/>
      </c>
      <c r="BG308" s="1" t="str">
        <f t="shared" si="89"/>
        <v/>
      </c>
      <c r="BH308" s="1" t="str">
        <f t="shared" si="89"/>
        <v/>
      </c>
      <c r="BI308" s="1" t="str">
        <f t="shared" si="89"/>
        <v/>
      </c>
      <c r="BJ308" s="1" t="str">
        <f t="shared" si="89"/>
        <v/>
      </c>
      <c r="BK308" s="1" t="str">
        <f t="shared" si="89"/>
        <v/>
      </c>
      <c r="BL308" s="1" t="str">
        <f t="shared" si="89"/>
        <v/>
      </c>
      <c r="BM308" s="1" t="str">
        <f t="shared" si="89"/>
        <v/>
      </c>
      <c r="BN308" s="1" t="str">
        <f t="shared" si="89"/>
        <v/>
      </c>
      <c r="BO308" s="1" t="str">
        <f t="shared" si="89"/>
        <v>Type97SModGZ</v>
      </c>
      <c r="BP308" s="1" t="str">
        <f t="shared" si="89"/>
        <v/>
      </c>
      <c r="BQ308" s="1" t="str">
        <f t="shared" si="89"/>
        <v/>
      </c>
      <c r="BR308" s="1" t="str">
        <f t="shared" si="89"/>
        <v/>
      </c>
      <c r="BS308" s="1" t="str">
        <f t="shared" si="89"/>
        <v/>
      </c>
    </row>
    <row r="309" spans="48:71" x14ac:dyDescent="0.3">
      <c r="AV309" t="s">
        <v>730</v>
      </c>
      <c r="AZ309" s="1" t="str">
        <f t="shared" si="88"/>
        <v/>
      </c>
      <c r="BA309" s="1" t="str">
        <f t="shared" si="88"/>
        <v/>
      </c>
      <c r="BB309" s="1" t="str">
        <f t="shared" si="88"/>
        <v/>
      </c>
      <c r="BC309" s="1" t="str">
        <f t="shared" si="88"/>
        <v/>
      </c>
      <c r="BD309" s="1" t="str">
        <f t="shared" si="88"/>
        <v/>
      </c>
      <c r="BE309" s="1" t="str">
        <f t="shared" si="89"/>
        <v/>
      </c>
      <c r="BF309" s="1" t="str">
        <f t="shared" si="89"/>
        <v/>
      </c>
      <c r="BG309" s="1" t="str">
        <f t="shared" si="89"/>
        <v/>
      </c>
      <c r="BH309" s="1" t="str">
        <f t="shared" si="89"/>
        <v/>
      </c>
      <c r="BI309" s="1" t="str">
        <f t="shared" si="89"/>
        <v/>
      </c>
      <c r="BJ309" s="1" t="str">
        <f t="shared" si="89"/>
        <v/>
      </c>
      <c r="BK309" s="1" t="str">
        <f t="shared" si="89"/>
        <v/>
      </c>
      <c r="BL309" s="1" t="str">
        <f t="shared" si="89"/>
        <v/>
      </c>
      <c r="BM309" s="1" t="str">
        <f t="shared" si="89"/>
        <v/>
      </c>
      <c r="BN309" s="1" t="str">
        <f t="shared" si="89"/>
        <v/>
      </c>
      <c r="BO309" s="1" t="str">
        <f t="shared" si="89"/>
        <v>UKM2000</v>
      </c>
      <c r="BP309" s="1" t="str">
        <f t="shared" si="89"/>
        <v/>
      </c>
      <c r="BQ309" s="1" t="str">
        <f t="shared" si="89"/>
        <v/>
      </c>
      <c r="BR309" s="1" t="str">
        <f t="shared" si="89"/>
        <v/>
      </c>
      <c r="BS309" s="1" t="str">
        <f t="shared" si="89"/>
        <v/>
      </c>
    </row>
    <row r="310" spans="48:71" x14ac:dyDescent="0.3">
      <c r="AV310" t="s">
        <v>264</v>
      </c>
      <c r="AZ310" s="1" t="str">
        <f t="shared" si="88"/>
        <v/>
      </c>
      <c r="BA310" s="1" t="str">
        <f t="shared" si="88"/>
        <v/>
      </c>
      <c r="BB310" s="1" t="str">
        <f t="shared" si="88"/>
        <v/>
      </c>
      <c r="BC310" s="1" t="str">
        <f t="shared" si="88"/>
        <v/>
      </c>
      <c r="BD310" s="1" t="str">
        <f t="shared" si="88"/>
        <v/>
      </c>
      <c r="BE310" s="1" t="str">
        <f t="shared" si="89"/>
        <v/>
      </c>
      <c r="BF310" s="1" t="str">
        <f t="shared" si="89"/>
        <v/>
      </c>
      <c r="BG310" s="1" t="str">
        <f t="shared" si="89"/>
        <v/>
      </c>
      <c r="BH310" s="1" t="str">
        <f t="shared" si="89"/>
        <v/>
      </c>
      <c r="BI310" s="1" t="str">
        <f t="shared" si="89"/>
        <v/>
      </c>
      <c r="BJ310" s="1" t="str">
        <f t="shared" si="89"/>
        <v/>
      </c>
      <c r="BK310" s="1" t="str">
        <f t="shared" si="89"/>
        <v/>
      </c>
      <c r="BL310" s="1" t="str">
        <f t="shared" si="89"/>
        <v/>
      </c>
      <c r="BM310" s="1" t="str">
        <f t="shared" si="89"/>
        <v/>
      </c>
      <c r="BN310" s="1" t="str">
        <f t="shared" si="89"/>
        <v/>
      </c>
      <c r="BO310" s="1" t="str">
        <f t="shared" si="89"/>
        <v>UMP</v>
      </c>
      <c r="BP310" s="1" t="str">
        <f t="shared" si="89"/>
        <v/>
      </c>
      <c r="BQ310" s="1" t="str">
        <f t="shared" si="89"/>
        <v/>
      </c>
      <c r="BR310" s="1" t="str">
        <f t="shared" si="89"/>
        <v/>
      </c>
      <c r="BS310" s="1" t="str">
        <f t="shared" si="89"/>
        <v/>
      </c>
    </row>
    <row r="311" spans="48:71" x14ac:dyDescent="0.3">
      <c r="AV311" t="s">
        <v>8159</v>
      </c>
      <c r="AZ311" s="1" t="str">
        <f t="shared" si="88"/>
        <v/>
      </c>
      <c r="BA311" s="1" t="str">
        <f t="shared" si="88"/>
        <v/>
      </c>
      <c r="BB311" s="1" t="str">
        <f t="shared" si="88"/>
        <v/>
      </c>
      <c r="BC311" s="1" t="str">
        <f t="shared" si="88"/>
        <v/>
      </c>
      <c r="BD311" s="1" t="str">
        <f t="shared" si="88"/>
        <v/>
      </c>
      <c r="BE311" s="1" t="str">
        <f t="shared" si="89"/>
        <v/>
      </c>
      <c r="BF311" s="1" t="str">
        <f t="shared" si="89"/>
        <v/>
      </c>
      <c r="BG311" s="1" t="str">
        <f t="shared" si="89"/>
        <v/>
      </c>
      <c r="BH311" s="1" t="str">
        <f t="shared" si="89"/>
        <v/>
      </c>
      <c r="BI311" s="1" t="str">
        <f t="shared" si="89"/>
        <v/>
      </c>
      <c r="BJ311" s="1" t="str">
        <f t="shared" si="89"/>
        <v/>
      </c>
      <c r="BK311" s="1" t="str">
        <f t="shared" si="89"/>
        <v/>
      </c>
      <c r="BL311" s="1" t="str">
        <f t="shared" si="89"/>
        <v/>
      </c>
      <c r="BM311" s="1" t="str">
        <f t="shared" si="89"/>
        <v/>
      </c>
      <c r="BN311" s="1" t="str">
        <f t="shared" si="89"/>
        <v/>
      </c>
      <c r="BO311" s="1" t="str">
        <f t="shared" si="89"/>
        <v>UMP45Mod</v>
      </c>
      <c r="BP311" s="1" t="str">
        <f t="shared" si="89"/>
        <v/>
      </c>
      <c r="BQ311" s="1" t="str">
        <f t="shared" si="89"/>
        <v/>
      </c>
      <c r="BR311" s="1" t="str">
        <f t="shared" si="89"/>
        <v/>
      </c>
      <c r="BS311" s="1" t="str">
        <f t="shared" si="89"/>
        <v/>
      </c>
    </row>
    <row r="312" spans="48:71" x14ac:dyDescent="0.3">
      <c r="AV312" t="s">
        <v>263</v>
      </c>
      <c r="AZ312" s="1" t="str">
        <f t="shared" si="88"/>
        <v/>
      </c>
      <c r="BA312" s="1" t="str">
        <f t="shared" si="88"/>
        <v/>
      </c>
      <c r="BB312" s="1" t="str">
        <f t="shared" si="88"/>
        <v/>
      </c>
      <c r="BC312" s="1" t="str">
        <f t="shared" si="88"/>
        <v/>
      </c>
      <c r="BD312" s="1" t="str">
        <f t="shared" si="88"/>
        <v/>
      </c>
      <c r="BE312" s="1" t="str">
        <f t="shared" si="89"/>
        <v/>
      </c>
      <c r="BF312" s="1" t="str">
        <f t="shared" si="89"/>
        <v/>
      </c>
      <c r="BG312" s="1" t="str">
        <f t="shared" si="89"/>
        <v/>
      </c>
      <c r="BH312" s="1" t="str">
        <f t="shared" si="89"/>
        <v/>
      </c>
      <c r="BI312" s="1" t="str">
        <f t="shared" si="89"/>
        <v/>
      </c>
      <c r="BJ312" s="1" t="str">
        <f t="shared" si="89"/>
        <v/>
      </c>
      <c r="BK312" s="1" t="str">
        <f t="shared" si="89"/>
        <v/>
      </c>
      <c r="BL312" s="1" t="str">
        <f t="shared" si="89"/>
        <v/>
      </c>
      <c r="BM312" s="1" t="str">
        <f t="shared" si="89"/>
        <v/>
      </c>
      <c r="BN312" s="1" t="str">
        <f t="shared" si="89"/>
        <v/>
      </c>
      <c r="BO312" s="1" t="str">
        <f t="shared" si="89"/>
        <v>UMP45ModGZ</v>
      </c>
      <c r="BP312" s="1" t="str">
        <f t="shared" si="89"/>
        <v/>
      </c>
      <c r="BQ312" s="1" t="str">
        <f t="shared" si="89"/>
        <v/>
      </c>
      <c r="BR312" s="1" t="str">
        <f t="shared" si="89"/>
        <v/>
      </c>
      <c r="BS312" s="1" t="str">
        <f t="shared" si="89"/>
        <v/>
      </c>
    </row>
    <row r="313" spans="48:71" x14ac:dyDescent="0.3">
      <c r="AV313" t="s">
        <v>8160</v>
      </c>
      <c r="AZ313" s="1" t="str">
        <f t="shared" si="88"/>
        <v/>
      </c>
      <c r="BA313" s="1" t="str">
        <f t="shared" si="88"/>
        <v/>
      </c>
      <c r="BB313" s="1" t="str">
        <f t="shared" si="88"/>
        <v/>
      </c>
      <c r="BC313" s="1" t="str">
        <f t="shared" si="88"/>
        <v/>
      </c>
      <c r="BD313" s="1" t="str">
        <f t="shared" si="88"/>
        <v/>
      </c>
      <c r="BE313" s="1" t="str">
        <f t="shared" si="89"/>
        <v/>
      </c>
      <c r="BF313" s="1" t="str">
        <f t="shared" si="89"/>
        <v/>
      </c>
      <c r="BG313" s="1" t="str">
        <f t="shared" si="89"/>
        <v/>
      </c>
      <c r="BH313" s="1" t="str">
        <f t="shared" si="89"/>
        <v/>
      </c>
      <c r="BI313" s="1" t="str">
        <f t="shared" si="89"/>
        <v/>
      </c>
      <c r="BJ313" s="1" t="str">
        <f t="shared" si="89"/>
        <v/>
      </c>
      <c r="BK313" s="1" t="str">
        <f t="shared" si="89"/>
        <v/>
      </c>
      <c r="BL313" s="1" t="str">
        <f t="shared" si="89"/>
        <v/>
      </c>
      <c r="BM313" s="1" t="str">
        <f t="shared" si="89"/>
        <v/>
      </c>
      <c r="BN313" s="1" t="str">
        <f t="shared" si="89"/>
        <v/>
      </c>
      <c r="BO313" s="1" t="str">
        <f t="shared" si="89"/>
        <v>UMP9Mod</v>
      </c>
      <c r="BP313" s="1" t="str">
        <f t="shared" si="89"/>
        <v/>
      </c>
      <c r="BQ313" s="1" t="str">
        <f t="shared" si="89"/>
        <v/>
      </c>
      <c r="BR313" s="1" t="str">
        <f t="shared" si="89"/>
        <v/>
      </c>
      <c r="BS313" s="1" t="str">
        <f t="shared" si="89"/>
        <v/>
      </c>
    </row>
    <row r="314" spans="48:71" x14ac:dyDescent="0.3">
      <c r="AV314" t="s">
        <v>1639</v>
      </c>
      <c r="AZ314" s="1" t="str">
        <f t="shared" si="88"/>
        <v/>
      </c>
      <c r="BA314" s="1" t="str">
        <f t="shared" si="88"/>
        <v/>
      </c>
      <c r="BB314" s="1" t="str">
        <f t="shared" si="88"/>
        <v/>
      </c>
      <c r="BC314" s="1" t="str">
        <f t="shared" si="88"/>
        <v/>
      </c>
      <c r="BD314" s="1" t="str">
        <f t="shared" si="88"/>
        <v/>
      </c>
      <c r="BE314" s="1" t="str">
        <f t="shared" si="89"/>
        <v/>
      </c>
      <c r="BF314" s="1" t="str">
        <f t="shared" si="89"/>
        <v/>
      </c>
      <c r="BG314" s="1" t="str">
        <f t="shared" si="89"/>
        <v/>
      </c>
      <c r="BH314" s="1" t="str">
        <f t="shared" si="89"/>
        <v/>
      </c>
      <c r="BI314" s="1" t="str">
        <f t="shared" si="89"/>
        <v/>
      </c>
      <c r="BJ314" s="1" t="str">
        <f t="shared" si="89"/>
        <v/>
      </c>
      <c r="BK314" s="1" t="str">
        <f t="shared" si="89"/>
        <v/>
      </c>
      <c r="BL314" s="1" t="str">
        <f t="shared" si="89"/>
        <v/>
      </c>
      <c r="BM314" s="1" t="str">
        <f t="shared" si="89"/>
        <v/>
      </c>
      <c r="BN314" s="1" t="str">
        <f t="shared" si="89"/>
        <v/>
      </c>
      <c r="BO314" s="1" t="str">
        <f t="shared" si="89"/>
        <v>UMP9ModGZ</v>
      </c>
      <c r="BP314" s="1" t="str">
        <f t="shared" si="89"/>
        <v/>
      </c>
      <c r="BQ314" s="1" t="str">
        <f t="shared" si="89"/>
        <v/>
      </c>
      <c r="BR314" s="1" t="str">
        <f t="shared" si="89"/>
        <v/>
      </c>
      <c r="BS314" s="1" t="str">
        <f t="shared" si="89"/>
        <v/>
      </c>
    </row>
    <row r="315" spans="48:71" x14ac:dyDescent="0.3">
      <c r="AV315" t="s">
        <v>1193</v>
      </c>
      <c r="AZ315" s="1" t="str">
        <f t="shared" si="88"/>
        <v/>
      </c>
      <c r="BA315" s="1" t="str">
        <f t="shared" si="88"/>
        <v/>
      </c>
      <c r="BB315" s="1" t="str">
        <f t="shared" si="88"/>
        <v/>
      </c>
      <c r="BC315" s="1" t="str">
        <f t="shared" si="88"/>
        <v/>
      </c>
      <c r="BD315" s="1" t="str">
        <f t="shared" si="88"/>
        <v/>
      </c>
      <c r="BE315" s="1" t="str">
        <f t="shared" si="89"/>
        <v/>
      </c>
      <c r="BF315" s="1" t="str">
        <f t="shared" si="89"/>
        <v/>
      </c>
      <c r="BG315" s="1" t="str">
        <f t="shared" si="89"/>
        <v/>
      </c>
      <c r="BH315" s="1" t="str">
        <f t="shared" si="89"/>
        <v/>
      </c>
      <c r="BI315" s="1" t="str">
        <f t="shared" si="89"/>
        <v/>
      </c>
      <c r="BJ315" s="1" t="str">
        <f t="shared" si="89"/>
        <v/>
      </c>
      <c r="BK315" s="1" t="str">
        <f t="shared" si="89"/>
        <v/>
      </c>
      <c r="BL315" s="1" t="str">
        <f t="shared" si="89"/>
        <v/>
      </c>
      <c r="BM315" s="1" t="str">
        <f t="shared" si="89"/>
        <v/>
      </c>
      <c r="BN315" s="1" t="str">
        <f t="shared" si="89"/>
        <v/>
      </c>
      <c r="BO315" s="1" t="str">
        <f t="shared" si="89"/>
        <v>USAS12</v>
      </c>
      <c r="BP315" s="1" t="str">
        <f t="shared" si="89"/>
        <v/>
      </c>
      <c r="BQ315" s="1" t="str">
        <f t="shared" si="89"/>
        <v/>
      </c>
      <c r="BR315" s="1" t="str">
        <f t="shared" si="89"/>
        <v/>
      </c>
      <c r="BS315" s="1" t="str">
        <f t="shared" si="89"/>
        <v/>
      </c>
    </row>
    <row r="316" spans="48:71" x14ac:dyDescent="0.3">
      <c r="AV316" t="s">
        <v>79</v>
      </c>
      <c r="AZ316" s="1" t="str">
        <f t="shared" si="88"/>
        <v/>
      </c>
      <c r="BA316" s="1" t="str">
        <f t="shared" si="88"/>
        <v/>
      </c>
      <c r="BB316" s="1" t="str">
        <f t="shared" si="88"/>
        <v/>
      </c>
      <c r="BC316" s="1" t="str">
        <f t="shared" si="88"/>
        <v/>
      </c>
      <c r="BD316" s="1" t="str">
        <f t="shared" si="88"/>
        <v/>
      </c>
      <c r="BE316" s="1" t="str">
        <f t="shared" si="89"/>
        <v/>
      </c>
      <c r="BF316" s="1" t="str">
        <f t="shared" si="89"/>
        <v/>
      </c>
      <c r="BG316" s="1" t="str">
        <f t="shared" si="89"/>
        <v/>
      </c>
      <c r="BH316" s="1" t="str">
        <f t="shared" si="89"/>
        <v/>
      </c>
      <c r="BI316" s="1" t="str">
        <f t="shared" si="89"/>
        <v/>
      </c>
      <c r="BJ316" s="1" t="str">
        <f t="shared" si="89"/>
        <v/>
      </c>
      <c r="BK316" s="1" t="str">
        <f t="shared" si="89"/>
        <v/>
      </c>
      <c r="BL316" s="1" t="str">
        <f t="shared" si="89"/>
        <v/>
      </c>
      <c r="BM316" s="1" t="str">
        <f t="shared" si="89"/>
        <v/>
      </c>
      <c r="BN316" s="1" t="str">
        <f t="shared" si="89"/>
        <v/>
      </c>
      <c r="BO316" s="1" t="str">
        <f t="shared" si="89"/>
        <v>USPCompact</v>
      </c>
      <c r="BP316" s="1" t="str">
        <f t="shared" si="89"/>
        <v/>
      </c>
      <c r="BQ316" s="1" t="str">
        <f t="shared" si="89"/>
        <v/>
      </c>
      <c r="BR316" s="1" t="str">
        <f t="shared" si="89"/>
        <v/>
      </c>
      <c r="BS316" s="1" t="str">
        <f t="shared" si="89"/>
        <v/>
      </c>
    </row>
    <row r="317" spans="48:71" x14ac:dyDescent="0.3">
      <c r="AV317" t="s">
        <v>97</v>
      </c>
      <c r="AZ317" s="1" t="str">
        <f t="shared" si="88"/>
        <v/>
      </c>
      <c r="BA317" s="1" t="str">
        <f t="shared" si="88"/>
        <v/>
      </c>
      <c r="BB317" s="1" t="str">
        <f t="shared" si="88"/>
        <v/>
      </c>
      <c r="BC317" s="1" t="str">
        <f t="shared" si="88"/>
        <v/>
      </c>
      <c r="BD317" s="1" t="str">
        <f t="shared" si="88"/>
        <v/>
      </c>
      <c r="BE317" s="1" t="str">
        <f t="shared" si="89"/>
        <v/>
      </c>
      <c r="BF317" s="1" t="str">
        <f t="shared" si="89"/>
        <v/>
      </c>
      <c r="BG317" s="1" t="str">
        <f t="shared" si="89"/>
        <v/>
      </c>
      <c r="BH317" s="1" t="str">
        <f t="shared" si="89"/>
        <v/>
      </c>
      <c r="BI317" s="1" t="str">
        <f t="shared" si="89"/>
        <v/>
      </c>
      <c r="BJ317" s="1" t="str">
        <f t="shared" si="89"/>
        <v/>
      </c>
      <c r="BK317" s="1" t="str">
        <f t="shared" si="89"/>
        <v/>
      </c>
      <c r="BL317" s="1" t="str">
        <f t="shared" si="89"/>
        <v/>
      </c>
      <c r="BM317" s="1" t="str">
        <f t="shared" si="89"/>
        <v/>
      </c>
      <c r="BN317" s="1" t="str">
        <f t="shared" si="89"/>
        <v/>
      </c>
      <c r="BO317" s="1" t="str">
        <f t="shared" si="89"/>
        <v>Vector</v>
      </c>
      <c r="BP317" s="1" t="str">
        <f t="shared" si="89"/>
        <v/>
      </c>
      <c r="BQ317" s="1" t="str">
        <f t="shared" si="89"/>
        <v/>
      </c>
      <c r="BR317" s="1" t="str">
        <f t="shared" si="89"/>
        <v/>
      </c>
      <c r="BS317" s="1" t="str">
        <f t="shared" si="89"/>
        <v/>
      </c>
    </row>
    <row r="318" spans="48:71" x14ac:dyDescent="0.3">
      <c r="AV318" t="s">
        <v>1668</v>
      </c>
      <c r="AZ318" s="1" t="str">
        <f t="shared" si="88"/>
        <v/>
      </c>
      <c r="BA318" s="1" t="str">
        <f t="shared" si="88"/>
        <v/>
      </c>
      <c r="BB318" s="1" t="str">
        <f t="shared" si="88"/>
        <v/>
      </c>
      <c r="BC318" s="1" t="str">
        <f t="shared" si="88"/>
        <v/>
      </c>
      <c r="BD318" s="1" t="str">
        <f t="shared" si="88"/>
        <v/>
      </c>
      <c r="BE318" s="1" t="str">
        <f t="shared" si="89"/>
        <v/>
      </c>
      <c r="BF318" s="1" t="str">
        <f t="shared" si="89"/>
        <v/>
      </c>
      <c r="BG318" s="1" t="str">
        <f t="shared" si="89"/>
        <v/>
      </c>
      <c r="BH318" s="1" t="str">
        <f t="shared" si="89"/>
        <v/>
      </c>
      <c r="BI318" s="1" t="str">
        <f t="shared" si="89"/>
        <v/>
      </c>
      <c r="BJ318" s="1" t="str">
        <f t="shared" si="89"/>
        <v/>
      </c>
      <c r="BK318" s="1" t="str">
        <f t="shared" si="89"/>
        <v/>
      </c>
      <c r="BL318" s="1" t="str">
        <f t="shared" si="89"/>
        <v/>
      </c>
      <c r="BM318" s="1" t="str">
        <f t="shared" si="89"/>
        <v/>
      </c>
      <c r="BN318" s="1" t="str">
        <f t="shared" si="89"/>
        <v/>
      </c>
      <c r="BO318" s="1" t="str">
        <f t="shared" si="89"/>
        <v>VM59</v>
      </c>
      <c r="BP318" s="1" t="str">
        <f t="shared" si="89"/>
        <v/>
      </c>
      <c r="BQ318" s="1" t="str">
        <f t="shared" si="89"/>
        <v/>
      </c>
      <c r="BR318" s="1" t="str">
        <f t="shared" si="89"/>
        <v/>
      </c>
      <c r="BS318" s="1" t="str">
        <f t="shared" si="89"/>
        <v/>
      </c>
    </row>
    <row r="319" spans="48:71" x14ac:dyDescent="0.3">
      <c r="AV319" t="s">
        <v>95</v>
      </c>
      <c r="AZ319" s="1" t="str">
        <f t="shared" si="88"/>
        <v/>
      </c>
      <c r="BA319" s="1" t="str">
        <f t="shared" si="88"/>
        <v/>
      </c>
      <c r="BB319" s="1" t="str">
        <f t="shared" si="88"/>
        <v/>
      </c>
      <c r="BC319" s="1" t="str">
        <f t="shared" si="88"/>
        <v/>
      </c>
      <c r="BD319" s="1" t="str">
        <f t="shared" si="88"/>
        <v/>
      </c>
      <c r="BE319" s="1" t="str">
        <f t="shared" si="89"/>
        <v/>
      </c>
      <c r="BF319" s="1" t="str">
        <f t="shared" si="89"/>
        <v/>
      </c>
      <c r="BG319" s="1" t="str">
        <f t="shared" si="89"/>
        <v/>
      </c>
      <c r="BH319" s="1" t="str">
        <f t="shared" si="89"/>
        <v/>
      </c>
      <c r="BI319" s="1" t="str">
        <f t="shared" si="89"/>
        <v/>
      </c>
      <c r="BJ319" s="1" t="str">
        <f t="shared" si="89"/>
        <v/>
      </c>
      <c r="BK319" s="1" t="str">
        <f t="shared" si="89"/>
        <v/>
      </c>
      <c r="BL319" s="1" t="str">
        <f t="shared" si="89"/>
        <v/>
      </c>
      <c r="BM319" s="1" t="str">
        <f t="shared" si="89"/>
        <v/>
      </c>
      <c r="BN319" s="1" t="str">
        <f t="shared" si="89"/>
        <v/>
      </c>
      <c r="BO319" s="1" t="str">
        <f t="shared" si="89"/>
        <v>VSK94</v>
      </c>
      <c r="BP319" s="1" t="str">
        <f t="shared" si="89"/>
        <v/>
      </c>
      <c r="BQ319" s="1" t="str">
        <f t="shared" si="89"/>
        <v/>
      </c>
      <c r="BR319" s="1" t="str">
        <f t="shared" si="89"/>
        <v/>
      </c>
      <c r="BS319" s="1" t="str">
        <f t="shared" si="89"/>
        <v/>
      </c>
    </row>
    <row r="320" spans="48:71" x14ac:dyDescent="0.3">
      <c r="AV320" t="s">
        <v>9012</v>
      </c>
      <c r="AZ320" s="1" t="str">
        <f t="shared" si="88"/>
        <v/>
      </c>
      <c r="BA320" s="1" t="str">
        <f t="shared" si="88"/>
        <v/>
      </c>
      <c r="BB320" s="1" t="str">
        <f t="shared" si="88"/>
        <v/>
      </c>
      <c r="BC320" s="1" t="str">
        <f t="shared" si="88"/>
        <v/>
      </c>
      <c r="BD320" s="1" t="str">
        <f t="shared" si="88"/>
        <v/>
      </c>
      <c r="BE320" s="1" t="str">
        <f t="shared" si="89"/>
        <v/>
      </c>
      <c r="BF320" s="1" t="str">
        <f t="shared" si="89"/>
        <v/>
      </c>
      <c r="BG320" s="1" t="str">
        <f t="shared" si="89"/>
        <v/>
      </c>
      <c r="BH320" s="1" t="str">
        <f t="shared" si="89"/>
        <v/>
      </c>
      <c r="BI320" s="1" t="str">
        <f t="shared" si="89"/>
        <v/>
      </c>
      <c r="BJ320" s="1" t="str">
        <f t="shared" si="89"/>
        <v/>
      </c>
      <c r="BK320" s="1" t="str">
        <f t="shared" si="89"/>
        <v/>
      </c>
      <c r="BL320" s="1" t="str">
        <f t="shared" si="89"/>
        <v/>
      </c>
      <c r="BM320" s="1" t="str">
        <f t="shared" si="89"/>
        <v/>
      </c>
      <c r="BN320" s="1" t="str">
        <f t="shared" si="89"/>
        <v/>
      </c>
      <c r="BO320" s="1" t="str">
        <f t="shared" si="89"/>
        <v>WA2000</v>
      </c>
      <c r="BP320" s="1" t="str">
        <f t="shared" si="89"/>
        <v/>
      </c>
      <c r="BQ320" s="1" t="str">
        <f t="shared" si="89"/>
        <v/>
      </c>
      <c r="BR320" s="1" t="str">
        <f t="shared" si="89"/>
        <v/>
      </c>
      <c r="BS320" s="1" t="str">
        <f t="shared" si="89"/>
        <v/>
      </c>
    </row>
    <row r="321" spans="48:71" x14ac:dyDescent="0.3">
      <c r="AV321" t="s">
        <v>792</v>
      </c>
      <c r="AZ321" s="1" t="str">
        <f t="shared" si="88"/>
        <v/>
      </c>
      <c r="BA321" s="1" t="str">
        <f t="shared" si="88"/>
        <v/>
      </c>
      <c r="BB321" s="1" t="str">
        <f t="shared" si="88"/>
        <v/>
      </c>
      <c r="BC321" s="1" t="str">
        <f t="shared" si="88"/>
        <v/>
      </c>
      <c r="BD321" s="1" t="str">
        <f t="shared" si="88"/>
        <v/>
      </c>
      <c r="BE321" s="1" t="str">
        <f t="shared" si="89"/>
        <v/>
      </c>
      <c r="BF321" s="1" t="str">
        <f t="shared" si="89"/>
        <v/>
      </c>
      <c r="BG321" s="1" t="str">
        <f t="shared" si="89"/>
        <v/>
      </c>
      <c r="BH321" s="1" t="str">
        <f t="shared" si="89"/>
        <v/>
      </c>
      <c r="BI321" s="1" t="str">
        <f t="shared" si="89"/>
        <v/>
      </c>
      <c r="BJ321" s="1" t="str">
        <f t="shared" si="89"/>
        <v/>
      </c>
      <c r="BK321" s="1" t="str">
        <f t="shared" si="89"/>
        <v/>
      </c>
      <c r="BL321" s="1" t="str">
        <f t="shared" si="89"/>
        <v/>
      </c>
      <c r="BM321" s="1" t="str">
        <f t="shared" si="89"/>
        <v/>
      </c>
      <c r="BN321" s="1" t="str">
        <f t="shared" si="89"/>
        <v/>
      </c>
      <c r="BO321" s="1" t="str">
        <f t="shared" si="89"/>
        <v>WA2000GZ</v>
      </c>
      <c r="BP321" s="1" t="str">
        <f t="shared" si="89"/>
        <v/>
      </c>
      <c r="BQ321" s="1" t="str">
        <f t="shared" si="89"/>
        <v/>
      </c>
      <c r="BR321" s="1" t="str">
        <f t="shared" si="89"/>
        <v/>
      </c>
      <c r="BS321" s="1" t="str">
        <f t="shared" si="89"/>
        <v/>
      </c>
    </row>
    <row r="322" spans="48:71" x14ac:dyDescent="0.3">
      <c r="AV322" t="s">
        <v>834</v>
      </c>
      <c r="AZ322" s="1" t="str">
        <f t="shared" si="88"/>
        <v/>
      </c>
      <c r="BA322" s="1" t="str">
        <f t="shared" si="88"/>
        <v/>
      </c>
      <c r="BB322" s="1" t="str">
        <f t="shared" si="88"/>
        <v/>
      </c>
      <c r="BC322" s="1" t="str">
        <f t="shared" si="88"/>
        <v/>
      </c>
      <c r="BD322" s="1" t="str">
        <f t="shared" si="88"/>
        <v/>
      </c>
      <c r="BE322" s="1" t="str">
        <f t="shared" si="89"/>
        <v/>
      </c>
      <c r="BF322" s="1" t="str">
        <f t="shared" si="89"/>
        <v/>
      </c>
      <c r="BG322" s="1" t="str">
        <f t="shared" si="89"/>
        <v/>
      </c>
      <c r="BH322" s="1" t="str">
        <f t="shared" si="89"/>
        <v/>
      </c>
      <c r="BI322" s="1" t="str">
        <f t="shared" si="89"/>
        <v/>
      </c>
      <c r="BJ322" s="1" t="str">
        <f t="shared" si="89"/>
        <v/>
      </c>
      <c r="BK322" s="1" t="str">
        <f t="shared" si="89"/>
        <v/>
      </c>
      <c r="BL322" s="1" t="str">
        <f t="shared" si="89"/>
        <v/>
      </c>
      <c r="BM322" s="1" t="str">
        <f t="shared" si="89"/>
        <v/>
      </c>
      <c r="BN322" s="1" t="str">
        <f t="shared" si="89"/>
        <v/>
      </c>
      <c r="BO322" s="1" t="str">
        <f t="shared" si="89"/>
        <v>Webley</v>
      </c>
      <c r="BP322" s="1" t="str">
        <f t="shared" si="89"/>
        <v/>
      </c>
      <c r="BQ322" s="1" t="str">
        <f t="shared" si="89"/>
        <v/>
      </c>
      <c r="BR322" s="1" t="str">
        <f t="shared" si="89"/>
        <v/>
      </c>
      <c r="BS322" s="1" t="str">
        <f t="shared" si="89"/>
        <v/>
      </c>
    </row>
    <row r="323" spans="48:71" x14ac:dyDescent="0.3">
      <c r="AV323" t="s">
        <v>8960</v>
      </c>
      <c r="AZ323" s="1" t="str">
        <f t="shared" si="88"/>
        <v/>
      </c>
      <c r="BA323" s="1" t="str">
        <f t="shared" si="88"/>
        <v/>
      </c>
      <c r="BB323" s="1" t="str">
        <f t="shared" si="88"/>
        <v/>
      </c>
      <c r="BC323" s="1" t="str">
        <f t="shared" si="88"/>
        <v/>
      </c>
      <c r="BD323" s="1" t="str">
        <f t="shared" si="88"/>
        <v/>
      </c>
      <c r="BE323" s="1" t="str">
        <f t="shared" si="89"/>
        <v/>
      </c>
      <c r="BF323" s="1" t="str">
        <f t="shared" si="89"/>
        <v/>
      </c>
      <c r="BG323" s="1" t="str">
        <f t="shared" si="89"/>
        <v/>
      </c>
      <c r="BH323" s="1" t="str">
        <f t="shared" si="89"/>
        <v/>
      </c>
      <c r="BI323" s="1" t="str">
        <f t="shared" si="89"/>
        <v/>
      </c>
      <c r="BJ323" s="1" t="str">
        <f t="shared" si="89"/>
        <v/>
      </c>
      <c r="BK323" s="1" t="str">
        <f t="shared" si="89"/>
        <v/>
      </c>
      <c r="BL323" s="1" t="str">
        <f t="shared" si="89"/>
        <v/>
      </c>
      <c r="BM323" s="1" t="str">
        <f t="shared" si="89"/>
        <v/>
      </c>
      <c r="BN323" s="1" t="str">
        <f t="shared" si="89"/>
        <v/>
      </c>
      <c r="BO323" s="1" t="str">
        <f t="shared" si="89"/>
        <v>Welrod MkIIMod</v>
      </c>
      <c r="BP323" s="1" t="str">
        <f t="shared" si="89"/>
        <v/>
      </c>
      <c r="BQ323" s="1" t="str">
        <f t="shared" si="89"/>
        <v/>
      </c>
      <c r="BR323" s="1" t="str">
        <f t="shared" si="89"/>
        <v/>
      </c>
      <c r="BS323" s="1" t="str">
        <f t="shared" si="89"/>
        <v/>
      </c>
    </row>
    <row r="324" spans="48:71" x14ac:dyDescent="0.3">
      <c r="AV324" t="s">
        <v>928</v>
      </c>
      <c r="AZ324" s="1" t="str">
        <f t="shared" ref="AZ324:BD333" si="90">IF(INDEX($C323:$AF323,MATCH(AZ$2,$C$1:$AF$1,0))="","",INDEX($C323:$AF323,MATCH(AZ$2,$C$1:$AF$1,0)))</f>
        <v/>
      </c>
      <c r="BA324" s="1" t="str">
        <f t="shared" si="90"/>
        <v/>
      </c>
      <c r="BB324" s="1" t="str">
        <f t="shared" si="90"/>
        <v/>
      </c>
      <c r="BC324" s="1" t="str">
        <f t="shared" si="90"/>
        <v/>
      </c>
      <c r="BD324" s="1" t="str">
        <f t="shared" si="90"/>
        <v/>
      </c>
      <c r="BE324" s="1" t="str">
        <f t="shared" ref="BE324:BS333" si="91">IF(INDEX($AH323:$AV323,MATCH(BE$2,$AH$1:$AV$1,0))="","",INDEX($AH323:$AV323,MATCH(BE$2,$AH$1:$AV$1,0)))</f>
        <v/>
      </c>
      <c r="BF324" s="1" t="str">
        <f t="shared" si="91"/>
        <v/>
      </c>
      <c r="BG324" s="1" t="str">
        <f t="shared" si="91"/>
        <v/>
      </c>
      <c r="BH324" s="1" t="str">
        <f t="shared" si="91"/>
        <v/>
      </c>
      <c r="BI324" s="1" t="str">
        <f t="shared" si="91"/>
        <v/>
      </c>
      <c r="BJ324" s="1" t="str">
        <f t="shared" si="91"/>
        <v/>
      </c>
      <c r="BK324" s="1" t="str">
        <f t="shared" si="91"/>
        <v/>
      </c>
      <c r="BL324" s="1" t="str">
        <f t="shared" si="91"/>
        <v/>
      </c>
      <c r="BM324" s="1" t="str">
        <f t="shared" si="91"/>
        <v/>
      </c>
      <c r="BN324" s="1" t="str">
        <f t="shared" si="91"/>
        <v/>
      </c>
      <c r="BO324" s="1" t="str">
        <f t="shared" si="91"/>
        <v>Welrod MkIIModGZ</v>
      </c>
      <c r="BP324" s="1" t="str">
        <f t="shared" si="91"/>
        <v/>
      </c>
      <c r="BQ324" s="1" t="str">
        <f t="shared" si="91"/>
        <v/>
      </c>
      <c r="BR324" s="1" t="str">
        <f t="shared" si="91"/>
        <v/>
      </c>
      <c r="BS324" s="1" t="str">
        <f t="shared" si="91"/>
        <v/>
      </c>
    </row>
    <row r="325" spans="48:71" x14ac:dyDescent="0.3">
      <c r="AV325" t="s">
        <v>5735</v>
      </c>
      <c r="AZ325" s="1" t="str">
        <f t="shared" si="90"/>
        <v/>
      </c>
      <c r="BA325" s="1" t="str">
        <f t="shared" si="90"/>
        <v/>
      </c>
      <c r="BB325" s="1" t="str">
        <f t="shared" si="90"/>
        <v/>
      </c>
      <c r="BC325" s="1" t="str">
        <f t="shared" si="90"/>
        <v/>
      </c>
      <c r="BD325" s="1" t="str">
        <f t="shared" si="90"/>
        <v/>
      </c>
      <c r="BE325" s="1" t="str">
        <f t="shared" si="91"/>
        <v/>
      </c>
      <c r="BF325" s="1" t="str">
        <f t="shared" si="91"/>
        <v/>
      </c>
      <c r="BG325" s="1" t="str">
        <f t="shared" si="91"/>
        <v/>
      </c>
      <c r="BH325" s="1" t="str">
        <f t="shared" si="91"/>
        <v/>
      </c>
      <c r="BI325" s="1" t="str">
        <f t="shared" si="91"/>
        <v/>
      </c>
      <c r="BJ325" s="1" t="str">
        <f t="shared" si="91"/>
        <v/>
      </c>
      <c r="BK325" s="1" t="str">
        <f t="shared" si="91"/>
        <v/>
      </c>
      <c r="BL325" s="1" t="str">
        <f t="shared" si="91"/>
        <v/>
      </c>
      <c r="BM325" s="1" t="str">
        <f t="shared" si="91"/>
        <v/>
      </c>
      <c r="BN325" s="1" t="str">
        <f t="shared" si="91"/>
        <v/>
      </c>
      <c r="BO325" s="1" t="str">
        <f t="shared" si="91"/>
        <v>XM3Mod</v>
      </c>
      <c r="BP325" s="1" t="str">
        <f t="shared" si="91"/>
        <v/>
      </c>
      <c r="BQ325" s="1" t="str">
        <f t="shared" si="91"/>
        <v/>
      </c>
      <c r="BR325" s="1" t="str">
        <f t="shared" si="91"/>
        <v/>
      </c>
      <c r="BS325" s="1" t="str">
        <f t="shared" si="91"/>
        <v/>
      </c>
    </row>
    <row r="326" spans="48:71" x14ac:dyDescent="0.3">
      <c r="AV326" t="s">
        <v>1690</v>
      </c>
      <c r="AZ326" s="1" t="str">
        <f t="shared" si="90"/>
        <v/>
      </c>
      <c r="BA326" s="1" t="str">
        <f t="shared" si="90"/>
        <v/>
      </c>
      <c r="BB326" s="1" t="str">
        <f t="shared" si="90"/>
        <v/>
      </c>
      <c r="BC326" s="1" t="str">
        <f t="shared" si="90"/>
        <v/>
      </c>
      <c r="BD326" s="1" t="str">
        <f t="shared" si="90"/>
        <v/>
      </c>
      <c r="BE326" s="1" t="str">
        <f t="shared" si="91"/>
        <v/>
      </c>
      <c r="BF326" s="1" t="str">
        <f t="shared" si="91"/>
        <v/>
      </c>
      <c r="BG326" s="1" t="str">
        <f t="shared" si="91"/>
        <v/>
      </c>
      <c r="BH326" s="1" t="str">
        <f t="shared" si="91"/>
        <v/>
      </c>
      <c r="BI326" s="1" t="str">
        <f t="shared" si="91"/>
        <v/>
      </c>
      <c r="BJ326" s="1" t="str">
        <f t="shared" si="91"/>
        <v/>
      </c>
      <c r="BK326" s="1" t="str">
        <f t="shared" si="91"/>
        <v/>
      </c>
      <c r="BL326" s="1" t="str">
        <f t="shared" si="91"/>
        <v/>
      </c>
      <c r="BM326" s="1" t="str">
        <f t="shared" si="91"/>
        <v/>
      </c>
      <c r="BN326" s="1" t="str">
        <f t="shared" si="91"/>
        <v/>
      </c>
      <c r="BO326" s="1" t="str">
        <f t="shared" si="91"/>
        <v>XM8Mod</v>
      </c>
      <c r="BP326" s="1" t="str">
        <f t="shared" si="91"/>
        <v/>
      </c>
      <c r="BQ326" s="1" t="str">
        <f t="shared" si="91"/>
        <v/>
      </c>
      <c r="BR326" s="1" t="str">
        <f t="shared" si="91"/>
        <v/>
      </c>
      <c r="BS326" s="1" t="str">
        <f t="shared" si="91"/>
        <v/>
      </c>
    </row>
    <row r="327" spans="48:71" x14ac:dyDescent="0.3">
      <c r="AV327" t="s">
        <v>7011</v>
      </c>
      <c r="AZ327" s="1" t="str">
        <f t="shared" si="90"/>
        <v/>
      </c>
      <c r="BA327" s="1" t="str">
        <f t="shared" si="90"/>
        <v/>
      </c>
      <c r="BB327" s="1" t="str">
        <f t="shared" si="90"/>
        <v/>
      </c>
      <c r="BC327" s="1" t="str">
        <f t="shared" si="90"/>
        <v/>
      </c>
      <c r="BD327" s="1" t="str">
        <f t="shared" si="90"/>
        <v/>
      </c>
      <c r="BE327" s="1" t="str">
        <f t="shared" si="91"/>
        <v/>
      </c>
      <c r="BF327" s="1" t="str">
        <f t="shared" si="91"/>
        <v/>
      </c>
      <c r="BG327" s="1" t="str">
        <f t="shared" si="91"/>
        <v/>
      </c>
      <c r="BH327" s="1" t="str">
        <f t="shared" si="91"/>
        <v/>
      </c>
      <c r="BI327" s="1" t="str">
        <f t="shared" si="91"/>
        <v/>
      </c>
      <c r="BJ327" s="1" t="str">
        <f t="shared" si="91"/>
        <v/>
      </c>
      <c r="BK327" s="1" t="str">
        <f t="shared" si="91"/>
        <v/>
      </c>
      <c r="BL327" s="1" t="str">
        <f t="shared" si="91"/>
        <v/>
      </c>
      <c r="BM327" s="1" t="str">
        <f t="shared" si="91"/>
        <v/>
      </c>
      <c r="BN327" s="1" t="str">
        <f t="shared" si="91"/>
        <v/>
      </c>
      <c r="BO327" s="1" t="str">
        <f t="shared" si="91"/>
        <v>Yurine</v>
      </c>
      <c r="BP327" s="1" t="str">
        <f t="shared" si="91"/>
        <v/>
      </c>
      <c r="BQ327" s="1" t="str">
        <f t="shared" si="91"/>
        <v/>
      </c>
      <c r="BR327" s="1" t="str">
        <f t="shared" si="91"/>
        <v/>
      </c>
      <c r="BS327" s="1" t="str">
        <f t="shared" si="91"/>
        <v/>
      </c>
    </row>
    <row r="328" spans="48:71" x14ac:dyDescent="0.3">
      <c r="AV328" t="s">
        <v>1622</v>
      </c>
      <c r="AZ328" s="1" t="str">
        <f t="shared" si="90"/>
        <v/>
      </c>
      <c r="BA328" s="1" t="str">
        <f t="shared" si="90"/>
        <v/>
      </c>
      <c r="BB328" s="1" t="str">
        <f t="shared" si="90"/>
        <v/>
      </c>
      <c r="BC328" s="1" t="str">
        <f t="shared" si="90"/>
        <v/>
      </c>
      <c r="BD328" s="1" t="str">
        <f t="shared" si="90"/>
        <v/>
      </c>
      <c r="BE328" s="1" t="str">
        <f t="shared" si="91"/>
        <v/>
      </c>
      <c r="BF328" s="1" t="str">
        <f t="shared" si="91"/>
        <v/>
      </c>
      <c r="BG328" s="1" t="str">
        <f t="shared" si="91"/>
        <v/>
      </c>
      <c r="BH328" s="1" t="str">
        <f t="shared" si="91"/>
        <v/>
      </c>
      <c r="BI328" s="1" t="str">
        <f t="shared" si="91"/>
        <v/>
      </c>
      <c r="BJ328" s="1" t="str">
        <f t="shared" si="91"/>
        <v/>
      </c>
      <c r="BK328" s="1" t="str">
        <f t="shared" si="91"/>
        <v/>
      </c>
      <c r="BL328" s="1" t="str">
        <f t="shared" si="91"/>
        <v/>
      </c>
      <c r="BM328" s="1" t="str">
        <f t="shared" si="91"/>
        <v/>
      </c>
      <c r="BN328" s="1" t="str">
        <f t="shared" si="91"/>
        <v/>
      </c>
      <c r="BO328" s="1" t="str">
        <f t="shared" si="91"/>
        <v>Yuugiri</v>
      </c>
      <c r="BP328" s="1" t="str">
        <f t="shared" si="91"/>
        <v/>
      </c>
      <c r="BQ328" s="1" t="str">
        <f t="shared" si="91"/>
        <v/>
      </c>
      <c r="BR328" s="1" t="str">
        <f t="shared" si="91"/>
        <v/>
      </c>
      <c r="BS328" s="1" t="str">
        <f t="shared" si="91"/>
        <v/>
      </c>
    </row>
    <row r="329" spans="48:71" x14ac:dyDescent="0.3">
      <c r="AV329" t="s">
        <v>9152</v>
      </c>
      <c r="AZ329" s="1" t="str">
        <f t="shared" si="90"/>
        <v/>
      </c>
      <c r="BA329" s="1" t="str">
        <f t="shared" si="90"/>
        <v/>
      </c>
      <c r="BB329" s="1" t="str">
        <f t="shared" si="90"/>
        <v/>
      </c>
      <c r="BC329" s="1" t="str">
        <f t="shared" si="90"/>
        <v/>
      </c>
      <c r="BD329" s="1" t="str">
        <f t="shared" si="90"/>
        <v/>
      </c>
      <c r="BE329" s="1" t="str">
        <f t="shared" si="91"/>
        <v/>
      </c>
      <c r="BF329" s="1" t="str">
        <f t="shared" si="91"/>
        <v/>
      </c>
      <c r="BG329" s="1" t="str">
        <f t="shared" si="91"/>
        <v/>
      </c>
      <c r="BH329" s="1" t="str">
        <f t="shared" si="91"/>
        <v/>
      </c>
      <c r="BI329" s="1" t="str">
        <f t="shared" si="91"/>
        <v/>
      </c>
      <c r="BJ329" s="1" t="str">
        <f t="shared" si="91"/>
        <v/>
      </c>
      <c r="BK329" s="1" t="str">
        <f t="shared" si="91"/>
        <v/>
      </c>
      <c r="BL329" s="1" t="str">
        <f t="shared" si="91"/>
        <v/>
      </c>
      <c r="BM329" s="1" t="str">
        <f t="shared" si="91"/>
        <v/>
      </c>
      <c r="BN329" s="1" t="str">
        <f t="shared" si="91"/>
        <v/>
      </c>
      <c r="BO329" s="1" t="str">
        <f t="shared" si="91"/>
        <v>Z62</v>
      </c>
      <c r="BP329" s="1" t="str">
        <f t="shared" si="91"/>
        <v/>
      </c>
      <c r="BQ329" s="1" t="str">
        <f t="shared" si="91"/>
        <v/>
      </c>
      <c r="BR329" s="1" t="str">
        <f t="shared" si="91"/>
        <v/>
      </c>
      <c r="BS329" s="1" t="str">
        <f t="shared" si="91"/>
        <v/>
      </c>
    </row>
    <row r="330" spans="48:71" x14ac:dyDescent="0.3">
      <c r="AV330" t="s">
        <v>1667</v>
      </c>
      <c r="AZ330" s="1" t="str">
        <f t="shared" si="90"/>
        <v/>
      </c>
      <c r="BA330" s="1" t="str">
        <f t="shared" si="90"/>
        <v/>
      </c>
      <c r="BB330" s="1" t="str">
        <f t="shared" si="90"/>
        <v/>
      </c>
      <c r="BC330" s="1" t="str">
        <f t="shared" si="90"/>
        <v/>
      </c>
      <c r="BD330" s="1" t="str">
        <f t="shared" si="90"/>
        <v/>
      </c>
      <c r="BE330" s="1" t="str">
        <f t="shared" si="91"/>
        <v/>
      </c>
      <c r="BF330" s="1" t="str">
        <f t="shared" si="91"/>
        <v/>
      </c>
      <c r="BG330" s="1" t="str">
        <f t="shared" si="91"/>
        <v/>
      </c>
      <c r="BH330" s="1" t="str">
        <f t="shared" si="91"/>
        <v/>
      </c>
      <c r="BI330" s="1" t="str">
        <f t="shared" si="91"/>
        <v/>
      </c>
      <c r="BJ330" s="1" t="str">
        <f t="shared" si="91"/>
        <v/>
      </c>
      <c r="BK330" s="1" t="str">
        <f t="shared" si="91"/>
        <v/>
      </c>
      <c r="BL330" s="1" t="str">
        <f t="shared" si="91"/>
        <v/>
      </c>
      <c r="BM330" s="1" t="str">
        <f t="shared" si="91"/>
        <v/>
      </c>
      <c r="BN330" s="1" t="str">
        <f t="shared" si="91"/>
        <v/>
      </c>
      <c r="BO330" s="1" t="str">
        <f t="shared" si="91"/>
        <v>ZasM21Mod</v>
      </c>
      <c r="BP330" s="1" t="str">
        <f t="shared" si="91"/>
        <v/>
      </c>
      <c r="BQ330" s="1" t="str">
        <f t="shared" si="91"/>
        <v/>
      </c>
      <c r="BR330" s="1" t="str">
        <f t="shared" si="91"/>
        <v/>
      </c>
      <c r="BS330" s="1" t="str">
        <f t="shared" si="91"/>
        <v/>
      </c>
    </row>
    <row r="331" spans="48:71" x14ac:dyDescent="0.3">
      <c r="AV331" t="s">
        <v>9254</v>
      </c>
      <c r="AZ331" s="1" t="str">
        <f t="shared" si="90"/>
        <v/>
      </c>
      <c r="BA331" s="1" t="str">
        <f t="shared" si="90"/>
        <v/>
      </c>
      <c r="BB331" s="1" t="str">
        <f t="shared" si="90"/>
        <v/>
      </c>
      <c r="BC331" s="1" t="str">
        <f t="shared" si="90"/>
        <v/>
      </c>
      <c r="BD331" s="1" t="str">
        <f t="shared" si="90"/>
        <v/>
      </c>
      <c r="BE331" s="1" t="str">
        <f t="shared" si="91"/>
        <v/>
      </c>
      <c r="BF331" s="1" t="str">
        <f t="shared" si="91"/>
        <v/>
      </c>
      <c r="BG331" s="1" t="str">
        <f t="shared" si="91"/>
        <v/>
      </c>
      <c r="BH331" s="1" t="str">
        <f t="shared" si="91"/>
        <v/>
      </c>
      <c r="BI331" s="1" t="str">
        <f t="shared" si="91"/>
        <v/>
      </c>
      <c r="BJ331" s="1" t="str">
        <f t="shared" si="91"/>
        <v/>
      </c>
      <c r="BK331" s="1" t="str">
        <f t="shared" si="91"/>
        <v/>
      </c>
      <c r="BL331" s="1" t="str">
        <f t="shared" si="91"/>
        <v/>
      </c>
      <c r="BM331" s="1" t="str">
        <f t="shared" si="91"/>
        <v/>
      </c>
      <c r="BN331" s="1" t="str">
        <f t="shared" si="91"/>
        <v/>
      </c>
      <c r="BO331" s="1" t="str">
        <f t="shared" si="91"/>
        <v>ZB26</v>
      </c>
      <c r="BP331" s="1" t="str">
        <f t="shared" si="91"/>
        <v/>
      </c>
      <c r="BQ331" s="1" t="str">
        <f t="shared" si="91"/>
        <v/>
      </c>
      <c r="BR331" s="1" t="str">
        <f t="shared" si="91"/>
        <v/>
      </c>
      <c r="BS331" s="1" t="str">
        <f t="shared" si="91"/>
        <v/>
      </c>
    </row>
    <row r="332" spans="48:71" x14ac:dyDescent="0.3">
      <c r="AZ332" s="1" t="str">
        <f t="shared" si="90"/>
        <v/>
      </c>
      <c r="BA332" s="1" t="str">
        <f t="shared" si="90"/>
        <v/>
      </c>
      <c r="BB332" s="1" t="str">
        <f t="shared" si="90"/>
        <v/>
      </c>
      <c r="BC332" s="1" t="str">
        <f t="shared" si="90"/>
        <v/>
      </c>
      <c r="BD332" s="1" t="str">
        <f t="shared" si="90"/>
        <v/>
      </c>
      <c r="BE332" s="1" t="str">
        <f t="shared" si="91"/>
        <v/>
      </c>
      <c r="BF332" s="1" t="str">
        <f t="shared" si="91"/>
        <v/>
      </c>
      <c r="BG332" s="1" t="str">
        <f t="shared" si="91"/>
        <v/>
      </c>
      <c r="BH332" s="1" t="str">
        <f t="shared" si="91"/>
        <v/>
      </c>
      <c r="BI332" s="1" t="str">
        <f t="shared" si="91"/>
        <v/>
      </c>
      <c r="BJ332" s="1" t="str">
        <f t="shared" si="91"/>
        <v/>
      </c>
      <c r="BK332" s="1" t="str">
        <f t="shared" si="91"/>
        <v/>
      </c>
      <c r="BL332" s="1" t="str">
        <f t="shared" si="91"/>
        <v/>
      </c>
      <c r="BM332" s="1" t="str">
        <f t="shared" si="91"/>
        <v/>
      </c>
      <c r="BN332" s="1" t="str">
        <f t="shared" si="91"/>
        <v/>
      </c>
      <c r="BO332" s="1" t="str">
        <f t="shared" si="91"/>
        <v>ZB26GZ</v>
      </c>
      <c r="BP332" s="1" t="str">
        <f t="shared" si="91"/>
        <v/>
      </c>
      <c r="BQ332" s="1" t="str">
        <f t="shared" si="91"/>
        <v/>
      </c>
      <c r="BR332" s="1" t="str">
        <f t="shared" si="91"/>
        <v/>
      </c>
      <c r="BS332" s="1" t="str">
        <f t="shared" si="91"/>
        <v/>
      </c>
    </row>
    <row r="333" spans="48:71" x14ac:dyDescent="0.3">
      <c r="AZ333" s="1" t="str">
        <f t="shared" si="90"/>
        <v/>
      </c>
      <c r="BA333" s="1" t="str">
        <f t="shared" si="90"/>
        <v/>
      </c>
      <c r="BB333" s="1" t="str">
        <f t="shared" si="90"/>
        <v/>
      </c>
      <c r="BC333" s="1" t="str">
        <f t="shared" si="90"/>
        <v/>
      </c>
      <c r="BD333" s="1" t="str">
        <f t="shared" si="90"/>
        <v/>
      </c>
      <c r="BE333" s="1" t="str">
        <f t="shared" si="91"/>
        <v/>
      </c>
      <c r="BF333" s="1" t="str">
        <f t="shared" si="91"/>
        <v/>
      </c>
      <c r="BG333" s="1" t="str">
        <f t="shared" si="91"/>
        <v/>
      </c>
      <c r="BH333" s="1" t="str">
        <f t="shared" si="91"/>
        <v/>
      </c>
      <c r="BI333" s="1" t="str">
        <f t="shared" si="91"/>
        <v/>
      </c>
      <c r="BJ333" s="1" t="str">
        <f t="shared" si="91"/>
        <v/>
      </c>
      <c r="BK333" s="1" t="str">
        <f t="shared" si="91"/>
        <v/>
      </c>
      <c r="BL333" s="1" t="str">
        <f t="shared" si="91"/>
        <v/>
      </c>
      <c r="BM333" s="1" t="str">
        <f t="shared" si="91"/>
        <v/>
      </c>
      <c r="BN333" s="1" t="str">
        <f t="shared" si="91"/>
        <v/>
      </c>
      <c r="BO333" s="1" t="str">
        <f t="shared" si="91"/>
        <v/>
      </c>
      <c r="BP333" s="1" t="str">
        <f t="shared" si="91"/>
        <v/>
      </c>
      <c r="BQ333" s="1" t="str">
        <f t="shared" si="91"/>
        <v/>
      </c>
      <c r="BR333" s="1" t="str">
        <f t="shared" si="91"/>
        <v/>
      </c>
      <c r="BS333" s="1" t="str">
        <f t="shared" si="91"/>
        <v/>
      </c>
    </row>
    <row r="334" spans="48:71" x14ac:dyDescent="0.3">
      <c r="AZ334" s="1" t="str">
        <f t="shared" ref="AZ334:BD334" si="92">IF(INDEX($C333:$AF333,MATCH(AZ$2,$C$1:$AF$1,0))="","",INDEX($C333:$AF333,MATCH(AZ$2,$C$1:$AF$1,0)))</f>
        <v/>
      </c>
      <c r="BA334" s="1" t="str">
        <f t="shared" si="92"/>
        <v/>
      </c>
      <c r="BB334" s="1" t="str">
        <f t="shared" si="92"/>
        <v/>
      </c>
      <c r="BC334" s="1" t="str">
        <f t="shared" si="92"/>
        <v/>
      </c>
      <c r="BD334" s="1" t="str">
        <f t="shared" si="92"/>
        <v/>
      </c>
      <c r="BE334" s="1" t="str">
        <f t="shared" ref="BE334:BS334" si="93">IF(INDEX($AH333:$AV333,MATCH(BE$2,$AH$1:$AV$1,0))="","",INDEX($AH333:$AV333,MATCH(BE$2,$AH$1:$AV$1,0)))</f>
        <v/>
      </c>
      <c r="BF334" s="1" t="str">
        <f t="shared" si="93"/>
        <v/>
      </c>
      <c r="BG334" s="1" t="str">
        <f t="shared" si="93"/>
        <v/>
      </c>
      <c r="BH334" s="1" t="str">
        <f t="shared" si="93"/>
        <v/>
      </c>
      <c r="BI334" s="1" t="str">
        <f t="shared" si="93"/>
        <v/>
      </c>
      <c r="BJ334" s="1" t="str">
        <f t="shared" si="93"/>
        <v/>
      </c>
      <c r="BK334" s="1" t="str">
        <f t="shared" si="93"/>
        <v/>
      </c>
      <c r="BL334" s="1" t="str">
        <f t="shared" si="93"/>
        <v/>
      </c>
      <c r="BM334" s="1" t="str">
        <f t="shared" si="93"/>
        <v/>
      </c>
      <c r="BN334" s="1" t="str">
        <f t="shared" si="93"/>
        <v/>
      </c>
      <c r="BO334" s="1" t="str">
        <f t="shared" si="93"/>
        <v/>
      </c>
      <c r="BP334" s="1" t="str">
        <f t="shared" si="93"/>
        <v/>
      </c>
      <c r="BQ334" s="1" t="str">
        <f t="shared" si="93"/>
        <v/>
      </c>
      <c r="BR334" s="1" t="str">
        <f t="shared" si="93"/>
        <v/>
      </c>
      <c r="BS334" s="1" t="str">
        <f t="shared" si="93"/>
        <v/>
      </c>
    </row>
    <row r="335" spans="48:71" x14ac:dyDescent="0.3">
      <c r="AZ335" s="1" t="str">
        <f t="shared" ref="AZ335:BD335" si="94">IF(INDEX($C334:$AF334,MATCH(AZ$2,$C$1:$AF$1,0))="","",INDEX($C334:$AF334,MATCH(AZ$2,$C$1:$AF$1,0)))</f>
        <v/>
      </c>
      <c r="BA335" s="1" t="str">
        <f t="shared" si="94"/>
        <v/>
      </c>
      <c r="BB335" s="1" t="str">
        <f t="shared" si="94"/>
        <v/>
      </c>
      <c r="BC335" s="1" t="str">
        <f t="shared" si="94"/>
        <v/>
      </c>
      <c r="BD335" s="1" t="str">
        <f t="shared" si="94"/>
        <v/>
      </c>
      <c r="BE335" s="1" t="str">
        <f t="shared" ref="BE335:BS335" si="95">IF(INDEX($AH334:$AV334,MATCH(BE$2,$AH$1:$AV$1,0))="","",INDEX($AH334:$AV334,MATCH(BE$2,$AH$1:$AV$1,0)))</f>
        <v/>
      </c>
      <c r="BF335" s="1" t="str">
        <f t="shared" si="95"/>
        <v/>
      </c>
      <c r="BG335" s="1" t="str">
        <f t="shared" si="95"/>
        <v/>
      </c>
      <c r="BH335" s="1" t="str">
        <f t="shared" si="95"/>
        <v/>
      </c>
      <c r="BI335" s="1" t="str">
        <f t="shared" si="95"/>
        <v/>
      </c>
      <c r="BJ335" s="1" t="str">
        <f t="shared" si="95"/>
        <v/>
      </c>
      <c r="BK335" s="1" t="str">
        <f t="shared" si="95"/>
        <v/>
      </c>
      <c r="BL335" s="1" t="str">
        <f t="shared" si="95"/>
        <v/>
      </c>
      <c r="BM335" s="1" t="str">
        <f t="shared" si="95"/>
        <v/>
      </c>
      <c r="BN335" s="1" t="str">
        <f t="shared" si="95"/>
        <v/>
      </c>
      <c r="BO335" s="1" t="str">
        <f t="shared" si="95"/>
        <v/>
      </c>
      <c r="BP335" s="1" t="str">
        <f t="shared" si="95"/>
        <v/>
      </c>
      <c r="BQ335" s="1" t="str">
        <f t="shared" si="95"/>
        <v/>
      </c>
      <c r="BR335" s="1" t="str">
        <f t="shared" si="95"/>
        <v/>
      </c>
      <c r="BS335" s="1" t="str">
        <f t="shared" si="95"/>
        <v/>
      </c>
    </row>
    <row r="336" spans="48:71" x14ac:dyDescent="0.3">
      <c r="AZ336" s="1" t="str">
        <f t="shared" ref="AZ336:BD336" si="96">IF(INDEX($C335:$AF335,MATCH(AZ$2,$C$1:$AF$1,0))="","",INDEX($C335:$AF335,MATCH(AZ$2,$C$1:$AF$1,0)))</f>
        <v/>
      </c>
      <c r="BA336" s="1" t="str">
        <f t="shared" si="96"/>
        <v/>
      </c>
      <c r="BB336" s="1" t="str">
        <f t="shared" si="96"/>
        <v/>
      </c>
      <c r="BC336" s="1" t="str">
        <f t="shared" si="96"/>
        <v/>
      </c>
      <c r="BD336" s="1" t="str">
        <f t="shared" si="96"/>
        <v/>
      </c>
      <c r="BE336" s="1" t="str">
        <f t="shared" ref="BE336:BS336" si="97">IF(INDEX($AH335:$AV335,MATCH(BE$2,$AH$1:$AV$1,0))="","",INDEX($AH335:$AV335,MATCH(BE$2,$AH$1:$AV$1,0)))</f>
        <v/>
      </c>
      <c r="BF336" s="1" t="str">
        <f t="shared" si="97"/>
        <v/>
      </c>
      <c r="BG336" s="1" t="str">
        <f t="shared" si="97"/>
        <v/>
      </c>
      <c r="BH336" s="1" t="str">
        <f t="shared" si="97"/>
        <v/>
      </c>
      <c r="BI336" s="1" t="str">
        <f t="shared" si="97"/>
        <v/>
      </c>
      <c r="BJ336" s="1" t="str">
        <f t="shared" si="97"/>
        <v/>
      </c>
      <c r="BK336" s="1" t="str">
        <f t="shared" si="97"/>
        <v/>
      </c>
      <c r="BL336" s="1" t="str">
        <f t="shared" si="97"/>
        <v/>
      </c>
      <c r="BM336" s="1" t="str">
        <f t="shared" si="97"/>
        <v/>
      </c>
      <c r="BN336" s="1" t="str">
        <f t="shared" si="97"/>
        <v/>
      </c>
      <c r="BO336" s="1" t="str">
        <f t="shared" si="97"/>
        <v/>
      </c>
      <c r="BP336" s="1" t="str">
        <f t="shared" si="97"/>
        <v/>
      </c>
      <c r="BQ336" s="1" t="str">
        <f t="shared" si="97"/>
        <v/>
      </c>
      <c r="BR336" s="1" t="str">
        <f t="shared" si="97"/>
        <v/>
      </c>
      <c r="BS336" s="1" t="str">
        <f t="shared" si="97"/>
        <v/>
      </c>
    </row>
    <row r="337" spans="52:71" x14ac:dyDescent="0.3">
      <c r="AZ337" s="1" t="str">
        <f t="shared" ref="AZ337:BD337" si="98">IF(INDEX($C336:$AF336,MATCH(AZ$2,$C$1:$AF$1,0))="","",INDEX($C336:$AF336,MATCH(AZ$2,$C$1:$AF$1,0)))</f>
        <v/>
      </c>
      <c r="BA337" s="1" t="str">
        <f t="shared" si="98"/>
        <v/>
      </c>
      <c r="BB337" s="1" t="str">
        <f t="shared" si="98"/>
        <v/>
      </c>
      <c r="BC337" s="1" t="str">
        <f t="shared" si="98"/>
        <v/>
      </c>
      <c r="BD337" s="1" t="str">
        <f t="shared" si="98"/>
        <v/>
      </c>
      <c r="BE337" s="1" t="str">
        <f t="shared" ref="BE337:BS337" si="99">IF(INDEX($AH336:$AV336,MATCH(BE$2,$AH$1:$AV$1,0))="","",INDEX($AH336:$AV336,MATCH(BE$2,$AH$1:$AV$1,0)))</f>
        <v/>
      </c>
      <c r="BF337" s="1" t="str">
        <f t="shared" si="99"/>
        <v/>
      </c>
      <c r="BG337" s="1" t="str">
        <f t="shared" si="99"/>
        <v/>
      </c>
      <c r="BH337" s="1" t="str">
        <f t="shared" si="99"/>
        <v/>
      </c>
      <c r="BI337" s="1" t="str">
        <f t="shared" si="99"/>
        <v/>
      </c>
      <c r="BJ337" s="1" t="str">
        <f t="shared" si="99"/>
        <v/>
      </c>
      <c r="BK337" s="1" t="str">
        <f t="shared" si="99"/>
        <v/>
      </c>
      <c r="BL337" s="1" t="str">
        <f t="shared" si="99"/>
        <v/>
      </c>
      <c r="BM337" s="1" t="str">
        <f t="shared" si="99"/>
        <v/>
      </c>
      <c r="BN337" s="1" t="str">
        <f t="shared" si="99"/>
        <v/>
      </c>
      <c r="BO337" s="1" t="str">
        <f t="shared" si="99"/>
        <v/>
      </c>
      <c r="BP337" s="1" t="str">
        <f t="shared" si="99"/>
        <v/>
      </c>
      <c r="BQ337" s="1" t="str">
        <f t="shared" si="99"/>
        <v/>
      </c>
      <c r="BR337" s="1" t="str">
        <f t="shared" si="99"/>
        <v/>
      </c>
      <c r="BS337" s="1" t="str">
        <f t="shared" si="99"/>
        <v/>
      </c>
    </row>
    <row r="338" spans="52:71" x14ac:dyDescent="0.3">
      <c r="AZ338" s="1" t="str">
        <f t="shared" ref="AZ338:BD338" si="100">IF(INDEX($C337:$AF337,MATCH(AZ$2,$C$1:$AF$1,0))="","",INDEX($C337:$AF337,MATCH(AZ$2,$C$1:$AF$1,0)))</f>
        <v/>
      </c>
      <c r="BA338" s="1" t="str">
        <f t="shared" si="100"/>
        <v/>
      </c>
      <c r="BB338" s="1" t="str">
        <f t="shared" si="100"/>
        <v/>
      </c>
      <c r="BC338" s="1" t="str">
        <f t="shared" si="100"/>
        <v/>
      </c>
      <c r="BD338" s="1" t="str">
        <f t="shared" si="100"/>
        <v/>
      </c>
      <c r="BE338" s="1" t="str">
        <f t="shared" ref="BE338:BS338" si="101">IF(INDEX($AH337:$AV337,MATCH(BE$2,$AH$1:$AV$1,0))="","",INDEX($AH337:$AV337,MATCH(BE$2,$AH$1:$AV$1,0)))</f>
        <v/>
      </c>
      <c r="BF338" s="1" t="str">
        <f t="shared" si="101"/>
        <v/>
      </c>
      <c r="BG338" s="1" t="str">
        <f t="shared" si="101"/>
        <v/>
      </c>
      <c r="BH338" s="1" t="str">
        <f t="shared" si="101"/>
        <v/>
      </c>
      <c r="BI338" s="1" t="str">
        <f t="shared" si="101"/>
        <v/>
      </c>
      <c r="BJ338" s="1" t="str">
        <f t="shared" si="101"/>
        <v/>
      </c>
      <c r="BK338" s="1" t="str">
        <f t="shared" si="101"/>
        <v/>
      </c>
      <c r="BL338" s="1" t="str">
        <f t="shared" si="101"/>
        <v/>
      </c>
      <c r="BM338" s="1" t="str">
        <f t="shared" si="101"/>
        <v/>
      </c>
      <c r="BN338" s="1" t="str">
        <f t="shared" si="101"/>
        <v/>
      </c>
      <c r="BO338" s="1" t="str">
        <f t="shared" si="101"/>
        <v/>
      </c>
      <c r="BP338" s="1" t="str">
        <f t="shared" si="101"/>
        <v/>
      </c>
      <c r="BQ338" s="1" t="str">
        <f t="shared" si="101"/>
        <v/>
      </c>
      <c r="BR338" s="1" t="str">
        <f t="shared" si="101"/>
        <v/>
      </c>
      <c r="BS338" s="1" t="str">
        <f t="shared" si="101"/>
        <v/>
      </c>
    </row>
    <row r="339" spans="52:71" x14ac:dyDescent="0.3">
      <c r="AZ339" s="1" t="str">
        <f t="shared" ref="AZ339:BD339" si="102">IF(INDEX($C338:$AF338,MATCH(AZ$2,$C$1:$AF$1,0))="","",INDEX($C338:$AF338,MATCH(AZ$2,$C$1:$AF$1,0)))</f>
        <v/>
      </c>
      <c r="BA339" s="1" t="str">
        <f t="shared" si="102"/>
        <v/>
      </c>
      <c r="BB339" s="1" t="str">
        <f t="shared" si="102"/>
        <v/>
      </c>
      <c r="BC339" s="1" t="str">
        <f t="shared" si="102"/>
        <v/>
      </c>
      <c r="BD339" s="1" t="str">
        <f t="shared" si="102"/>
        <v/>
      </c>
      <c r="BE339" s="1" t="str">
        <f t="shared" ref="BE339:BS339" si="103">IF(INDEX($AH338:$AV338,MATCH(BE$2,$AH$1:$AV$1,0))="","",INDEX($AH338:$AV338,MATCH(BE$2,$AH$1:$AV$1,0)))</f>
        <v/>
      </c>
      <c r="BF339" s="1" t="str">
        <f t="shared" si="103"/>
        <v/>
      </c>
      <c r="BG339" s="1" t="str">
        <f t="shared" si="103"/>
        <v/>
      </c>
      <c r="BH339" s="1" t="str">
        <f t="shared" si="103"/>
        <v/>
      </c>
      <c r="BI339" s="1" t="str">
        <f t="shared" si="103"/>
        <v/>
      </c>
      <c r="BJ339" s="1" t="str">
        <f t="shared" si="103"/>
        <v/>
      </c>
      <c r="BK339" s="1" t="str">
        <f t="shared" si="103"/>
        <v/>
      </c>
      <c r="BL339" s="1" t="str">
        <f t="shared" si="103"/>
        <v/>
      </c>
      <c r="BM339" s="1" t="str">
        <f t="shared" si="103"/>
        <v/>
      </c>
      <c r="BN339" s="1" t="str">
        <f t="shared" si="103"/>
        <v/>
      </c>
      <c r="BO339" s="1" t="str">
        <f t="shared" si="103"/>
        <v/>
      </c>
      <c r="BP339" s="1" t="str">
        <f t="shared" si="103"/>
        <v/>
      </c>
      <c r="BQ339" s="1" t="str">
        <f t="shared" si="103"/>
        <v/>
      </c>
      <c r="BR339" s="1" t="str">
        <f t="shared" si="103"/>
        <v/>
      </c>
      <c r="BS339" s="1" t="str">
        <f t="shared" si="103"/>
        <v/>
      </c>
    </row>
    <row r="340" spans="52:71" x14ac:dyDescent="0.3">
      <c r="AZ340" s="1" t="str">
        <f t="shared" ref="AZ340:BD340" si="104">IF(INDEX($C339:$AF339,MATCH(AZ$2,$C$1:$AF$1,0))="","",INDEX($C339:$AF339,MATCH(AZ$2,$C$1:$AF$1,0)))</f>
        <v/>
      </c>
      <c r="BA340" s="1" t="str">
        <f t="shared" si="104"/>
        <v/>
      </c>
      <c r="BB340" s="1" t="str">
        <f t="shared" si="104"/>
        <v/>
      </c>
      <c r="BC340" s="1" t="str">
        <f t="shared" si="104"/>
        <v/>
      </c>
      <c r="BD340" s="1" t="str">
        <f t="shared" si="104"/>
        <v/>
      </c>
      <c r="BE340" s="1" t="str">
        <f t="shared" ref="BE340:BS340" si="105">IF(INDEX($AH339:$AV339,MATCH(BE$2,$AH$1:$AV$1,0))="","",INDEX($AH339:$AV339,MATCH(BE$2,$AH$1:$AV$1,0)))</f>
        <v/>
      </c>
      <c r="BF340" s="1" t="str">
        <f t="shared" si="105"/>
        <v/>
      </c>
      <c r="BG340" s="1" t="str">
        <f t="shared" si="105"/>
        <v/>
      </c>
      <c r="BH340" s="1" t="str">
        <f t="shared" si="105"/>
        <v/>
      </c>
      <c r="BI340" s="1" t="str">
        <f t="shared" si="105"/>
        <v/>
      </c>
      <c r="BJ340" s="1" t="str">
        <f t="shared" si="105"/>
        <v/>
      </c>
      <c r="BK340" s="1" t="str">
        <f t="shared" si="105"/>
        <v/>
      </c>
      <c r="BL340" s="1" t="str">
        <f t="shared" si="105"/>
        <v/>
      </c>
      <c r="BM340" s="1" t="str">
        <f t="shared" si="105"/>
        <v/>
      </c>
      <c r="BN340" s="1" t="str">
        <f t="shared" si="105"/>
        <v/>
      </c>
      <c r="BO340" s="1" t="str">
        <f t="shared" si="105"/>
        <v/>
      </c>
      <c r="BP340" s="1" t="str">
        <f t="shared" si="105"/>
        <v/>
      </c>
      <c r="BQ340" s="1" t="str">
        <f t="shared" si="105"/>
        <v/>
      </c>
      <c r="BR340" s="1" t="str">
        <f t="shared" si="105"/>
        <v/>
      </c>
      <c r="BS340" s="1" t="str">
        <f t="shared" si="105"/>
        <v/>
      </c>
    </row>
    <row r="341" spans="52:71" x14ac:dyDescent="0.3">
      <c r="AZ341" s="1" t="str">
        <f t="shared" ref="AZ341:BD341" si="106">IF(INDEX($C340:$AF340,MATCH(AZ$2,$C$1:$AF$1,0))="","",INDEX($C340:$AF340,MATCH(AZ$2,$C$1:$AF$1,0)))</f>
        <v/>
      </c>
      <c r="BA341" s="1" t="str">
        <f t="shared" si="106"/>
        <v/>
      </c>
      <c r="BB341" s="1" t="str">
        <f t="shared" si="106"/>
        <v/>
      </c>
      <c r="BC341" s="1" t="str">
        <f t="shared" si="106"/>
        <v/>
      </c>
      <c r="BD341" s="1" t="str">
        <f t="shared" si="106"/>
        <v/>
      </c>
      <c r="BE341" s="1" t="str">
        <f t="shared" ref="BE341:BS341" si="107">IF(INDEX($AH340:$AV340,MATCH(BE$2,$AH$1:$AV$1,0))="","",INDEX($AH340:$AV340,MATCH(BE$2,$AH$1:$AV$1,0)))</f>
        <v/>
      </c>
      <c r="BF341" s="1" t="str">
        <f t="shared" si="107"/>
        <v/>
      </c>
      <c r="BG341" s="1" t="str">
        <f t="shared" si="107"/>
        <v/>
      </c>
      <c r="BH341" s="1" t="str">
        <f t="shared" si="107"/>
        <v/>
      </c>
      <c r="BI341" s="1" t="str">
        <f t="shared" si="107"/>
        <v/>
      </c>
      <c r="BJ341" s="1" t="str">
        <f t="shared" si="107"/>
        <v/>
      </c>
      <c r="BK341" s="1" t="str">
        <f t="shared" si="107"/>
        <v/>
      </c>
      <c r="BL341" s="1" t="str">
        <f t="shared" si="107"/>
        <v/>
      </c>
      <c r="BM341" s="1" t="str">
        <f t="shared" si="107"/>
        <v/>
      </c>
      <c r="BN341" s="1" t="str">
        <f t="shared" si="107"/>
        <v/>
      </c>
      <c r="BO341" s="1" t="str">
        <f t="shared" si="107"/>
        <v/>
      </c>
      <c r="BP341" s="1" t="str">
        <f t="shared" si="107"/>
        <v/>
      </c>
      <c r="BQ341" s="1" t="str">
        <f t="shared" si="107"/>
        <v/>
      </c>
      <c r="BR341" s="1" t="str">
        <f t="shared" si="107"/>
        <v/>
      </c>
      <c r="BS341" s="1" t="str">
        <f t="shared" si="107"/>
        <v/>
      </c>
    </row>
    <row r="342" spans="52:71" x14ac:dyDescent="0.3">
      <c r="AZ342" s="1" t="str">
        <f t="shared" ref="AZ342:BD342" si="108">IF(INDEX($C341:$AF341,MATCH(AZ$2,$C$1:$AF$1,0))="","",INDEX($C341:$AF341,MATCH(AZ$2,$C$1:$AF$1,0)))</f>
        <v/>
      </c>
      <c r="BA342" s="1" t="str">
        <f t="shared" si="108"/>
        <v/>
      </c>
      <c r="BB342" s="1" t="str">
        <f t="shared" si="108"/>
        <v/>
      </c>
      <c r="BC342" s="1" t="str">
        <f t="shared" si="108"/>
        <v/>
      </c>
      <c r="BD342" s="1" t="str">
        <f t="shared" si="108"/>
        <v/>
      </c>
      <c r="BE342" s="1" t="str">
        <f t="shared" ref="BE342:BS342" si="109">IF(INDEX($AH341:$AV341,MATCH(BE$2,$AH$1:$AV$1,0))="","",INDEX($AH341:$AV341,MATCH(BE$2,$AH$1:$AV$1,0)))</f>
        <v/>
      </c>
      <c r="BF342" s="1" t="str">
        <f t="shared" si="109"/>
        <v/>
      </c>
      <c r="BG342" s="1" t="str">
        <f t="shared" si="109"/>
        <v/>
      </c>
      <c r="BH342" s="1" t="str">
        <f t="shared" si="109"/>
        <v/>
      </c>
      <c r="BI342" s="1" t="str">
        <f t="shared" si="109"/>
        <v/>
      </c>
      <c r="BJ342" s="1" t="str">
        <f t="shared" si="109"/>
        <v/>
      </c>
      <c r="BK342" s="1" t="str">
        <f t="shared" si="109"/>
        <v/>
      </c>
      <c r="BL342" s="1" t="str">
        <f t="shared" si="109"/>
        <v/>
      </c>
      <c r="BM342" s="1" t="str">
        <f t="shared" si="109"/>
        <v/>
      </c>
      <c r="BN342" s="1" t="str">
        <f t="shared" si="109"/>
        <v/>
      </c>
      <c r="BO342" s="1" t="str">
        <f t="shared" si="109"/>
        <v/>
      </c>
      <c r="BP342" s="1" t="str">
        <f t="shared" si="109"/>
        <v/>
      </c>
      <c r="BQ342" s="1" t="str">
        <f t="shared" si="109"/>
        <v/>
      </c>
      <c r="BR342" s="1" t="str">
        <f t="shared" si="109"/>
        <v/>
      </c>
      <c r="BS342" s="1" t="str">
        <f t="shared" si="109"/>
        <v/>
      </c>
    </row>
    <row r="343" spans="52:71" x14ac:dyDescent="0.3">
      <c r="AZ343" s="1" t="str">
        <f t="shared" ref="AZ343:BD343" si="110">IF(INDEX($C342:$AF342,MATCH(AZ$2,$C$1:$AF$1,0))="","",INDEX($C342:$AF342,MATCH(AZ$2,$C$1:$AF$1,0)))</f>
        <v/>
      </c>
      <c r="BA343" s="1" t="str">
        <f t="shared" si="110"/>
        <v/>
      </c>
      <c r="BB343" s="1" t="str">
        <f t="shared" si="110"/>
        <v/>
      </c>
      <c r="BC343" s="1" t="str">
        <f t="shared" si="110"/>
        <v/>
      </c>
      <c r="BD343" s="1" t="str">
        <f t="shared" si="110"/>
        <v/>
      </c>
      <c r="BE343" s="1" t="str">
        <f t="shared" ref="BE343:BS343" si="111">IF(INDEX($AH342:$AV342,MATCH(BE$2,$AH$1:$AV$1,0))="","",INDEX($AH342:$AV342,MATCH(BE$2,$AH$1:$AV$1,0)))</f>
        <v/>
      </c>
      <c r="BF343" s="1" t="str">
        <f t="shared" si="111"/>
        <v/>
      </c>
      <c r="BG343" s="1" t="str">
        <f t="shared" si="111"/>
        <v/>
      </c>
      <c r="BH343" s="1" t="str">
        <f t="shared" si="111"/>
        <v/>
      </c>
      <c r="BI343" s="1" t="str">
        <f t="shared" si="111"/>
        <v/>
      </c>
      <c r="BJ343" s="1" t="str">
        <f t="shared" si="111"/>
        <v/>
      </c>
      <c r="BK343" s="1" t="str">
        <f t="shared" si="111"/>
        <v/>
      </c>
      <c r="BL343" s="1" t="str">
        <f t="shared" si="111"/>
        <v/>
      </c>
      <c r="BM343" s="1" t="str">
        <f t="shared" si="111"/>
        <v/>
      </c>
      <c r="BN343" s="1" t="str">
        <f t="shared" si="111"/>
        <v/>
      </c>
      <c r="BO343" s="1" t="str">
        <f t="shared" si="111"/>
        <v/>
      </c>
      <c r="BP343" s="1" t="str">
        <f t="shared" si="111"/>
        <v/>
      </c>
      <c r="BQ343" s="1" t="str">
        <f t="shared" si="111"/>
        <v/>
      </c>
      <c r="BR343" s="1" t="str">
        <f t="shared" si="111"/>
        <v/>
      </c>
      <c r="BS343" s="1" t="str">
        <f t="shared" si="111"/>
        <v/>
      </c>
    </row>
    <row r="344" spans="52:71" x14ac:dyDescent="0.3">
      <c r="AZ344" s="1" t="str">
        <f t="shared" ref="AZ344:BD344" si="112">IF(INDEX($C343:$AF343,MATCH(AZ$2,$C$1:$AF$1,0))="","",INDEX($C343:$AF343,MATCH(AZ$2,$C$1:$AF$1,0)))</f>
        <v/>
      </c>
      <c r="BA344" s="1" t="str">
        <f t="shared" si="112"/>
        <v/>
      </c>
      <c r="BB344" s="1" t="str">
        <f t="shared" si="112"/>
        <v/>
      </c>
      <c r="BC344" s="1" t="str">
        <f t="shared" si="112"/>
        <v/>
      </c>
      <c r="BD344" s="1" t="str">
        <f t="shared" si="112"/>
        <v/>
      </c>
      <c r="BE344" s="1" t="str">
        <f t="shared" ref="BE344:BS344" si="113">IF(INDEX($AH343:$AV343,MATCH(BE$2,$AH$1:$AV$1,0))="","",INDEX($AH343:$AV343,MATCH(BE$2,$AH$1:$AV$1,0)))</f>
        <v/>
      </c>
      <c r="BF344" s="1" t="str">
        <f t="shared" si="113"/>
        <v/>
      </c>
      <c r="BG344" s="1" t="str">
        <f t="shared" si="113"/>
        <v/>
      </c>
      <c r="BH344" s="1" t="str">
        <f t="shared" si="113"/>
        <v/>
      </c>
      <c r="BI344" s="1" t="str">
        <f t="shared" si="113"/>
        <v/>
      </c>
      <c r="BJ344" s="1" t="str">
        <f t="shared" si="113"/>
        <v/>
      </c>
      <c r="BK344" s="1" t="str">
        <f t="shared" si="113"/>
        <v/>
      </c>
      <c r="BL344" s="1" t="str">
        <f t="shared" si="113"/>
        <v/>
      </c>
      <c r="BM344" s="1" t="str">
        <f t="shared" si="113"/>
        <v/>
      </c>
      <c r="BN344" s="1" t="str">
        <f t="shared" si="113"/>
        <v/>
      </c>
      <c r="BO344" s="1" t="str">
        <f t="shared" si="113"/>
        <v/>
      </c>
      <c r="BP344" s="1" t="str">
        <f t="shared" si="113"/>
        <v/>
      </c>
      <c r="BQ344" s="1" t="str">
        <f t="shared" si="113"/>
        <v/>
      </c>
      <c r="BR344" s="1" t="str">
        <f t="shared" si="113"/>
        <v/>
      </c>
      <c r="BS344" s="1" t="str">
        <f t="shared" si="113"/>
        <v/>
      </c>
    </row>
    <row r="345" spans="52:71" x14ac:dyDescent="0.3">
      <c r="AZ345" s="1" t="str">
        <f t="shared" ref="AZ345:BD345" si="114">IF(INDEX($C344:$AF344,MATCH(AZ$2,$C$1:$AF$1,0))="","",INDEX($C344:$AF344,MATCH(AZ$2,$C$1:$AF$1,0)))</f>
        <v/>
      </c>
      <c r="BA345" s="1" t="str">
        <f t="shared" si="114"/>
        <v/>
      </c>
      <c r="BB345" s="1" t="str">
        <f t="shared" si="114"/>
        <v/>
      </c>
      <c r="BC345" s="1" t="str">
        <f t="shared" si="114"/>
        <v/>
      </c>
      <c r="BD345" s="1" t="str">
        <f t="shared" si="114"/>
        <v/>
      </c>
      <c r="BE345" s="1" t="str">
        <f t="shared" ref="BE345:BS345" si="115">IF(INDEX($AH344:$AV344,MATCH(BE$2,$AH$1:$AV$1,0))="","",INDEX($AH344:$AV344,MATCH(BE$2,$AH$1:$AV$1,0)))</f>
        <v/>
      </c>
      <c r="BF345" s="1" t="str">
        <f t="shared" si="115"/>
        <v/>
      </c>
      <c r="BG345" s="1" t="str">
        <f t="shared" si="115"/>
        <v/>
      </c>
      <c r="BH345" s="1" t="str">
        <f t="shared" si="115"/>
        <v/>
      </c>
      <c r="BI345" s="1" t="str">
        <f t="shared" si="115"/>
        <v/>
      </c>
      <c r="BJ345" s="1" t="str">
        <f t="shared" si="115"/>
        <v/>
      </c>
      <c r="BK345" s="1" t="str">
        <f t="shared" si="115"/>
        <v/>
      </c>
      <c r="BL345" s="1" t="str">
        <f t="shared" si="115"/>
        <v/>
      </c>
      <c r="BM345" s="1" t="str">
        <f t="shared" si="115"/>
        <v/>
      </c>
      <c r="BN345" s="1" t="str">
        <f t="shared" si="115"/>
        <v/>
      </c>
      <c r="BO345" s="1" t="str">
        <f t="shared" si="115"/>
        <v/>
      </c>
      <c r="BP345" s="1" t="str">
        <f t="shared" si="115"/>
        <v/>
      </c>
      <c r="BQ345" s="1" t="str">
        <f t="shared" si="115"/>
        <v/>
      </c>
      <c r="BR345" s="1" t="str">
        <f t="shared" si="115"/>
        <v/>
      </c>
      <c r="BS345" s="1" t="str">
        <f t="shared" si="115"/>
        <v/>
      </c>
    </row>
    <row r="346" spans="52:71" x14ac:dyDescent="0.3">
      <c r="AZ346" s="1" t="str">
        <f t="shared" ref="AZ346:BD346" si="116">IF(INDEX($C345:$AF345,MATCH(AZ$2,$C$1:$AF$1,0))="","",INDEX($C345:$AF345,MATCH(AZ$2,$C$1:$AF$1,0)))</f>
        <v/>
      </c>
      <c r="BA346" s="1" t="str">
        <f t="shared" si="116"/>
        <v/>
      </c>
      <c r="BB346" s="1" t="str">
        <f t="shared" si="116"/>
        <v/>
      </c>
      <c r="BC346" s="1" t="str">
        <f t="shared" si="116"/>
        <v/>
      </c>
      <c r="BD346" s="1" t="str">
        <f t="shared" si="116"/>
        <v/>
      </c>
      <c r="BE346" s="1" t="str">
        <f t="shared" ref="BE346:BS346" si="117">IF(INDEX($AH345:$AV345,MATCH(BE$2,$AH$1:$AV$1,0))="","",INDEX($AH345:$AV345,MATCH(BE$2,$AH$1:$AV$1,0)))</f>
        <v/>
      </c>
      <c r="BF346" s="1" t="str">
        <f t="shared" si="117"/>
        <v/>
      </c>
      <c r="BG346" s="1" t="str">
        <f t="shared" si="117"/>
        <v/>
      </c>
      <c r="BH346" s="1" t="str">
        <f t="shared" si="117"/>
        <v/>
      </c>
      <c r="BI346" s="1" t="str">
        <f t="shared" si="117"/>
        <v/>
      </c>
      <c r="BJ346" s="1" t="str">
        <f t="shared" si="117"/>
        <v/>
      </c>
      <c r="BK346" s="1" t="str">
        <f t="shared" si="117"/>
        <v/>
      </c>
      <c r="BL346" s="1" t="str">
        <f t="shared" si="117"/>
        <v/>
      </c>
      <c r="BM346" s="1" t="str">
        <f t="shared" si="117"/>
        <v/>
      </c>
      <c r="BN346" s="1" t="str">
        <f t="shared" si="117"/>
        <v/>
      </c>
      <c r="BO346" s="1" t="str">
        <f t="shared" si="117"/>
        <v/>
      </c>
      <c r="BP346" s="1" t="str">
        <f t="shared" si="117"/>
        <v/>
      </c>
      <c r="BQ346" s="1" t="str">
        <f t="shared" si="117"/>
        <v/>
      </c>
      <c r="BR346" s="1" t="str">
        <f t="shared" si="117"/>
        <v/>
      </c>
      <c r="BS346" s="1" t="str">
        <f t="shared" si="117"/>
        <v/>
      </c>
    </row>
    <row r="347" spans="52:71" x14ac:dyDescent="0.3">
      <c r="AZ347" s="1" t="str">
        <f t="shared" ref="AZ347:BD347" si="118">IF(INDEX($C346:$AF346,MATCH(AZ$2,$C$1:$AF$1,0))="","",INDEX($C346:$AF346,MATCH(AZ$2,$C$1:$AF$1,0)))</f>
        <v/>
      </c>
      <c r="BA347" s="1" t="str">
        <f t="shared" si="118"/>
        <v/>
      </c>
      <c r="BB347" s="1" t="str">
        <f t="shared" si="118"/>
        <v/>
      </c>
      <c r="BC347" s="1" t="str">
        <f t="shared" si="118"/>
        <v/>
      </c>
      <c r="BD347" s="1" t="str">
        <f t="shared" si="118"/>
        <v/>
      </c>
      <c r="BE347" s="1" t="str">
        <f t="shared" ref="BE347:BS347" si="119">IF(INDEX($AH346:$AV346,MATCH(BE$2,$AH$1:$AV$1,0))="","",INDEX($AH346:$AV346,MATCH(BE$2,$AH$1:$AV$1,0)))</f>
        <v/>
      </c>
      <c r="BF347" s="1" t="str">
        <f t="shared" si="119"/>
        <v/>
      </c>
      <c r="BG347" s="1" t="str">
        <f t="shared" si="119"/>
        <v/>
      </c>
      <c r="BH347" s="1" t="str">
        <f t="shared" si="119"/>
        <v/>
      </c>
      <c r="BI347" s="1" t="str">
        <f t="shared" si="119"/>
        <v/>
      </c>
      <c r="BJ347" s="1" t="str">
        <f t="shared" si="119"/>
        <v/>
      </c>
      <c r="BK347" s="1" t="str">
        <f t="shared" si="119"/>
        <v/>
      </c>
      <c r="BL347" s="1" t="str">
        <f t="shared" si="119"/>
        <v/>
      </c>
      <c r="BM347" s="1" t="str">
        <f t="shared" si="119"/>
        <v/>
      </c>
      <c r="BN347" s="1" t="str">
        <f t="shared" si="119"/>
        <v/>
      </c>
      <c r="BO347" s="1" t="str">
        <f t="shared" si="119"/>
        <v/>
      </c>
      <c r="BP347" s="1" t="str">
        <f t="shared" si="119"/>
        <v/>
      </c>
      <c r="BQ347" s="1" t="str">
        <f t="shared" si="119"/>
        <v/>
      </c>
      <c r="BR347" s="1" t="str">
        <f t="shared" si="119"/>
        <v/>
      </c>
      <c r="BS347" s="1" t="str">
        <f t="shared" si="119"/>
        <v/>
      </c>
    </row>
    <row r="348" spans="52:71" x14ac:dyDescent="0.3">
      <c r="AZ348" s="1" t="str">
        <f t="shared" ref="AZ348:BD348" si="120">IF(INDEX($C347:$AF347,MATCH(AZ$2,$C$1:$AF$1,0))="","",INDEX($C347:$AF347,MATCH(AZ$2,$C$1:$AF$1,0)))</f>
        <v/>
      </c>
      <c r="BA348" s="1" t="str">
        <f t="shared" si="120"/>
        <v/>
      </c>
      <c r="BB348" s="1" t="str">
        <f t="shared" si="120"/>
        <v/>
      </c>
      <c r="BC348" s="1" t="str">
        <f t="shared" si="120"/>
        <v/>
      </c>
      <c r="BD348" s="1" t="str">
        <f t="shared" si="120"/>
        <v/>
      </c>
      <c r="BE348" s="1" t="str">
        <f t="shared" ref="BE348:BS348" si="121">IF(INDEX($AH347:$AV347,MATCH(BE$2,$AH$1:$AV$1,0))="","",INDEX($AH347:$AV347,MATCH(BE$2,$AH$1:$AV$1,0)))</f>
        <v/>
      </c>
      <c r="BF348" s="1" t="str">
        <f t="shared" si="121"/>
        <v/>
      </c>
      <c r="BG348" s="1" t="str">
        <f t="shared" si="121"/>
        <v/>
      </c>
      <c r="BH348" s="1" t="str">
        <f t="shared" si="121"/>
        <v/>
      </c>
      <c r="BI348" s="1" t="str">
        <f t="shared" si="121"/>
        <v/>
      </c>
      <c r="BJ348" s="1" t="str">
        <f t="shared" si="121"/>
        <v/>
      </c>
      <c r="BK348" s="1" t="str">
        <f t="shared" si="121"/>
        <v/>
      </c>
      <c r="BL348" s="1" t="str">
        <f t="shared" si="121"/>
        <v/>
      </c>
      <c r="BM348" s="1" t="str">
        <f t="shared" si="121"/>
        <v/>
      </c>
      <c r="BN348" s="1" t="str">
        <f t="shared" si="121"/>
        <v/>
      </c>
      <c r="BO348" s="1" t="str">
        <f t="shared" si="121"/>
        <v/>
      </c>
      <c r="BP348" s="1" t="str">
        <f t="shared" si="121"/>
        <v/>
      </c>
      <c r="BQ348" s="1" t="str">
        <f t="shared" si="121"/>
        <v/>
      </c>
      <c r="BR348" s="1" t="str">
        <f t="shared" si="121"/>
        <v/>
      </c>
      <c r="BS348" s="1" t="str">
        <f t="shared" si="121"/>
        <v/>
      </c>
    </row>
    <row r="349" spans="52:71" x14ac:dyDescent="0.3">
      <c r="AZ349" s="1" t="str">
        <f t="shared" ref="AZ349:BD349" si="122">IF(INDEX($C348:$AF348,MATCH(AZ$2,$C$1:$AF$1,0))="","",INDEX($C348:$AF348,MATCH(AZ$2,$C$1:$AF$1,0)))</f>
        <v/>
      </c>
      <c r="BA349" s="1" t="str">
        <f t="shared" si="122"/>
        <v/>
      </c>
      <c r="BB349" s="1" t="str">
        <f t="shared" si="122"/>
        <v/>
      </c>
      <c r="BC349" s="1" t="str">
        <f t="shared" si="122"/>
        <v/>
      </c>
      <c r="BD349" s="1" t="str">
        <f t="shared" si="122"/>
        <v/>
      </c>
      <c r="BE349" s="1" t="str">
        <f t="shared" ref="BE349:BS349" si="123">IF(INDEX($AH348:$AV348,MATCH(BE$2,$AH$1:$AV$1,0))="","",INDEX($AH348:$AV348,MATCH(BE$2,$AH$1:$AV$1,0)))</f>
        <v/>
      </c>
      <c r="BF349" s="1" t="str">
        <f t="shared" si="123"/>
        <v/>
      </c>
      <c r="BG349" s="1" t="str">
        <f t="shared" si="123"/>
        <v/>
      </c>
      <c r="BH349" s="1" t="str">
        <f t="shared" si="123"/>
        <v/>
      </c>
      <c r="BI349" s="1" t="str">
        <f t="shared" si="123"/>
        <v/>
      </c>
      <c r="BJ349" s="1" t="str">
        <f t="shared" si="123"/>
        <v/>
      </c>
      <c r="BK349" s="1" t="str">
        <f t="shared" si="123"/>
        <v/>
      </c>
      <c r="BL349" s="1" t="str">
        <f t="shared" si="123"/>
        <v/>
      </c>
      <c r="BM349" s="1" t="str">
        <f t="shared" si="123"/>
        <v/>
      </c>
      <c r="BN349" s="1" t="str">
        <f t="shared" si="123"/>
        <v/>
      </c>
      <c r="BO349" s="1" t="str">
        <f t="shared" si="123"/>
        <v/>
      </c>
      <c r="BP349" s="1" t="str">
        <f t="shared" si="123"/>
        <v/>
      </c>
      <c r="BQ349" s="1" t="str">
        <f t="shared" si="123"/>
        <v/>
      </c>
      <c r="BR349" s="1" t="str">
        <f t="shared" si="123"/>
        <v/>
      </c>
      <c r="BS349" s="1" t="str">
        <f t="shared" si="123"/>
        <v/>
      </c>
    </row>
    <row r="350" spans="52:71" x14ac:dyDescent="0.3">
      <c r="AZ350" s="1" t="str">
        <f t="shared" ref="AZ350:BD350" si="124">IF(INDEX($C349:$AF349,MATCH(AZ$2,$C$1:$AF$1,0))="","",INDEX($C349:$AF349,MATCH(AZ$2,$C$1:$AF$1,0)))</f>
        <v/>
      </c>
      <c r="BA350" s="1" t="str">
        <f t="shared" si="124"/>
        <v/>
      </c>
      <c r="BB350" s="1" t="str">
        <f t="shared" si="124"/>
        <v/>
      </c>
      <c r="BC350" s="1" t="str">
        <f t="shared" si="124"/>
        <v/>
      </c>
      <c r="BD350" s="1" t="str">
        <f t="shared" si="124"/>
        <v/>
      </c>
      <c r="BE350" s="1" t="str">
        <f t="shared" ref="BE350:BS350" si="125">IF(INDEX($AH349:$AV349,MATCH(BE$2,$AH$1:$AV$1,0))="","",INDEX($AH349:$AV349,MATCH(BE$2,$AH$1:$AV$1,0)))</f>
        <v/>
      </c>
      <c r="BF350" s="1" t="str">
        <f t="shared" si="125"/>
        <v/>
      </c>
      <c r="BG350" s="1" t="str">
        <f t="shared" si="125"/>
        <v/>
      </c>
      <c r="BH350" s="1" t="str">
        <f t="shared" si="125"/>
        <v/>
      </c>
      <c r="BI350" s="1" t="str">
        <f t="shared" si="125"/>
        <v/>
      </c>
      <c r="BJ350" s="1" t="str">
        <f t="shared" si="125"/>
        <v/>
      </c>
      <c r="BK350" s="1" t="str">
        <f t="shared" si="125"/>
        <v/>
      </c>
      <c r="BL350" s="1" t="str">
        <f t="shared" si="125"/>
        <v/>
      </c>
      <c r="BM350" s="1" t="str">
        <f t="shared" si="125"/>
        <v/>
      </c>
      <c r="BN350" s="1" t="str">
        <f t="shared" si="125"/>
        <v/>
      </c>
      <c r="BO350" s="1" t="str">
        <f t="shared" si="125"/>
        <v/>
      </c>
      <c r="BP350" s="1" t="str">
        <f t="shared" si="125"/>
        <v/>
      </c>
      <c r="BQ350" s="1" t="str">
        <f t="shared" si="125"/>
        <v/>
      </c>
      <c r="BR350" s="1" t="str">
        <f t="shared" si="125"/>
        <v/>
      </c>
      <c r="BS350" s="1" t="str">
        <f t="shared" si="125"/>
        <v/>
      </c>
    </row>
    <row r="351" spans="52:71" x14ac:dyDescent="0.3">
      <c r="AZ351" s="1" t="str">
        <f t="shared" ref="AZ351:BD351" si="126">IF(INDEX($C350:$AF350,MATCH(AZ$2,$C$1:$AF$1,0))="","",INDEX($C350:$AF350,MATCH(AZ$2,$C$1:$AF$1,0)))</f>
        <v/>
      </c>
      <c r="BA351" s="1" t="str">
        <f t="shared" si="126"/>
        <v/>
      </c>
      <c r="BB351" s="1" t="str">
        <f t="shared" si="126"/>
        <v/>
      </c>
      <c r="BC351" s="1" t="str">
        <f t="shared" si="126"/>
        <v/>
      </c>
      <c r="BD351" s="1" t="str">
        <f t="shared" si="126"/>
        <v/>
      </c>
      <c r="BE351" s="1" t="str">
        <f t="shared" ref="BE351:BS351" si="127">IF(INDEX($AH350:$AV350,MATCH(BE$2,$AH$1:$AV$1,0))="","",INDEX($AH350:$AV350,MATCH(BE$2,$AH$1:$AV$1,0)))</f>
        <v/>
      </c>
      <c r="BF351" s="1" t="str">
        <f t="shared" si="127"/>
        <v/>
      </c>
      <c r="BG351" s="1" t="str">
        <f t="shared" si="127"/>
        <v/>
      </c>
      <c r="BH351" s="1" t="str">
        <f t="shared" si="127"/>
        <v/>
      </c>
      <c r="BI351" s="1" t="str">
        <f t="shared" si="127"/>
        <v/>
      </c>
      <c r="BJ351" s="1" t="str">
        <f t="shared" si="127"/>
        <v/>
      </c>
      <c r="BK351" s="1" t="str">
        <f t="shared" si="127"/>
        <v/>
      </c>
      <c r="BL351" s="1" t="str">
        <f t="shared" si="127"/>
        <v/>
      </c>
      <c r="BM351" s="1" t="str">
        <f t="shared" si="127"/>
        <v/>
      </c>
      <c r="BN351" s="1" t="str">
        <f t="shared" si="127"/>
        <v/>
      </c>
      <c r="BO351" s="1" t="str">
        <f t="shared" si="127"/>
        <v/>
      </c>
      <c r="BP351" s="1" t="str">
        <f t="shared" si="127"/>
        <v/>
      </c>
      <c r="BQ351" s="1" t="str">
        <f t="shared" si="127"/>
        <v/>
      </c>
      <c r="BR351" s="1" t="str">
        <f t="shared" si="127"/>
        <v/>
      </c>
      <c r="BS351" s="1" t="str">
        <f t="shared" si="127"/>
        <v/>
      </c>
    </row>
    <row r="352" spans="52:71" x14ac:dyDescent="0.3">
      <c r="AZ352" s="1" t="str">
        <f t="shared" ref="AZ352:BD352" si="128">IF(INDEX($C351:$AF351,MATCH(AZ$2,$C$1:$AF$1,0))="","",INDEX($C351:$AF351,MATCH(AZ$2,$C$1:$AF$1,0)))</f>
        <v/>
      </c>
      <c r="BA352" s="1" t="str">
        <f t="shared" si="128"/>
        <v/>
      </c>
      <c r="BB352" s="1" t="str">
        <f t="shared" si="128"/>
        <v/>
      </c>
      <c r="BC352" s="1" t="str">
        <f t="shared" si="128"/>
        <v/>
      </c>
      <c r="BD352" s="1" t="str">
        <f t="shared" si="128"/>
        <v/>
      </c>
      <c r="BE352" s="1" t="str">
        <f t="shared" ref="BE352:BS352" si="129">IF(INDEX($AH351:$AV351,MATCH(BE$2,$AH$1:$AV$1,0))="","",INDEX($AH351:$AV351,MATCH(BE$2,$AH$1:$AV$1,0)))</f>
        <v/>
      </c>
      <c r="BF352" s="1" t="str">
        <f t="shared" si="129"/>
        <v/>
      </c>
      <c r="BG352" s="1" t="str">
        <f t="shared" si="129"/>
        <v/>
      </c>
      <c r="BH352" s="1" t="str">
        <f t="shared" si="129"/>
        <v/>
      </c>
      <c r="BI352" s="1" t="str">
        <f t="shared" si="129"/>
        <v/>
      </c>
      <c r="BJ352" s="1" t="str">
        <f t="shared" si="129"/>
        <v/>
      </c>
      <c r="BK352" s="1" t="str">
        <f t="shared" si="129"/>
        <v/>
      </c>
      <c r="BL352" s="1" t="str">
        <f t="shared" si="129"/>
        <v/>
      </c>
      <c r="BM352" s="1" t="str">
        <f t="shared" si="129"/>
        <v/>
      </c>
      <c r="BN352" s="1" t="str">
        <f t="shared" si="129"/>
        <v/>
      </c>
      <c r="BO352" s="1" t="str">
        <f t="shared" si="129"/>
        <v/>
      </c>
      <c r="BP352" s="1" t="str">
        <f t="shared" si="129"/>
        <v/>
      </c>
      <c r="BQ352" s="1" t="str">
        <f t="shared" si="129"/>
        <v/>
      </c>
      <c r="BR352" s="1" t="str">
        <f t="shared" si="129"/>
        <v/>
      </c>
      <c r="BS352" s="1" t="str">
        <f t="shared" si="129"/>
        <v/>
      </c>
    </row>
    <row r="353" spans="52:71" x14ac:dyDescent="0.3">
      <c r="AZ353" s="1" t="str">
        <f t="shared" ref="AZ353:BD353" si="130">IF(INDEX($C352:$AF352,MATCH(AZ$2,$C$1:$AF$1,0))="","",INDEX($C352:$AF352,MATCH(AZ$2,$C$1:$AF$1,0)))</f>
        <v/>
      </c>
      <c r="BA353" s="1" t="str">
        <f t="shared" si="130"/>
        <v/>
      </c>
      <c r="BB353" s="1" t="str">
        <f t="shared" si="130"/>
        <v/>
      </c>
      <c r="BC353" s="1" t="str">
        <f t="shared" si="130"/>
        <v/>
      </c>
      <c r="BD353" s="1" t="str">
        <f t="shared" si="130"/>
        <v/>
      </c>
      <c r="BE353" s="1" t="str">
        <f t="shared" ref="BE353:BS353" si="131">IF(INDEX($AH352:$AV352,MATCH(BE$2,$AH$1:$AV$1,0))="","",INDEX($AH352:$AV352,MATCH(BE$2,$AH$1:$AV$1,0)))</f>
        <v/>
      </c>
      <c r="BF353" s="1" t="str">
        <f t="shared" si="131"/>
        <v/>
      </c>
      <c r="BG353" s="1" t="str">
        <f t="shared" si="131"/>
        <v/>
      </c>
      <c r="BH353" s="1" t="str">
        <f t="shared" si="131"/>
        <v/>
      </c>
      <c r="BI353" s="1" t="str">
        <f t="shared" si="131"/>
        <v/>
      </c>
      <c r="BJ353" s="1" t="str">
        <f t="shared" si="131"/>
        <v/>
      </c>
      <c r="BK353" s="1" t="str">
        <f t="shared" si="131"/>
        <v/>
      </c>
      <c r="BL353" s="1" t="str">
        <f t="shared" si="131"/>
        <v/>
      </c>
      <c r="BM353" s="1" t="str">
        <f t="shared" si="131"/>
        <v/>
      </c>
      <c r="BN353" s="1" t="str">
        <f t="shared" si="131"/>
        <v/>
      </c>
      <c r="BO353" s="1" t="str">
        <f t="shared" si="131"/>
        <v/>
      </c>
      <c r="BP353" s="1" t="str">
        <f t="shared" si="131"/>
        <v/>
      </c>
      <c r="BQ353" s="1" t="str">
        <f t="shared" si="131"/>
        <v/>
      </c>
      <c r="BR353" s="1" t="str">
        <f t="shared" si="131"/>
        <v/>
      </c>
      <c r="BS353" s="1" t="str">
        <f t="shared" si="131"/>
        <v/>
      </c>
    </row>
    <row r="354" spans="52:71" x14ac:dyDescent="0.3">
      <c r="AZ354" s="1" t="str">
        <f t="shared" ref="AZ354:BD354" si="132">IF(INDEX($C353:$AF353,MATCH(AZ$2,$C$1:$AF$1,0))="","",INDEX($C353:$AF353,MATCH(AZ$2,$C$1:$AF$1,0)))</f>
        <v/>
      </c>
      <c r="BA354" s="1" t="str">
        <f t="shared" si="132"/>
        <v/>
      </c>
      <c r="BB354" s="1" t="str">
        <f t="shared" si="132"/>
        <v/>
      </c>
      <c r="BC354" s="1" t="str">
        <f t="shared" si="132"/>
        <v/>
      </c>
      <c r="BD354" s="1" t="str">
        <f t="shared" si="132"/>
        <v/>
      </c>
      <c r="BE354" s="1" t="str">
        <f t="shared" ref="BE354:BS354" si="133">IF(INDEX($AH353:$AV353,MATCH(BE$2,$AH$1:$AV$1,0))="","",INDEX($AH353:$AV353,MATCH(BE$2,$AH$1:$AV$1,0)))</f>
        <v/>
      </c>
      <c r="BF354" s="1" t="str">
        <f t="shared" si="133"/>
        <v/>
      </c>
      <c r="BG354" s="1" t="str">
        <f t="shared" si="133"/>
        <v/>
      </c>
      <c r="BH354" s="1" t="str">
        <f t="shared" si="133"/>
        <v/>
      </c>
      <c r="BI354" s="1" t="str">
        <f t="shared" si="133"/>
        <v/>
      </c>
      <c r="BJ354" s="1" t="str">
        <f t="shared" si="133"/>
        <v/>
      </c>
      <c r="BK354" s="1" t="str">
        <f t="shared" si="133"/>
        <v/>
      </c>
      <c r="BL354" s="1" t="str">
        <f t="shared" si="133"/>
        <v/>
      </c>
      <c r="BM354" s="1" t="str">
        <f t="shared" si="133"/>
        <v/>
      </c>
      <c r="BN354" s="1" t="str">
        <f t="shared" si="133"/>
        <v/>
      </c>
      <c r="BO354" s="1" t="str">
        <f t="shared" si="133"/>
        <v/>
      </c>
      <c r="BP354" s="1" t="str">
        <f t="shared" si="133"/>
        <v/>
      </c>
      <c r="BQ354" s="1" t="str">
        <f t="shared" si="133"/>
        <v/>
      </c>
      <c r="BR354" s="1" t="str">
        <f t="shared" si="133"/>
        <v/>
      </c>
      <c r="BS354" s="1" t="str">
        <f t="shared" si="133"/>
        <v/>
      </c>
    </row>
    <row r="355" spans="52:71" x14ac:dyDescent="0.3">
      <c r="AZ355" s="1" t="str">
        <f t="shared" ref="AZ355:BD355" si="134">IF(INDEX($C354:$AF354,MATCH(AZ$2,$C$1:$AF$1,0))="","",INDEX($C354:$AF354,MATCH(AZ$2,$C$1:$AF$1,0)))</f>
        <v/>
      </c>
      <c r="BA355" s="1" t="str">
        <f t="shared" si="134"/>
        <v/>
      </c>
      <c r="BB355" s="1" t="str">
        <f t="shared" si="134"/>
        <v/>
      </c>
      <c r="BC355" s="1" t="str">
        <f t="shared" si="134"/>
        <v/>
      </c>
      <c r="BD355" s="1" t="str">
        <f t="shared" si="134"/>
        <v/>
      </c>
      <c r="BE355" s="1" t="str">
        <f t="shared" ref="BE355:BS355" si="135">IF(INDEX($AH354:$AV354,MATCH(BE$2,$AH$1:$AV$1,0))="","",INDEX($AH354:$AV354,MATCH(BE$2,$AH$1:$AV$1,0)))</f>
        <v/>
      </c>
      <c r="BF355" s="1" t="str">
        <f t="shared" si="135"/>
        <v/>
      </c>
      <c r="BG355" s="1" t="str">
        <f t="shared" si="135"/>
        <v/>
      </c>
      <c r="BH355" s="1" t="str">
        <f t="shared" si="135"/>
        <v/>
      </c>
      <c r="BI355" s="1" t="str">
        <f t="shared" si="135"/>
        <v/>
      </c>
      <c r="BJ355" s="1" t="str">
        <f t="shared" si="135"/>
        <v/>
      </c>
      <c r="BK355" s="1" t="str">
        <f t="shared" si="135"/>
        <v/>
      </c>
      <c r="BL355" s="1" t="str">
        <f t="shared" si="135"/>
        <v/>
      </c>
      <c r="BM355" s="1" t="str">
        <f t="shared" si="135"/>
        <v/>
      </c>
      <c r="BN355" s="1" t="str">
        <f t="shared" si="135"/>
        <v/>
      </c>
      <c r="BO355" s="1" t="str">
        <f t="shared" si="135"/>
        <v/>
      </c>
      <c r="BP355" s="1" t="str">
        <f t="shared" si="135"/>
        <v/>
      </c>
      <c r="BQ355" s="1" t="str">
        <f t="shared" si="135"/>
        <v/>
      </c>
      <c r="BR355" s="1" t="str">
        <f t="shared" si="135"/>
        <v/>
      </c>
      <c r="BS355" s="1" t="str">
        <f t="shared" si="135"/>
        <v/>
      </c>
    </row>
    <row r="356" spans="52:71" x14ac:dyDescent="0.3">
      <c r="AZ356" s="1" t="str">
        <f t="shared" ref="AZ356:BD356" si="136">IF(INDEX($C355:$AF355,MATCH(AZ$2,$C$1:$AF$1,0))="","",INDEX($C355:$AF355,MATCH(AZ$2,$C$1:$AF$1,0)))</f>
        <v/>
      </c>
      <c r="BA356" s="1" t="str">
        <f t="shared" si="136"/>
        <v/>
      </c>
      <c r="BB356" s="1" t="str">
        <f t="shared" si="136"/>
        <v/>
      </c>
      <c r="BC356" s="1" t="str">
        <f t="shared" si="136"/>
        <v/>
      </c>
      <c r="BD356" s="1" t="str">
        <f t="shared" si="136"/>
        <v/>
      </c>
      <c r="BE356" s="1" t="str">
        <f t="shared" ref="BE356:BS356" si="137">IF(INDEX($AH355:$AV355,MATCH(BE$2,$AH$1:$AV$1,0))="","",INDEX($AH355:$AV355,MATCH(BE$2,$AH$1:$AV$1,0)))</f>
        <v/>
      </c>
      <c r="BF356" s="1" t="str">
        <f t="shared" si="137"/>
        <v/>
      </c>
      <c r="BG356" s="1" t="str">
        <f t="shared" si="137"/>
        <v/>
      </c>
      <c r="BH356" s="1" t="str">
        <f t="shared" si="137"/>
        <v/>
      </c>
      <c r="BI356" s="1" t="str">
        <f t="shared" si="137"/>
        <v/>
      </c>
      <c r="BJ356" s="1" t="str">
        <f t="shared" si="137"/>
        <v/>
      </c>
      <c r="BK356" s="1" t="str">
        <f t="shared" si="137"/>
        <v/>
      </c>
      <c r="BL356" s="1" t="str">
        <f t="shared" si="137"/>
        <v/>
      </c>
      <c r="BM356" s="1" t="str">
        <f t="shared" si="137"/>
        <v/>
      </c>
      <c r="BN356" s="1" t="str">
        <f t="shared" si="137"/>
        <v/>
      </c>
      <c r="BO356" s="1" t="str">
        <f t="shared" si="137"/>
        <v/>
      </c>
      <c r="BP356" s="1" t="str">
        <f t="shared" si="137"/>
        <v/>
      </c>
      <c r="BQ356" s="1" t="str">
        <f t="shared" si="137"/>
        <v/>
      </c>
      <c r="BR356" s="1" t="str">
        <f t="shared" si="137"/>
        <v/>
      </c>
      <c r="BS356" s="1" t="str">
        <f t="shared" si="137"/>
        <v/>
      </c>
    </row>
    <row r="357" spans="52:71" x14ac:dyDescent="0.3">
      <c r="AZ357" s="1" t="str">
        <f t="shared" ref="AZ357:BD357" si="138">IF(INDEX($C356:$AF356,MATCH(AZ$2,$C$1:$AF$1,0))="","",INDEX($C356:$AF356,MATCH(AZ$2,$C$1:$AF$1,0)))</f>
        <v/>
      </c>
      <c r="BA357" s="1" t="str">
        <f t="shared" si="138"/>
        <v/>
      </c>
      <c r="BB357" s="1" t="str">
        <f t="shared" si="138"/>
        <v/>
      </c>
      <c r="BC357" s="1" t="str">
        <f t="shared" si="138"/>
        <v/>
      </c>
      <c r="BD357" s="1" t="str">
        <f t="shared" si="138"/>
        <v/>
      </c>
      <c r="BE357" s="1" t="str">
        <f t="shared" ref="BE357:BS357" si="139">IF(INDEX($AH356:$AV356,MATCH(BE$2,$AH$1:$AV$1,0))="","",INDEX($AH356:$AV356,MATCH(BE$2,$AH$1:$AV$1,0)))</f>
        <v/>
      </c>
      <c r="BF357" s="1" t="str">
        <f t="shared" si="139"/>
        <v/>
      </c>
      <c r="BG357" s="1" t="str">
        <f t="shared" si="139"/>
        <v/>
      </c>
      <c r="BH357" s="1" t="str">
        <f t="shared" si="139"/>
        <v/>
      </c>
      <c r="BI357" s="1" t="str">
        <f t="shared" si="139"/>
        <v/>
      </c>
      <c r="BJ357" s="1" t="str">
        <f t="shared" si="139"/>
        <v/>
      </c>
      <c r="BK357" s="1" t="str">
        <f t="shared" si="139"/>
        <v/>
      </c>
      <c r="BL357" s="1" t="str">
        <f t="shared" si="139"/>
        <v/>
      </c>
      <c r="BM357" s="1" t="str">
        <f t="shared" si="139"/>
        <v/>
      </c>
      <c r="BN357" s="1" t="str">
        <f t="shared" si="139"/>
        <v/>
      </c>
      <c r="BO357" s="1" t="str">
        <f t="shared" si="139"/>
        <v/>
      </c>
      <c r="BP357" s="1" t="str">
        <f t="shared" si="139"/>
        <v/>
      </c>
      <c r="BQ357" s="1" t="str">
        <f t="shared" si="139"/>
        <v/>
      </c>
      <c r="BR357" s="1" t="str">
        <f t="shared" si="139"/>
        <v/>
      </c>
      <c r="BS357" s="1" t="str">
        <f t="shared" si="139"/>
        <v/>
      </c>
    </row>
    <row r="358" spans="52:71" x14ac:dyDescent="0.3">
      <c r="AZ358" s="1" t="str">
        <f t="shared" ref="AZ358:BD358" si="140">IF(INDEX($C357:$AF357,MATCH(AZ$2,$C$1:$AF$1,0))="","",INDEX($C357:$AF357,MATCH(AZ$2,$C$1:$AF$1,0)))</f>
        <v/>
      </c>
      <c r="BA358" s="1" t="str">
        <f t="shared" si="140"/>
        <v/>
      </c>
      <c r="BB358" s="1" t="str">
        <f t="shared" si="140"/>
        <v/>
      </c>
      <c r="BC358" s="1" t="str">
        <f t="shared" si="140"/>
        <v/>
      </c>
      <c r="BD358" s="1" t="str">
        <f t="shared" si="140"/>
        <v/>
      </c>
      <c r="BE358" s="1" t="str">
        <f t="shared" ref="BE358:BS358" si="141">IF(INDEX($AH357:$AV357,MATCH(BE$2,$AH$1:$AV$1,0))="","",INDEX($AH357:$AV357,MATCH(BE$2,$AH$1:$AV$1,0)))</f>
        <v/>
      </c>
      <c r="BF358" s="1" t="str">
        <f t="shared" si="141"/>
        <v/>
      </c>
      <c r="BG358" s="1" t="str">
        <f t="shared" si="141"/>
        <v/>
      </c>
      <c r="BH358" s="1" t="str">
        <f t="shared" si="141"/>
        <v/>
      </c>
      <c r="BI358" s="1" t="str">
        <f t="shared" si="141"/>
        <v/>
      </c>
      <c r="BJ358" s="1" t="str">
        <f t="shared" si="141"/>
        <v/>
      </c>
      <c r="BK358" s="1" t="str">
        <f t="shared" si="141"/>
        <v/>
      </c>
      <c r="BL358" s="1" t="str">
        <f t="shared" si="141"/>
        <v/>
      </c>
      <c r="BM358" s="1" t="str">
        <f t="shared" si="141"/>
        <v/>
      </c>
      <c r="BN358" s="1" t="str">
        <f t="shared" si="141"/>
        <v/>
      </c>
      <c r="BO358" s="1" t="str">
        <f t="shared" si="141"/>
        <v/>
      </c>
      <c r="BP358" s="1" t="str">
        <f t="shared" si="141"/>
        <v/>
      </c>
      <c r="BQ358" s="1" t="str">
        <f t="shared" si="141"/>
        <v/>
      </c>
      <c r="BR358" s="1" t="str">
        <f t="shared" si="141"/>
        <v/>
      </c>
      <c r="BS358" s="1" t="str">
        <f t="shared" si="141"/>
        <v/>
      </c>
    </row>
    <row r="359" spans="52:71" x14ac:dyDescent="0.3">
      <c r="AZ359" s="1" t="str">
        <f t="shared" ref="AZ359:BD359" si="142">IF(INDEX($C358:$AF358,MATCH(AZ$2,$C$1:$AF$1,0))="","",INDEX($C358:$AF358,MATCH(AZ$2,$C$1:$AF$1,0)))</f>
        <v/>
      </c>
      <c r="BA359" s="1" t="str">
        <f t="shared" si="142"/>
        <v/>
      </c>
      <c r="BB359" s="1" t="str">
        <f t="shared" si="142"/>
        <v/>
      </c>
      <c r="BC359" s="1" t="str">
        <f t="shared" si="142"/>
        <v/>
      </c>
      <c r="BD359" s="1" t="str">
        <f t="shared" si="142"/>
        <v/>
      </c>
      <c r="BE359" s="1" t="str">
        <f t="shared" ref="BE359:BS359" si="143">IF(INDEX($AH358:$AV358,MATCH(BE$2,$AH$1:$AV$1,0))="","",INDEX($AH358:$AV358,MATCH(BE$2,$AH$1:$AV$1,0)))</f>
        <v/>
      </c>
      <c r="BF359" s="1" t="str">
        <f t="shared" si="143"/>
        <v/>
      </c>
      <c r="BG359" s="1" t="str">
        <f t="shared" si="143"/>
        <v/>
      </c>
      <c r="BH359" s="1" t="str">
        <f t="shared" si="143"/>
        <v/>
      </c>
      <c r="BI359" s="1" t="str">
        <f t="shared" si="143"/>
        <v/>
      </c>
      <c r="BJ359" s="1" t="str">
        <f t="shared" si="143"/>
        <v/>
      </c>
      <c r="BK359" s="1" t="str">
        <f t="shared" si="143"/>
        <v/>
      </c>
      <c r="BL359" s="1" t="str">
        <f t="shared" si="143"/>
        <v/>
      </c>
      <c r="BM359" s="1" t="str">
        <f t="shared" si="143"/>
        <v/>
      </c>
      <c r="BN359" s="1" t="str">
        <f t="shared" si="143"/>
        <v/>
      </c>
      <c r="BO359" s="1" t="str">
        <f t="shared" si="143"/>
        <v/>
      </c>
      <c r="BP359" s="1" t="str">
        <f t="shared" si="143"/>
        <v/>
      </c>
      <c r="BQ359" s="1" t="str">
        <f t="shared" si="143"/>
        <v/>
      </c>
      <c r="BR359" s="1" t="str">
        <f t="shared" si="143"/>
        <v/>
      </c>
      <c r="BS359" s="1" t="str">
        <f t="shared" si="143"/>
        <v/>
      </c>
    </row>
    <row r="360" spans="52:71" x14ac:dyDescent="0.3">
      <c r="AZ360" s="1" t="str">
        <f t="shared" ref="AZ360:BD360" si="144">IF(INDEX($C359:$AF359,MATCH(AZ$2,$C$1:$AF$1,0))="","",INDEX($C359:$AF359,MATCH(AZ$2,$C$1:$AF$1,0)))</f>
        <v/>
      </c>
      <c r="BA360" s="1" t="str">
        <f t="shared" si="144"/>
        <v/>
      </c>
      <c r="BB360" s="1" t="str">
        <f t="shared" si="144"/>
        <v/>
      </c>
      <c r="BC360" s="1" t="str">
        <f t="shared" si="144"/>
        <v/>
      </c>
      <c r="BD360" s="1" t="str">
        <f t="shared" si="144"/>
        <v/>
      </c>
      <c r="BE360" s="1" t="str">
        <f t="shared" ref="BE360:BS360" si="145">IF(INDEX($AH359:$AV359,MATCH(BE$2,$AH$1:$AV$1,0))="","",INDEX($AH359:$AV359,MATCH(BE$2,$AH$1:$AV$1,0)))</f>
        <v/>
      </c>
      <c r="BF360" s="1" t="str">
        <f t="shared" si="145"/>
        <v/>
      </c>
      <c r="BG360" s="1" t="str">
        <f t="shared" si="145"/>
        <v/>
      </c>
      <c r="BH360" s="1" t="str">
        <f t="shared" si="145"/>
        <v/>
      </c>
      <c r="BI360" s="1" t="str">
        <f t="shared" si="145"/>
        <v/>
      </c>
      <c r="BJ360" s="1" t="str">
        <f t="shared" si="145"/>
        <v/>
      </c>
      <c r="BK360" s="1" t="str">
        <f t="shared" si="145"/>
        <v/>
      </c>
      <c r="BL360" s="1" t="str">
        <f t="shared" si="145"/>
        <v/>
      </c>
      <c r="BM360" s="1" t="str">
        <f t="shared" si="145"/>
        <v/>
      </c>
      <c r="BN360" s="1" t="str">
        <f t="shared" si="145"/>
        <v/>
      </c>
      <c r="BO360" s="1" t="str">
        <f t="shared" si="145"/>
        <v/>
      </c>
      <c r="BP360" s="1" t="str">
        <f t="shared" si="145"/>
        <v/>
      </c>
      <c r="BQ360" s="1" t="str">
        <f t="shared" si="145"/>
        <v/>
      </c>
      <c r="BR360" s="1" t="str">
        <f t="shared" si="145"/>
        <v/>
      </c>
      <c r="BS360" s="1" t="str">
        <f t="shared" si="145"/>
        <v/>
      </c>
    </row>
    <row r="361" spans="52:71" x14ac:dyDescent="0.3">
      <c r="AZ361" s="1" t="str">
        <f t="shared" ref="AZ361:BD361" si="146">IF(INDEX($C360:$AF360,MATCH(AZ$2,$C$1:$AF$1,0))="","",INDEX($C360:$AF360,MATCH(AZ$2,$C$1:$AF$1,0)))</f>
        <v/>
      </c>
      <c r="BA361" s="1" t="str">
        <f t="shared" si="146"/>
        <v/>
      </c>
      <c r="BB361" s="1" t="str">
        <f t="shared" si="146"/>
        <v/>
      </c>
      <c r="BC361" s="1" t="str">
        <f t="shared" si="146"/>
        <v/>
      </c>
      <c r="BD361" s="1" t="str">
        <f t="shared" si="146"/>
        <v/>
      </c>
      <c r="BE361" s="1" t="str">
        <f t="shared" ref="BE361:BS361" si="147">IF(INDEX($AH360:$AV360,MATCH(BE$2,$AH$1:$AV$1,0))="","",INDEX($AH360:$AV360,MATCH(BE$2,$AH$1:$AV$1,0)))</f>
        <v/>
      </c>
      <c r="BF361" s="1" t="str">
        <f t="shared" si="147"/>
        <v/>
      </c>
      <c r="BG361" s="1" t="str">
        <f t="shared" si="147"/>
        <v/>
      </c>
      <c r="BH361" s="1" t="str">
        <f t="shared" si="147"/>
        <v/>
      </c>
      <c r="BI361" s="1" t="str">
        <f t="shared" si="147"/>
        <v/>
      </c>
      <c r="BJ361" s="1" t="str">
        <f t="shared" si="147"/>
        <v/>
      </c>
      <c r="BK361" s="1" t="str">
        <f t="shared" si="147"/>
        <v/>
      </c>
      <c r="BL361" s="1" t="str">
        <f t="shared" si="147"/>
        <v/>
      </c>
      <c r="BM361" s="1" t="str">
        <f t="shared" si="147"/>
        <v/>
      </c>
      <c r="BN361" s="1" t="str">
        <f t="shared" si="147"/>
        <v/>
      </c>
      <c r="BO361" s="1" t="str">
        <f t="shared" si="147"/>
        <v/>
      </c>
      <c r="BP361" s="1" t="str">
        <f t="shared" si="147"/>
        <v/>
      </c>
      <c r="BQ361" s="1" t="str">
        <f t="shared" si="147"/>
        <v/>
      </c>
      <c r="BR361" s="1" t="str">
        <f t="shared" si="147"/>
        <v/>
      </c>
      <c r="BS361" s="1" t="str">
        <f t="shared" si="147"/>
        <v/>
      </c>
    </row>
    <row r="362" spans="52:71" x14ac:dyDescent="0.3">
      <c r="AZ362" s="1" t="str">
        <f t="shared" ref="AZ362:BD362" si="148">IF(INDEX($C361:$AF361,MATCH(AZ$2,$C$1:$AF$1,0))="","",INDEX($C361:$AF361,MATCH(AZ$2,$C$1:$AF$1,0)))</f>
        <v/>
      </c>
      <c r="BA362" s="1" t="str">
        <f t="shared" si="148"/>
        <v/>
      </c>
      <c r="BB362" s="1" t="str">
        <f t="shared" si="148"/>
        <v/>
      </c>
      <c r="BC362" s="1" t="str">
        <f t="shared" si="148"/>
        <v/>
      </c>
      <c r="BD362" s="1" t="str">
        <f t="shared" si="148"/>
        <v/>
      </c>
      <c r="BE362" s="1" t="str">
        <f t="shared" ref="BE362:BS362" si="149">IF(INDEX($AH361:$AV361,MATCH(BE$2,$AH$1:$AV$1,0))="","",INDEX($AH361:$AV361,MATCH(BE$2,$AH$1:$AV$1,0)))</f>
        <v/>
      </c>
      <c r="BF362" s="1" t="str">
        <f t="shared" si="149"/>
        <v/>
      </c>
      <c r="BG362" s="1" t="str">
        <f t="shared" si="149"/>
        <v/>
      </c>
      <c r="BH362" s="1" t="str">
        <f t="shared" si="149"/>
        <v/>
      </c>
      <c r="BI362" s="1" t="str">
        <f t="shared" si="149"/>
        <v/>
      </c>
      <c r="BJ362" s="1" t="str">
        <f t="shared" si="149"/>
        <v/>
      </c>
      <c r="BK362" s="1" t="str">
        <f t="shared" si="149"/>
        <v/>
      </c>
      <c r="BL362" s="1" t="str">
        <f t="shared" si="149"/>
        <v/>
      </c>
      <c r="BM362" s="1" t="str">
        <f t="shared" si="149"/>
        <v/>
      </c>
      <c r="BN362" s="1" t="str">
        <f t="shared" si="149"/>
        <v/>
      </c>
      <c r="BO362" s="1" t="str">
        <f t="shared" si="149"/>
        <v/>
      </c>
      <c r="BP362" s="1" t="str">
        <f t="shared" si="149"/>
        <v/>
      </c>
      <c r="BQ362" s="1" t="str">
        <f t="shared" si="149"/>
        <v/>
      </c>
      <c r="BR362" s="1" t="str">
        <f t="shared" si="149"/>
        <v/>
      </c>
      <c r="BS362" s="1" t="str">
        <f t="shared" si="149"/>
        <v/>
      </c>
    </row>
    <row r="363" spans="52:71" x14ac:dyDescent="0.3">
      <c r="AZ363" s="1" t="str">
        <f t="shared" ref="AZ363:BD363" si="150">IF(INDEX($C362:$AF362,MATCH(AZ$2,$C$1:$AF$1,0))="","",INDEX($C362:$AF362,MATCH(AZ$2,$C$1:$AF$1,0)))</f>
        <v/>
      </c>
      <c r="BA363" s="1" t="str">
        <f t="shared" si="150"/>
        <v/>
      </c>
      <c r="BB363" s="1" t="str">
        <f t="shared" si="150"/>
        <v/>
      </c>
      <c r="BC363" s="1" t="str">
        <f t="shared" si="150"/>
        <v/>
      </c>
      <c r="BD363" s="1" t="str">
        <f t="shared" si="150"/>
        <v/>
      </c>
      <c r="BE363" s="1" t="str">
        <f t="shared" ref="BE363:BS363" si="151">IF(INDEX($AH362:$AV362,MATCH(BE$2,$AH$1:$AV$1,0))="","",INDEX($AH362:$AV362,MATCH(BE$2,$AH$1:$AV$1,0)))</f>
        <v/>
      </c>
      <c r="BF363" s="1" t="str">
        <f t="shared" si="151"/>
        <v/>
      </c>
      <c r="BG363" s="1" t="str">
        <f t="shared" si="151"/>
        <v/>
      </c>
      <c r="BH363" s="1" t="str">
        <f t="shared" si="151"/>
        <v/>
      </c>
      <c r="BI363" s="1" t="str">
        <f t="shared" si="151"/>
        <v/>
      </c>
      <c r="BJ363" s="1" t="str">
        <f t="shared" si="151"/>
        <v/>
      </c>
      <c r="BK363" s="1" t="str">
        <f t="shared" si="151"/>
        <v/>
      </c>
      <c r="BL363" s="1" t="str">
        <f t="shared" si="151"/>
        <v/>
      </c>
      <c r="BM363" s="1" t="str">
        <f t="shared" si="151"/>
        <v/>
      </c>
      <c r="BN363" s="1" t="str">
        <f t="shared" si="151"/>
        <v/>
      </c>
      <c r="BO363" s="1" t="str">
        <f t="shared" si="151"/>
        <v/>
      </c>
      <c r="BP363" s="1" t="str">
        <f t="shared" si="151"/>
        <v/>
      </c>
      <c r="BQ363" s="1" t="str">
        <f t="shared" si="151"/>
        <v/>
      </c>
      <c r="BR363" s="1" t="str">
        <f t="shared" si="151"/>
        <v/>
      </c>
      <c r="BS363" s="1" t="str">
        <f t="shared" si="151"/>
        <v/>
      </c>
    </row>
    <row r="364" spans="52:71" x14ac:dyDescent="0.3">
      <c r="AZ364" s="1" t="str">
        <f t="shared" ref="AZ364:BD364" si="152">IF(INDEX($C363:$AF363,MATCH(AZ$2,$C$1:$AF$1,0))="","",INDEX($C363:$AF363,MATCH(AZ$2,$C$1:$AF$1,0)))</f>
        <v/>
      </c>
      <c r="BA364" s="1" t="str">
        <f t="shared" si="152"/>
        <v/>
      </c>
      <c r="BB364" s="1" t="str">
        <f t="shared" si="152"/>
        <v/>
      </c>
      <c r="BC364" s="1" t="str">
        <f t="shared" si="152"/>
        <v/>
      </c>
      <c r="BD364" s="1" t="str">
        <f t="shared" si="152"/>
        <v/>
      </c>
      <c r="BE364" s="1" t="str">
        <f t="shared" ref="BE364:BS364" si="153">IF(INDEX($AH363:$AV363,MATCH(BE$2,$AH$1:$AV$1,0))="","",INDEX($AH363:$AV363,MATCH(BE$2,$AH$1:$AV$1,0)))</f>
        <v/>
      </c>
      <c r="BF364" s="1" t="str">
        <f t="shared" si="153"/>
        <v/>
      </c>
      <c r="BG364" s="1" t="str">
        <f t="shared" si="153"/>
        <v/>
      </c>
      <c r="BH364" s="1" t="str">
        <f t="shared" si="153"/>
        <v/>
      </c>
      <c r="BI364" s="1" t="str">
        <f t="shared" si="153"/>
        <v/>
      </c>
      <c r="BJ364" s="1" t="str">
        <f t="shared" si="153"/>
        <v/>
      </c>
      <c r="BK364" s="1" t="str">
        <f t="shared" si="153"/>
        <v/>
      </c>
      <c r="BL364" s="1" t="str">
        <f t="shared" si="153"/>
        <v/>
      </c>
      <c r="BM364" s="1" t="str">
        <f t="shared" si="153"/>
        <v/>
      </c>
      <c r="BN364" s="1" t="str">
        <f t="shared" si="153"/>
        <v/>
      </c>
      <c r="BO364" s="1" t="str">
        <f t="shared" si="153"/>
        <v/>
      </c>
      <c r="BP364" s="1" t="str">
        <f t="shared" si="153"/>
        <v/>
      </c>
      <c r="BQ364" s="1" t="str">
        <f t="shared" si="153"/>
        <v/>
      </c>
      <c r="BR364" s="1" t="str">
        <f t="shared" si="153"/>
        <v/>
      </c>
      <c r="BS364" s="1" t="str">
        <f t="shared" si="153"/>
        <v/>
      </c>
    </row>
    <row r="365" spans="52:71" x14ac:dyDescent="0.3">
      <c r="AZ365" s="1" t="str">
        <f t="shared" ref="AZ365:BD365" si="154">IF(INDEX($C364:$AF364,MATCH(AZ$2,$C$1:$AF$1,0))="","",INDEX($C364:$AF364,MATCH(AZ$2,$C$1:$AF$1,0)))</f>
        <v/>
      </c>
      <c r="BA365" s="1" t="str">
        <f t="shared" si="154"/>
        <v/>
      </c>
      <c r="BB365" s="1" t="str">
        <f t="shared" si="154"/>
        <v/>
      </c>
      <c r="BC365" s="1" t="str">
        <f t="shared" si="154"/>
        <v/>
      </c>
      <c r="BD365" s="1" t="str">
        <f t="shared" si="154"/>
        <v/>
      </c>
      <c r="BE365" s="1" t="str">
        <f t="shared" ref="BE365:BS365" si="155">IF(INDEX($AH364:$AV364,MATCH(BE$2,$AH$1:$AV$1,0))="","",INDEX($AH364:$AV364,MATCH(BE$2,$AH$1:$AV$1,0)))</f>
        <v/>
      </c>
      <c r="BF365" s="1" t="str">
        <f t="shared" si="155"/>
        <v/>
      </c>
      <c r="BG365" s="1" t="str">
        <f t="shared" si="155"/>
        <v/>
      </c>
      <c r="BH365" s="1" t="str">
        <f t="shared" si="155"/>
        <v/>
      </c>
      <c r="BI365" s="1" t="str">
        <f t="shared" si="155"/>
        <v/>
      </c>
      <c r="BJ365" s="1" t="str">
        <f t="shared" si="155"/>
        <v/>
      </c>
      <c r="BK365" s="1" t="str">
        <f t="shared" si="155"/>
        <v/>
      </c>
      <c r="BL365" s="1" t="str">
        <f t="shared" si="155"/>
        <v/>
      </c>
      <c r="BM365" s="1" t="str">
        <f t="shared" si="155"/>
        <v/>
      </c>
      <c r="BN365" s="1" t="str">
        <f t="shared" si="155"/>
        <v/>
      </c>
      <c r="BO365" s="1" t="str">
        <f t="shared" si="155"/>
        <v/>
      </c>
      <c r="BP365" s="1" t="str">
        <f t="shared" si="155"/>
        <v/>
      </c>
      <c r="BQ365" s="1" t="str">
        <f t="shared" si="155"/>
        <v/>
      </c>
      <c r="BR365" s="1" t="str">
        <f t="shared" si="155"/>
        <v/>
      </c>
      <c r="BS365" s="1" t="str">
        <f t="shared" si="155"/>
        <v/>
      </c>
    </row>
    <row r="366" spans="52:71" x14ac:dyDescent="0.3">
      <c r="AZ366" s="1" t="str">
        <f t="shared" ref="AZ366:BD366" si="156">IF(INDEX($C365:$AF365,MATCH(AZ$2,$C$1:$AF$1,0))="","",INDEX($C365:$AF365,MATCH(AZ$2,$C$1:$AF$1,0)))</f>
        <v/>
      </c>
      <c r="BA366" s="1" t="str">
        <f t="shared" si="156"/>
        <v/>
      </c>
      <c r="BB366" s="1" t="str">
        <f t="shared" si="156"/>
        <v/>
      </c>
      <c r="BC366" s="1" t="str">
        <f t="shared" si="156"/>
        <v/>
      </c>
      <c r="BD366" s="1" t="str">
        <f t="shared" si="156"/>
        <v/>
      </c>
      <c r="BE366" s="1" t="str">
        <f t="shared" ref="BE366:BS366" si="157">IF(INDEX($AH365:$AV365,MATCH(BE$2,$AH$1:$AV$1,0))="","",INDEX($AH365:$AV365,MATCH(BE$2,$AH$1:$AV$1,0)))</f>
        <v/>
      </c>
      <c r="BF366" s="1" t="str">
        <f t="shared" si="157"/>
        <v/>
      </c>
      <c r="BG366" s="1" t="str">
        <f t="shared" si="157"/>
        <v/>
      </c>
      <c r="BH366" s="1" t="str">
        <f t="shared" si="157"/>
        <v/>
      </c>
      <c r="BI366" s="1" t="str">
        <f t="shared" si="157"/>
        <v/>
      </c>
      <c r="BJ366" s="1" t="str">
        <f t="shared" si="157"/>
        <v/>
      </c>
      <c r="BK366" s="1" t="str">
        <f t="shared" si="157"/>
        <v/>
      </c>
      <c r="BL366" s="1" t="str">
        <f t="shared" si="157"/>
        <v/>
      </c>
      <c r="BM366" s="1" t="str">
        <f t="shared" si="157"/>
        <v/>
      </c>
      <c r="BN366" s="1" t="str">
        <f t="shared" si="157"/>
        <v/>
      </c>
      <c r="BO366" s="1" t="str">
        <f t="shared" si="157"/>
        <v/>
      </c>
      <c r="BP366" s="1" t="str">
        <f t="shared" si="157"/>
        <v/>
      </c>
      <c r="BQ366" s="1" t="str">
        <f t="shared" si="157"/>
        <v/>
      </c>
      <c r="BR366" s="1" t="str">
        <f t="shared" si="157"/>
        <v/>
      </c>
      <c r="BS366" s="1" t="str">
        <f t="shared" si="157"/>
        <v/>
      </c>
    </row>
    <row r="367" spans="52:71" x14ac:dyDescent="0.3">
      <c r="AZ367" s="1" t="str">
        <f t="shared" ref="AZ367:BD367" si="158">IF(INDEX($C366:$AF366,MATCH(AZ$2,$C$1:$AF$1,0))="","",INDEX($C366:$AF366,MATCH(AZ$2,$C$1:$AF$1,0)))</f>
        <v/>
      </c>
      <c r="BA367" s="1" t="str">
        <f t="shared" si="158"/>
        <v/>
      </c>
      <c r="BB367" s="1" t="str">
        <f t="shared" si="158"/>
        <v/>
      </c>
      <c r="BC367" s="1" t="str">
        <f t="shared" si="158"/>
        <v/>
      </c>
      <c r="BD367" s="1" t="str">
        <f t="shared" si="158"/>
        <v/>
      </c>
      <c r="BE367" s="1" t="str">
        <f t="shared" ref="BE367:BS367" si="159">IF(INDEX($AH366:$AV366,MATCH(BE$2,$AH$1:$AV$1,0))="","",INDEX($AH366:$AV366,MATCH(BE$2,$AH$1:$AV$1,0)))</f>
        <v/>
      </c>
      <c r="BF367" s="1" t="str">
        <f t="shared" si="159"/>
        <v/>
      </c>
      <c r="BG367" s="1" t="str">
        <f t="shared" si="159"/>
        <v/>
      </c>
      <c r="BH367" s="1" t="str">
        <f t="shared" si="159"/>
        <v/>
      </c>
      <c r="BI367" s="1" t="str">
        <f t="shared" si="159"/>
        <v/>
      </c>
      <c r="BJ367" s="1" t="str">
        <f t="shared" si="159"/>
        <v/>
      </c>
      <c r="BK367" s="1" t="str">
        <f t="shared" si="159"/>
        <v/>
      </c>
      <c r="BL367" s="1" t="str">
        <f t="shared" si="159"/>
        <v/>
      </c>
      <c r="BM367" s="1" t="str">
        <f t="shared" si="159"/>
        <v/>
      </c>
      <c r="BN367" s="1" t="str">
        <f t="shared" si="159"/>
        <v/>
      </c>
      <c r="BO367" s="1" t="str">
        <f t="shared" si="159"/>
        <v/>
      </c>
      <c r="BP367" s="1" t="str">
        <f t="shared" si="159"/>
        <v/>
      </c>
      <c r="BQ367" s="1" t="str">
        <f t="shared" si="159"/>
        <v/>
      </c>
      <c r="BR367" s="1" t="str">
        <f t="shared" si="159"/>
        <v/>
      </c>
      <c r="BS367" s="1" t="str">
        <f t="shared" si="159"/>
        <v/>
      </c>
    </row>
    <row r="368" spans="52:71" x14ac:dyDescent="0.3">
      <c r="AZ368" s="1" t="str">
        <f t="shared" ref="AZ368:BD368" si="160">IF(INDEX($C367:$AF367,MATCH(AZ$2,$C$1:$AF$1,0))="","",INDEX($C367:$AF367,MATCH(AZ$2,$C$1:$AF$1,0)))</f>
        <v/>
      </c>
      <c r="BA368" s="1" t="str">
        <f t="shared" si="160"/>
        <v/>
      </c>
      <c r="BB368" s="1" t="str">
        <f t="shared" si="160"/>
        <v/>
      </c>
      <c r="BC368" s="1" t="str">
        <f t="shared" si="160"/>
        <v/>
      </c>
      <c r="BD368" s="1" t="str">
        <f t="shared" si="160"/>
        <v/>
      </c>
      <c r="BE368" s="1" t="str">
        <f t="shared" ref="BE368:BS368" si="161">IF(INDEX($AH367:$AV367,MATCH(BE$2,$AH$1:$AV$1,0))="","",INDEX($AH367:$AV367,MATCH(BE$2,$AH$1:$AV$1,0)))</f>
        <v/>
      </c>
      <c r="BF368" s="1" t="str">
        <f t="shared" si="161"/>
        <v/>
      </c>
      <c r="BG368" s="1" t="str">
        <f t="shared" si="161"/>
        <v/>
      </c>
      <c r="BH368" s="1" t="str">
        <f t="shared" si="161"/>
        <v/>
      </c>
      <c r="BI368" s="1" t="str">
        <f t="shared" si="161"/>
        <v/>
      </c>
      <c r="BJ368" s="1" t="str">
        <f t="shared" si="161"/>
        <v/>
      </c>
      <c r="BK368" s="1" t="str">
        <f t="shared" si="161"/>
        <v/>
      </c>
      <c r="BL368" s="1" t="str">
        <f t="shared" si="161"/>
        <v/>
      </c>
      <c r="BM368" s="1" t="str">
        <f t="shared" si="161"/>
        <v/>
      </c>
      <c r="BN368" s="1" t="str">
        <f t="shared" si="161"/>
        <v/>
      </c>
      <c r="BO368" s="1" t="str">
        <f t="shared" si="161"/>
        <v/>
      </c>
      <c r="BP368" s="1" t="str">
        <f t="shared" si="161"/>
        <v/>
      </c>
      <c r="BQ368" s="1" t="str">
        <f t="shared" si="161"/>
        <v/>
      </c>
      <c r="BR368" s="1" t="str">
        <f t="shared" si="161"/>
        <v/>
      </c>
      <c r="BS368" s="1" t="str">
        <f t="shared" si="161"/>
        <v/>
      </c>
    </row>
    <row r="369" spans="52:71" x14ac:dyDescent="0.3">
      <c r="AZ369" s="1" t="str">
        <f t="shared" ref="AZ369:BD369" si="162">IF(INDEX($C368:$AF368,MATCH(AZ$2,$C$1:$AF$1,0))="","",INDEX($C368:$AF368,MATCH(AZ$2,$C$1:$AF$1,0)))</f>
        <v/>
      </c>
      <c r="BA369" s="1" t="str">
        <f t="shared" si="162"/>
        <v/>
      </c>
      <c r="BB369" s="1" t="str">
        <f t="shared" si="162"/>
        <v/>
      </c>
      <c r="BC369" s="1" t="str">
        <f t="shared" si="162"/>
        <v/>
      </c>
      <c r="BD369" s="1" t="str">
        <f t="shared" si="162"/>
        <v/>
      </c>
      <c r="BE369" s="1" t="str">
        <f t="shared" ref="BE369:BS369" si="163">IF(INDEX($AH368:$AV368,MATCH(BE$2,$AH$1:$AV$1,0))="","",INDEX($AH368:$AV368,MATCH(BE$2,$AH$1:$AV$1,0)))</f>
        <v/>
      </c>
      <c r="BF369" s="1" t="str">
        <f t="shared" si="163"/>
        <v/>
      </c>
      <c r="BG369" s="1" t="str">
        <f t="shared" si="163"/>
        <v/>
      </c>
      <c r="BH369" s="1" t="str">
        <f t="shared" si="163"/>
        <v/>
      </c>
      <c r="BI369" s="1" t="str">
        <f t="shared" si="163"/>
        <v/>
      </c>
      <c r="BJ369" s="1" t="str">
        <f t="shared" si="163"/>
        <v/>
      </c>
      <c r="BK369" s="1" t="str">
        <f t="shared" si="163"/>
        <v/>
      </c>
      <c r="BL369" s="1" t="str">
        <f t="shared" si="163"/>
        <v/>
      </c>
      <c r="BM369" s="1" t="str">
        <f t="shared" si="163"/>
        <v/>
      </c>
      <c r="BN369" s="1" t="str">
        <f t="shared" si="163"/>
        <v/>
      </c>
      <c r="BO369" s="1" t="str">
        <f t="shared" si="163"/>
        <v/>
      </c>
      <c r="BP369" s="1" t="str">
        <f t="shared" si="163"/>
        <v/>
      </c>
      <c r="BQ369" s="1" t="str">
        <f t="shared" si="163"/>
        <v/>
      </c>
      <c r="BR369" s="1" t="str">
        <f t="shared" si="163"/>
        <v/>
      </c>
      <c r="BS369" s="1" t="str">
        <f t="shared" si="163"/>
        <v/>
      </c>
    </row>
    <row r="370" spans="52:71" x14ac:dyDescent="0.3">
      <c r="AZ370" s="1" t="str">
        <f t="shared" ref="AZ370:BD370" si="164">IF(INDEX($C369:$AF369,MATCH(AZ$2,$C$1:$AF$1,0))="","",INDEX($C369:$AF369,MATCH(AZ$2,$C$1:$AF$1,0)))</f>
        <v/>
      </c>
      <c r="BA370" s="1" t="str">
        <f t="shared" si="164"/>
        <v/>
      </c>
      <c r="BB370" s="1" t="str">
        <f t="shared" si="164"/>
        <v/>
      </c>
      <c r="BC370" s="1" t="str">
        <f t="shared" si="164"/>
        <v/>
      </c>
      <c r="BD370" s="1" t="str">
        <f t="shared" si="164"/>
        <v/>
      </c>
      <c r="BE370" s="1" t="str">
        <f t="shared" ref="BE370:BS370" si="165">IF(INDEX($AH369:$AV369,MATCH(BE$2,$AH$1:$AV$1,0))="","",INDEX($AH369:$AV369,MATCH(BE$2,$AH$1:$AV$1,0)))</f>
        <v/>
      </c>
      <c r="BF370" s="1" t="str">
        <f t="shared" si="165"/>
        <v/>
      </c>
      <c r="BG370" s="1" t="str">
        <f t="shared" si="165"/>
        <v/>
      </c>
      <c r="BH370" s="1" t="str">
        <f t="shared" si="165"/>
        <v/>
      </c>
      <c r="BI370" s="1" t="str">
        <f t="shared" si="165"/>
        <v/>
      </c>
      <c r="BJ370" s="1" t="str">
        <f t="shared" si="165"/>
        <v/>
      </c>
      <c r="BK370" s="1" t="str">
        <f t="shared" si="165"/>
        <v/>
      </c>
      <c r="BL370" s="1" t="str">
        <f t="shared" si="165"/>
        <v/>
      </c>
      <c r="BM370" s="1" t="str">
        <f t="shared" si="165"/>
        <v/>
      </c>
      <c r="BN370" s="1" t="str">
        <f t="shared" si="165"/>
        <v/>
      </c>
      <c r="BO370" s="1" t="str">
        <f t="shared" si="165"/>
        <v/>
      </c>
      <c r="BP370" s="1" t="str">
        <f t="shared" si="165"/>
        <v/>
      </c>
      <c r="BQ370" s="1" t="str">
        <f t="shared" si="165"/>
        <v/>
      </c>
      <c r="BR370" s="1" t="str">
        <f t="shared" si="165"/>
        <v/>
      </c>
      <c r="BS370" s="1" t="str">
        <f t="shared" si="165"/>
        <v/>
      </c>
    </row>
    <row r="371" spans="52:71" x14ac:dyDescent="0.3">
      <c r="AZ371" s="1" t="str">
        <f t="shared" ref="AZ371:BD371" si="166">IF(INDEX($C370:$AF370,MATCH(AZ$2,$C$1:$AF$1,0))="","",INDEX($C370:$AF370,MATCH(AZ$2,$C$1:$AF$1,0)))</f>
        <v/>
      </c>
      <c r="BA371" s="1" t="str">
        <f t="shared" si="166"/>
        <v/>
      </c>
      <c r="BB371" s="1" t="str">
        <f t="shared" si="166"/>
        <v/>
      </c>
      <c r="BC371" s="1" t="str">
        <f t="shared" si="166"/>
        <v/>
      </c>
      <c r="BD371" s="1" t="str">
        <f t="shared" si="166"/>
        <v/>
      </c>
      <c r="BE371" s="1" t="str">
        <f t="shared" ref="BE371:BS371" si="167">IF(INDEX($AH370:$AV370,MATCH(BE$2,$AH$1:$AV$1,0))="","",INDEX($AH370:$AV370,MATCH(BE$2,$AH$1:$AV$1,0)))</f>
        <v/>
      </c>
      <c r="BF371" s="1" t="str">
        <f t="shared" si="167"/>
        <v/>
      </c>
      <c r="BG371" s="1" t="str">
        <f t="shared" si="167"/>
        <v/>
      </c>
      <c r="BH371" s="1" t="str">
        <f t="shared" si="167"/>
        <v/>
      </c>
      <c r="BI371" s="1" t="str">
        <f t="shared" si="167"/>
        <v/>
      </c>
      <c r="BJ371" s="1" t="str">
        <f t="shared" si="167"/>
        <v/>
      </c>
      <c r="BK371" s="1" t="str">
        <f t="shared" si="167"/>
        <v/>
      </c>
      <c r="BL371" s="1" t="str">
        <f t="shared" si="167"/>
        <v/>
      </c>
      <c r="BM371" s="1" t="str">
        <f t="shared" si="167"/>
        <v/>
      </c>
      <c r="BN371" s="1" t="str">
        <f t="shared" si="167"/>
        <v/>
      </c>
      <c r="BO371" s="1" t="str">
        <f t="shared" si="167"/>
        <v/>
      </c>
      <c r="BP371" s="1" t="str">
        <f t="shared" si="167"/>
        <v/>
      </c>
      <c r="BQ371" s="1" t="str">
        <f t="shared" si="167"/>
        <v/>
      </c>
      <c r="BR371" s="1" t="str">
        <f t="shared" si="167"/>
        <v/>
      </c>
      <c r="BS371" s="1" t="str">
        <f t="shared" si="167"/>
        <v/>
      </c>
    </row>
    <row r="372" spans="52:71" x14ac:dyDescent="0.3">
      <c r="AZ372" s="1" t="str">
        <f t="shared" ref="AZ372:BD372" si="168">IF(INDEX($C371:$AF371,MATCH(AZ$2,$C$1:$AF$1,0))="","",INDEX($C371:$AF371,MATCH(AZ$2,$C$1:$AF$1,0)))</f>
        <v/>
      </c>
      <c r="BA372" s="1" t="str">
        <f t="shared" si="168"/>
        <v/>
      </c>
      <c r="BB372" s="1" t="str">
        <f t="shared" si="168"/>
        <v/>
      </c>
      <c r="BC372" s="1" t="str">
        <f t="shared" si="168"/>
        <v/>
      </c>
      <c r="BD372" s="1" t="str">
        <f t="shared" si="168"/>
        <v/>
      </c>
      <c r="BE372" s="1" t="str">
        <f t="shared" ref="BE372:BS372" si="169">IF(INDEX($AH371:$AV371,MATCH(BE$2,$AH$1:$AV$1,0))="","",INDEX($AH371:$AV371,MATCH(BE$2,$AH$1:$AV$1,0)))</f>
        <v/>
      </c>
      <c r="BF372" s="1" t="str">
        <f t="shared" si="169"/>
        <v/>
      </c>
      <c r="BG372" s="1" t="str">
        <f t="shared" si="169"/>
        <v/>
      </c>
      <c r="BH372" s="1" t="str">
        <f t="shared" si="169"/>
        <v/>
      </c>
      <c r="BI372" s="1" t="str">
        <f t="shared" si="169"/>
        <v/>
      </c>
      <c r="BJ372" s="1" t="str">
        <f t="shared" si="169"/>
        <v/>
      </c>
      <c r="BK372" s="1" t="str">
        <f t="shared" si="169"/>
        <v/>
      </c>
      <c r="BL372" s="1" t="str">
        <f t="shared" si="169"/>
        <v/>
      </c>
      <c r="BM372" s="1" t="str">
        <f t="shared" si="169"/>
        <v/>
      </c>
      <c r="BN372" s="1" t="str">
        <f t="shared" si="169"/>
        <v/>
      </c>
      <c r="BO372" s="1" t="str">
        <f t="shared" si="169"/>
        <v/>
      </c>
      <c r="BP372" s="1" t="str">
        <f t="shared" si="169"/>
        <v/>
      </c>
      <c r="BQ372" s="1" t="str">
        <f t="shared" si="169"/>
        <v/>
      </c>
      <c r="BR372" s="1" t="str">
        <f t="shared" si="169"/>
        <v/>
      </c>
      <c r="BS372" s="1" t="str">
        <f t="shared" si="169"/>
        <v/>
      </c>
    </row>
    <row r="373" spans="52:71" x14ac:dyDescent="0.3">
      <c r="AZ373" s="1" t="str">
        <f t="shared" ref="AZ373:BD373" si="170">IF(INDEX($C372:$AF372,MATCH(AZ$2,$C$1:$AF$1,0))="","",INDEX($C372:$AF372,MATCH(AZ$2,$C$1:$AF$1,0)))</f>
        <v/>
      </c>
      <c r="BA373" s="1" t="str">
        <f t="shared" si="170"/>
        <v/>
      </c>
      <c r="BB373" s="1" t="str">
        <f t="shared" si="170"/>
        <v/>
      </c>
      <c r="BC373" s="1" t="str">
        <f t="shared" si="170"/>
        <v/>
      </c>
      <c r="BD373" s="1" t="str">
        <f t="shared" si="170"/>
        <v/>
      </c>
      <c r="BE373" s="1" t="str">
        <f t="shared" ref="BE373:BS373" si="171">IF(INDEX($AH372:$AV372,MATCH(BE$2,$AH$1:$AV$1,0))="","",INDEX($AH372:$AV372,MATCH(BE$2,$AH$1:$AV$1,0)))</f>
        <v/>
      </c>
      <c r="BF373" s="1" t="str">
        <f t="shared" si="171"/>
        <v/>
      </c>
      <c r="BG373" s="1" t="str">
        <f t="shared" si="171"/>
        <v/>
      </c>
      <c r="BH373" s="1" t="str">
        <f t="shared" si="171"/>
        <v/>
      </c>
      <c r="BI373" s="1" t="str">
        <f t="shared" si="171"/>
        <v/>
      </c>
      <c r="BJ373" s="1" t="str">
        <f t="shared" si="171"/>
        <v/>
      </c>
      <c r="BK373" s="1" t="str">
        <f t="shared" si="171"/>
        <v/>
      </c>
      <c r="BL373" s="1" t="str">
        <f t="shared" si="171"/>
        <v/>
      </c>
      <c r="BM373" s="1" t="str">
        <f t="shared" si="171"/>
        <v/>
      </c>
      <c r="BN373" s="1" t="str">
        <f t="shared" si="171"/>
        <v/>
      </c>
      <c r="BO373" s="1" t="str">
        <f t="shared" si="171"/>
        <v/>
      </c>
      <c r="BP373" s="1" t="str">
        <f t="shared" si="171"/>
        <v/>
      </c>
      <c r="BQ373" s="1" t="str">
        <f t="shared" si="171"/>
        <v/>
      </c>
      <c r="BR373" s="1" t="str">
        <f t="shared" si="171"/>
        <v/>
      </c>
      <c r="BS373" s="1" t="str">
        <f t="shared" si="171"/>
        <v/>
      </c>
    </row>
    <row r="374" spans="52:71" x14ac:dyDescent="0.3">
      <c r="AZ374" s="1" t="str">
        <f t="shared" ref="AZ374:BD374" si="172">IF(INDEX($C373:$AF373,MATCH(AZ$2,$C$1:$AF$1,0))="","",INDEX($C373:$AF373,MATCH(AZ$2,$C$1:$AF$1,0)))</f>
        <v/>
      </c>
      <c r="BA374" s="1" t="str">
        <f t="shared" si="172"/>
        <v/>
      </c>
      <c r="BB374" s="1" t="str">
        <f t="shared" si="172"/>
        <v/>
      </c>
      <c r="BC374" s="1" t="str">
        <f t="shared" si="172"/>
        <v/>
      </c>
      <c r="BD374" s="1" t="str">
        <f t="shared" si="172"/>
        <v/>
      </c>
      <c r="BE374" s="1" t="str">
        <f t="shared" ref="BE374:BS374" si="173">IF(INDEX($AH373:$AV373,MATCH(BE$2,$AH$1:$AV$1,0))="","",INDEX($AH373:$AV373,MATCH(BE$2,$AH$1:$AV$1,0)))</f>
        <v/>
      </c>
      <c r="BF374" s="1" t="str">
        <f t="shared" si="173"/>
        <v/>
      </c>
      <c r="BG374" s="1" t="str">
        <f t="shared" si="173"/>
        <v/>
      </c>
      <c r="BH374" s="1" t="str">
        <f t="shared" si="173"/>
        <v/>
      </c>
      <c r="BI374" s="1" t="str">
        <f t="shared" si="173"/>
        <v/>
      </c>
      <c r="BJ374" s="1" t="str">
        <f t="shared" si="173"/>
        <v/>
      </c>
      <c r="BK374" s="1" t="str">
        <f t="shared" si="173"/>
        <v/>
      </c>
      <c r="BL374" s="1" t="str">
        <f t="shared" si="173"/>
        <v/>
      </c>
      <c r="BM374" s="1" t="str">
        <f t="shared" si="173"/>
        <v/>
      </c>
      <c r="BN374" s="1" t="str">
        <f t="shared" si="173"/>
        <v/>
      </c>
      <c r="BO374" s="1" t="str">
        <f t="shared" si="173"/>
        <v/>
      </c>
      <c r="BP374" s="1" t="str">
        <f t="shared" si="173"/>
        <v/>
      </c>
      <c r="BQ374" s="1" t="str">
        <f t="shared" si="173"/>
        <v/>
      </c>
      <c r="BR374" s="1" t="str">
        <f t="shared" si="173"/>
        <v/>
      </c>
      <c r="BS374" s="1" t="str">
        <f t="shared" si="173"/>
        <v/>
      </c>
    </row>
    <row r="375" spans="52:71" x14ac:dyDescent="0.3">
      <c r="AZ375" s="1" t="str">
        <f t="shared" ref="AZ375:BD375" si="174">IF(INDEX($C374:$AF374,MATCH(AZ$2,$C$1:$AF$1,0))="","",INDEX($C374:$AF374,MATCH(AZ$2,$C$1:$AF$1,0)))</f>
        <v/>
      </c>
      <c r="BA375" s="1" t="str">
        <f t="shared" si="174"/>
        <v/>
      </c>
      <c r="BB375" s="1" t="str">
        <f t="shared" si="174"/>
        <v/>
      </c>
      <c r="BC375" s="1" t="str">
        <f t="shared" si="174"/>
        <v/>
      </c>
      <c r="BD375" s="1" t="str">
        <f t="shared" si="174"/>
        <v/>
      </c>
      <c r="BE375" s="1" t="str">
        <f t="shared" ref="BE375:BS375" si="175">IF(INDEX($AH374:$AV374,MATCH(BE$2,$AH$1:$AV$1,0))="","",INDEX($AH374:$AV374,MATCH(BE$2,$AH$1:$AV$1,0)))</f>
        <v/>
      </c>
      <c r="BF375" s="1" t="str">
        <f t="shared" si="175"/>
        <v/>
      </c>
      <c r="BG375" s="1" t="str">
        <f t="shared" si="175"/>
        <v/>
      </c>
      <c r="BH375" s="1" t="str">
        <f t="shared" si="175"/>
        <v/>
      </c>
      <c r="BI375" s="1" t="str">
        <f t="shared" si="175"/>
        <v/>
      </c>
      <c r="BJ375" s="1" t="str">
        <f t="shared" si="175"/>
        <v/>
      </c>
      <c r="BK375" s="1" t="str">
        <f t="shared" si="175"/>
        <v/>
      </c>
      <c r="BL375" s="1" t="str">
        <f t="shared" si="175"/>
        <v/>
      </c>
      <c r="BM375" s="1" t="str">
        <f t="shared" si="175"/>
        <v/>
      </c>
      <c r="BN375" s="1" t="str">
        <f t="shared" si="175"/>
        <v/>
      </c>
      <c r="BO375" s="1" t="str">
        <f t="shared" si="175"/>
        <v/>
      </c>
      <c r="BP375" s="1" t="str">
        <f t="shared" si="175"/>
        <v/>
      </c>
      <c r="BQ375" s="1" t="str">
        <f t="shared" si="175"/>
        <v/>
      </c>
      <c r="BR375" s="1" t="str">
        <f t="shared" si="175"/>
        <v/>
      </c>
      <c r="BS375" s="1" t="str">
        <f t="shared" si="175"/>
        <v/>
      </c>
    </row>
    <row r="376" spans="52:71" x14ac:dyDescent="0.3">
      <c r="AZ376" s="1" t="str">
        <f t="shared" ref="AZ376:BD376" si="176">IF(INDEX($C375:$AF375,MATCH(AZ$2,$C$1:$AF$1,0))="","",INDEX($C375:$AF375,MATCH(AZ$2,$C$1:$AF$1,0)))</f>
        <v/>
      </c>
      <c r="BA376" s="1" t="str">
        <f t="shared" si="176"/>
        <v/>
      </c>
      <c r="BB376" s="1" t="str">
        <f t="shared" si="176"/>
        <v/>
      </c>
      <c r="BC376" s="1" t="str">
        <f t="shared" si="176"/>
        <v/>
      </c>
      <c r="BD376" s="1" t="str">
        <f t="shared" si="176"/>
        <v/>
      </c>
      <c r="BE376" s="1" t="str">
        <f t="shared" ref="BE376:BS376" si="177">IF(INDEX($AH375:$AV375,MATCH(BE$2,$AH$1:$AV$1,0))="","",INDEX($AH375:$AV375,MATCH(BE$2,$AH$1:$AV$1,0)))</f>
        <v/>
      </c>
      <c r="BF376" s="1" t="str">
        <f t="shared" si="177"/>
        <v/>
      </c>
      <c r="BG376" s="1" t="str">
        <f t="shared" si="177"/>
        <v/>
      </c>
      <c r="BH376" s="1" t="str">
        <f t="shared" si="177"/>
        <v/>
      </c>
      <c r="BI376" s="1" t="str">
        <f t="shared" si="177"/>
        <v/>
      </c>
      <c r="BJ376" s="1" t="str">
        <f t="shared" si="177"/>
        <v/>
      </c>
      <c r="BK376" s="1" t="str">
        <f t="shared" si="177"/>
        <v/>
      </c>
      <c r="BL376" s="1" t="str">
        <f t="shared" si="177"/>
        <v/>
      </c>
      <c r="BM376" s="1" t="str">
        <f t="shared" si="177"/>
        <v/>
      </c>
      <c r="BN376" s="1" t="str">
        <f t="shared" si="177"/>
        <v/>
      </c>
      <c r="BO376" s="1" t="str">
        <f t="shared" si="177"/>
        <v/>
      </c>
      <c r="BP376" s="1" t="str">
        <f t="shared" si="177"/>
        <v/>
      </c>
      <c r="BQ376" s="1" t="str">
        <f t="shared" si="177"/>
        <v/>
      </c>
      <c r="BR376" s="1" t="str">
        <f t="shared" si="177"/>
        <v/>
      </c>
      <c r="BS376" s="1" t="str">
        <f t="shared" si="177"/>
        <v/>
      </c>
    </row>
    <row r="377" spans="52:71" x14ac:dyDescent="0.3">
      <c r="AZ377" s="1" t="str">
        <f t="shared" ref="AZ377:BD377" si="178">IF(INDEX($C376:$AF376,MATCH(AZ$2,$C$1:$AF$1,0))="","",INDEX($C376:$AF376,MATCH(AZ$2,$C$1:$AF$1,0)))</f>
        <v/>
      </c>
      <c r="BA377" s="1" t="str">
        <f t="shared" si="178"/>
        <v/>
      </c>
      <c r="BB377" s="1" t="str">
        <f t="shared" si="178"/>
        <v/>
      </c>
      <c r="BC377" s="1" t="str">
        <f t="shared" si="178"/>
        <v/>
      </c>
      <c r="BD377" s="1" t="str">
        <f t="shared" si="178"/>
        <v/>
      </c>
      <c r="BE377" s="1" t="str">
        <f t="shared" ref="BE377:BS377" si="179">IF(INDEX($AH376:$AV376,MATCH(BE$2,$AH$1:$AV$1,0))="","",INDEX($AH376:$AV376,MATCH(BE$2,$AH$1:$AV$1,0)))</f>
        <v/>
      </c>
      <c r="BF377" s="1" t="str">
        <f t="shared" si="179"/>
        <v/>
      </c>
      <c r="BG377" s="1" t="str">
        <f t="shared" si="179"/>
        <v/>
      </c>
      <c r="BH377" s="1" t="str">
        <f t="shared" si="179"/>
        <v/>
      </c>
      <c r="BI377" s="1" t="str">
        <f t="shared" si="179"/>
        <v/>
      </c>
      <c r="BJ377" s="1" t="str">
        <f t="shared" si="179"/>
        <v/>
      </c>
      <c r="BK377" s="1" t="str">
        <f t="shared" si="179"/>
        <v/>
      </c>
      <c r="BL377" s="1" t="str">
        <f t="shared" si="179"/>
        <v/>
      </c>
      <c r="BM377" s="1" t="str">
        <f t="shared" si="179"/>
        <v/>
      </c>
      <c r="BN377" s="1" t="str">
        <f t="shared" si="179"/>
        <v/>
      </c>
      <c r="BO377" s="1" t="str">
        <f t="shared" si="179"/>
        <v/>
      </c>
      <c r="BP377" s="1" t="str">
        <f t="shared" si="179"/>
        <v/>
      </c>
      <c r="BQ377" s="1" t="str">
        <f t="shared" si="179"/>
        <v/>
      </c>
      <c r="BR377" s="1" t="str">
        <f t="shared" si="179"/>
        <v/>
      </c>
      <c r="BS377" s="1" t="str">
        <f t="shared" si="179"/>
        <v/>
      </c>
    </row>
  </sheetData>
  <sortState xmlns:xlrd2="http://schemas.microsoft.com/office/spreadsheetml/2017/richdata2" ref="AV2:AV331">
    <sortCondition ref="AV2:AV331"/>
  </sortState>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654F915-FE20-40E5-83D0-2C4B767484B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76</vt:i4>
      </vt:variant>
    </vt:vector>
  </HeadingPairs>
  <TitlesOfParts>
    <vt:vector size="113" baseType="lpstr">
      <vt:lpstr>Main</vt:lpstr>
      <vt:lpstr>Mapwide Buffs</vt:lpstr>
      <vt:lpstr>Vehicle Substats</vt:lpstr>
      <vt:lpstr>TargetTrain Lists</vt:lpstr>
      <vt:lpstr>Preset Teams</vt:lpstr>
      <vt:lpstr>Preset Teams SF</vt:lpstr>
      <vt:lpstr>Doll</vt:lpstr>
      <vt:lpstr>Equip</vt:lpstr>
      <vt:lpstr>Fairy</vt:lpstr>
      <vt:lpstr>HOC</vt:lpstr>
      <vt:lpstr>HOCChip</vt:lpstr>
      <vt:lpstr>Vehicle</vt:lpstr>
      <vt:lpstr>VehicleComp</vt:lpstr>
      <vt:lpstr>SF</vt:lpstr>
      <vt:lpstr>SF Chip</vt:lpstr>
      <vt:lpstr>SF Team</vt:lpstr>
      <vt:lpstr>Mission_Act_Info</vt:lpstr>
      <vt:lpstr>Spot_Act_Info_Day</vt:lpstr>
      <vt:lpstr>Spot_Act_Info_Night</vt:lpstr>
      <vt:lpstr>GFBattleSimulator</vt:lpstr>
      <vt:lpstr>VehicleRangeAtk</vt:lpstr>
      <vt:lpstr>G&amp;K Stat Calc</vt:lpstr>
      <vt:lpstr>SF Stat Calc</vt:lpstr>
      <vt:lpstr>Fairy Data</vt:lpstr>
      <vt:lpstr>Talent Data</vt:lpstr>
      <vt:lpstr>Strat Buff Data</vt:lpstr>
      <vt:lpstr>Equip Data</vt:lpstr>
      <vt:lpstr>Doll Data</vt:lpstr>
      <vt:lpstr>SF Data</vt:lpstr>
      <vt:lpstr>SF Chip Data</vt:lpstr>
      <vt:lpstr>Vehicle Comp Data</vt:lpstr>
      <vt:lpstr>HOC Chip Data</vt:lpstr>
      <vt:lpstr>SF Resolution</vt:lpstr>
      <vt:lpstr>Vehicle Tree</vt:lpstr>
      <vt:lpstr>Exp Tables</vt:lpstr>
      <vt:lpstr>Misc Inputs</vt:lpstr>
      <vt:lpstr>Dropdowns</vt:lpstr>
      <vt:lpstr>AllySelection</vt:lpstr>
      <vt:lpstr>BossHP</vt:lpstr>
      <vt:lpstr>BuildingSelection</vt:lpstr>
      <vt:lpstr>ChipJSONPath</vt:lpstr>
      <vt:lpstr>CustomStatInput</vt:lpstr>
      <vt:lpstr>DayNight</vt:lpstr>
      <vt:lpstr>Debuff1</vt:lpstr>
      <vt:lpstr>Debuff2</vt:lpstr>
      <vt:lpstr>Debuff3</vt:lpstr>
      <vt:lpstr>DebuffConfig1</vt:lpstr>
      <vt:lpstr>DebuffConfig2</vt:lpstr>
      <vt:lpstr>DebuffConfig3</vt:lpstr>
      <vt:lpstr>DebuffSelection</vt:lpstr>
      <vt:lpstr>DebuffSL1</vt:lpstr>
      <vt:lpstr>DebuffSL2</vt:lpstr>
      <vt:lpstr>DebuffSL3</vt:lpstr>
      <vt:lpstr>DollJSONPath</vt:lpstr>
      <vt:lpstr>EchelonInput</vt:lpstr>
      <vt:lpstr>EchType</vt:lpstr>
      <vt:lpstr>EnemyHPPercent</vt:lpstr>
      <vt:lpstr>EnemyID</vt:lpstr>
      <vt:lpstr>EquipJSONPath</vt:lpstr>
      <vt:lpstr>equipScript</vt:lpstr>
      <vt:lpstr>ExtraDollInput</vt:lpstr>
      <vt:lpstr>FairyInput</vt:lpstr>
      <vt:lpstr>FairyJSONPath</vt:lpstr>
      <vt:lpstr>FairySkill</vt:lpstr>
      <vt:lpstr>gunScript</vt:lpstr>
      <vt:lpstr>HOCInput</vt:lpstr>
      <vt:lpstr>HOCJSONPath</vt:lpstr>
      <vt:lpstr>HOCSelection</vt:lpstr>
      <vt:lpstr>HOCSupport</vt:lpstr>
      <vt:lpstr>ListOfPresets</vt:lpstr>
      <vt:lpstr>ListOfPresetsSF</vt:lpstr>
      <vt:lpstr>MissionJSON</vt:lpstr>
      <vt:lpstr>NodeColor</vt:lpstr>
      <vt:lpstr>OneStack</vt:lpstr>
      <vt:lpstr>PositionInput</vt:lpstr>
      <vt:lpstr>Preset</vt:lpstr>
      <vt:lpstr>PresetSF</vt:lpstr>
      <vt:lpstr>SeedNum</vt:lpstr>
      <vt:lpstr>SFChipJSONPath</vt:lpstr>
      <vt:lpstr>SFCustomStatInput</vt:lpstr>
      <vt:lpstr>SFEchelonInput</vt:lpstr>
      <vt:lpstr>SFHOCInput</vt:lpstr>
      <vt:lpstr>SFHOCSelection</vt:lpstr>
      <vt:lpstr>SFJSONPath</vt:lpstr>
      <vt:lpstr>SFPositionInput</vt:lpstr>
      <vt:lpstr>sfResolScript</vt:lpstr>
      <vt:lpstr>sfScript</vt:lpstr>
      <vt:lpstr>SFTeamJSONPath</vt:lpstr>
      <vt:lpstr>SimJSON</vt:lpstr>
      <vt:lpstr>SpotDayJSON</vt:lpstr>
      <vt:lpstr>SpotNightJSON</vt:lpstr>
      <vt:lpstr>StratBuff1</vt:lpstr>
      <vt:lpstr>StratBuff2</vt:lpstr>
      <vt:lpstr>StratBuff3</vt:lpstr>
      <vt:lpstr>StratConfig1</vt:lpstr>
      <vt:lpstr>StratConfig2</vt:lpstr>
      <vt:lpstr>StratConfig3</vt:lpstr>
      <vt:lpstr>StrategyInput</vt:lpstr>
      <vt:lpstr>StratSL1</vt:lpstr>
      <vt:lpstr>StratSL2</vt:lpstr>
      <vt:lpstr>StratSL3</vt:lpstr>
      <vt:lpstr>ThreeStack</vt:lpstr>
      <vt:lpstr>TurnNum</vt:lpstr>
      <vt:lpstr>TwoStack</vt:lpstr>
      <vt:lpstr>UseCustomStats</vt:lpstr>
      <vt:lpstr>UseSFCustomHP</vt:lpstr>
      <vt:lpstr>VehicleCompInput</vt:lpstr>
      <vt:lpstr>VehicleCompInput2</vt:lpstr>
      <vt:lpstr>VehicleCompJSONPath</vt:lpstr>
      <vt:lpstr>VehicleInput</vt:lpstr>
      <vt:lpstr>VehicleJSONPath</vt:lpstr>
      <vt:lpstr>VehicleMode</vt:lpstr>
      <vt:lpstr>VehicleRangeAtkJSON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Randomqwerty</cp:lastModifiedBy>
  <cp:lastPrinted>2023-10-27T15:33:54Z</cp:lastPrinted>
  <dcterms:created xsi:type="dcterms:W3CDTF">2021-03-06T22:53:28Z</dcterms:created>
  <dcterms:modified xsi:type="dcterms:W3CDTF">2025-02-23T03:46:33Z</dcterms:modified>
</cp:coreProperties>
</file>